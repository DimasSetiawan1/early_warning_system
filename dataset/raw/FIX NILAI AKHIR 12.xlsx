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 KURIKULUM\beckup\File KURIKULUM RH\2425\PENGOLAHAN NILAI IJAZAH KELAS XII\"/>
    </mc:Choice>
  </mc:AlternateContent>
  <xr:revisionPtr revIDLastSave="0" documentId="13_ncr:1_{EF337987-0797-453F-9A82-6C409F0F3646}" xr6:coauthVersionLast="47" xr6:coauthVersionMax="47" xr10:uidLastSave="{00000000-0000-0000-0000-000000000000}"/>
  <bookViews>
    <workbookView xWindow="-108" yWindow="-108" windowWidth="23256" windowHeight="12456" activeTab="10" xr2:uid="{8AD45458-F62C-4AF1-AC19-D0DF14CAD7B7}"/>
  </bookViews>
  <sheets>
    <sheet name="Sheet1" sheetId="10" r:id="rId1"/>
    <sheet name="te" sheetId="5" r:id="rId2"/>
    <sheet name="Sheet2" sheetId="15" r:id="rId3"/>
    <sheet name="SISWA PRESTASI" sheetId="14" r:id="rId4"/>
    <sheet name="12 TE" sheetId="9" r:id="rId5"/>
    <sheet name="tkr" sheetId="7" r:id="rId6"/>
    <sheet name="12 TKR" sheetId="11" r:id="rId7"/>
    <sheet name="tkj" sheetId="1" r:id="rId8"/>
    <sheet name="12 TKJ" sheetId="3" r:id="rId9"/>
    <sheet name="ak" sheetId="6" r:id="rId10"/>
    <sheet name="12 AK" sheetId="13" r:id="rId11"/>
  </sheets>
  <definedNames>
    <definedName name="IY" localSheetId="10">#REF!</definedName>
    <definedName name="IY" localSheetId="4">#REF!</definedName>
    <definedName name="IY" localSheetId="6">#REF!</definedName>
    <definedName name="IY" localSheetId="9">#REF!</definedName>
    <definedName name="IY" localSheetId="0">#REF!</definedName>
    <definedName name="IY" localSheetId="1">#REF!</definedName>
    <definedName name="IY" localSheetId="7">#REF!</definedName>
    <definedName name="IY" localSheetId="5">#REF!</definedName>
    <definedName name="IY">#REF!</definedName>
    <definedName name="_xlnm.Print_Area" localSheetId="10">'12 AK'!$A$1:$V$386</definedName>
    <definedName name="_xlnm.Print_Area" localSheetId="4">'12 TE'!$A$1:$V$152</definedName>
    <definedName name="_xlnm.Print_Area" localSheetId="8">'12 TKJ'!$A$1:$V$989</definedName>
    <definedName name="_xlnm.Print_Area" localSheetId="6">'12 TKR'!$A$1:$V$377</definedName>
    <definedName name="_xlnm.Print_Area" localSheetId="9">ak!$EP$1:$FG$34</definedName>
    <definedName name="_xlnm.Print_Area" localSheetId="1">te!$EN$1:$FE$18</definedName>
    <definedName name="_xlnm.Print_Area" localSheetId="7">tkj!$EL$1:$FC$34</definedName>
    <definedName name="_xlnm.Print_Area" localSheetId="5">tkr!$EL$1:$FC$34</definedName>
    <definedName name="_xlnm.Print_Titles" localSheetId="10">'12 AK'!$8:$11</definedName>
    <definedName name="_xlnm.Print_Titles" localSheetId="4">'12 TE'!$8:$11</definedName>
    <definedName name="_xlnm.Print_Titles" localSheetId="8">'12 TKJ'!$8:$11</definedName>
    <definedName name="_xlnm.Print_Titles" localSheetId="6">'12 TKR'!$8:$11</definedName>
    <definedName name="_xlnm.Print_Titles" localSheetId="9">ak!$C:$C</definedName>
    <definedName name="_xlnm.Print_Titles" localSheetId="1">te!$C:$C</definedName>
    <definedName name="_xlnm.Print_Titles" localSheetId="7">tkj!$C:$C</definedName>
    <definedName name="_xlnm.Print_Titles" localSheetId="5">tkr!$C:$C</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V5" i="5" l="1"/>
  <c r="U133" i="9" l="1"/>
  <c r="U124" i="9"/>
  <c r="U115" i="9"/>
  <c r="U106" i="9"/>
  <c r="U97" i="9"/>
  <c r="U88" i="9"/>
  <c r="U79" i="9"/>
  <c r="U70" i="9"/>
  <c r="U61" i="9"/>
  <c r="U52" i="9"/>
  <c r="U43" i="9"/>
  <c r="U34" i="9"/>
  <c r="U25" i="9"/>
  <c r="U16" i="9"/>
  <c r="U973" i="3" l="1"/>
  <c r="S973" i="3"/>
  <c r="R973" i="3"/>
  <c r="N973" i="3"/>
  <c r="M973" i="3"/>
  <c r="L973" i="3"/>
  <c r="G973" i="3"/>
  <c r="F973" i="3"/>
  <c r="E973" i="3"/>
  <c r="U972" i="3"/>
  <c r="T972" i="3"/>
  <c r="S972" i="3"/>
  <c r="N972" i="3"/>
  <c r="M972" i="3"/>
  <c r="L972" i="3"/>
  <c r="G972" i="3"/>
  <c r="F972" i="3"/>
  <c r="E972" i="3"/>
  <c r="U970" i="3"/>
  <c r="S970" i="3"/>
  <c r="N970" i="3"/>
  <c r="M970" i="3"/>
  <c r="L970" i="3"/>
  <c r="G970" i="3"/>
  <c r="F970" i="3"/>
  <c r="E970" i="3"/>
  <c r="U969" i="3"/>
  <c r="S969" i="3"/>
  <c r="N969" i="3"/>
  <c r="M969" i="3"/>
  <c r="K969" i="3"/>
  <c r="I969" i="3"/>
  <c r="H969" i="3"/>
  <c r="G969" i="3"/>
  <c r="F969" i="3"/>
  <c r="E969" i="3"/>
  <c r="U968" i="3"/>
  <c r="S968" i="3"/>
  <c r="N968" i="3"/>
  <c r="M968" i="3"/>
  <c r="K968" i="3"/>
  <c r="I968" i="3"/>
  <c r="H968" i="3"/>
  <c r="G968" i="3"/>
  <c r="F968" i="3"/>
  <c r="E968" i="3"/>
  <c r="Q967" i="3"/>
  <c r="P967" i="3"/>
  <c r="O967" i="3"/>
  <c r="N967" i="3"/>
  <c r="M967" i="3"/>
  <c r="K967" i="3"/>
  <c r="J967" i="3"/>
  <c r="I967" i="3"/>
  <c r="H967" i="3"/>
  <c r="G967" i="3"/>
  <c r="F967" i="3"/>
  <c r="E967" i="3"/>
  <c r="Q966" i="3"/>
  <c r="P966" i="3"/>
  <c r="O966" i="3"/>
  <c r="N966" i="3"/>
  <c r="M966" i="3"/>
  <c r="K966" i="3"/>
  <c r="J966" i="3"/>
  <c r="I966" i="3"/>
  <c r="H966" i="3"/>
  <c r="G966" i="3"/>
  <c r="F966" i="3"/>
  <c r="E966" i="3"/>
  <c r="U964" i="3"/>
  <c r="S964" i="3"/>
  <c r="R964" i="3"/>
  <c r="N964" i="3"/>
  <c r="M964" i="3"/>
  <c r="L964" i="3"/>
  <c r="G964" i="3"/>
  <c r="F964" i="3"/>
  <c r="E964" i="3"/>
  <c r="U963" i="3"/>
  <c r="T963" i="3"/>
  <c r="S963" i="3"/>
  <c r="N963" i="3"/>
  <c r="M963" i="3"/>
  <c r="L963" i="3"/>
  <c r="G963" i="3"/>
  <c r="F963" i="3"/>
  <c r="E963" i="3"/>
  <c r="U961" i="3"/>
  <c r="S961" i="3"/>
  <c r="N961" i="3"/>
  <c r="M961" i="3"/>
  <c r="L961" i="3"/>
  <c r="G961" i="3"/>
  <c r="F961" i="3"/>
  <c r="E961" i="3"/>
  <c r="U960" i="3"/>
  <c r="S960" i="3"/>
  <c r="N960" i="3"/>
  <c r="M960" i="3"/>
  <c r="K960" i="3"/>
  <c r="I960" i="3"/>
  <c r="H960" i="3"/>
  <c r="G960" i="3"/>
  <c r="F960" i="3"/>
  <c r="E960" i="3"/>
  <c r="U959" i="3"/>
  <c r="S959" i="3"/>
  <c r="N959" i="3"/>
  <c r="M959" i="3"/>
  <c r="K959" i="3"/>
  <c r="I959" i="3"/>
  <c r="H959" i="3"/>
  <c r="G959" i="3"/>
  <c r="F959" i="3"/>
  <c r="E959" i="3"/>
  <c r="Q958" i="3"/>
  <c r="P958" i="3"/>
  <c r="O958" i="3"/>
  <c r="N958" i="3"/>
  <c r="M958" i="3"/>
  <c r="K958" i="3"/>
  <c r="J958" i="3"/>
  <c r="I958" i="3"/>
  <c r="H958" i="3"/>
  <c r="G958" i="3"/>
  <c r="F958" i="3"/>
  <c r="E958" i="3"/>
  <c r="Q957" i="3"/>
  <c r="P957" i="3"/>
  <c r="O957" i="3"/>
  <c r="N957" i="3"/>
  <c r="M957" i="3"/>
  <c r="K957" i="3"/>
  <c r="J957" i="3"/>
  <c r="I957" i="3"/>
  <c r="H957" i="3"/>
  <c r="G957" i="3"/>
  <c r="F957" i="3"/>
  <c r="E957" i="3"/>
  <c r="U955" i="3"/>
  <c r="S955" i="3"/>
  <c r="R955" i="3"/>
  <c r="N955" i="3"/>
  <c r="M955" i="3"/>
  <c r="L955" i="3"/>
  <c r="G955" i="3"/>
  <c r="F955" i="3"/>
  <c r="E955" i="3"/>
  <c r="U954" i="3"/>
  <c r="T954" i="3"/>
  <c r="S954" i="3"/>
  <c r="N954" i="3"/>
  <c r="M954" i="3"/>
  <c r="L954" i="3"/>
  <c r="G954" i="3"/>
  <c r="F954" i="3"/>
  <c r="E954" i="3"/>
  <c r="U952" i="3"/>
  <c r="S952" i="3"/>
  <c r="N952" i="3"/>
  <c r="M952" i="3"/>
  <c r="L952" i="3"/>
  <c r="G952" i="3"/>
  <c r="F952" i="3"/>
  <c r="E952" i="3"/>
  <c r="U951" i="3"/>
  <c r="S951" i="3"/>
  <c r="N951" i="3"/>
  <c r="M951" i="3"/>
  <c r="K951" i="3"/>
  <c r="I951" i="3"/>
  <c r="H951" i="3"/>
  <c r="G951" i="3"/>
  <c r="F951" i="3"/>
  <c r="E951" i="3"/>
  <c r="U950" i="3"/>
  <c r="S950" i="3"/>
  <c r="N950" i="3"/>
  <c r="M950" i="3"/>
  <c r="K950" i="3"/>
  <c r="I950" i="3"/>
  <c r="H950" i="3"/>
  <c r="G950" i="3"/>
  <c r="F950" i="3"/>
  <c r="E950" i="3"/>
  <c r="Q949" i="3"/>
  <c r="P949" i="3"/>
  <c r="O949" i="3"/>
  <c r="N949" i="3"/>
  <c r="M949" i="3"/>
  <c r="K949" i="3"/>
  <c r="J949" i="3"/>
  <c r="I949" i="3"/>
  <c r="H949" i="3"/>
  <c r="G949" i="3"/>
  <c r="F949" i="3"/>
  <c r="E949" i="3"/>
  <c r="Q948" i="3"/>
  <c r="P948" i="3"/>
  <c r="O948" i="3"/>
  <c r="N948" i="3"/>
  <c r="M948" i="3"/>
  <c r="K948" i="3"/>
  <c r="J948" i="3"/>
  <c r="I948" i="3"/>
  <c r="H948" i="3"/>
  <c r="G948" i="3"/>
  <c r="F948" i="3"/>
  <c r="E948" i="3"/>
  <c r="U946" i="3"/>
  <c r="S946" i="3"/>
  <c r="R946" i="3"/>
  <c r="N946" i="3"/>
  <c r="M946" i="3"/>
  <c r="L946" i="3"/>
  <c r="G946" i="3"/>
  <c r="F946" i="3"/>
  <c r="E946" i="3"/>
  <c r="U945" i="3"/>
  <c r="T945" i="3"/>
  <c r="S945" i="3"/>
  <c r="N945" i="3"/>
  <c r="M945" i="3"/>
  <c r="L945" i="3"/>
  <c r="G945" i="3"/>
  <c r="F945" i="3"/>
  <c r="E945" i="3"/>
  <c r="U943" i="3"/>
  <c r="S943" i="3"/>
  <c r="N943" i="3"/>
  <c r="M943" i="3"/>
  <c r="L943" i="3"/>
  <c r="G943" i="3"/>
  <c r="F943" i="3"/>
  <c r="E943" i="3"/>
  <c r="U942" i="3"/>
  <c r="S942" i="3"/>
  <c r="N942" i="3"/>
  <c r="M942" i="3"/>
  <c r="K942" i="3"/>
  <c r="I942" i="3"/>
  <c r="H942" i="3"/>
  <c r="G942" i="3"/>
  <c r="F942" i="3"/>
  <c r="E942" i="3"/>
  <c r="U941" i="3"/>
  <c r="S941" i="3"/>
  <c r="N941" i="3"/>
  <c r="M941" i="3"/>
  <c r="K941" i="3"/>
  <c r="I941" i="3"/>
  <c r="H941" i="3"/>
  <c r="G941" i="3"/>
  <c r="F941" i="3"/>
  <c r="E941" i="3"/>
  <c r="Q940" i="3"/>
  <c r="P940" i="3"/>
  <c r="O940" i="3"/>
  <c r="N940" i="3"/>
  <c r="M940" i="3"/>
  <c r="K940" i="3"/>
  <c r="J940" i="3"/>
  <c r="I940" i="3"/>
  <c r="H940" i="3"/>
  <c r="G940" i="3"/>
  <c r="F940" i="3"/>
  <c r="E940" i="3"/>
  <c r="Q939" i="3"/>
  <c r="P939" i="3"/>
  <c r="O939" i="3"/>
  <c r="N939" i="3"/>
  <c r="M939" i="3"/>
  <c r="K939" i="3"/>
  <c r="J939" i="3"/>
  <c r="I939" i="3"/>
  <c r="H939" i="3"/>
  <c r="G939" i="3"/>
  <c r="F939" i="3"/>
  <c r="E939" i="3"/>
  <c r="U937" i="3"/>
  <c r="S937" i="3"/>
  <c r="R937" i="3"/>
  <c r="N937" i="3"/>
  <c r="M937" i="3"/>
  <c r="L937" i="3"/>
  <c r="G937" i="3"/>
  <c r="F937" i="3"/>
  <c r="E937" i="3"/>
  <c r="U936" i="3"/>
  <c r="T936" i="3"/>
  <c r="S936" i="3"/>
  <c r="N936" i="3"/>
  <c r="M936" i="3"/>
  <c r="L936" i="3"/>
  <c r="G936" i="3"/>
  <c r="F936" i="3"/>
  <c r="E936" i="3"/>
  <c r="U934" i="3"/>
  <c r="S934" i="3"/>
  <c r="N934" i="3"/>
  <c r="M934" i="3"/>
  <c r="L934" i="3"/>
  <c r="G934" i="3"/>
  <c r="F934" i="3"/>
  <c r="E934" i="3"/>
  <c r="U933" i="3"/>
  <c r="S933" i="3"/>
  <c r="N933" i="3"/>
  <c r="M933" i="3"/>
  <c r="K933" i="3"/>
  <c r="I933" i="3"/>
  <c r="H933" i="3"/>
  <c r="G933" i="3"/>
  <c r="F933" i="3"/>
  <c r="E933" i="3"/>
  <c r="U932" i="3"/>
  <c r="S932" i="3"/>
  <c r="N932" i="3"/>
  <c r="M932" i="3"/>
  <c r="K932" i="3"/>
  <c r="I932" i="3"/>
  <c r="H932" i="3"/>
  <c r="G932" i="3"/>
  <c r="F932" i="3"/>
  <c r="E932" i="3"/>
  <c r="Q931" i="3"/>
  <c r="P931" i="3"/>
  <c r="O931" i="3"/>
  <c r="N931" i="3"/>
  <c r="M931" i="3"/>
  <c r="K931" i="3"/>
  <c r="J931" i="3"/>
  <c r="I931" i="3"/>
  <c r="H931" i="3"/>
  <c r="G931" i="3"/>
  <c r="F931" i="3"/>
  <c r="E931" i="3"/>
  <c r="Q930" i="3"/>
  <c r="P930" i="3"/>
  <c r="O930" i="3"/>
  <c r="N930" i="3"/>
  <c r="M930" i="3"/>
  <c r="K930" i="3"/>
  <c r="J930" i="3"/>
  <c r="I930" i="3"/>
  <c r="H930" i="3"/>
  <c r="G930" i="3"/>
  <c r="F930" i="3"/>
  <c r="E930" i="3"/>
  <c r="U928" i="3"/>
  <c r="S928" i="3"/>
  <c r="R928" i="3"/>
  <c r="N928" i="3"/>
  <c r="M928" i="3"/>
  <c r="L928" i="3"/>
  <c r="G928" i="3"/>
  <c r="F928" i="3"/>
  <c r="E928" i="3"/>
  <c r="U927" i="3"/>
  <c r="T927" i="3"/>
  <c r="S927" i="3"/>
  <c r="N927" i="3"/>
  <c r="M927" i="3"/>
  <c r="L927" i="3"/>
  <c r="G927" i="3"/>
  <c r="F927" i="3"/>
  <c r="E927" i="3"/>
  <c r="U925" i="3"/>
  <c r="S925" i="3"/>
  <c r="N925" i="3"/>
  <c r="M925" i="3"/>
  <c r="L925" i="3"/>
  <c r="G925" i="3"/>
  <c r="F925" i="3"/>
  <c r="E925" i="3"/>
  <c r="U924" i="3"/>
  <c r="S924" i="3"/>
  <c r="N924" i="3"/>
  <c r="M924" i="3"/>
  <c r="K924" i="3"/>
  <c r="I924" i="3"/>
  <c r="H924" i="3"/>
  <c r="G924" i="3"/>
  <c r="F924" i="3"/>
  <c r="E924" i="3"/>
  <c r="U923" i="3"/>
  <c r="S923" i="3"/>
  <c r="N923" i="3"/>
  <c r="M923" i="3"/>
  <c r="K923" i="3"/>
  <c r="I923" i="3"/>
  <c r="H923" i="3"/>
  <c r="G923" i="3"/>
  <c r="F923" i="3"/>
  <c r="E923" i="3"/>
  <c r="Q922" i="3"/>
  <c r="P922" i="3"/>
  <c r="O922" i="3"/>
  <c r="N922" i="3"/>
  <c r="M922" i="3"/>
  <c r="K922" i="3"/>
  <c r="J922" i="3"/>
  <c r="I922" i="3"/>
  <c r="H922" i="3"/>
  <c r="G922" i="3"/>
  <c r="F922" i="3"/>
  <c r="E922" i="3"/>
  <c r="Q921" i="3"/>
  <c r="P921" i="3"/>
  <c r="O921" i="3"/>
  <c r="N921" i="3"/>
  <c r="M921" i="3"/>
  <c r="K921" i="3"/>
  <c r="J921" i="3"/>
  <c r="I921" i="3"/>
  <c r="H921" i="3"/>
  <c r="G921" i="3"/>
  <c r="F921" i="3"/>
  <c r="E921" i="3"/>
  <c r="U919" i="3"/>
  <c r="S919" i="3"/>
  <c r="R919" i="3"/>
  <c r="N919" i="3"/>
  <c r="M919" i="3"/>
  <c r="L919" i="3"/>
  <c r="G919" i="3"/>
  <c r="F919" i="3"/>
  <c r="E919" i="3"/>
  <c r="U918" i="3"/>
  <c r="T918" i="3"/>
  <c r="S918" i="3"/>
  <c r="N918" i="3"/>
  <c r="M918" i="3"/>
  <c r="L918" i="3"/>
  <c r="G918" i="3"/>
  <c r="F918" i="3"/>
  <c r="E918" i="3"/>
  <c r="U916" i="3"/>
  <c r="S916" i="3"/>
  <c r="N916" i="3"/>
  <c r="M916" i="3"/>
  <c r="L916" i="3"/>
  <c r="G916" i="3"/>
  <c r="F916" i="3"/>
  <c r="E916" i="3"/>
  <c r="U915" i="3"/>
  <c r="S915" i="3"/>
  <c r="N915" i="3"/>
  <c r="M915" i="3"/>
  <c r="K915" i="3"/>
  <c r="I915" i="3"/>
  <c r="H915" i="3"/>
  <c r="G915" i="3"/>
  <c r="F915" i="3"/>
  <c r="E915" i="3"/>
  <c r="U914" i="3"/>
  <c r="S914" i="3"/>
  <c r="N914" i="3"/>
  <c r="M914" i="3"/>
  <c r="K914" i="3"/>
  <c r="I914" i="3"/>
  <c r="H914" i="3"/>
  <c r="G914" i="3"/>
  <c r="F914" i="3"/>
  <c r="E914" i="3"/>
  <c r="Q913" i="3"/>
  <c r="P913" i="3"/>
  <c r="O913" i="3"/>
  <c r="N913" i="3"/>
  <c r="M913" i="3"/>
  <c r="K913" i="3"/>
  <c r="J913" i="3"/>
  <c r="I913" i="3"/>
  <c r="H913" i="3"/>
  <c r="G913" i="3"/>
  <c r="F913" i="3"/>
  <c r="E913" i="3"/>
  <c r="Q912" i="3"/>
  <c r="P912" i="3"/>
  <c r="O912" i="3"/>
  <c r="N912" i="3"/>
  <c r="M912" i="3"/>
  <c r="K912" i="3"/>
  <c r="J912" i="3"/>
  <c r="I912" i="3"/>
  <c r="H912" i="3"/>
  <c r="G912" i="3"/>
  <c r="F912" i="3"/>
  <c r="E912" i="3"/>
  <c r="U910" i="3"/>
  <c r="S910" i="3"/>
  <c r="R910" i="3"/>
  <c r="N910" i="3"/>
  <c r="M910" i="3"/>
  <c r="L910" i="3"/>
  <c r="G910" i="3"/>
  <c r="F910" i="3"/>
  <c r="E910" i="3"/>
  <c r="U909" i="3"/>
  <c r="T909" i="3"/>
  <c r="S909" i="3"/>
  <c r="N909" i="3"/>
  <c r="M909" i="3"/>
  <c r="L909" i="3"/>
  <c r="G909" i="3"/>
  <c r="F909" i="3"/>
  <c r="E909" i="3"/>
  <c r="U907" i="3"/>
  <c r="S907" i="3"/>
  <c r="N907" i="3"/>
  <c r="M907" i="3"/>
  <c r="L907" i="3"/>
  <c r="G907" i="3"/>
  <c r="F907" i="3"/>
  <c r="E907" i="3"/>
  <c r="U906" i="3"/>
  <c r="S906" i="3"/>
  <c r="N906" i="3"/>
  <c r="M906" i="3"/>
  <c r="K906" i="3"/>
  <c r="I906" i="3"/>
  <c r="H906" i="3"/>
  <c r="G906" i="3"/>
  <c r="F906" i="3"/>
  <c r="E906" i="3"/>
  <c r="U905" i="3"/>
  <c r="S905" i="3"/>
  <c r="N905" i="3"/>
  <c r="M905" i="3"/>
  <c r="K905" i="3"/>
  <c r="I905" i="3"/>
  <c r="H905" i="3"/>
  <c r="G905" i="3"/>
  <c r="F905" i="3"/>
  <c r="E905" i="3"/>
  <c r="Q904" i="3"/>
  <c r="P904" i="3"/>
  <c r="O904" i="3"/>
  <c r="N904" i="3"/>
  <c r="M904" i="3"/>
  <c r="K904" i="3"/>
  <c r="J904" i="3"/>
  <c r="I904" i="3"/>
  <c r="H904" i="3"/>
  <c r="G904" i="3"/>
  <c r="F904" i="3"/>
  <c r="E904" i="3"/>
  <c r="Q903" i="3"/>
  <c r="P903" i="3"/>
  <c r="O903" i="3"/>
  <c r="N903" i="3"/>
  <c r="M903" i="3"/>
  <c r="K903" i="3"/>
  <c r="J903" i="3"/>
  <c r="I903" i="3"/>
  <c r="H903" i="3"/>
  <c r="G903" i="3"/>
  <c r="F903" i="3"/>
  <c r="E903" i="3"/>
  <c r="U901" i="3"/>
  <c r="S901" i="3"/>
  <c r="R901" i="3"/>
  <c r="N901" i="3"/>
  <c r="M901" i="3"/>
  <c r="L901" i="3"/>
  <c r="G901" i="3"/>
  <c r="F901" i="3"/>
  <c r="E901" i="3"/>
  <c r="U900" i="3"/>
  <c r="T900" i="3"/>
  <c r="S900" i="3"/>
  <c r="N900" i="3"/>
  <c r="M900" i="3"/>
  <c r="L900" i="3"/>
  <c r="G900" i="3"/>
  <c r="F900" i="3"/>
  <c r="E900" i="3"/>
  <c r="U898" i="3"/>
  <c r="S898" i="3"/>
  <c r="N898" i="3"/>
  <c r="M898" i="3"/>
  <c r="L898" i="3"/>
  <c r="G898" i="3"/>
  <c r="F898" i="3"/>
  <c r="E898" i="3"/>
  <c r="U897" i="3"/>
  <c r="S897" i="3"/>
  <c r="N897" i="3"/>
  <c r="M897" i="3"/>
  <c r="K897" i="3"/>
  <c r="I897" i="3"/>
  <c r="H897" i="3"/>
  <c r="G897" i="3"/>
  <c r="F897" i="3"/>
  <c r="E897" i="3"/>
  <c r="U896" i="3"/>
  <c r="S896" i="3"/>
  <c r="N896" i="3"/>
  <c r="M896" i="3"/>
  <c r="K896" i="3"/>
  <c r="I896" i="3"/>
  <c r="H896" i="3"/>
  <c r="G896" i="3"/>
  <c r="F896" i="3"/>
  <c r="E896" i="3"/>
  <c r="Q895" i="3"/>
  <c r="P895" i="3"/>
  <c r="O895" i="3"/>
  <c r="N895" i="3"/>
  <c r="M895" i="3"/>
  <c r="K895" i="3"/>
  <c r="J895" i="3"/>
  <c r="I895" i="3"/>
  <c r="H895" i="3"/>
  <c r="G895" i="3"/>
  <c r="F895" i="3"/>
  <c r="E895" i="3"/>
  <c r="Q894" i="3"/>
  <c r="P894" i="3"/>
  <c r="O894" i="3"/>
  <c r="N894" i="3"/>
  <c r="M894" i="3"/>
  <c r="K894" i="3"/>
  <c r="J894" i="3"/>
  <c r="I894" i="3"/>
  <c r="H894" i="3"/>
  <c r="G894" i="3"/>
  <c r="F894" i="3"/>
  <c r="E894" i="3"/>
  <c r="U892" i="3"/>
  <c r="S892" i="3"/>
  <c r="R892" i="3"/>
  <c r="N892" i="3"/>
  <c r="M892" i="3"/>
  <c r="L892" i="3"/>
  <c r="G892" i="3"/>
  <c r="F892" i="3"/>
  <c r="E892" i="3"/>
  <c r="U891" i="3"/>
  <c r="T891" i="3"/>
  <c r="S891" i="3"/>
  <c r="N891" i="3"/>
  <c r="M891" i="3"/>
  <c r="L891" i="3"/>
  <c r="G891" i="3"/>
  <c r="F891" i="3"/>
  <c r="E891" i="3"/>
  <c r="U889" i="3"/>
  <c r="S889" i="3"/>
  <c r="N889" i="3"/>
  <c r="M889" i="3"/>
  <c r="L889" i="3"/>
  <c r="G889" i="3"/>
  <c r="F889" i="3"/>
  <c r="E889" i="3"/>
  <c r="U888" i="3"/>
  <c r="S888" i="3"/>
  <c r="N888" i="3"/>
  <c r="M888" i="3"/>
  <c r="K888" i="3"/>
  <c r="I888" i="3"/>
  <c r="H888" i="3"/>
  <c r="G888" i="3"/>
  <c r="F888" i="3"/>
  <c r="E888" i="3"/>
  <c r="U887" i="3"/>
  <c r="S887" i="3"/>
  <c r="N887" i="3"/>
  <c r="M887" i="3"/>
  <c r="K887" i="3"/>
  <c r="I887" i="3"/>
  <c r="H887" i="3"/>
  <c r="G887" i="3"/>
  <c r="F887" i="3"/>
  <c r="E887" i="3"/>
  <c r="Q886" i="3"/>
  <c r="P886" i="3"/>
  <c r="O886" i="3"/>
  <c r="N886" i="3"/>
  <c r="M886" i="3"/>
  <c r="K886" i="3"/>
  <c r="J886" i="3"/>
  <c r="I886" i="3"/>
  <c r="H886" i="3"/>
  <c r="G886" i="3"/>
  <c r="F886" i="3"/>
  <c r="E886" i="3"/>
  <c r="Q885" i="3"/>
  <c r="P885" i="3"/>
  <c r="O885" i="3"/>
  <c r="N885" i="3"/>
  <c r="M885" i="3"/>
  <c r="K885" i="3"/>
  <c r="J885" i="3"/>
  <c r="I885" i="3"/>
  <c r="H885" i="3"/>
  <c r="G885" i="3"/>
  <c r="F885" i="3"/>
  <c r="E885" i="3"/>
  <c r="U883" i="3"/>
  <c r="S883" i="3"/>
  <c r="R883" i="3"/>
  <c r="N883" i="3"/>
  <c r="M883" i="3"/>
  <c r="L883" i="3"/>
  <c r="G883" i="3"/>
  <c r="F883" i="3"/>
  <c r="E883" i="3"/>
  <c r="U882" i="3"/>
  <c r="T882" i="3"/>
  <c r="S882" i="3"/>
  <c r="N882" i="3"/>
  <c r="M882" i="3"/>
  <c r="L882" i="3"/>
  <c r="G882" i="3"/>
  <c r="F882" i="3"/>
  <c r="E882" i="3"/>
  <c r="U880" i="3"/>
  <c r="S880" i="3"/>
  <c r="N880" i="3"/>
  <c r="M880" i="3"/>
  <c r="L880" i="3"/>
  <c r="G880" i="3"/>
  <c r="F880" i="3"/>
  <c r="E880" i="3"/>
  <c r="U879" i="3"/>
  <c r="S879" i="3"/>
  <c r="N879" i="3"/>
  <c r="M879" i="3"/>
  <c r="K879" i="3"/>
  <c r="I879" i="3"/>
  <c r="H879" i="3"/>
  <c r="G879" i="3"/>
  <c r="F879" i="3"/>
  <c r="E879" i="3"/>
  <c r="U878" i="3"/>
  <c r="S878" i="3"/>
  <c r="N878" i="3"/>
  <c r="M878" i="3"/>
  <c r="K878" i="3"/>
  <c r="I878" i="3"/>
  <c r="H878" i="3"/>
  <c r="G878" i="3"/>
  <c r="F878" i="3"/>
  <c r="E878" i="3"/>
  <c r="Q877" i="3"/>
  <c r="P877" i="3"/>
  <c r="O877" i="3"/>
  <c r="N877" i="3"/>
  <c r="M877" i="3"/>
  <c r="K877" i="3"/>
  <c r="J877" i="3"/>
  <c r="I877" i="3"/>
  <c r="H877" i="3"/>
  <c r="G877" i="3"/>
  <c r="F877" i="3"/>
  <c r="E877" i="3"/>
  <c r="Q876" i="3"/>
  <c r="P876" i="3"/>
  <c r="O876" i="3"/>
  <c r="N876" i="3"/>
  <c r="M876" i="3"/>
  <c r="K876" i="3"/>
  <c r="J876" i="3"/>
  <c r="I876" i="3"/>
  <c r="H876" i="3"/>
  <c r="G876" i="3"/>
  <c r="F876" i="3"/>
  <c r="E876" i="3"/>
  <c r="U874" i="3"/>
  <c r="S874" i="3"/>
  <c r="R874" i="3"/>
  <c r="N874" i="3"/>
  <c r="M874" i="3"/>
  <c r="L874" i="3"/>
  <c r="G874" i="3"/>
  <c r="F874" i="3"/>
  <c r="E874" i="3"/>
  <c r="U873" i="3"/>
  <c r="T873" i="3"/>
  <c r="S873" i="3"/>
  <c r="N873" i="3"/>
  <c r="M873" i="3"/>
  <c r="L873" i="3"/>
  <c r="G873" i="3"/>
  <c r="F873" i="3"/>
  <c r="E873" i="3"/>
  <c r="U871" i="3"/>
  <c r="S871" i="3"/>
  <c r="N871" i="3"/>
  <c r="M871" i="3"/>
  <c r="L871" i="3"/>
  <c r="G871" i="3"/>
  <c r="F871" i="3"/>
  <c r="E871" i="3"/>
  <c r="U870" i="3"/>
  <c r="S870" i="3"/>
  <c r="N870" i="3"/>
  <c r="M870" i="3"/>
  <c r="K870" i="3"/>
  <c r="I870" i="3"/>
  <c r="H870" i="3"/>
  <c r="G870" i="3"/>
  <c r="F870" i="3"/>
  <c r="E870" i="3"/>
  <c r="U869" i="3"/>
  <c r="S869" i="3"/>
  <c r="N869" i="3"/>
  <c r="M869" i="3"/>
  <c r="K869" i="3"/>
  <c r="I869" i="3"/>
  <c r="H869" i="3"/>
  <c r="G869" i="3"/>
  <c r="F869" i="3"/>
  <c r="E869" i="3"/>
  <c r="Q868" i="3"/>
  <c r="P868" i="3"/>
  <c r="O868" i="3"/>
  <c r="N868" i="3"/>
  <c r="M868" i="3"/>
  <c r="K868" i="3"/>
  <c r="J868" i="3"/>
  <c r="I868" i="3"/>
  <c r="H868" i="3"/>
  <c r="G868" i="3"/>
  <c r="F868" i="3"/>
  <c r="E868" i="3"/>
  <c r="Q867" i="3"/>
  <c r="P867" i="3"/>
  <c r="O867" i="3"/>
  <c r="N867" i="3"/>
  <c r="M867" i="3"/>
  <c r="K867" i="3"/>
  <c r="J867" i="3"/>
  <c r="I867" i="3"/>
  <c r="H867" i="3"/>
  <c r="G867" i="3"/>
  <c r="F867" i="3"/>
  <c r="E867" i="3"/>
  <c r="U865" i="3"/>
  <c r="S865" i="3"/>
  <c r="R865" i="3"/>
  <c r="N865" i="3"/>
  <c r="M865" i="3"/>
  <c r="L865" i="3"/>
  <c r="G865" i="3"/>
  <c r="F865" i="3"/>
  <c r="E865" i="3"/>
  <c r="U864" i="3"/>
  <c r="T864" i="3"/>
  <c r="S864" i="3"/>
  <c r="N864" i="3"/>
  <c r="M864" i="3"/>
  <c r="L864" i="3"/>
  <c r="G864" i="3"/>
  <c r="F864" i="3"/>
  <c r="E864" i="3"/>
  <c r="U862" i="3"/>
  <c r="S862" i="3"/>
  <c r="N862" i="3"/>
  <c r="M862" i="3"/>
  <c r="L862" i="3"/>
  <c r="G862" i="3"/>
  <c r="F862" i="3"/>
  <c r="E862" i="3"/>
  <c r="U861" i="3"/>
  <c r="S861" i="3"/>
  <c r="N861" i="3"/>
  <c r="M861" i="3"/>
  <c r="K861" i="3"/>
  <c r="I861" i="3"/>
  <c r="H861" i="3"/>
  <c r="G861" i="3"/>
  <c r="F861" i="3"/>
  <c r="E861" i="3"/>
  <c r="U860" i="3"/>
  <c r="S860" i="3"/>
  <c r="N860" i="3"/>
  <c r="M860" i="3"/>
  <c r="K860" i="3"/>
  <c r="I860" i="3"/>
  <c r="H860" i="3"/>
  <c r="G860" i="3"/>
  <c r="F860" i="3"/>
  <c r="E860" i="3"/>
  <c r="Q859" i="3"/>
  <c r="P859" i="3"/>
  <c r="O859" i="3"/>
  <c r="N859" i="3"/>
  <c r="M859" i="3"/>
  <c r="K859" i="3"/>
  <c r="J859" i="3"/>
  <c r="I859" i="3"/>
  <c r="H859" i="3"/>
  <c r="G859" i="3"/>
  <c r="F859" i="3"/>
  <c r="E859" i="3"/>
  <c r="Q858" i="3"/>
  <c r="P858" i="3"/>
  <c r="O858" i="3"/>
  <c r="N858" i="3"/>
  <c r="M858" i="3"/>
  <c r="K858" i="3"/>
  <c r="J858" i="3"/>
  <c r="I858" i="3"/>
  <c r="H858" i="3"/>
  <c r="G858" i="3"/>
  <c r="F858" i="3"/>
  <c r="E858" i="3"/>
  <c r="U856" i="3"/>
  <c r="S856" i="3"/>
  <c r="R856" i="3"/>
  <c r="N856" i="3"/>
  <c r="M856" i="3"/>
  <c r="L856" i="3"/>
  <c r="G856" i="3"/>
  <c r="F856" i="3"/>
  <c r="E856" i="3"/>
  <c r="U855" i="3"/>
  <c r="T855" i="3"/>
  <c r="S855" i="3"/>
  <c r="N855" i="3"/>
  <c r="M855" i="3"/>
  <c r="L855" i="3"/>
  <c r="G855" i="3"/>
  <c r="F855" i="3"/>
  <c r="E855" i="3"/>
  <c r="U853" i="3"/>
  <c r="S853" i="3"/>
  <c r="N853" i="3"/>
  <c r="M853" i="3"/>
  <c r="L853" i="3"/>
  <c r="G853" i="3"/>
  <c r="F853" i="3"/>
  <c r="E853" i="3"/>
  <c r="U852" i="3"/>
  <c r="U854" i="3" s="1"/>
  <c r="S852" i="3"/>
  <c r="N852" i="3"/>
  <c r="M852" i="3"/>
  <c r="K852" i="3"/>
  <c r="I852" i="3"/>
  <c r="H852" i="3"/>
  <c r="G852" i="3"/>
  <c r="F852" i="3"/>
  <c r="F854" i="3" s="1"/>
  <c r="E852" i="3"/>
  <c r="U851" i="3"/>
  <c r="S851" i="3"/>
  <c r="N851" i="3"/>
  <c r="M851" i="3"/>
  <c r="K851" i="3"/>
  <c r="I851" i="3"/>
  <c r="H851" i="3"/>
  <c r="G851" i="3"/>
  <c r="F851" i="3"/>
  <c r="E851" i="3"/>
  <c r="Q850" i="3"/>
  <c r="P850" i="3"/>
  <c r="O850" i="3"/>
  <c r="N850" i="3"/>
  <c r="M850" i="3"/>
  <c r="K850" i="3"/>
  <c r="J850" i="3"/>
  <c r="I850" i="3"/>
  <c r="H850" i="3"/>
  <c r="G850" i="3"/>
  <c r="F850" i="3"/>
  <c r="E850" i="3"/>
  <c r="Q849" i="3"/>
  <c r="P849" i="3"/>
  <c r="O849" i="3"/>
  <c r="N849" i="3"/>
  <c r="M849" i="3"/>
  <c r="K849" i="3"/>
  <c r="J849" i="3"/>
  <c r="I849" i="3"/>
  <c r="H849" i="3"/>
  <c r="G849" i="3"/>
  <c r="F849" i="3"/>
  <c r="E849" i="3"/>
  <c r="L854" i="3"/>
  <c r="G854" i="3"/>
  <c r="E854" i="3"/>
  <c r="U847" i="3"/>
  <c r="S847" i="3"/>
  <c r="R847" i="3"/>
  <c r="N847" i="3"/>
  <c r="M847" i="3"/>
  <c r="L847" i="3"/>
  <c r="G847" i="3"/>
  <c r="F847" i="3"/>
  <c r="E847" i="3"/>
  <c r="U846" i="3"/>
  <c r="T846" i="3"/>
  <c r="S846" i="3"/>
  <c r="N846" i="3"/>
  <c r="M846" i="3"/>
  <c r="L846" i="3"/>
  <c r="G846" i="3"/>
  <c r="F846" i="3"/>
  <c r="E846" i="3"/>
  <c r="U844" i="3"/>
  <c r="S844" i="3"/>
  <c r="N844" i="3"/>
  <c r="M844" i="3"/>
  <c r="L844" i="3"/>
  <c r="G844" i="3"/>
  <c r="F844" i="3"/>
  <c r="E844" i="3"/>
  <c r="U843" i="3"/>
  <c r="S843" i="3"/>
  <c r="N843" i="3"/>
  <c r="M843" i="3"/>
  <c r="K843" i="3"/>
  <c r="I843" i="3"/>
  <c r="H843" i="3"/>
  <c r="G843" i="3"/>
  <c r="F843" i="3"/>
  <c r="E843" i="3"/>
  <c r="U842" i="3"/>
  <c r="S842" i="3"/>
  <c r="N842" i="3"/>
  <c r="M842" i="3"/>
  <c r="K842" i="3"/>
  <c r="I842" i="3"/>
  <c r="H842" i="3"/>
  <c r="G842" i="3"/>
  <c r="F842" i="3"/>
  <c r="E842" i="3"/>
  <c r="Q841" i="3"/>
  <c r="P841" i="3"/>
  <c r="O841" i="3"/>
  <c r="N841" i="3"/>
  <c r="M841" i="3"/>
  <c r="K841" i="3"/>
  <c r="J841" i="3"/>
  <c r="I841" i="3"/>
  <c r="H841" i="3"/>
  <c r="G841" i="3"/>
  <c r="F841" i="3"/>
  <c r="E841" i="3"/>
  <c r="Q840" i="3"/>
  <c r="P840" i="3"/>
  <c r="O840" i="3"/>
  <c r="N840" i="3"/>
  <c r="M840" i="3"/>
  <c r="K840" i="3"/>
  <c r="J840" i="3"/>
  <c r="I840" i="3"/>
  <c r="H840" i="3"/>
  <c r="G840" i="3"/>
  <c r="F840" i="3"/>
  <c r="E840" i="3"/>
  <c r="U838" i="3"/>
  <c r="S838" i="3"/>
  <c r="R838" i="3"/>
  <c r="N838" i="3"/>
  <c r="M838" i="3"/>
  <c r="L838" i="3"/>
  <c r="G838" i="3"/>
  <c r="F838" i="3"/>
  <c r="E838" i="3"/>
  <c r="U837" i="3"/>
  <c r="T837" i="3"/>
  <c r="S837" i="3"/>
  <c r="N837" i="3"/>
  <c r="M837" i="3"/>
  <c r="L837" i="3"/>
  <c r="G837" i="3"/>
  <c r="F837" i="3"/>
  <c r="E837" i="3"/>
  <c r="U835" i="3"/>
  <c r="S835" i="3"/>
  <c r="N835" i="3"/>
  <c r="M835" i="3"/>
  <c r="L835" i="3"/>
  <c r="G835" i="3"/>
  <c r="F835" i="3"/>
  <c r="E835" i="3"/>
  <c r="U834" i="3"/>
  <c r="S834" i="3"/>
  <c r="N834" i="3"/>
  <c r="M834" i="3"/>
  <c r="K834" i="3"/>
  <c r="I834" i="3"/>
  <c r="H834" i="3"/>
  <c r="G834" i="3"/>
  <c r="F834" i="3"/>
  <c r="E834" i="3"/>
  <c r="U833" i="3"/>
  <c r="S833" i="3"/>
  <c r="N833" i="3"/>
  <c r="M833" i="3"/>
  <c r="K833" i="3"/>
  <c r="I833" i="3"/>
  <c r="H833" i="3"/>
  <c r="G833" i="3"/>
  <c r="F833" i="3"/>
  <c r="E833" i="3"/>
  <c r="Q832" i="3"/>
  <c r="P832" i="3"/>
  <c r="O832" i="3"/>
  <c r="N832" i="3"/>
  <c r="M832" i="3"/>
  <c r="K832" i="3"/>
  <c r="J832" i="3"/>
  <c r="I832" i="3"/>
  <c r="H832" i="3"/>
  <c r="G832" i="3"/>
  <c r="F832" i="3"/>
  <c r="E832" i="3"/>
  <c r="Q831" i="3"/>
  <c r="P831" i="3"/>
  <c r="O831" i="3"/>
  <c r="N831" i="3"/>
  <c r="M831" i="3"/>
  <c r="K831" i="3"/>
  <c r="J831" i="3"/>
  <c r="I831" i="3"/>
  <c r="H831" i="3"/>
  <c r="G831" i="3"/>
  <c r="F831" i="3"/>
  <c r="E831" i="3"/>
  <c r="U829" i="3"/>
  <c r="S829" i="3"/>
  <c r="R829" i="3"/>
  <c r="N829" i="3"/>
  <c r="M829" i="3"/>
  <c r="L829" i="3"/>
  <c r="G829" i="3"/>
  <c r="F829" i="3"/>
  <c r="E829" i="3"/>
  <c r="U828" i="3"/>
  <c r="T828" i="3"/>
  <c r="S828" i="3"/>
  <c r="N828" i="3"/>
  <c r="M828" i="3"/>
  <c r="L828" i="3"/>
  <c r="G828" i="3"/>
  <c r="F828" i="3"/>
  <c r="E828" i="3"/>
  <c r="U826" i="3"/>
  <c r="S826" i="3"/>
  <c r="N826" i="3"/>
  <c r="M826" i="3"/>
  <c r="L826" i="3"/>
  <c r="G826" i="3"/>
  <c r="F826" i="3"/>
  <c r="E826" i="3"/>
  <c r="U825" i="3"/>
  <c r="S825" i="3"/>
  <c r="N825" i="3"/>
  <c r="M825" i="3"/>
  <c r="K825" i="3"/>
  <c r="I825" i="3"/>
  <c r="H825" i="3"/>
  <c r="G825" i="3"/>
  <c r="F825" i="3"/>
  <c r="E825" i="3"/>
  <c r="U824" i="3"/>
  <c r="S824" i="3"/>
  <c r="N824" i="3"/>
  <c r="M824" i="3"/>
  <c r="K824" i="3"/>
  <c r="I824" i="3"/>
  <c r="H824" i="3"/>
  <c r="G824" i="3"/>
  <c r="F824" i="3"/>
  <c r="E824" i="3"/>
  <c r="Q823" i="3"/>
  <c r="P823" i="3"/>
  <c r="O823" i="3"/>
  <c r="N823" i="3"/>
  <c r="M823" i="3"/>
  <c r="K823" i="3"/>
  <c r="J823" i="3"/>
  <c r="I823" i="3"/>
  <c r="H823" i="3"/>
  <c r="G823" i="3"/>
  <c r="F823" i="3"/>
  <c r="E823" i="3"/>
  <c r="Q822" i="3"/>
  <c r="P822" i="3"/>
  <c r="O822" i="3"/>
  <c r="N822" i="3"/>
  <c r="M822" i="3"/>
  <c r="K822" i="3"/>
  <c r="J822" i="3"/>
  <c r="I822" i="3"/>
  <c r="H822" i="3"/>
  <c r="G822" i="3"/>
  <c r="F822" i="3"/>
  <c r="E822" i="3"/>
  <c r="U820" i="3"/>
  <c r="S820" i="3"/>
  <c r="R820" i="3"/>
  <c r="N820" i="3"/>
  <c r="M820" i="3"/>
  <c r="L820" i="3"/>
  <c r="G820" i="3"/>
  <c r="F820" i="3"/>
  <c r="E820" i="3"/>
  <c r="U819" i="3"/>
  <c r="T819" i="3"/>
  <c r="S819" i="3"/>
  <c r="N819" i="3"/>
  <c r="M819" i="3"/>
  <c r="L819" i="3"/>
  <c r="G819" i="3"/>
  <c r="F819" i="3"/>
  <c r="E819" i="3"/>
  <c r="U817" i="3"/>
  <c r="S817" i="3"/>
  <c r="N817" i="3"/>
  <c r="M817" i="3"/>
  <c r="L817" i="3"/>
  <c r="G817" i="3"/>
  <c r="F817" i="3"/>
  <c r="E817" i="3"/>
  <c r="U816" i="3"/>
  <c r="S816" i="3"/>
  <c r="N816" i="3"/>
  <c r="M816" i="3"/>
  <c r="K816" i="3"/>
  <c r="I816" i="3"/>
  <c r="H816" i="3"/>
  <c r="G816" i="3"/>
  <c r="F816" i="3"/>
  <c r="E816" i="3"/>
  <c r="U815" i="3"/>
  <c r="S815" i="3"/>
  <c r="N815" i="3"/>
  <c r="M815" i="3"/>
  <c r="K815" i="3"/>
  <c r="I815" i="3"/>
  <c r="H815" i="3"/>
  <c r="G815" i="3"/>
  <c r="F815" i="3"/>
  <c r="E815" i="3"/>
  <c r="Q814" i="3"/>
  <c r="P814" i="3"/>
  <c r="O814" i="3"/>
  <c r="N814" i="3"/>
  <c r="M814" i="3"/>
  <c r="K814" i="3"/>
  <c r="J814" i="3"/>
  <c r="I814" i="3"/>
  <c r="H814" i="3"/>
  <c r="G814" i="3"/>
  <c r="F814" i="3"/>
  <c r="E814" i="3"/>
  <c r="Q813" i="3"/>
  <c r="P813" i="3"/>
  <c r="O813" i="3"/>
  <c r="N813" i="3"/>
  <c r="M813" i="3"/>
  <c r="K813" i="3"/>
  <c r="J813" i="3"/>
  <c r="I813" i="3"/>
  <c r="H813" i="3"/>
  <c r="G813" i="3"/>
  <c r="F813" i="3"/>
  <c r="E813" i="3"/>
  <c r="U811" i="3"/>
  <c r="S811" i="3"/>
  <c r="R811" i="3"/>
  <c r="N811" i="3"/>
  <c r="M811" i="3"/>
  <c r="L811" i="3"/>
  <c r="G811" i="3"/>
  <c r="F811" i="3"/>
  <c r="E811" i="3"/>
  <c r="U810" i="3"/>
  <c r="T810" i="3"/>
  <c r="S810" i="3"/>
  <c r="N810" i="3"/>
  <c r="M810" i="3"/>
  <c r="L810" i="3"/>
  <c r="G810" i="3"/>
  <c r="F810" i="3"/>
  <c r="E810" i="3"/>
  <c r="U808" i="3"/>
  <c r="S808" i="3"/>
  <c r="N808" i="3"/>
  <c r="M808" i="3"/>
  <c r="L808" i="3"/>
  <c r="G808" i="3"/>
  <c r="F808" i="3"/>
  <c r="E808" i="3"/>
  <c r="U807" i="3"/>
  <c r="S807" i="3"/>
  <c r="N807" i="3"/>
  <c r="M807" i="3"/>
  <c r="K807" i="3"/>
  <c r="I807" i="3"/>
  <c r="H807" i="3"/>
  <c r="G807" i="3"/>
  <c r="F807" i="3"/>
  <c r="E807" i="3"/>
  <c r="U806" i="3"/>
  <c r="S806" i="3"/>
  <c r="N806" i="3"/>
  <c r="M806" i="3"/>
  <c r="K806" i="3"/>
  <c r="I806" i="3"/>
  <c r="H806" i="3"/>
  <c r="G806" i="3"/>
  <c r="F806" i="3"/>
  <c r="E806" i="3"/>
  <c r="Q805" i="3"/>
  <c r="P805" i="3"/>
  <c r="O805" i="3"/>
  <c r="N805" i="3"/>
  <c r="M805" i="3"/>
  <c r="K805" i="3"/>
  <c r="J805" i="3"/>
  <c r="I805" i="3"/>
  <c r="H805" i="3"/>
  <c r="G805" i="3"/>
  <c r="F805" i="3"/>
  <c r="E805" i="3"/>
  <c r="Q804" i="3"/>
  <c r="P804" i="3"/>
  <c r="O804" i="3"/>
  <c r="N804" i="3"/>
  <c r="M804" i="3"/>
  <c r="K804" i="3"/>
  <c r="J804" i="3"/>
  <c r="I804" i="3"/>
  <c r="H804" i="3"/>
  <c r="G804" i="3"/>
  <c r="F804" i="3"/>
  <c r="E804" i="3"/>
  <c r="U802" i="3"/>
  <c r="S802" i="3"/>
  <c r="R802" i="3"/>
  <c r="N802" i="3"/>
  <c r="M802" i="3"/>
  <c r="L802" i="3"/>
  <c r="G802" i="3"/>
  <c r="F802" i="3"/>
  <c r="E802" i="3"/>
  <c r="U801" i="3"/>
  <c r="T801" i="3"/>
  <c r="S801" i="3"/>
  <c r="N801" i="3"/>
  <c r="M801" i="3"/>
  <c r="L801" i="3"/>
  <c r="G801" i="3"/>
  <c r="F801" i="3"/>
  <c r="E801" i="3"/>
  <c r="U799" i="3"/>
  <c r="S799" i="3"/>
  <c r="N799" i="3"/>
  <c r="M799" i="3"/>
  <c r="L799" i="3"/>
  <c r="G799" i="3"/>
  <c r="F799" i="3"/>
  <c r="E799" i="3"/>
  <c r="U798" i="3"/>
  <c r="S798" i="3"/>
  <c r="N798" i="3"/>
  <c r="M798" i="3"/>
  <c r="K798" i="3"/>
  <c r="I798" i="3"/>
  <c r="H798" i="3"/>
  <c r="G798" i="3"/>
  <c r="F798" i="3"/>
  <c r="E798" i="3"/>
  <c r="U797" i="3"/>
  <c r="S797" i="3"/>
  <c r="N797" i="3"/>
  <c r="M797" i="3"/>
  <c r="K797" i="3"/>
  <c r="I797" i="3"/>
  <c r="H797" i="3"/>
  <c r="G797" i="3"/>
  <c r="F797" i="3"/>
  <c r="E797" i="3"/>
  <c r="Q796" i="3"/>
  <c r="P796" i="3"/>
  <c r="O796" i="3"/>
  <c r="N796" i="3"/>
  <c r="M796" i="3"/>
  <c r="K796" i="3"/>
  <c r="J796" i="3"/>
  <c r="I796" i="3"/>
  <c r="H796" i="3"/>
  <c r="G796" i="3"/>
  <c r="F796" i="3"/>
  <c r="E796" i="3"/>
  <c r="Q795" i="3"/>
  <c r="P795" i="3"/>
  <c r="O795" i="3"/>
  <c r="N795" i="3"/>
  <c r="M795" i="3"/>
  <c r="K795" i="3"/>
  <c r="J795" i="3"/>
  <c r="I795" i="3"/>
  <c r="H795" i="3"/>
  <c r="G795" i="3"/>
  <c r="F795" i="3"/>
  <c r="E795" i="3"/>
  <c r="U793" i="3"/>
  <c r="S793" i="3"/>
  <c r="R793" i="3"/>
  <c r="N793" i="3"/>
  <c r="M793" i="3"/>
  <c r="L793" i="3"/>
  <c r="G793" i="3"/>
  <c r="F793" i="3"/>
  <c r="E793" i="3"/>
  <c r="U792" i="3"/>
  <c r="T792" i="3"/>
  <c r="S792" i="3"/>
  <c r="N792" i="3"/>
  <c r="M792" i="3"/>
  <c r="L792" i="3"/>
  <c r="G792" i="3"/>
  <c r="F792" i="3"/>
  <c r="E792" i="3"/>
  <c r="U790" i="3"/>
  <c r="S790" i="3"/>
  <c r="N790" i="3"/>
  <c r="M790" i="3"/>
  <c r="L790" i="3"/>
  <c r="G790" i="3"/>
  <c r="F790" i="3"/>
  <c r="E790" i="3"/>
  <c r="U789" i="3"/>
  <c r="S789" i="3"/>
  <c r="N789" i="3"/>
  <c r="M789" i="3"/>
  <c r="K789" i="3"/>
  <c r="I789" i="3"/>
  <c r="H789" i="3"/>
  <c r="G789" i="3"/>
  <c r="F789" i="3"/>
  <c r="E789" i="3"/>
  <c r="U788" i="3"/>
  <c r="S788" i="3"/>
  <c r="N788" i="3"/>
  <c r="M788" i="3"/>
  <c r="K788" i="3"/>
  <c r="I788" i="3"/>
  <c r="H788" i="3"/>
  <c r="G788" i="3"/>
  <c r="F788" i="3"/>
  <c r="E788" i="3"/>
  <c r="Q787" i="3"/>
  <c r="P787" i="3"/>
  <c r="O787" i="3"/>
  <c r="N787" i="3"/>
  <c r="M787" i="3"/>
  <c r="K787" i="3"/>
  <c r="J787" i="3"/>
  <c r="I787" i="3"/>
  <c r="H787" i="3"/>
  <c r="G787" i="3"/>
  <c r="F787" i="3"/>
  <c r="E787" i="3"/>
  <c r="Q786" i="3"/>
  <c r="P786" i="3"/>
  <c r="O786" i="3"/>
  <c r="N786" i="3"/>
  <c r="M786" i="3"/>
  <c r="K786" i="3"/>
  <c r="J786" i="3"/>
  <c r="I786" i="3"/>
  <c r="H786" i="3"/>
  <c r="G786" i="3"/>
  <c r="F786" i="3"/>
  <c r="E786" i="3"/>
  <c r="U784" i="3"/>
  <c r="S784" i="3"/>
  <c r="R784" i="3"/>
  <c r="N784" i="3"/>
  <c r="M784" i="3"/>
  <c r="L784" i="3"/>
  <c r="G784" i="3"/>
  <c r="F784" i="3"/>
  <c r="E784" i="3"/>
  <c r="U783" i="3"/>
  <c r="T783" i="3"/>
  <c r="S783" i="3"/>
  <c r="N783" i="3"/>
  <c r="M783" i="3"/>
  <c r="L783" i="3"/>
  <c r="G783" i="3"/>
  <c r="F783" i="3"/>
  <c r="E783" i="3"/>
  <c r="U781" i="3"/>
  <c r="S781" i="3"/>
  <c r="N781" i="3"/>
  <c r="M781" i="3"/>
  <c r="L781" i="3"/>
  <c r="G781" i="3"/>
  <c r="F781" i="3"/>
  <c r="E781" i="3"/>
  <c r="U780" i="3"/>
  <c r="S780" i="3"/>
  <c r="N780" i="3"/>
  <c r="M780" i="3"/>
  <c r="K780" i="3"/>
  <c r="I780" i="3"/>
  <c r="H780" i="3"/>
  <c r="G780" i="3"/>
  <c r="F780" i="3"/>
  <c r="E780" i="3"/>
  <c r="U779" i="3"/>
  <c r="S779" i="3"/>
  <c r="N779" i="3"/>
  <c r="M779" i="3"/>
  <c r="K779" i="3"/>
  <c r="I779" i="3"/>
  <c r="H779" i="3"/>
  <c r="G779" i="3"/>
  <c r="F779" i="3"/>
  <c r="E779" i="3"/>
  <c r="Q778" i="3"/>
  <c r="P778" i="3"/>
  <c r="O778" i="3"/>
  <c r="N778" i="3"/>
  <c r="M778" i="3"/>
  <c r="K778" i="3"/>
  <c r="J778" i="3"/>
  <c r="I778" i="3"/>
  <c r="H778" i="3"/>
  <c r="G778" i="3"/>
  <c r="F778" i="3"/>
  <c r="E778" i="3"/>
  <c r="Q777" i="3"/>
  <c r="P777" i="3"/>
  <c r="O777" i="3"/>
  <c r="N777" i="3"/>
  <c r="M777" i="3"/>
  <c r="K777" i="3"/>
  <c r="J777" i="3"/>
  <c r="I777" i="3"/>
  <c r="H777" i="3"/>
  <c r="G777" i="3"/>
  <c r="F777" i="3"/>
  <c r="E777" i="3"/>
  <c r="U775" i="3"/>
  <c r="S775" i="3"/>
  <c r="R775" i="3"/>
  <c r="N775" i="3"/>
  <c r="M775" i="3"/>
  <c r="L775" i="3"/>
  <c r="G775" i="3"/>
  <c r="F775" i="3"/>
  <c r="E775" i="3"/>
  <c r="U774" i="3"/>
  <c r="T774" i="3"/>
  <c r="S774" i="3"/>
  <c r="N774" i="3"/>
  <c r="M774" i="3"/>
  <c r="L774" i="3"/>
  <c r="G774" i="3"/>
  <c r="F774" i="3"/>
  <c r="E774" i="3"/>
  <c r="U772" i="3"/>
  <c r="S772" i="3"/>
  <c r="N772" i="3"/>
  <c r="M772" i="3"/>
  <c r="L772" i="3"/>
  <c r="G772" i="3"/>
  <c r="F772" i="3"/>
  <c r="E772" i="3"/>
  <c r="U771" i="3"/>
  <c r="S771" i="3"/>
  <c r="N771" i="3"/>
  <c r="M771" i="3"/>
  <c r="K771" i="3"/>
  <c r="I771" i="3"/>
  <c r="H771" i="3"/>
  <c r="G771" i="3"/>
  <c r="F771" i="3"/>
  <c r="E771" i="3"/>
  <c r="U770" i="3"/>
  <c r="S770" i="3"/>
  <c r="N770" i="3"/>
  <c r="M770" i="3"/>
  <c r="K770" i="3"/>
  <c r="I770" i="3"/>
  <c r="H770" i="3"/>
  <c r="G770" i="3"/>
  <c r="F770" i="3"/>
  <c r="E770" i="3"/>
  <c r="Q769" i="3"/>
  <c r="P769" i="3"/>
  <c r="O769" i="3"/>
  <c r="N769" i="3"/>
  <c r="M769" i="3"/>
  <c r="K769" i="3"/>
  <c r="J769" i="3"/>
  <c r="I769" i="3"/>
  <c r="H769" i="3"/>
  <c r="G769" i="3"/>
  <c r="F769" i="3"/>
  <c r="E769" i="3"/>
  <c r="Q768" i="3"/>
  <c r="P768" i="3"/>
  <c r="O768" i="3"/>
  <c r="N768" i="3"/>
  <c r="M768" i="3"/>
  <c r="K768" i="3"/>
  <c r="J768" i="3"/>
  <c r="I768" i="3"/>
  <c r="H768" i="3"/>
  <c r="G768" i="3"/>
  <c r="F768" i="3"/>
  <c r="E768" i="3"/>
  <c r="U766" i="3"/>
  <c r="S766" i="3"/>
  <c r="R766" i="3"/>
  <c r="N766" i="3"/>
  <c r="M766" i="3"/>
  <c r="L766" i="3"/>
  <c r="G766" i="3"/>
  <c r="F766" i="3"/>
  <c r="E766" i="3"/>
  <c r="U765" i="3"/>
  <c r="T765" i="3"/>
  <c r="S765" i="3"/>
  <c r="N765" i="3"/>
  <c r="M765" i="3"/>
  <c r="L765" i="3"/>
  <c r="G765" i="3"/>
  <c r="F765" i="3"/>
  <c r="E765" i="3"/>
  <c r="U763" i="3"/>
  <c r="S763" i="3"/>
  <c r="N763" i="3"/>
  <c r="M763" i="3"/>
  <c r="L763" i="3"/>
  <c r="G763" i="3"/>
  <c r="F763" i="3"/>
  <c r="E763" i="3"/>
  <c r="U762" i="3"/>
  <c r="S762" i="3"/>
  <c r="N762" i="3"/>
  <c r="M762" i="3"/>
  <c r="K762" i="3"/>
  <c r="I762" i="3"/>
  <c r="H762" i="3"/>
  <c r="G762" i="3"/>
  <c r="F762" i="3"/>
  <c r="E762" i="3"/>
  <c r="U761" i="3"/>
  <c r="S761" i="3"/>
  <c r="N761" i="3"/>
  <c r="M761" i="3"/>
  <c r="K761" i="3"/>
  <c r="I761" i="3"/>
  <c r="H761" i="3"/>
  <c r="G761" i="3"/>
  <c r="F761" i="3"/>
  <c r="E761" i="3"/>
  <c r="Q760" i="3"/>
  <c r="P760" i="3"/>
  <c r="O760" i="3"/>
  <c r="N760" i="3"/>
  <c r="M760" i="3"/>
  <c r="K760" i="3"/>
  <c r="J760" i="3"/>
  <c r="I760" i="3"/>
  <c r="H760" i="3"/>
  <c r="G760" i="3"/>
  <c r="F760" i="3"/>
  <c r="E760" i="3"/>
  <c r="Q759" i="3"/>
  <c r="P759" i="3"/>
  <c r="O759" i="3"/>
  <c r="N759" i="3"/>
  <c r="M759" i="3"/>
  <c r="K759" i="3"/>
  <c r="J759" i="3"/>
  <c r="I759" i="3"/>
  <c r="H759" i="3"/>
  <c r="G759" i="3"/>
  <c r="F759" i="3"/>
  <c r="E759" i="3"/>
  <c r="U757" i="3"/>
  <c r="S757" i="3"/>
  <c r="R757" i="3"/>
  <c r="N757" i="3"/>
  <c r="M757" i="3"/>
  <c r="L757" i="3"/>
  <c r="G757" i="3"/>
  <c r="F757" i="3"/>
  <c r="E757" i="3"/>
  <c r="U756" i="3"/>
  <c r="T756" i="3"/>
  <c r="S756" i="3"/>
  <c r="N756" i="3"/>
  <c r="M756" i="3"/>
  <c r="L756" i="3"/>
  <c r="G756" i="3"/>
  <c r="F756" i="3"/>
  <c r="E756" i="3"/>
  <c r="U754" i="3"/>
  <c r="S754" i="3"/>
  <c r="N754" i="3"/>
  <c r="M754" i="3"/>
  <c r="L754" i="3"/>
  <c r="G754" i="3"/>
  <c r="F754" i="3"/>
  <c r="E754" i="3"/>
  <c r="U753" i="3"/>
  <c r="S753" i="3"/>
  <c r="N753" i="3"/>
  <c r="M753" i="3"/>
  <c r="K753" i="3"/>
  <c r="I753" i="3"/>
  <c r="H753" i="3"/>
  <c r="G753" i="3"/>
  <c r="F753" i="3"/>
  <c r="E753" i="3"/>
  <c r="U752" i="3"/>
  <c r="S752" i="3"/>
  <c r="N752" i="3"/>
  <c r="M752" i="3"/>
  <c r="K752" i="3"/>
  <c r="I752" i="3"/>
  <c r="H752" i="3"/>
  <c r="G752" i="3"/>
  <c r="F752" i="3"/>
  <c r="E752" i="3"/>
  <c r="Q751" i="3"/>
  <c r="P751" i="3"/>
  <c r="O751" i="3"/>
  <c r="N751" i="3"/>
  <c r="M751" i="3"/>
  <c r="K751" i="3"/>
  <c r="J751" i="3"/>
  <c r="I751" i="3"/>
  <c r="H751" i="3"/>
  <c r="G751" i="3"/>
  <c r="F751" i="3"/>
  <c r="E751" i="3"/>
  <c r="Q750" i="3"/>
  <c r="P750" i="3"/>
  <c r="O750" i="3"/>
  <c r="N750" i="3"/>
  <c r="M750" i="3"/>
  <c r="K750" i="3"/>
  <c r="J750" i="3"/>
  <c r="I750" i="3"/>
  <c r="H750" i="3"/>
  <c r="G750" i="3"/>
  <c r="F750" i="3"/>
  <c r="E750" i="3"/>
  <c r="U748" i="3"/>
  <c r="S748" i="3"/>
  <c r="R748" i="3"/>
  <c r="N748" i="3"/>
  <c r="M748" i="3"/>
  <c r="L748" i="3"/>
  <c r="G748" i="3"/>
  <c r="F748" i="3"/>
  <c r="E748" i="3"/>
  <c r="U747" i="3"/>
  <c r="T747" i="3"/>
  <c r="S747" i="3"/>
  <c r="N747" i="3"/>
  <c r="M747" i="3"/>
  <c r="L747" i="3"/>
  <c r="G747" i="3"/>
  <c r="F747" i="3"/>
  <c r="E747" i="3"/>
  <c r="U745" i="3"/>
  <c r="S745" i="3"/>
  <c r="N745" i="3"/>
  <c r="M745" i="3"/>
  <c r="L745" i="3"/>
  <c r="G745" i="3"/>
  <c r="F745" i="3"/>
  <c r="E745" i="3"/>
  <c r="U744" i="3"/>
  <c r="S744" i="3"/>
  <c r="N744" i="3"/>
  <c r="M744" i="3"/>
  <c r="K744" i="3"/>
  <c r="I744" i="3"/>
  <c r="H744" i="3"/>
  <c r="G744" i="3"/>
  <c r="F744" i="3"/>
  <c r="E744" i="3"/>
  <c r="U743" i="3"/>
  <c r="S743" i="3"/>
  <c r="N743" i="3"/>
  <c r="M743" i="3"/>
  <c r="K743" i="3"/>
  <c r="I743" i="3"/>
  <c r="H743" i="3"/>
  <c r="G743" i="3"/>
  <c r="F743" i="3"/>
  <c r="E743" i="3"/>
  <c r="Q742" i="3"/>
  <c r="P742" i="3"/>
  <c r="O742" i="3"/>
  <c r="N742" i="3"/>
  <c r="M742" i="3"/>
  <c r="K742" i="3"/>
  <c r="J742" i="3"/>
  <c r="I742" i="3"/>
  <c r="H742" i="3"/>
  <c r="G742" i="3"/>
  <c r="F742" i="3"/>
  <c r="E742" i="3"/>
  <c r="Q741" i="3"/>
  <c r="P741" i="3"/>
  <c r="O741" i="3"/>
  <c r="N741" i="3"/>
  <c r="M741" i="3"/>
  <c r="K741" i="3"/>
  <c r="J741" i="3"/>
  <c r="I741" i="3"/>
  <c r="H741" i="3"/>
  <c r="G741" i="3"/>
  <c r="F741" i="3"/>
  <c r="E741" i="3"/>
  <c r="U738" i="3"/>
  <c r="T738" i="3"/>
  <c r="S738" i="3"/>
  <c r="N738" i="3"/>
  <c r="M738" i="3"/>
  <c r="L738" i="3"/>
  <c r="G738" i="3"/>
  <c r="F738" i="3"/>
  <c r="E738" i="3"/>
  <c r="U736" i="3"/>
  <c r="S736" i="3"/>
  <c r="N736" i="3"/>
  <c r="M736" i="3"/>
  <c r="L736" i="3"/>
  <c r="G736" i="3"/>
  <c r="F736" i="3"/>
  <c r="E736" i="3"/>
  <c r="U735" i="3"/>
  <c r="S735" i="3"/>
  <c r="N735" i="3"/>
  <c r="M735" i="3"/>
  <c r="K735" i="3"/>
  <c r="I735" i="3"/>
  <c r="H735" i="3"/>
  <c r="G735" i="3"/>
  <c r="F735" i="3"/>
  <c r="E735" i="3"/>
  <c r="U734" i="3"/>
  <c r="S734" i="3"/>
  <c r="N734" i="3"/>
  <c r="M734" i="3"/>
  <c r="K734" i="3"/>
  <c r="I734" i="3"/>
  <c r="H734" i="3"/>
  <c r="G734" i="3"/>
  <c r="F734" i="3"/>
  <c r="E734" i="3"/>
  <c r="Q733" i="3"/>
  <c r="P733" i="3"/>
  <c r="O733" i="3"/>
  <c r="N733" i="3"/>
  <c r="M733" i="3"/>
  <c r="K733" i="3"/>
  <c r="J733" i="3"/>
  <c r="I733" i="3"/>
  <c r="H733" i="3"/>
  <c r="G733" i="3"/>
  <c r="F733" i="3"/>
  <c r="E733" i="3"/>
  <c r="Q732" i="3"/>
  <c r="P732" i="3"/>
  <c r="O732" i="3"/>
  <c r="N732" i="3"/>
  <c r="M732" i="3"/>
  <c r="K732" i="3"/>
  <c r="J732" i="3"/>
  <c r="I732" i="3"/>
  <c r="H732" i="3"/>
  <c r="G732" i="3"/>
  <c r="F732" i="3"/>
  <c r="E732" i="3"/>
  <c r="U730" i="3"/>
  <c r="S730" i="3"/>
  <c r="R730" i="3"/>
  <c r="N730" i="3"/>
  <c r="M730" i="3"/>
  <c r="L730" i="3"/>
  <c r="G730" i="3"/>
  <c r="F730" i="3"/>
  <c r="E730" i="3"/>
  <c r="U729" i="3"/>
  <c r="T729" i="3"/>
  <c r="S729" i="3"/>
  <c r="N729" i="3"/>
  <c r="M729" i="3"/>
  <c r="L729" i="3"/>
  <c r="G729" i="3"/>
  <c r="F729" i="3"/>
  <c r="E729" i="3"/>
  <c r="U727" i="3"/>
  <c r="S727" i="3"/>
  <c r="N727" i="3"/>
  <c r="M727" i="3"/>
  <c r="L727" i="3"/>
  <c r="G727" i="3"/>
  <c r="F727" i="3"/>
  <c r="E727" i="3"/>
  <c r="U726" i="3"/>
  <c r="S726" i="3"/>
  <c r="N726" i="3"/>
  <c r="M726" i="3"/>
  <c r="K726" i="3"/>
  <c r="I726" i="3"/>
  <c r="H726" i="3"/>
  <c r="G726" i="3"/>
  <c r="F726" i="3"/>
  <c r="E726" i="3"/>
  <c r="U725" i="3"/>
  <c r="S725" i="3"/>
  <c r="N725" i="3"/>
  <c r="M725" i="3"/>
  <c r="K725" i="3"/>
  <c r="I725" i="3"/>
  <c r="H725" i="3"/>
  <c r="G725" i="3"/>
  <c r="F725" i="3"/>
  <c r="E725" i="3"/>
  <c r="Q724" i="3"/>
  <c r="P724" i="3"/>
  <c r="O724" i="3"/>
  <c r="N724" i="3"/>
  <c r="M724" i="3"/>
  <c r="K724" i="3"/>
  <c r="J724" i="3"/>
  <c r="I724" i="3"/>
  <c r="H724" i="3"/>
  <c r="G724" i="3"/>
  <c r="F724" i="3"/>
  <c r="E724" i="3"/>
  <c r="Q723" i="3"/>
  <c r="P723" i="3"/>
  <c r="O723" i="3"/>
  <c r="N723" i="3"/>
  <c r="M723" i="3"/>
  <c r="K723" i="3"/>
  <c r="J723" i="3"/>
  <c r="I723" i="3"/>
  <c r="H723" i="3"/>
  <c r="G723" i="3"/>
  <c r="F723" i="3"/>
  <c r="E723" i="3"/>
  <c r="U720" i="3"/>
  <c r="T720" i="3"/>
  <c r="S720" i="3"/>
  <c r="N720" i="3"/>
  <c r="M720" i="3"/>
  <c r="L720" i="3"/>
  <c r="G720" i="3"/>
  <c r="F720" i="3"/>
  <c r="E720" i="3"/>
  <c r="U718" i="3"/>
  <c r="S718" i="3"/>
  <c r="N718" i="3"/>
  <c r="M718" i="3"/>
  <c r="L718" i="3"/>
  <c r="G718" i="3"/>
  <c r="F718" i="3"/>
  <c r="E718" i="3"/>
  <c r="U717" i="3"/>
  <c r="S717" i="3"/>
  <c r="N717" i="3"/>
  <c r="M717" i="3"/>
  <c r="K717" i="3"/>
  <c r="I717" i="3"/>
  <c r="H717" i="3"/>
  <c r="G717" i="3"/>
  <c r="F717" i="3"/>
  <c r="E717" i="3"/>
  <c r="U716" i="3"/>
  <c r="S716" i="3"/>
  <c r="N716" i="3"/>
  <c r="M716" i="3"/>
  <c r="K716" i="3"/>
  <c r="I716" i="3"/>
  <c r="H716" i="3"/>
  <c r="G716" i="3"/>
  <c r="F716" i="3"/>
  <c r="E716" i="3"/>
  <c r="Q715" i="3"/>
  <c r="P715" i="3"/>
  <c r="O715" i="3"/>
  <c r="N715" i="3"/>
  <c r="M715" i="3"/>
  <c r="K715" i="3"/>
  <c r="J715" i="3"/>
  <c r="I715" i="3"/>
  <c r="H715" i="3"/>
  <c r="G715" i="3"/>
  <c r="F715" i="3"/>
  <c r="E715" i="3"/>
  <c r="Q714" i="3"/>
  <c r="P714" i="3"/>
  <c r="O714" i="3"/>
  <c r="N714" i="3"/>
  <c r="M714" i="3"/>
  <c r="K714" i="3"/>
  <c r="J714" i="3"/>
  <c r="I714" i="3"/>
  <c r="H714" i="3"/>
  <c r="G714" i="3"/>
  <c r="F714" i="3"/>
  <c r="E714" i="3"/>
  <c r="U712" i="3"/>
  <c r="S712" i="3"/>
  <c r="R712" i="3"/>
  <c r="N712" i="3"/>
  <c r="M712" i="3"/>
  <c r="L712" i="3"/>
  <c r="G712" i="3"/>
  <c r="F712" i="3"/>
  <c r="E712" i="3"/>
  <c r="U711" i="3"/>
  <c r="T711" i="3"/>
  <c r="S711" i="3"/>
  <c r="N711" i="3"/>
  <c r="M711" i="3"/>
  <c r="L711" i="3"/>
  <c r="G711" i="3"/>
  <c r="F711" i="3"/>
  <c r="E711" i="3"/>
  <c r="U709" i="3"/>
  <c r="S709" i="3"/>
  <c r="N709" i="3"/>
  <c r="M709" i="3"/>
  <c r="L709" i="3"/>
  <c r="G709" i="3"/>
  <c r="F709" i="3"/>
  <c r="E709" i="3"/>
  <c r="U708" i="3"/>
  <c r="S708" i="3"/>
  <c r="N708" i="3"/>
  <c r="M708" i="3"/>
  <c r="K708" i="3"/>
  <c r="I708" i="3"/>
  <c r="H708" i="3"/>
  <c r="G708" i="3"/>
  <c r="F708" i="3"/>
  <c r="E708" i="3"/>
  <c r="U707" i="3"/>
  <c r="S707" i="3"/>
  <c r="N707" i="3"/>
  <c r="M707" i="3"/>
  <c r="K707" i="3"/>
  <c r="I707" i="3"/>
  <c r="H707" i="3"/>
  <c r="G707" i="3"/>
  <c r="F707" i="3"/>
  <c r="E707" i="3"/>
  <c r="Q706" i="3"/>
  <c r="P706" i="3"/>
  <c r="O706" i="3"/>
  <c r="N706" i="3"/>
  <c r="M706" i="3"/>
  <c r="K706" i="3"/>
  <c r="J706" i="3"/>
  <c r="I706" i="3"/>
  <c r="H706" i="3"/>
  <c r="G706" i="3"/>
  <c r="F706" i="3"/>
  <c r="E706" i="3"/>
  <c r="Q705" i="3"/>
  <c r="P705" i="3"/>
  <c r="O705" i="3"/>
  <c r="N705" i="3"/>
  <c r="M705" i="3"/>
  <c r="K705" i="3"/>
  <c r="J705" i="3"/>
  <c r="I705" i="3"/>
  <c r="H705" i="3"/>
  <c r="G705" i="3"/>
  <c r="F705" i="3"/>
  <c r="E705" i="3"/>
  <c r="U703" i="3"/>
  <c r="S703" i="3"/>
  <c r="R703" i="3"/>
  <c r="N703" i="3"/>
  <c r="M703" i="3"/>
  <c r="L703" i="3"/>
  <c r="G703" i="3"/>
  <c r="F703" i="3"/>
  <c r="E703" i="3"/>
  <c r="U702" i="3"/>
  <c r="T702" i="3"/>
  <c r="S702" i="3"/>
  <c r="N702" i="3"/>
  <c r="M702" i="3"/>
  <c r="L702" i="3"/>
  <c r="G702" i="3"/>
  <c r="F702" i="3"/>
  <c r="E702" i="3"/>
  <c r="U700" i="3"/>
  <c r="S700" i="3"/>
  <c r="N700" i="3"/>
  <c r="M700" i="3"/>
  <c r="L700" i="3"/>
  <c r="G700" i="3"/>
  <c r="F700" i="3"/>
  <c r="E700" i="3"/>
  <c r="U699" i="3"/>
  <c r="S699" i="3"/>
  <c r="N699" i="3"/>
  <c r="M699" i="3"/>
  <c r="K699" i="3"/>
  <c r="I699" i="3"/>
  <c r="H699" i="3"/>
  <c r="G699" i="3"/>
  <c r="F699" i="3"/>
  <c r="E699" i="3"/>
  <c r="U698" i="3"/>
  <c r="S698" i="3"/>
  <c r="N698" i="3"/>
  <c r="M698" i="3"/>
  <c r="K698" i="3"/>
  <c r="I698" i="3"/>
  <c r="H698" i="3"/>
  <c r="G698" i="3"/>
  <c r="F698" i="3"/>
  <c r="E698" i="3"/>
  <c r="Q697" i="3"/>
  <c r="P697" i="3"/>
  <c r="O697" i="3"/>
  <c r="N697" i="3"/>
  <c r="M697" i="3"/>
  <c r="K697" i="3"/>
  <c r="J697" i="3"/>
  <c r="I697" i="3"/>
  <c r="H697" i="3"/>
  <c r="G697" i="3"/>
  <c r="F697" i="3"/>
  <c r="E697" i="3"/>
  <c r="Q696" i="3"/>
  <c r="P696" i="3"/>
  <c r="O696" i="3"/>
  <c r="N696" i="3"/>
  <c r="M696" i="3"/>
  <c r="K696" i="3"/>
  <c r="J696" i="3"/>
  <c r="I696" i="3"/>
  <c r="H696" i="3"/>
  <c r="G696" i="3"/>
  <c r="F696" i="3"/>
  <c r="E696" i="3"/>
  <c r="U694" i="3"/>
  <c r="S694" i="3"/>
  <c r="R694" i="3"/>
  <c r="N694" i="3"/>
  <c r="M694" i="3"/>
  <c r="L694" i="3"/>
  <c r="G694" i="3"/>
  <c r="F694" i="3"/>
  <c r="E694" i="3"/>
  <c r="U693" i="3"/>
  <c r="T693" i="3"/>
  <c r="S693" i="3"/>
  <c r="N693" i="3"/>
  <c r="M693" i="3"/>
  <c r="L693" i="3"/>
  <c r="G693" i="3"/>
  <c r="F693" i="3"/>
  <c r="E693" i="3"/>
  <c r="U691" i="3"/>
  <c r="S691" i="3"/>
  <c r="N691" i="3"/>
  <c r="M691" i="3"/>
  <c r="L691" i="3"/>
  <c r="G691" i="3"/>
  <c r="F691" i="3"/>
  <c r="E691" i="3"/>
  <c r="U690" i="3"/>
  <c r="S690" i="3"/>
  <c r="N690" i="3"/>
  <c r="M690" i="3"/>
  <c r="K690" i="3"/>
  <c r="I690" i="3"/>
  <c r="H690" i="3"/>
  <c r="G690" i="3"/>
  <c r="F690" i="3"/>
  <c r="E690" i="3"/>
  <c r="U689" i="3"/>
  <c r="S689" i="3"/>
  <c r="N689" i="3"/>
  <c r="M689" i="3"/>
  <c r="K689" i="3"/>
  <c r="I689" i="3"/>
  <c r="H689" i="3"/>
  <c r="G689" i="3"/>
  <c r="F689" i="3"/>
  <c r="E689" i="3"/>
  <c r="Q688" i="3"/>
  <c r="P688" i="3"/>
  <c r="O688" i="3"/>
  <c r="N688" i="3"/>
  <c r="M688" i="3"/>
  <c r="K688" i="3"/>
  <c r="J688" i="3"/>
  <c r="I688" i="3"/>
  <c r="H688" i="3"/>
  <c r="G688" i="3"/>
  <c r="F688" i="3"/>
  <c r="E688" i="3"/>
  <c r="Q687" i="3"/>
  <c r="P687" i="3"/>
  <c r="O687" i="3"/>
  <c r="N687" i="3"/>
  <c r="M687" i="3"/>
  <c r="K687" i="3"/>
  <c r="J687" i="3"/>
  <c r="I687" i="3"/>
  <c r="H687" i="3"/>
  <c r="G687" i="3"/>
  <c r="F687" i="3"/>
  <c r="E687" i="3"/>
  <c r="U685" i="3"/>
  <c r="S685" i="3"/>
  <c r="R685" i="3"/>
  <c r="N685" i="3"/>
  <c r="M685" i="3"/>
  <c r="L685" i="3"/>
  <c r="G685" i="3"/>
  <c r="F685" i="3"/>
  <c r="E685" i="3"/>
  <c r="U684" i="3"/>
  <c r="T684" i="3"/>
  <c r="S684" i="3"/>
  <c r="N684" i="3"/>
  <c r="M684" i="3"/>
  <c r="L684" i="3"/>
  <c r="G684" i="3"/>
  <c r="F684" i="3"/>
  <c r="E684" i="3"/>
  <c r="U682" i="3"/>
  <c r="S682" i="3"/>
  <c r="N682" i="3"/>
  <c r="M682" i="3"/>
  <c r="L682" i="3"/>
  <c r="G682" i="3"/>
  <c r="F682" i="3"/>
  <c r="E682" i="3"/>
  <c r="U681" i="3"/>
  <c r="S681" i="3"/>
  <c r="N681" i="3"/>
  <c r="M681" i="3"/>
  <c r="K681" i="3"/>
  <c r="I681" i="3"/>
  <c r="H681" i="3"/>
  <c r="G681" i="3"/>
  <c r="F681" i="3"/>
  <c r="E681" i="3"/>
  <c r="U680" i="3"/>
  <c r="S680" i="3"/>
  <c r="N680" i="3"/>
  <c r="M680" i="3"/>
  <c r="K680" i="3"/>
  <c r="I680" i="3"/>
  <c r="H680" i="3"/>
  <c r="G680" i="3"/>
  <c r="F680" i="3"/>
  <c r="E680" i="3"/>
  <c r="Q679" i="3"/>
  <c r="P679" i="3"/>
  <c r="O679" i="3"/>
  <c r="N679" i="3"/>
  <c r="M679" i="3"/>
  <c r="K679" i="3"/>
  <c r="J679" i="3"/>
  <c r="I679" i="3"/>
  <c r="H679" i="3"/>
  <c r="G679" i="3"/>
  <c r="F679" i="3"/>
  <c r="E679" i="3"/>
  <c r="Q678" i="3"/>
  <c r="P678" i="3"/>
  <c r="O678" i="3"/>
  <c r="N678" i="3"/>
  <c r="M678" i="3"/>
  <c r="K678" i="3"/>
  <c r="J678" i="3"/>
  <c r="I678" i="3"/>
  <c r="H678" i="3"/>
  <c r="G678" i="3"/>
  <c r="F678" i="3"/>
  <c r="E678" i="3"/>
  <c r="U676" i="3"/>
  <c r="S676" i="3"/>
  <c r="R676" i="3"/>
  <c r="N676" i="3"/>
  <c r="M676" i="3"/>
  <c r="L676" i="3"/>
  <c r="G676" i="3"/>
  <c r="F676" i="3"/>
  <c r="E676" i="3"/>
  <c r="U675" i="3"/>
  <c r="T675" i="3"/>
  <c r="S675" i="3"/>
  <c r="N675" i="3"/>
  <c r="M675" i="3"/>
  <c r="L675" i="3"/>
  <c r="G675" i="3"/>
  <c r="F675" i="3"/>
  <c r="E675" i="3"/>
  <c r="U673" i="3"/>
  <c r="S673" i="3"/>
  <c r="N673" i="3"/>
  <c r="M673" i="3"/>
  <c r="L673" i="3"/>
  <c r="G673" i="3"/>
  <c r="F673" i="3"/>
  <c r="E673" i="3"/>
  <c r="U672" i="3"/>
  <c r="S672" i="3"/>
  <c r="N672" i="3"/>
  <c r="M672" i="3"/>
  <c r="K672" i="3"/>
  <c r="I672" i="3"/>
  <c r="H672" i="3"/>
  <c r="G672" i="3"/>
  <c r="F672" i="3"/>
  <c r="E672" i="3"/>
  <c r="U671" i="3"/>
  <c r="S671" i="3"/>
  <c r="N671" i="3"/>
  <c r="M671" i="3"/>
  <c r="K671" i="3"/>
  <c r="I671" i="3"/>
  <c r="H671" i="3"/>
  <c r="G671" i="3"/>
  <c r="F671" i="3"/>
  <c r="E671" i="3"/>
  <c r="Q670" i="3"/>
  <c r="P670" i="3"/>
  <c r="O670" i="3"/>
  <c r="N670" i="3"/>
  <c r="M670" i="3"/>
  <c r="K670" i="3"/>
  <c r="J670" i="3"/>
  <c r="I670" i="3"/>
  <c r="H670" i="3"/>
  <c r="G670" i="3"/>
  <c r="F670" i="3"/>
  <c r="E670" i="3"/>
  <c r="Q669" i="3"/>
  <c r="P669" i="3"/>
  <c r="O669" i="3"/>
  <c r="N669" i="3"/>
  <c r="M669" i="3"/>
  <c r="K669" i="3"/>
  <c r="J669" i="3"/>
  <c r="I669" i="3"/>
  <c r="H669" i="3"/>
  <c r="G669" i="3"/>
  <c r="F669" i="3"/>
  <c r="E669" i="3"/>
  <c r="U667" i="3"/>
  <c r="S667" i="3"/>
  <c r="R667" i="3"/>
  <c r="N667" i="3"/>
  <c r="M667" i="3"/>
  <c r="L667" i="3"/>
  <c r="G667" i="3"/>
  <c r="F667" i="3"/>
  <c r="E667" i="3"/>
  <c r="U666" i="3"/>
  <c r="T666" i="3"/>
  <c r="S666" i="3"/>
  <c r="N666" i="3"/>
  <c r="M666" i="3"/>
  <c r="L666" i="3"/>
  <c r="G666" i="3"/>
  <c r="F666" i="3"/>
  <c r="E666" i="3"/>
  <c r="U664" i="3"/>
  <c r="S664" i="3"/>
  <c r="N664" i="3"/>
  <c r="M664" i="3"/>
  <c r="L664" i="3"/>
  <c r="G664" i="3"/>
  <c r="F664" i="3"/>
  <c r="E664" i="3"/>
  <c r="U663" i="3"/>
  <c r="S663" i="3"/>
  <c r="N663" i="3"/>
  <c r="M663" i="3"/>
  <c r="K663" i="3"/>
  <c r="I663" i="3"/>
  <c r="H663" i="3"/>
  <c r="G663" i="3"/>
  <c r="F663" i="3"/>
  <c r="E663" i="3"/>
  <c r="U662" i="3"/>
  <c r="S662" i="3"/>
  <c r="N662" i="3"/>
  <c r="M662" i="3"/>
  <c r="K662" i="3"/>
  <c r="I662" i="3"/>
  <c r="H662" i="3"/>
  <c r="G662" i="3"/>
  <c r="F662" i="3"/>
  <c r="E662" i="3"/>
  <c r="Q661" i="3"/>
  <c r="P661" i="3"/>
  <c r="O661" i="3"/>
  <c r="N661" i="3"/>
  <c r="M661" i="3"/>
  <c r="K661" i="3"/>
  <c r="J661" i="3"/>
  <c r="I661" i="3"/>
  <c r="H661" i="3"/>
  <c r="G661" i="3"/>
  <c r="F661" i="3"/>
  <c r="E661" i="3"/>
  <c r="Q660" i="3"/>
  <c r="P660" i="3"/>
  <c r="O660" i="3"/>
  <c r="N660" i="3"/>
  <c r="M660" i="3"/>
  <c r="K660" i="3"/>
  <c r="J660" i="3"/>
  <c r="I660" i="3"/>
  <c r="H660" i="3"/>
  <c r="G660" i="3"/>
  <c r="F660" i="3"/>
  <c r="E660" i="3"/>
  <c r="U658" i="3"/>
  <c r="S658" i="3"/>
  <c r="R658" i="3"/>
  <c r="N658" i="3"/>
  <c r="M658" i="3"/>
  <c r="L658" i="3"/>
  <c r="G658" i="3"/>
  <c r="F658" i="3"/>
  <c r="E658" i="3"/>
  <c r="U657" i="3"/>
  <c r="T657" i="3"/>
  <c r="S657" i="3"/>
  <c r="N657" i="3"/>
  <c r="M657" i="3"/>
  <c r="L657" i="3"/>
  <c r="G657" i="3"/>
  <c r="F657" i="3"/>
  <c r="E657" i="3"/>
  <c r="U655" i="3"/>
  <c r="S655" i="3"/>
  <c r="N655" i="3"/>
  <c r="M655" i="3"/>
  <c r="L655" i="3"/>
  <c r="G655" i="3"/>
  <c r="F655" i="3"/>
  <c r="E655" i="3"/>
  <c r="U654" i="3"/>
  <c r="S654" i="3"/>
  <c r="N654" i="3"/>
  <c r="M654" i="3"/>
  <c r="K654" i="3"/>
  <c r="I654" i="3"/>
  <c r="H654" i="3"/>
  <c r="G654" i="3"/>
  <c r="F654" i="3"/>
  <c r="E654" i="3"/>
  <c r="U653" i="3"/>
  <c r="S653" i="3"/>
  <c r="N653" i="3"/>
  <c r="M653" i="3"/>
  <c r="K653" i="3"/>
  <c r="I653" i="3"/>
  <c r="H653" i="3"/>
  <c r="G653" i="3"/>
  <c r="F653" i="3"/>
  <c r="E653" i="3"/>
  <c r="Q652" i="3"/>
  <c r="P652" i="3"/>
  <c r="O652" i="3"/>
  <c r="N652" i="3"/>
  <c r="M652" i="3"/>
  <c r="K652" i="3"/>
  <c r="J652" i="3"/>
  <c r="I652" i="3"/>
  <c r="H652" i="3"/>
  <c r="G652" i="3"/>
  <c r="F652" i="3"/>
  <c r="E652" i="3"/>
  <c r="Q651" i="3"/>
  <c r="P651" i="3"/>
  <c r="O651" i="3"/>
  <c r="N651" i="3"/>
  <c r="M651" i="3"/>
  <c r="K651" i="3"/>
  <c r="J651" i="3"/>
  <c r="I651" i="3"/>
  <c r="H651" i="3"/>
  <c r="G651" i="3"/>
  <c r="F651" i="3"/>
  <c r="E651" i="3"/>
  <c r="U649" i="3"/>
  <c r="S649" i="3"/>
  <c r="R649" i="3"/>
  <c r="N649" i="3"/>
  <c r="M649" i="3"/>
  <c r="L649" i="3"/>
  <c r="G649" i="3"/>
  <c r="F649" i="3"/>
  <c r="E649" i="3"/>
  <c r="U648" i="3"/>
  <c r="T648" i="3"/>
  <c r="S648" i="3"/>
  <c r="N648" i="3"/>
  <c r="M648" i="3"/>
  <c r="L648" i="3"/>
  <c r="G648" i="3"/>
  <c r="F648" i="3"/>
  <c r="E648" i="3"/>
  <c r="U646" i="3"/>
  <c r="S646" i="3"/>
  <c r="N646" i="3"/>
  <c r="M646" i="3"/>
  <c r="L646" i="3"/>
  <c r="G646" i="3"/>
  <c r="F646" i="3"/>
  <c r="E646" i="3"/>
  <c r="U645" i="3"/>
  <c r="S645" i="3"/>
  <c r="N645" i="3"/>
  <c r="M645" i="3"/>
  <c r="K645" i="3"/>
  <c r="I645" i="3"/>
  <c r="H645" i="3"/>
  <c r="G645" i="3"/>
  <c r="F645" i="3"/>
  <c r="E645" i="3"/>
  <c r="U644" i="3"/>
  <c r="S644" i="3"/>
  <c r="N644" i="3"/>
  <c r="M644" i="3"/>
  <c r="K644" i="3"/>
  <c r="I644" i="3"/>
  <c r="H644" i="3"/>
  <c r="G644" i="3"/>
  <c r="F644" i="3"/>
  <c r="E644" i="3"/>
  <c r="Q643" i="3"/>
  <c r="P643" i="3"/>
  <c r="O643" i="3"/>
  <c r="N643" i="3"/>
  <c r="M643" i="3"/>
  <c r="K643" i="3"/>
  <c r="J643" i="3"/>
  <c r="I643" i="3"/>
  <c r="H643" i="3"/>
  <c r="G643" i="3"/>
  <c r="F643" i="3"/>
  <c r="E643" i="3"/>
  <c r="Q642" i="3"/>
  <c r="P642" i="3"/>
  <c r="O642" i="3"/>
  <c r="N642" i="3"/>
  <c r="M642" i="3"/>
  <c r="K642" i="3"/>
  <c r="J642" i="3"/>
  <c r="I642" i="3"/>
  <c r="H642" i="3"/>
  <c r="G642" i="3"/>
  <c r="F642" i="3"/>
  <c r="E642" i="3"/>
  <c r="U640" i="3"/>
  <c r="S640" i="3"/>
  <c r="R640" i="3"/>
  <c r="N640" i="3"/>
  <c r="M640" i="3"/>
  <c r="L640" i="3"/>
  <c r="G640" i="3"/>
  <c r="F640" i="3"/>
  <c r="E640" i="3"/>
  <c r="U639" i="3"/>
  <c r="T639" i="3"/>
  <c r="S639" i="3"/>
  <c r="N639" i="3"/>
  <c r="M639" i="3"/>
  <c r="L639" i="3"/>
  <c r="G639" i="3"/>
  <c r="F639" i="3"/>
  <c r="E639" i="3"/>
  <c r="U637" i="3"/>
  <c r="S637" i="3"/>
  <c r="N637" i="3"/>
  <c r="M637" i="3"/>
  <c r="L637" i="3"/>
  <c r="G637" i="3"/>
  <c r="F637" i="3"/>
  <c r="E637" i="3"/>
  <c r="U636" i="3"/>
  <c r="S636" i="3"/>
  <c r="N636" i="3"/>
  <c r="M636" i="3"/>
  <c r="K636" i="3"/>
  <c r="I636" i="3"/>
  <c r="H636" i="3"/>
  <c r="G636" i="3"/>
  <c r="F636" i="3"/>
  <c r="E636" i="3"/>
  <c r="U635" i="3"/>
  <c r="S635" i="3"/>
  <c r="N635" i="3"/>
  <c r="M635" i="3"/>
  <c r="K635" i="3"/>
  <c r="I635" i="3"/>
  <c r="H635" i="3"/>
  <c r="G635" i="3"/>
  <c r="F635" i="3"/>
  <c r="E635" i="3"/>
  <c r="Q634" i="3"/>
  <c r="P634" i="3"/>
  <c r="O634" i="3"/>
  <c r="N634" i="3"/>
  <c r="M634" i="3"/>
  <c r="K634" i="3"/>
  <c r="J634" i="3"/>
  <c r="I634" i="3"/>
  <c r="H634" i="3"/>
  <c r="G634" i="3"/>
  <c r="F634" i="3"/>
  <c r="E634" i="3"/>
  <c r="Q633" i="3"/>
  <c r="P633" i="3"/>
  <c r="O633" i="3"/>
  <c r="N633" i="3"/>
  <c r="M633" i="3"/>
  <c r="K633" i="3"/>
  <c r="J633" i="3"/>
  <c r="I633" i="3"/>
  <c r="H633" i="3"/>
  <c r="G633" i="3"/>
  <c r="F633" i="3"/>
  <c r="E633" i="3"/>
  <c r="U631" i="3"/>
  <c r="S631" i="3"/>
  <c r="R631" i="3"/>
  <c r="N631" i="3"/>
  <c r="M631" i="3"/>
  <c r="L631" i="3"/>
  <c r="G631" i="3"/>
  <c r="F631" i="3"/>
  <c r="E631" i="3"/>
  <c r="U630" i="3"/>
  <c r="T630" i="3"/>
  <c r="S630" i="3"/>
  <c r="N630" i="3"/>
  <c r="M630" i="3"/>
  <c r="L630" i="3"/>
  <c r="G630" i="3"/>
  <c r="F630" i="3"/>
  <c r="E630" i="3"/>
  <c r="U628" i="3"/>
  <c r="S628" i="3"/>
  <c r="N628" i="3"/>
  <c r="M628" i="3"/>
  <c r="L628" i="3"/>
  <c r="G628" i="3"/>
  <c r="F628" i="3"/>
  <c r="E628" i="3"/>
  <c r="U627" i="3"/>
  <c r="S627" i="3"/>
  <c r="N627" i="3"/>
  <c r="M627" i="3"/>
  <c r="K627" i="3"/>
  <c r="I627" i="3"/>
  <c r="H627" i="3"/>
  <c r="G627" i="3"/>
  <c r="F627" i="3"/>
  <c r="E627" i="3"/>
  <c r="U626" i="3"/>
  <c r="S626" i="3"/>
  <c r="N626" i="3"/>
  <c r="M626" i="3"/>
  <c r="K626" i="3"/>
  <c r="I626" i="3"/>
  <c r="H626" i="3"/>
  <c r="G626" i="3"/>
  <c r="F626" i="3"/>
  <c r="E626" i="3"/>
  <c r="Q625" i="3"/>
  <c r="P625" i="3"/>
  <c r="O625" i="3"/>
  <c r="N625" i="3"/>
  <c r="M625" i="3"/>
  <c r="K625" i="3"/>
  <c r="J625" i="3"/>
  <c r="I625" i="3"/>
  <c r="H625" i="3"/>
  <c r="G625" i="3"/>
  <c r="F625" i="3"/>
  <c r="E625" i="3"/>
  <c r="Q624" i="3"/>
  <c r="P624" i="3"/>
  <c r="O624" i="3"/>
  <c r="N624" i="3"/>
  <c r="M624" i="3"/>
  <c r="K624" i="3"/>
  <c r="J624" i="3"/>
  <c r="I624" i="3"/>
  <c r="H624" i="3"/>
  <c r="G624" i="3"/>
  <c r="F624" i="3"/>
  <c r="E624" i="3"/>
  <c r="U622" i="3"/>
  <c r="S622" i="3"/>
  <c r="R622" i="3"/>
  <c r="N622" i="3"/>
  <c r="M622" i="3"/>
  <c r="L622" i="3"/>
  <c r="G622" i="3"/>
  <c r="F622" i="3"/>
  <c r="E622" i="3"/>
  <c r="U621" i="3"/>
  <c r="T621" i="3"/>
  <c r="S621" i="3"/>
  <c r="N621" i="3"/>
  <c r="M621" i="3"/>
  <c r="L621" i="3"/>
  <c r="G621" i="3"/>
  <c r="F621" i="3"/>
  <c r="E621" i="3"/>
  <c r="U619" i="3"/>
  <c r="S619" i="3"/>
  <c r="N619" i="3"/>
  <c r="M619" i="3"/>
  <c r="L619" i="3"/>
  <c r="G619" i="3"/>
  <c r="F619" i="3"/>
  <c r="E619" i="3"/>
  <c r="U618" i="3"/>
  <c r="S618" i="3"/>
  <c r="N618" i="3"/>
  <c r="M618" i="3"/>
  <c r="K618" i="3"/>
  <c r="I618" i="3"/>
  <c r="H618" i="3"/>
  <c r="G618" i="3"/>
  <c r="F618" i="3"/>
  <c r="E618" i="3"/>
  <c r="U617" i="3"/>
  <c r="S617" i="3"/>
  <c r="N617" i="3"/>
  <c r="M617" i="3"/>
  <c r="K617" i="3"/>
  <c r="I617" i="3"/>
  <c r="H617" i="3"/>
  <c r="G617" i="3"/>
  <c r="F617" i="3"/>
  <c r="E617" i="3"/>
  <c r="Q616" i="3"/>
  <c r="P616" i="3"/>
  <c r="O616" i="3"/>
  <c r="N616" i="3"/>
  <c r="M616" i="3"/>
  <c r="K616" i="3"/>
  <c r="J616" i="3"/>
  <c r="I616" i="3"/>
  <c r="H616" i="3"/>
  <c r="G616" i="3"/>
  <c r="F616" i="3"/>
  <c r="E616" i="3"/>
  <c r="Q615" i="3"/>
  <c r="P615" i="3"/>
  <c r="O615" i="3"/>
  <c r="N615" i="3"/>
  <c r="M615" i="3"/>
  <c r="K615" i="3"/>
  <c r="J615" i="3"/>
  <c r="I615" i="3"/>
  <c r="H615" i="3"/>
  <c r="G615" i="3"/>
  <c r="F615" i="3"/>
  <c r="E615" i="3"/>
  <c r="U613" i="3"/>
  <c r="S613" i="3"/>
  <c r="R613" i="3"/>
  <c r="N613" i="3"/>
  <c r="M613" i="3"/>
  <c r="L613" i="3"/>
  <c r="G613" i="3"/>
  <c r="F613" i="3"/>
  <c r="E613" i="3"/>
  <c r="U612" i="3"/>
  <c r="T612" i="3"/>
  <c r="S612" i="3"/>
  <c r="N612" i="3"/>
  <c r="M612" i="3"/>
  <c r="L612" i="3"/>
  <c r="G612" i="3"/>
  <c r="F612" i="3"/>
  <c r="E612" i="3"/>
  <c r="U610" i="3"/>
  <c r="S610" i="3"/>
  <c r="N610" i="3"/>
  <c r="M610" i="3"/>
  <c r="L610" i="3"/>
  <c r="G610" i="3"/>
  <c r="F610" i="3"/>
  <c r="E610" i="3"/>
  <c r="U609" i="3"/>
  <c r="S609" i="3"/>
  <c r="N609" i="3"/>
  <c r="M609" i="3"/>
  <c r="K609" i="3"/>
  <c r="I609" i="3"/>
  <c r="H609" i="3"/>
  <c r="G609" i="3"/>
  <c r="F609" i="3"/>
  <c r="E609" i="3"/>
  <c r="U608" i="3"/>
  <c r="S608" i="3"/>
  <c r="N608" i="3"/>
  <c r="M608" i="3"/>
  <c r="K608" i="3"/>
  <c r="I608" i="3"/>
  <c r="H608" i="3"/>
  <c r="G608" i="3"/>
  <c r="F608" i="3"/>
  <c r="E608" i="3"/>
  <c r="Q607" i="3"/>
  <c r="P607" i="3"/>
  <c r="O607" i="3"/>
  <c r="N607" i="3"/>
  <c r="M607" i="3"/>
  <c r="K607" i="3"/>
  <c r="J607" i="3"/>
  <c r="I607" i="3"/>
  <c r="H607" i="3"/>
  <c r="G607" i="3"/>
  <c r="F607" i="3"/>
  <c r="E607" i="3"/>
  <c r="Q606" i="3"/>
  <c r="P606" i="3"/>
  <c r="O606" i="3"/>
  <c r="N606" i="3"/>
  <c r="M606" i="3"/>
  <c r="K606" i="3"/>
  <c r="J606" i="3"/>
  <c r="I606" i="3"/>
  <c r="H606" i="3"/>
  <c r="G606" i="3"/>
  <c r="F606" i="3"/>
  <c r="E606" i="3"/>
  <c r="U604" i="3"/>
  <c r="S604" i="3"/>
  <c r="R604" i="3"/>
  <c r="N604" i="3"/>
  <c r="M604" i="3"/>
  <c r="L604" i="3"/>
  <c r="G604" i="3"/>
  <c r="F604" i="3"/>
  <c r="E604" i="3"/>
  <c r="U603" i="3"/>
  <c r="T603" i="3"/>
  <c r="S603" i="3"/>
  <c r="N603" i="3"/>
  <c r="M603" i="3"/>
  <c r="L603" i="3"/>
  <c r="G603" i="3"/>
  <c r="F603" i="3"/>
  <c r="E603" i="3"/>
  <c r="U601" i="3"/>
  <c r="S601" i="3"/>
  <c r="N601" i="3"/>
  <c r="M601" i="3"/>
  <c r="L601" i="3"/>
  <c r="G601" i="3"/>
  <c r="F601" i="3"/>
  <c r="E601" i="3"/>
  <c r="U600" i="3"/>
  <c r="S600" i="3"/>
  <c r="N600" i="3"/>
  <c r="M600" i="3"/>
  <c r="K600" i="3"/>
  <c r="I600" i="3"/>
  <c r="H600" i="3"/>
  <c r="G600" i="3"/>
  <c r="F600" i="3"/>
  <c r="E600" i="3"/>
  <c r="U599" i="3"/>
  <c r="S599" i="3"/>
  <c r="N599" i="3"/>
  <c r="M599" i="3"/>
  <c r="K599" i="3"/>
  <c r="I599" i="3"/>
  <c r="H599" i="3"/>
  <c r="G599" i="3"/>
  <c r="F599" i="3"/>
  <c r="E599" i="3"/>
  <c r="Q598" i="3"/>
  <c r="P598" i="3"/>
  <c r="O598" i="3"/>
  <c r="N598" i="3"/>
  <c r="M598" i="3"/>
  <c r="K598" i="3"/>
  <c r="J598" i="3"/>
  <c r="I598" i="3"/>
  <c r="H598" i="3"/>
  <c r="G598" i="3"/>
  <c r="F598" i="3"/>
  <c r="E598" i="3"/>
  <c r="Q597" i="3"/>
  <c r="P597" i="3"/>
  <c r="O597" i="3"/>
  <c r="N597" i="3"/>
  <c r="M597" i="3"/>
  <c r="K597" i="3"/>
  <c r="J597" i="3"/>
  <c r="I597" i="3"/>
  <c r="H597" i="3"/>
  <c r="G597" i="3"/>
  <c r="F597" i="3"/>
  <c r="E597" i="3"/>
  <c r="U595" i="3"/>
  <c r="S595" i="3"/>
  <c r="R595" i="3"/>
  <c r="N595" i="3"/>
  <c r="M595" i="3"/>
  <c r="L595" i="3"/>
  <c r="G595" i="3"/>
  <c r="F595" i="3"/>
  <c r="E595" i="3"/>
  <c r="U594" i="3"/>
  <c r="T594" i="3"/>
  <c r="S594" i="3"/>
  <c r="N594" i="3"/>
  <c r="M594" i="3"/>
  <c r="L594" i="3"/>
  <c r="G594" i="3"/>
  <c r="F594" i="3"/>
  <c r="E594" i="3"/>
  <c r="U592" i="3"/>
  <c r="S592" i="3"/>
  <c r="N592" i="3"/>
  <c r="M592" i="3"/>
  <c r="L592" i="3"/>
  <c r="G592" i="3"/>
  <c r="F592" i="3"/>
  <c r="E592" i="3"/>
  <c r="U591" i="3"/>
  <c r="S591" i="3"/>
  <c r="N591" i="3"/>
  <c r="M591" i="3"/>
  <c r="K591" i="3"/>
  <c r="I591" i="3"/>
  <c r="H591" i="3"/>
  <c r="G591" i="3"/>
  <c r="F591" i="3"/>
  <c r="E591" i="3"/>
  <c r="U590" i="3"/>
  <c r="S590" i="3"/>
  <c r="N590" i="3"/>
  <c r="M590" i="3"/>
  <c r="K590" i="3"/>
  <c r="I590" i="3"/>
  <c r="H590" i="3"/>
  <c r="G590" i="3"/>
  <c r="F590" i="3"/>
  <c r="E590" i="3"/>
  <c r="Q589" i="3"/>
  <c r="P589" i="3"/>
  <c r="O589" i="3"/>
  <c r="N589" i="3"/>
  <c r="M589" i="3"/>
  <c r="K589" i="3"/>
  <c r="J589" i="3"/>
  <c r="I589" i="3"/>
  <c r="H589" i="3"/>
  <c r="G589" i="3"/>
  <c r="F589" i="3"/>
  <c r="E589" i="3"/>
  <c r="Q588" i="3"/>
  <c r="P588" i="3"/>
  <c r="O588" i="3"/>
  <c r="N588" i="3"/>
  <c r="M588" i="3"/>
  <c r="K588" i="3"/>
  <c r="J588" i="3"/>
  <c r="I588" i="3"/>
  <c r="H588" i="3"/>
  <c r="G588" i="3"/>
  <c r="F588" i="3"/>
  <c r="E588" i="3"/>
  <c r="U586" i="3"/>
  <c r="S586" i="3"/>
  <c r="R586" i="3"/>
  <c r="N586" i="3"/>
  <c r="M586" i="3"/>
  <c r="L586" i="3"/>
  <c r="G586" i="3"/>
  <c r="F586" i="3"/>
  <c r="E586" i="3"/>
  <c r="U585" i="3"/>
  <c r="T585" i="3"/>
  <c r="S585" i="3"/>
  <c r="N585" i="3"/>
  <c r="M585" i="3"/>
  <c r="L585" i="3"/>
  <c r="G585" i="3"/>
  <c r="F585" i="3"/>
  <c r="E585" i="3"/>
  <c r="U583" i="3"/>
  <c r="S583" i="3"/>
  <c r="N583" i="3"/>
  <c r="M583" i="3"/>
  <c r="L583" i="3"/>
  <c r="G583" i="3"/>
  <c r="F583" i="3"/>
  <c r="E583" i="3"/>
  <c r="U582" i="3"/>
  <c r="S582" i="3"/>
  <c r="N582" i="3"/>
  <c r="M582" i="3"/>
  <c r="K582" i="3"/>
  <c r="I582" i="3"/>
  <c r="H582" i="3"/>
  <c r="G582" i="3"/>
  <c r="F582" i="3"/>
  <c r="E582" i="3"/>
  <c r="U581" i="3"/>
  <c r="S581" i="3"/>
  <c r="N581" i="3"/>
  <c r="M581" i="3"/>
  <c r="K581" i="3"/>
  <c r="I581" i="3"/>
  <c r="H581" i="3"/>
  <c r="G581" i="3"/>
  <c r="F581" i="3"/>
  <c r="E581" i="3"/>
  <c r="Q580" i="3"/>
  <c r="P580" i="3"/>
  <c r="O580" i="3"/>
  <c r="N580" i="3"/>
  <c r="M580" i="3"/>
  <c r="K580" i="3"/>
  <c r="J580" i="3"/>
  <c r="I580" i="3"/>
  <c r="H580" i="3"/>
  <c r="G580" i="3"/>
  <c r="F580" i="3"/>
  <c r="E580" i="3"/>
  <c r="Q579" i="3"/>
  <c r="P579" i="3"/>
  <c r="O579" i="3"/>
  <c r="N579" i="3"/>
  <c r="M579" i="3"/>
  <c r="K579" i="3"/>
  <c r="J579" i="3"/>
  <c r="I579" i="3"/>
  <c r="H579" i="3"/>
  <c r="G579" i="3"/>
  <c r="F579" i="3"/>
  <c r="E579" i="3"/>
  <c r="U577" i="3"/>
  <c r="S577" i="3"/>
  <c r="R577" i="3"/>
  <c r="N577" i="3"/>
  <c r="M577" i="3"/>
  <c r="L577" i="3"/>
  <c r="G577" i="3"/>
  <c r="F577" i="3"/>
  <c r="E577" i="3"/>
  <c r="U576" i="3"/>
  <c r="T576" i="3"/>
  <c r="S576" i="3"/>
  <c r="N576" i="3"/>
  <c r="M576" i="3"/>
  <c r="L576" i="3"/>
  <c r="G576" i="3"/>
  <c r="F576" i="3"/>
  <c r="E576" i="3"/>
  <c r="U574" i="3"/>
  <c r="S574" i="3"/>
  <c r="N574" i="3"/>
  <c r="M574" i="3"/>
  <c r="L574" i="3"/>
  <c r="G574" i="3"/>
  <c r="F574" i="3"/>
  <c r="E574" i="3"/>
  <c r="U573" i="3"/>
  <c r="S573" i="3"/>
  <c r="N573" i="3"/>
  <c r="M573" i="3"/>
  <c r="K573" i="3"/>
  <c r="I573" i="3"/>
  <c r="H573" i="3"/>
  <c r="G573" i="3"/>
  <c r="F573" i="3"/>
  <c r="E573" i="3"/>
  <c r="U572" i="3"/>
  <c r="S572" i="3"/>
  <c r="N572" i="3"/>
  <c r="M572" i="3"/>
  <c r="K572" i="3"/>
  <c r="I572" i="3"/>
  <c r="H572" i="3"/>
  <c r="G572" i="3"/>
  <c r="F572" i="3"/>
  <c r="E572" i="3"/>
  <c r="Q571" i="3"/>
  <c r="P571" i="3"/>
  <c r="O571" i="3"/>
  <c r="N571" i="3"/>
  <c r="M571" i="3"/>
  <c r="K571" i="3"/>
  <c r="J571" i="3"/>
  <c r="I571" i="3"/>
  <c r="H571" i="3"/>
  <c r="G571" i="3"/>
  <c r="F571" i="3"/>
  <c r="E571" i="3"/>
  <c r="Q570" i="3"/>
  <c r="P570" i="3"/>
  <c r="O570" i="3"/>
  <c r="N570" i="3"/>
  <c r="M570" i="3"/>
  <c r="K570" i="3"/>
  <c r="J570" i="3"/>
  <c r="I570" i="3"/>
  <c r="H570" i="3"/>
  <c r="G570" i="3"/>
  <c r="F570" i="3"/>
  <c r="E570" i="3"/>
  <c r="U568" i="3"/>
  <c r="S568" i="3"/>
  <c r="R568" i="3"/>
  <c r="N568" i="3"/>
  <c r="M568" i="3"/>
  <c r="L568" i="3"/>
  <c r="G568" i="3"/>
  <c r="F568" i="3"/>
  <c r="E568" i="3"/>
  <c r="U567" i="3"/>
  <c r="T567" i="3"/>
  <c r="S567" i="3"/>
  <c r="N567" i="3"/>
  <c r="M567" i="3"/>
  <c r="L567" i="3"/>
  <c r="G567" i="3"/>
  <c r="F567" i="3"/>
  <c r="E567" i="3"/>
  <c r="U565" i="3"/>
  <c r="S565" i="3"/>
  <c r="N565" i="3"/>
  <c r="M565" i="3"/>
  <c r="L565" i="3"/>
  <c r="G565" i="3"/>
  <c r="F565" i="3"/>
  <c r="E565" i="3"/>
  <c r="U564" i="3"/>
  <c r="S564" i="3"/>
  <c r="N564" i="3"/>
  <c r="M564" i="3"/>
  <c r="K564" i="3"/>
  <c r="I564" i="3"/>
  <c r="H564" i="3"/>
  <c r="G564" i="3"/>
  <c r="F564" i="3"/>
  <c r="E564" i="3"/>
  <c r="U563" i="3"/>
  <c r="S563" i="3"/>
  <c r="N563" i="3"/>
  <c r="M563" i="3"/>
  <c r="K563" i="3"/>
  <c r="I563" i="3"/>
  <c r="H563" i="3"/>
  <c r="G563" i="3"/>
  <c r="F563" i="3"/>
  <c r="E563" i="3"/>
  <c r="Q562" i="3"/>
  <c r="P562" i="3"/>
  <c r="O562" i="3"/>
  <c r="N562" i="3"/>
  <c r="M562" i="3"/>
  <c r="K562" i="3"/>
  <c r="J562" i="3"/>
  <c r="I562" i="3"/>
  <c r="H562" i="3"/>
  <c r="G562" i="3"/>
  <c r="F562" i="3"/>
  <c r="E562" i="3"/>
  <c r="Q561" i="3"/>
  <c r="P561" i="3"/>
  <c r="O561" i="3"/>
  <c r="N561" i="3"/>
  <c r="M561" i="3"/>
  <c r="K561" i="3"/>
  <c r="J561" i="3"/>
  <c r="I561" i="3"/>
  <c r="H561" i="3"/>
  <c r="G561" i="3"/>
  <c r="F561" i="3"/>
  <c r="E561" i="3"/>
  <c r="U559" i="3"/>
  <c r="S559" i="3"/>
  <c r="R559" i="3"/>
  <c r="N559" i="3"/>
  <c r="M559" i="3"/>
  <c r="L559" i="3"/>
  <c r="G559" i="3"/>
  <c r="F559" i="3"/>
  <c r="E559" i="3"/>
  <c r="U558" i="3"/>
  <c r="T558" i="3"/>
  <c r="S558" i="3"/>
  <c r="N558" i="3"/>
  <c r="M558" i="3"/>
  <c r="L558" i="3"/>
  <c r="G558" i="3"/>
  <c r="F558" i="3"/>
  <c r="E558" i="3"/>
  <c r="U556" i="3"/>
  <c r="S556" i="3"/>
  <c r="N556" i="3"/>
  <c r="M556" i="3"/>
  <c r="L556" i="3"/>
  <c r="G556" i="3"/>
  <c r="F556" i="3"/>
  <c r="E556" i="3"/>
  <c r="U555" i="3"/>
  <c r="S555" i="3"/>
  <c r="N555" i="3"/>
  <c r="M555" i="3"/>
  <c r="K555" i="3"/>
  <c r="I555" i="3"/>
  <c r="H555" i="3"/>
  <c r="G555" i="3"/>
  <c r="F555" i="3"/>
  <c r="E555" i="3"/>
  <c r="U554" i="3"/>
  <c r="S554" i="3"/>
  <c r="N554" i="3"/>
  <c r="M554" i="3"/>
  <c r="K554" i="3"/>
  <c r="I554" i="3"/>
  <c r="H554" i="3"/>
  <c r="G554" i="3"/>
  <c r="F554" i="3"/>
  <c r="E554" i="3"/>
  <c r="Q553" i="3"/>
  <c r="P553" i="3"/>
  <c r="O553" i="3"/>
  <c r="N553" i="3"/>
  <c r="M553" i="3"/>
  <c r="K553" i="3"/>
  <c r="J553" i="3"/>
  <c r="I553" i="3"/>
  <c r="H553" i="3"/>
  <c r="G553" i="3"/>
  <c r="F553" i="3"/>
  <c r="E553" i="3"/>
  <c r="Q552" i="3"/>
  <c r="P552" i="3"/>
  <c r="O552" i="3"/>
  <c r="N552" i="3"/>
  <c r="M552" i="3"/>
  <c r="K552" i="3"/>
  <c r="J552" i="3"/>
  <c r="I552" i="3"/>
  <c r="H552" i="3"/>
  <c r="G552" i="3"/>
  <c r="F552" i="3"/>
  <c r="E552" i="3"/>
  <c r="U550" i="3"/>
  <c r="S550" i="3"/>
  <c r="R550" i="3"/>
  <c r="N550" i="3"/>
  <c r="M550" i="3"/>
  <c r="L550" i="3"/>
  <c r="G550" i="3"/>
  <c r="F550" i="3"/>
  <c r="E550" i="3"/>
  <c r="U549" i="3"/>
  <c r="T549" i="3"/>
  <c r="S549" i="3"/>
  <c r="N549" i="3"/>
  <c r="M549" i="3"/>
  <c r="L549" i="3"/>
  <c r="G549" i="3"/>
  <c r="F549" i="3"/>
  <c r="E549" i="3"/>
  <c r="U547" i="3"/>
  <c r="S547" i="3"/>
  <c r="N547" i="3"/>
  <c r="M547" i="3"/>
  <c r="L547" i="3"/>
  <c r="G547" i="3"/>
  <c r="F547" i="3"/>
  <c r="E547" i="3"/>
  <c r="U546" i="3"/>
  <c r="S546" i="3"/>
  <c r="N546" i="3"/>
  <c r="M546" i="3"/>
  <c r="K546" i="3"/>
  <c r="I546" i="3"/>
  <c r="H546" i="3"/>
  <c r="G546" i="3"/>
  <c r="F546" i="3"/>
  <c r="E546" i="3"/>
  <c r="U545" i="3"/>
  <c r="S545" i="3"/>
  <c r="N545" i="3"/>
  <c r="M545" i="3"/>
  <c r="K545" i="3"/>
  <c r="I545" i="3"/>
  <c r="H545" i="3"/>
  <c r="G545" i="3"/>
  <c r="F545" i="3"/>
  <c r="E545" i="3"/>
  <c r="Q544" i="3"/>
  <c r="P544" i="3"/>
  <c r="O544" i="3"/>
  <c r="N544" i="3"/>
  <c r="M544" i="3"/>
  <c r="K544" i="3"/>
  <c r="J544" i="3"/>
  <c r="I544" i="3"/>
  <c r="H544" i="3"/>
  <c r="G544" i="3"/>
  <c r="F544" i="3"/>
  <c r="E544" i="3"/>
  <c r="Q543" i="3"/>
  <c r="P543" i="3"/>
  <c r="O543" i="3"/>
  <c r="N543" i="3"/>
  <c r="M543" i="3"/>
  <c r="K543" i="3"/>
  <c r="J543" i="3"/>
  <c r="I543" i="3"/>
  <c r="H543" i="3"/>
  <c r="G543" i="3"/>
  <c r="F543" i="3"/>
  <c r="E543" i="3"/>
  <c r="U541" i="3"/>
  <c r="S541" i="3"/>
  <c r="R541" i="3"/>
  <c r="N541" i="3"/>
  <c r="M541" i="3"/>
  <c r="L541" i="3"/>
  <c r="G541" i="3"/>
  <c r="F541" i="3"/>
  <c r="E541" i="3"/>
  <c r="U540" i="3"/>
  <c r="T540" i="3"/>
  <c r="S540" i="3"/>
  <c r="N540" i="3"/>
  <c r="M540" i="3"/>
  <c r="L540" i="3"/>
  <c r="G540" i="3"/>
  <c r="F540" i="3"/>
  <c r="E540" i="3"/>
  <c r="U538" i="3"/>
  <c r="S538" i="3"/>
  <c r="N538" i="3"/>
  <c r="M538" i="3"/>
  <c r="L538" i="3"/>
  <c r="G538" i="3"/>
  <c r="F538" i="3"/>
  <c r="E538" i="3"/>
  <c r="U537" i="3"/>
  <c r="S537" i="3"/>
  <c r="N537" i="3"/>
  <c r="M537" i="3"/>
  <c r="K537" i="3"/>
  <c r="I537" i="3"/>
  <c r="H537" i="3"/>
  <c r="G537" i="3"/>
  <c r="F537" i="3"/>
  <c r="E537" i="3"/>
  <c r="U536" i="3"/>
  <c r="S536" i="3"/>
  <c r="N536" i="3"/>
  <c r="M536" i="3"/>
  <c r="K536" i="3"/>
  <c r="I536" i="3"/>
  <c r="H536" i="3"/>
  <c r="G536" i="3"/>
  <c r="F536" i="3"/>
  <c r="E536" i="3"/>
  <c r="Q535" i="3"/>
  <c r="P535" i="3"/>
  <c r="O535" i="3"/>
  <c r="N535" i="3"/>
  <c r="M535" i="3"/>
  <c r="K535" i="3"/>
  <c r="J535" i="3"/>
  <c r="I535" i="3"/>
  <c r="H535" i="3"/>
  <c r="G535" i="3"/>
  <c r="F535" i="3"/>
  <c r="E535" i="3"/>
  <c r="Q534" i="3"/>
  <c r="P534" i="3"/>
  <c r="O534" i="3"/>
  <c r="N534" i="3"/>
  <c r="M534" i="3"/>
  <c r="K534" i="3"/>
  <c r="J534" i="3"/>
  <c r="I534" i="3"/>
  <c r="H534" i="3"/>
  <c r="G534" i="3"/>
  <c r="F534" i="3"/>
  <c r="E534" i="3"/>
  <c r="U533" i="3"/>
  <c r="T533" i="3"/>
  <c r="S533" i="3"/>
  <c r="R533" i="3"/>
  <c r="Q533" i="3"/>
  <c r="P533" i="3"/>
  <c r="O533" i="3"/>
  <c r="N533" i="3"/>
  <c r="M533" i="3"/>
  <c r="L533" i="3"/>
  <c r="K533" i="3"/>
  <c r="J533" i="3"/>
  <c r="I533" i="3"/>
  <c r="H533" i="3"/>
  <c r="G533" i="3"/>
  <c r="F533" i="3"/>
  <c r="E533" i="3"/>
  <c r="U532" i="3"/>
  <c r="S532" i="3"/>
  <c r="R532" i="3"/>
  <c r="N532" i="3"/>
  <c r="M532" i="3"/>
  <c r="L532" i="3"/>
  <c r="G532" i="3"/>
  <c r="F532" i="3"/>
  <c r="E532" i="3"/>
  <c r="U531" i="3"/>
  <c r="T531" i="3"/>
  <c r="S531" i="3"/>
  <c r="N531" i="3"/>
  <c r="M531" i="3"/>
  <c r="L531" i="3"/>
  <c r="G531" i="3"/>
  <c r="F531" i="3"/>
  <c r="E531" i="3"/>
  <c r="U529" i="3"/>
  <c r="S529" i="3"/>
  <c r="N529" i="3"/>
  <c r="M529" i="3"/>
  <c r="L529" i="3"/>
  <c r="G529" i="3"/>
  <c r="F529" i="3"/>
  <c r="E529" i="3"/>
  <c r="U528" i="3"/>
  <c r="S528" i="3"/>
  <c r="N528" i="3"/>
  <c r="M528" i="3"/>
  <c r="K528" i="3"/>
  <c r="I528" i="3"/>
  <c r="H528" i="3"/>
  <c r="G528" i="3"/>
  <c r="F528" i="3"/>
  <c r="E528" i="3"/>
  <c r="U527" i="3"/>
  <c r="S527" i="3"/>
  <c r="N527" i="3"/>
  <c r="M527" i="3"/>
  <c r="K527" i="3"/>
  <c r="I527" i="3"/>
  <c r="H527" i="3"/>
  <c r="G527" i="3"/>
  <c r="F527" i="3"/>
  <c r="E527" i="3"/>
  <c r="Q526" i="3"/>
  <c r="P526" i="3"/>
  <c r="O526" i="3"/>
  <c r="N526" i="3"/>
  <c r="M526" i="3"/>
  <c r="K526" i="3"/>
  <c r="J526" i="3"/>
  <c r="I526" i="3"/>
  <c r="H526" i="3"/>
  <c r="G526" i="3"/>
  <c r="F526" i="3"/>
  <c r="E526" i="3"/>
  <c r="Q525" i="3"/>
  <c r="P525" i="3"/>
  <c r="O525" i="3"/>
  <c r="N525" i="3"/>
  <c r="M525" i="3"/>
  <c r="K525" i="3"/>
  <c r="J525" i="3"/>
  <c r="I525" i="3"/>
  <c r="H525" i="3"/>
  <c r="G525" i="3"/>
  <c r="F525" i="3"/>
  <c r="E525" i="3"/>
  <c r="U523" i="3"/>
  <c r="S523" i="3"/>
  <c r="R523" i="3"/>
  <c r="N523" i="3"/>
  <c r="M523" i="3"/>
  <c r="L523" i="3"/>
  <c r="G523" i="3"/>
  <c r="F523" i="3"/>
  <c r="E523" i="3"/>
  <c r="U522" i="3"/>
  <c r="T522" i="3"/>
  <c r="S522" i="3"/>
  <c r="N522" i="3"/>
  <c r="M522" i="3"/>
  <c r="L522" i="3"/>
  <c r="G522" i="3"/>
  <c r="F522" i="3"/>
  <c r="E522" i="3"/>
  <c r="U520" i="3"/>
  <c r="S520" i="3"/>
  <c r="N520" i="3"/>
  <c r="M520" i="3"/>
  <c r="L520" i="3"/>
  <c r="G520" i="3"/>
  <c r="F520" i="3"/>
  <c r="E520" i="3"/>
  <c r="U519" i="3"/>
  <c r="S519" i="3"/>
  <c r="N519" i="3"/>
  <c r="M519" i="3"/>
  <c r="K519" i="3"/>
  <c r="I519" i="3"/>
  <c r="H519" i="3"/>
  <c r="G519" i="3"/>
  <c r="F519" i="3"/>
  <c r="E519" i="3"/>
  <c r="U518" i="3"/>
  <c r="S518" i="3"/>
  <c r="N518" i="3"/>
  <c r="M518" i="3"/>
  <c r="K518" i="3"/>
  <c r="I518" i="3"/>
  <c r="H518" i="3"/>
  <c r="G518" i="3"/>
  <c r="F518" i="3"/>
  <c r="E518" i="3"/>
  <c r="Q517" i="3"/>
  <c r="P517" i="3"/>
  <c r="O517" i="3"/>
  <c r="N517" i="3"/>
  <c r="M517" i="3"/>
  <c r="K517" i="3"/>
  <c r="J517" i="3"/>
  <c r="I517" i="3"/>
  <c r="H517" i="3"/>
  <c r="G517" i="3"/>
  <c r="F517" i="3"/>
  <c r="E517" i="3"/>
  <c r="Q516" i="3"/>
  <c r="P516" i="3"/>
  <c r="O516" i="3"/>
  <c r="N516" i="3"/>
  <c r="M516" i="3"/>
  <c r="K516" i="3"/>
  <c r="J516" i="3"/>
  <c r="I516" i="3"/>
  <c r="H516" i="3"/>
  <c r="G516" i="3"/>
  <c r="F516" i="3"/>
  <c r="E516" i="3"/>
  <c r="U514" i="3"/>
  <c r="S514" i="3"/>
  <c r="R514" i="3"/>
  <c r="N514" i="3"/>
  <c r="M514" i="3"/>
  <c r="L514" i="3"/>
  <c r="G514" i="3"/>
  <c r="F514" i="3"/>
  <c r="E514" i="3"/>
  <c r="U513" i="3"/>
  <c r="T513" i="3"/>
  <c r="S513" i="3"/>
  <c r="N513" i="3"/>
  <c r="M513" i="3"/>
  <c r="L513" i="3"/>
  <c r="G513" i="3"/>
  <c r="F513" i="3"/>
  <c r="E513" i="3"/>
  <c r="U511" i="3"/>
  <c r="S511" i="3"/>
  <c r="N511" i="3"/>
  <c r="M511" i="3"/>
  <c r="L511" i="3"/>
  <c r="G511" i="3"/>
  <c r="F511" i="3"/>
  <c r="E511" i="3"/>
  <c r="U510" i="3"/>
  <c r="S510" i="3"/>
  <c r="N510" i="3"/>
  <c r="M510" i="3"/>
  <c r="K510" i="3"/>
  <c r="I510" i="3"/>
  <c r="H510" i="3"/>
  <c r="G510" i="3"/>
  <c r="F510" i="3"/>
  <c r="E510" i="3"/>
  <c r="U509" i="3"/>
  <c r="S509" i="3"/>
  <c r="N509" i="3"/>
  <c r="M509" i="3"/>
  <c r="K509" i="3"/>
  <c r="I509" i="3"/>
  <c r="H509" i="3"/>
  <c r="G509" i="3"/>
  <c r="F509" i="3"/>
  <c r="E509" i="3"/>
  <c r="Q508" i="3"/>
  <c r="P508" i="3"/>
  <c r="O508" i="3"/>
  <c r="N508" i="3"/>
  <c r="M508" i="3"/>
  <c r="K508" i="3"/>
  <c r="J508" i="3"/>
  <c r="I508" i="3"/>
  <c r="H508" i="3"/>
  <c r="G508" i="3"/>
  <c r="F508" i="3"/>
  <c r="E508" i="3"/>
  <c r="Q507" i="3"/>
  <c r="P507" i="3"/>
  <c r="O507" i="3"/>
  <c r="N507" i="3"/>
  <c r="M507" i="3"/>
  <c r="K507" i="3"/>
  <c r="J507" i="3"/>
  <c r="I507" i="3"/>
  <c r="H507" i="3"/>
  <c r="G507" i="3"/>
  <c r="F507" i="3"/>
  <c r="E507" i="3"/>
  <c r="U505" i="3"/>
  <c r="S505" i="3"/>
  <c r="R505" i="3"/>
  <c r="N505" i="3"/>
  <c r="M505" i="3"/>
  <c r="L505" i="3"/>
  <c r="G505" i="3"/>
  <c r="F505" i="3"/>
  <c r="E505" i="3"/>
  <c r="U504" i="3"/>
  <c r="T504" i="3"/>
  <c r="S504" i="3"/>
  <c r="N504" i="3"/>
  <c r="M504" i="3"/>
  <c r="L504" i="3"/>
  <c r="G504" i="3"/>
  <c r="F504" i="3"/>
  <c r="E504" i="3"/>
  <c r="U502" i="3"/>
  <c r="S502" i="3"/>
  <c r="N502" i="3"/>
  <c r="M502" i="3"/>
  <c r="L502" i="3"/>
  <c r="G502" i="3"/>
  <c r="F502" i="3"/>
  <c r="E502" i="3"/>
  <c r="U501" i="3"/>
  <c r="S501" i="3"/>
  <c r="N501" i="3"/>
  <c r="M501" i="3"/>
  <c r="K501" i="3"/>
  <c r="I501" i="3"/>
  <c r="H501" i="3"/>
  <c r="G501" i="3"/>
  <c r="F501" i="3"/>
  <c r="E501" i="3"/>
  <c r="U500" i="3"/>
  <c r="S500" i="3"/>
  <c r="N500" i="3"/>
  <c r="M500" i="3"/>
  <c r="K500" i="3"/>
  <c r="I500" i="3"/>
  <c r="H500" i="3"/>
  <c r="G500" i="3"/>
  <c r="F500" i="3"/>
  <c r="E500" i="3"/>
  <c r="Q499" i="3"/>
  <c r="P499" i="3"/>
  <c r="O499" i="3"/>
  <c r="N499" i="3"/>
  <c r="M499" i="3"/>
  <c r="K499" i="3"/>
  <c r="J499" i="3"/>
  <c r="I499" i="3"/>
  <c r="H499" i="3"/>
  <c r="G499" i="3"/>
  <c r="F499" i="3"/>
  <c r="E499" i="3"/>
  <c r="Q498" i="3"/>
  <c r="P498" i="3"/>
  <c r="O498" i="3"/>
  <c r="N498" i="3"/>
  <c r="M498" i="3"/>
  <c r="K498" i="3"/>
  <c r="J498" i="3"/>
  <c r="I498" i="3"/>
  <c r="H498" i="3"/>
  <c r="G498" i="3"/>
  <c r="F498" i="3"/>
  <c r="E498" i="3"/>
  <c r="U496" i="3"/>
  <c r="S496" i="3"/>
  <c r="R496" i="3"/>
  <c r="N496" i="3"/>
  <c r="M496" i="3"/>
  <c r="L496" i="3"/>
  <c r="G496" i="3"/>
  <c r="F496" i="3"/>
  <c r="E496" i="3"/>
  <c r="U495" i="3"/>
  <c r="T495" i="3"/>
  <c r="S495" i="3"/>
  <c r="N495" i="3"/>
  <c r="M495" i="3"/>
  <c r="L495" i="3"/>
  <c r="G495" i="3"/>
  <c r="F495" i="3"/>
  <c r="E495" i="3"/>
  <c r="U493" i="3"/>
  <c r="S493" i="3"/>
  <c r="N493" i="3"/>
  <c r="M493" i="3"/>
  <c r="L493" i="3"/>
  <c r="G493" i="3"/>
  <c r="F493" i="3"/>
  <c r="E493" i="3"/>
  <c r="U492" i="3"/>
  <c r="S492" i="3"/>
  <c r="N492" i="3"/>
  <c r="M492" i="3"/>
  <c r="K492" i="3"/>
  <c r="I492" i="3"/>
  <c r="H492" i="3"/>
  <c r="G492" i="3"/>
  <c r="F492" i="3"/>
  <c r="E492" i="3"/>
  <c r="U491" i="3"/>
  <c r="S491" i="3"/>
  <c r="N491" i="3"/>
  <c r="M491" i="3"/>
  <c r="K491" i="3"/>
  <c r="I491" i="3"/>
  <c r="H491" i="3"/>
  <c r="G491" i="3"/>
  <c r="F491" i="3"/>
  <c r="E491" i="3"/>
  <c r="Q490" i="3"/>
  <c r="P490" i="3"/>
  <c r="O490" i="3"/>
  <c r="N490" i="3"/>
  <c r="M490" i="3"/>
  <c r="K490" i="3"/>
  <c r="J490" i="3"/>
  <c r="I490" i="3"/>
  <c r="H490" i="3"/>
  <c r="G490" i="3"/>
  <c r="F490" i="3"/>
  <c r="E490" i="3"/>
  <c r="Q489" i="3"/>
  <c r="P489" i="3"/>
  <c r="O489" i="3"/>
  <c r="N489" i="3"/>
  <c r="M489" i="3"/>
  <c r="K489" i="3"/>
  <c r="J489" i="3"/>
  <c r="I489" i="3"/>
  <c r="H489" i="3"/>
  <c r="G489" i="3"/>
  <c r="F489" i="3"/>
  <c r="E489" i="3"/>
  <c r="U487" i="3"/>
  <c r="S487" i="3"/>
  <c r="R487" i="3"/>
  <c r="N487" i="3"/>
  <c r="M487" i="3"/>
  <c r="L487" i="3"/>
  <c r="G487" i="3"/>
  <c r="F487" i="3"/>
  <c r="E487" i="3"/>
  <c r="U486" i="3"/>
  <c r="T486" i="3"/>
  <c r="S486" i="3"/>
  <c r="N486" i="3"/>
  <c r="M486" i="3"/>
  <c r="L486" i="3"/>
  <c r="G486" i="3"/>
  <c r="F486" i="3"/>
  <c r="E486" i="3"/>
  <c r="U484" i="3"/>
  <c r="S484" i="3"/>
  <c r="N484" i="3"/>
  <c r="M484" i="3"/>
  <c r="L484" i="3"/>
  <c r="G484" i="3"/>
  <c r="F484" i="3"/>
  <c r="E484" i="3"/>
  <c r="U483" i="3"/>
  <c r="S483" i="3"/>
  <c r="N483" i="3"/>
  <c r="M483" i="3"/>
  <c r="K483" i="3"/>
  <c r="I483" i="3"/>
  <c r="H483" i="3"/>
  <c r="G483" i="3"/>
  <c r="F483" i="3"/>
  <c r="E483" i="3"/>
  <c r="U482" i="3"/>
  <c r="S482" i="3"/>
  <c r="N482" i="3"/>
  <c r="M482" i="3"/>
  <c r="K482" i="3"/>
  <c r="I482" i="3"/>
  <c r="H482" i="3"/>
  <c r="G482" i="3"/>
  <c r="F482" i="3"/>
  <c r="E482" i="3"/>
  <c r="Q481" i="3"/>
  <c r="P481" i="3"/>
  <c r="O481" i="3"/>
  <c r="N481" i="3"/>
  <c r="M481" i="3"/>
  <c r="K481" i="3"/>
  <c r="J481" i="3"/>
  <c r="I481" i="3"/>
  <c r="H481" i="3"/>
  <c r="G481" i="3"/>
  <c r="F481" i="3"/>
  <c r="E481" i="3"/>
  <c r="Q480" i="3"/>
  <c r="P480" i="3"/>
  <c r="O480" i="3"/>
  <c r="N480" i="3"/>
  <c r="M480" i="3"/>
  <c r="K480" i="3"/>
  <c r="J480" i="3"/>
  <c r="I480" i="3"/>
  <c r="H480" i="3"/>
  <c r="G480" i="3"/>
  <c r="F480" i="3"/>
  <c r="E480" i="3"/>
  <c r="U478" i="3"/>
  <c r="S478" i="3"/>
  <c r="R478" i="3"/>
  <c r="N478" i="3"/>
  <c r="M478" i="3"/>
  <c r="L478" i="3"/>
  <c r="G478" i="3"/>
  <c r="F478" i="3"/>
  <c r="E478" i="3"/>
  <c r="U477" i="3"/>
  <c r="T477" i="3"/>
  <c r="S477" i="3"/>
  <c r="N477" i="3"/>
  <c r="M477" i="3"/>
  <c r="L477" i="3"/>
  <c r="G477" i="3"/>
  <c r="F477" i="3"/>
  <c r="E477" i="3"/>
  <c r="U475" i="3"/>
  <c r="S475" i="3"/>
  <c r="N475" i="3"/>
  <c r="M475" i="3"/>
  <c r="L475" i="3"/>
  <c r="G475" i="3"/>
  <c r="F475" i="3"/>
  <c r="E475" i="3"/>
  <c r="U474" i="3"/>
  <c r="S474" i="3"/>
  <c r="N474" i="3"/>
  <c r="M474" i="3"/>
  <c r="K474" i="3"/>
  <c r="I474" i="3"/>
  <c r="H474" i="3"/>
  <c r="G474" i="3"/>
  <c r="F474" i="3"/>
  <c r="E474" i="3"/>
  <c r="U473" i="3"/>
  <c r="S473" i="3"/>
  <c r="N473" i="3"/>
  <c r="M473" i="3"/>
  <c r="K473" i="3"/>
  <c r="I473" i="3"/>
  <c r="H473" i="3"/>
  <c r="G473" i="3"/>
  <c r="F473" i="3"/>
  <c r="E473" i="3"/>
  <c r="Q472" i="3"/>
  <c r="P472" i="3"/>
  <c r="O472" i="3"/>
  <c r="N472" i="3"/>
  <c r="M472" i="3"/>
  <c r="K472" i="3"/>
  <c r="J472" i="3"/>
  <c r="I472" i="3"/>
  <c r="H472" i="3"/>
  <c r="G472" i="3"/>
  <c r="F472" i="3"/>
  <c r="E472" i="3"/>
  <c r="Q471" i="3"/>
  <c r="P471" i="3"/>
  <c r="O471" i="3"/>
  <c r="N471" i="3"/>
  <c r="M471" i="3"/>
  <c r="K471" i="3"/>
  <c r="J471" i="3"/>
  <c r="I471" i="3"/>
  <c r="H471" i="3"/>
  <c r="G471" i="3"/>
  <c r="F471" i="3"/>
  <c r="E471" i="3"/>
  <c r="U361" i="13"/>
  <c r="S361" i="13"/>
  <c r="R361" i="13"/>
  <c r="N361" i="13"/>
  <c r="M361" i="13"/>
  <c r="L361" i="13"/>
  <c r="G361" i="13"/>
  <c r="F361" i="13"/>
  <c r="E361" i="13"/>
  <c r="U360" i="13"/>
  <c r="T360" i="13"/>
  <c r="N360" i="13"/>
  <c r="M360" i="13"/>
  <c r="L360" i="13"/>
  <c r="G360" i="13"/>
  <c r="F360" i="13"/>
  <c r="E360" i="13"/>
  <c r="U358" i="13"/>
  <c r="S358" i="13"/>
  <c r="N358" i="13"/>
  <c r="M358" i="13"/>
  <c r="L358" i="13"/>
  <c r="G358" i="13"/>
  <c r="F358" i="13"/>
  <c r="E358" i="13"/>
  <c r="U357" i="13"/>
  <c r="S357" i="13"/>
  <c r="N357" i="13"/>
  <c r="M357" i="13"/>
  <c r="K357" i="13"/>
  <c r="I357" i="13"/>
  <c r="H357" i="13"/>
  <c r="G357" i="13"/>
  <c r="F357" i="13"/>
  <c r="E357" i="13"/>
  <c r="U356" i="13"/>
  <c r="S356" i="13"/>
  <c r="N356" i="13"/>
  <c r="M356" i="13"/>
  <c r="K356" i="13"/>
  <c r="I356" i="13"/>
  <c r="H356" i="13"/>
  <c r="G356" i="13"/>
  <c r="F356" i="13"/>
  <c r="E356" i="13"/>
  <c r="Q355" i="13"/>
  <c r="P355" i="13"/>
  <c r="O355" i="13"/>
  <c r="N355" i="13"/>
  <c r="M355" i="13"/>
  <c r="K355" i="13"/>
  <c r="J355" i="13"/>
  <c r="I355" i="13"/>
  <c r="H355" i="13"/>
  <c r="G355" i="13"/>
  <c r="F355" i="13"/>
  <c r="E355" i="13"/>
  <c r="Q354" i="13"/>
  <c r="P354" i="13"/>
  <c r="O354" i="13"/>
  <c r="N354" i="13"/>
  <c r="M354" i="13"/>
  <c r="K354" i="13"/>
  <c r="J354" i="13"/>
  <c r="I354" i="13"/>
  <c r="H354" i="13"/>
  <c r="G354" i="13"/>
  <c r="F354" i="13"/>
  <c r="E354" i="13"/>
  <c r="U352" i="13"/>
  <c r="S352" i="13"/>
  <c r="R352" i="13"/>
  <c r="N352" i="13"/>
  <c r="M352" i="13"/>
  <c r="L352" i="13"/>
  <c r="G352" i="13"/>
  <c r="F352" i="13"/>
  <c r="E352" i="13"/>
  <c r="U351" i="13"/>
  <c r="T351" i="13"/>
  <c r="N351" i="13"/>
  <c r="M351" i="13"/>
  <c r="L351" i="13"/>
  <c r="G351" i="13"/>
  <c r="F351" i="13"/>
  <c r="E351" i="13"/>
  <c r="U349" i="13"/>
  <c r="S349" i="13"/>
  <c r="N349" i="13"/>
  <c r="M349" i="13"/>
  <c r="L349" i="13"/>
  <c r="G349" i="13"/>
  <c r="F349" i="13"/>
  <c r="E349" i="13"/>
  <c r="U348" i="13"/>
  <c r="S348" i="13"/>
  <c r="N348" i="13"/>
  <c r="M348" i="13"/>
  <c r="K348" i="13"/>
  <c r="I348" i="13"/>
  <c r="H348" i="13"/>
  <c r="G348" i="13"/>
  <c r="F348" i="13"/>
  <c r="E348" i="13"/>
  <c r="U347" i="13"/>
  <c r="S347" i="13"/>
  <c r="N347" i="13"/>
  <c r="M347" i="13"/>
  <c r="K347" i="13"/>
  <c r="I347" i="13"/>
  <c r="H347" i="13"/>
  <c r="G347" i="13"/>
  <c r="F347" i="13"/>
  <c r="E347" i="13"/>
  <c r="Q346" i="13"/>
  <c r="P346" i="13"/>
  <c r="O346" i="13"/>
  <c r="N346" i="13"/>
  <c r="M346" i="13"/>
  <c r="K346" i="13"/>
  <c r="J346" i="13"/>
  <c r="I346" i="13"/>
  <c r="H346" i="13"/>
  <c r="G346" i="13"/>
  <c r="F346" i="13"/>
  <c r="E346" i="13"/>
  <c r="Q345" i="13"/>
  <c r="P345" i="13"/>
  <c r="O345" i="13"/>
  <c r="N345" i="13"/>
  <c r="M345" i="13"/>
  <c r="K345" i="13"/>
  <c r="J345" i="13"/>
  <c r="I345" i="13"/>
  <c r="H345" i="13"/>
  <c r="G345" i="13"/>
  <c r="F345" i="13"/>
  <c r="E345" i="13"/>
  <c r="U343" i="13"/>
  <c r="S343" i="13"/>
  <c r="R343" i="13"/>
  <c r="N343" i="13"/>
  <c r="M343" i="13"/>
  <c r="L343" i="13"/>
  <c r="G343" i="13"/>
  <c r="F343" i="13"/>
  <c r="E343" i="13"/>
  <c r="U342" i="13"/>
  <c r="T342" i="13"/>
  <c r="N342" i="13"/>
  <c r="M342" i="13"/>
  <c r="L342" i="13"/>
  <c r="G342" i="13"/>
  <c r="F342" i="13"/>
  <c r="E342" i="13"/>
  <c r="U340" i="13"/>
  <c r="S340" i="13"/>
  <c r="N340" i="13"/>
  <c r="M340" i="13"/>
  <c r="L340" i="13"/>
  <c r="G340" i="13"/>
  <c r="F340" i="13"/>
  <c r="E340" i="13"/>
  <c r="U339" i="13"/>
  <c r="S339" i="13"/>
  <c r="N339" i="13"/>
  <c r="M339" i="13"/>
  <c r="K339" i="13"/>
  <c r="I339" i="13"/>
  <c r="H339" i="13"/>
  <c r="G339" i="13"/>
  <c r="F339" i="13"/>
  <c r="E339" i="13"/>
  <c r="U338" i="13"/>
  <c r="S338" i="13"/>
  <c r="N338" i="13"/>
  <c r="M338" i="13"/>
  <c r="K338" i="13"/>
  <c r="I338" i="13"/>
  <c r="H338" i="13"/>
  <c r="G338" i="13"/>
  <c r="F338" i="13"/>
  <c r="E338" i="13"/>
  <c r="Q337" i="13"/>
  <c r="P337" i="13"/>
  <c r="O337" i="13"/>
  <c r="N337" i="13"/>
  <c r="M337" i="13"/>
  <c r="K337" i="13"/>
  <c r="J337" i="13"/>
  <c r="I337" i="13"/>
  <c r="H337" i="13"/>
  <c r="G337" i="13"/>
  <c r="F337" i="13"/>
  <c r="E337" i="13"/>
  <c r="Q336" i="13"/>
  <c r="P336" i="13"/>
  <c r="O336" i="13"/>
  <c r="N336" i="13"/>
  <c r="M336" i="13"/>
  <c r="K336" i="13"/>
  <c r="J336" i="13"/>
  <c r="I336" i="13"/>
  <c r="H336" i="13"/>
  <c r="G336" i="13"/>
  <c r="F336" i="13"/>
  <c r="E336" i="13"/>
  <c r="U334" i="13"/>
  <c r="S334" i="13"/>
  <c r="R334" i="13"/>
  <c r="N334" i="13"/>
  <c r="M334" i="13"/>
  <c r="L334" i="13"/>
  <c r="G334" i="13"/>
  <c r="F334" i="13"/>
  <c r="E334" i="13"/>
  <c r="U333" i="13"/>
  <c r="T333" i="13"/>
  <c r="N333" i="13"/>
  <c r="M333" i="13"/>
  <c r="L333" i="13"/>
  <c r="G333" i="13"/>
  <c r="F333" i="13"/>
  <c r="E333" i="13"/>
  <c r="U331" i="13"/>
  <c r="S331" i="13"/>
  <c r="N331" i="13"/>
  <c r="M331" i="13"/>
  <c r="L331" i="13"/>
  <c r="G331" i="13"/>
  <c r="F331" i="13"/>
  <c r="E331" i="13"/>
  <c r="U330" i="13"/>
  <c r="S330" i="13"/>
  <c r="N330" i="13"/>
  <c r="M330" i="13"/>
  <c r="K330" i="13"/>
  <c r="I330" i="13"/>
  <c r="H330" i="13"/>
  <c r="G330" i="13"/>
  <c r="F330" i="13"/>
  <c r="E330" i="13"/>
  <c r="U329" i="13"/>
  <c r="S329" i="13"/>
  <c r="N329" i="13"/>
  <c r="M329" i="13"/>
  <c r="K329" i="13"/>
  <c r="I329" i="13"/>
  <c r="H329" i="13"/>
  <c r="G329" i="13"/>
  <c r="F329" i="13"/>
  <c r="E329" i="13"/>
  <c r="Q328" i="13"/>
  <c r="P328" i="13"/>
  <c r="O328" i="13"/>
  <c r="N328" i="13"/>
  <c r="M328" i="13"/>
  <c r="K328" i="13"/>
  <c r="J328" i="13"/>
  <c r="I328" i="13"/>
  <c r="H328" i="13"/>
  <c r="G328" i="13"/>
  <c r="F328" i="13"/>
  <c r="E328" i="13"/>
  <c r="Q327" i="13"/>
  <c r="P327" i="13"/>
  <c r="O327" i="13"/>
  <c r="N327" i="13"/>
  <c r="M327" i="13"/>
  <c r="K327" i="13"/>
  <c r="J327" i="13"/>
  <c r="I327" i="13"/>
  <c r="H327" i="13"/>
  <c r="G327" i="13"/>
  <c r="F327" i="13"/>
  <c r="E327" i="13"/>
  <c r="U325" i="13"/>
  <c r="S325" i="13"/>
  <c r="R325" i="13"/>
  <c r="N325" i="13"/>
  <c r="M325" i="13"/>
  <c r="L325" i="13"/>
  <c r="G325" i="13"/>
  <c r="F325" i="13"/>
  <c r="E325" i="13"/>
  <c r="U324" i="13"/>
  <c r="T324" i="13"/>
  <c r="N324" i="13"/>
  <c r="M324" i="13"/>
  <c r="L324" i="13"/>
  <c r="G324" i="13"/>
  <c r="F324" i="13"/>
  <c r="E324" i="13"/>
  <c r="U322" i="13"/>
  <c r="S322" i="13"/>
  <c r="N322" i="13"/>
  <c r="M322" i="13"/>
  <c r="L322" i="13"/>
  <c r="G322" i="13"/>
  <c r="F322" i="13"/>
  <c r="E322" i="13"/>
  <c r="U321" i="13"/>
  <c r="S321" i="13"/>
  <c r="N321" i="13"/>
  <c r="M321" i="13"/>
  <c r="K321" i="13"/>
  <c r="I321" i="13"/>
  <c r="H321" i="13"/>
  <c r="G321" i="13"/>
  <c r="F321" i="13"/>
  <c r="E321" i="13"/>
  <c r="U320" i="13"/>
  <c r="S320" i="13"/>
  <c r="N320" i="13"/>
  <c r="M320" i="13"/>
  <c r="K320" i="13"/>
  <c r="I320" i="13"/>
  <c r="H320" i="13"/>
  <c r="G320" i="13"/>
  <c r="F320" i="13"/>
  <c r="E320" i="13"/>
  <c r="Q319" i="13"/>
  <c r="P319" i="13"/>
  <c r="O319" i="13"/>
  <c r="N319" i="13"/>
  <c r="M319" i="13"/>
  <c r="K319" i="13"/>
  <c r="J319" i="13"/>
  <c r="I319" i="13"/>
  <c r="H319" i="13"/>
  <c r="G319" i="13"/>
  <c r="F319" i="13"/>
  <c r="E319" i="13"/>
  <c r="Q318" i="13"/>
  <c r="P318" i="13"/>
  <c r="O318" i="13"/>
  <c r="N318" i="13"/>
  <c r="M318" i="13"/>
  <c r="K318" i="13"/>
  <c r="J318" i="13"/>
  <c r="I318" i="13"/>
  <c r="H318" i="13"/>
  <c r="G318" i="13"/>
  <c r="F318" i="13"/>
  <c r="E318" i="13"/>
  <c r="U316" i="13"/>
  <c r="S316" i="13"/>
  <c r="R316" i="13"/>
  <c r="N316" i="13"/>
  <c r="M316" i="13"/>
  <c r="L316" i="13"/>
  <c r="G316" i="13"/>
  <c r="F316" i="13"/>
  <c r="E316" i="13"/>
  <c r="U315" i="13"/>
  <c r="T315" i="13"/>
  <c r="N315" i="13"/>
  <c r="M315" i="13"/>
  <c r="L315" i="13"/>
  <c r="G315" i="13"/>
  <c r="F315" i="13"/>
  <c r="E315" i="13"/>
  <c r="U313" i="13"/>
  <c r="S313" i="13"/>
  <c r="N313" i="13"/>
  <c r="M313" i="13"/>
  <c r="L313" i="13"/>
  <c r="G313" i="13"/>
  <c r="F313" i="13"/>
  <c r="E313" i="13"/>
  <c r="U312" i="13"/>
  <c r="S312" i="13"/>
  <c r="N312" i="13"/>
  <c r="M312" i="13"/>
  <c r="K312" i="13"/>
  <c r="I312" i="13"/>
  <c r="H312" i="13"/>
  <c r="G312" i="13"/>
  <c r="F312" i="13"/>
  <c r="E312" i="13"/>
  <c r="U311" i="13"/>
  <c r="S311" i="13"/>
  <c r="N311" i="13"/>
  <c r="M311" i="13"/>
  <c r="K311" i="13"/>
  <c r="I311" i="13"/>
  <c r="H311" i="13"/>
  <c r="G311" i="13"/>
  <c r="F311" i="13"/>
  <c r="E311" i="13"/>
  <c r="Q310" i="13"/>
  <c r="P310" i="13"/>
  <c r="O310" i="13"/>
  <c r="N310" i="13"/>
  <c r="M310" i="13"/>
  <c r="K310" i="13"/>
  <c r="J310" i="13"/>
  <c r="I310" i="13"/>
  <c r="H310" i="13"/>
  <c r="G310" i="13"/>
  <c r="F310" i="13"/>
  <c r="E310" i="13"/>
  <c r="Q309" i="13"/>
  <c r="P309" i="13"/>
  <c r="O309" i="13"/>
  <c r="N309" i="13"/>
  <c r="M309" i="13"/>
  <c r="K309" i="13"/>
  <c r="J309" i="13"/>
  <c r="I309" i="13"/>
  <c r="H309" i="13"/>
  <c r="G309" i="13"/>
  <c r="F309" i="13"/>
  <c r="E309" i="13"/>
  <c r="U307" i="13"/>
  <c r="S307" i="13"/>
  <c r="R307" i="13"/>
  <c r="N307" i="13"/>
  <c r="M307" i="13"/>
  <c r="L307" i="13"/>
  <c r="G307" i="13"/>
  <c r="F307" i="13"/>
  <c r="E307" i="13"/>
  <c r="U306" i="13"/>
  <c r="T306" i="13"/>
  <c r="N306" i="13"/>
  <c r="M306" i="13"/>
  <c r="L306" i="13"/>
  <c r="G306" i="13"/>
  <c r="F306" i="13"/>
  <c r="E306" i="13"/>
  <c r="U304" i="13"/>
  <c r="S304" i="13"/>
  <c r="N304" i="13"/>
  <c r="M304" i="13"/>
  <c r="L304" i="13"/>
  <c r="G304" i="13"/>
  <c r="F304" i="13"/>
  <c r="E304" i="13"/>
  <c r="U303" i="13"/>
  <c r="S303" i="13"/>
  <c r="N303" i="13"/>
  <c r="M303" i="13"/>
  <c r="K303" i="13"/>
  <c r="I303" i="13"/>
  <c r="H303" i="13"/>
  <c r="G303" i="13"/>
  <c r="F303" i="13"/>
  <c r="E303" i="13"/>
  <c r="U302" i="13"/>
  <c r="S302" i="13"/>
  <c r="N302" i="13"/>
  <c r="M302" i="13"/>
  <c r="K302" i="13"/>
  <c r="I302" i="13"/>
  <c r="H302" i="13"/>
  <c r="G302" i="13"/>
  <c r="F302" i="13"/>
  <c r="E302" i="13"/>
  <c r="Q301" i="13"/>
  <c r="P301" i="13"/>
  <c r="O301" i="13"/>
  <c r="N301" i="13"/>
  <c r="M301" i="13"/>
  <c r="K301" i="13"/>
  <c r="J301" i="13"/>
  <c r="I301" i="13"/>
  <c r="H301" i="13"/>
  <c r="G301" i="13"/>
  <c r="F301" i="13"/>
  <c r="E301" i="13"/>
  <c r="Q300" i="13"/>
  <c r="P300" i="13"/>
  <c r="O300" i="13"/>
  <c r="N300" i="13"/>
  <c r="M300" i="13"/>
  <c r="K300" i="13"/>
  <c r="J300" i="13"/>
  <c r="I300" i="13"/>
  <c r="H300" i="13"/>
  <c r="G300" i="13"/>
  <c r="F300" i="13"/>
  <c r="E300" i="13"/>
  <c r="U298" i="13"/>
  <c r="S298" i="13"/>
  <c r="R298" i="13"/>
  <c r="N298" i="13"/>
  <c r="M298" i="13"/>
  <c r="L298" i="13"/>
  <c r="G298" i="13"/>
  <c r="F298" i="13"/>
  <c r="E298" i="13"/>
  <c r="U297" i="13"/>
  <c r="T297" i="13"/>
  <c r="N297" i="13"/>
  <c r="M297" i="13"/>
  <c r="L297" i="13"/>
  <c r="G297" i="13"/>
  <c r="F297" i="13"/>
  <c r="E297" i="13"/>
  <c r="U295" i="13"/>
  <c r="S295" i="13"/>
  <c r="N295" i="13"/>
  <c r="M295" i="13"/>
  <c r="L295" i="13"/>
  <c r="G295" i="13"/>
  <c r="F295" i="13"/>
  <c r="E295" i="13"/>
  <c r="U294" i="13"/>
  <c r="S294" i="13"/>
  <c r="N294" i="13"/>
  <c r="M294" i="13"/>
  <c r="K294" i="13"/>
  <c r="I294" i="13"/>
  <c r="H294" i="13"/>
  <c r="G294" i="13"/>
  <c r="F294" i="13"/>
  <c r="E294" i="13"/>
  <c r="U293" i="13"/>
  <c r="S293" i="13"/>
  <c r="N293" i="13"/>
  <c r="M293" i="13"/>
  <c r="K293" i="13"/>
  <c r="I293" i="13"/>
  <c r="H293" i="13"/>
  <c r="G293" i="13"/>
  <c r="F293" i="13"/>
  <c r="E293" i="13"/>
  <c r="Q292" i="13"/>
  <c r="P292" i="13"/>
  <c r="O292" i="13"/>
  <c r="N292" i="13"/>
  <c r="M292" i="13"/>
  <c r="K292" i="13"/>
  <c r="J292" i="13"/>
  <c r="I292" i="13"/>
  <c r="H292" i="13"/>
  <c r="G292" i="13"/>
  <c r="F292" i="13"/>
  <c r="E292" i="13"/>
  <c r="Q291" i="13"/>
  <c r="P291" i="13"/>
  <c r="O291" i="13"/>
  <c r="N291" i="13"/>
  <c r="M291" i="13"/>
  <c r="K291" i="13"/>
  <c r="J291" i="13"/>
  <c r="I291" i="13"/>
  <c r="H291" i="13"/>
  <c r="G291" i="13"/>
  <c r="F291" i="13"/>
  <c r="E291" i="13"/>
  <c r="U289" i="13"/>
  <c r="S289" i="13"/>
  <c r="R289" i="13"/>
  <c r="N289" i="13"/>
  <c r="M289" i="13"/>
  <c r="L289" i="13"/>
  <c r="G289" i="13"/>
  <c r="F289" i="13"/>
  <c r="E289" i="13"/>
  <c r="U288" i="13"/>
  <c r="T288" i="13"/>
  <c r="N288" i="13"/>
  <c r="M288" i="13"/>
  <c r="L288" i="13"/>
  <c r="G288" i="13"/>
  <c r="F288" i="13"/>
  <c r="E288" i="13"/>
  <c r="U286" i="13"/>
  <c r="S286" i="13"/>
  <c r="N286" i="13"/>
  <c r="M286" i="13"/>
  <c r="L286" i="13"/>
  <c r="G286" i="13"/>
  <c r="F286" i="13"/>
  <c r="E286" i="13"/>
  <c r="U285" i="13"/>
  <c r="S285" i="13"/>
  <c r="N285" i="13"/>
  <c r="M285" i="13"/>
  <c r="K285" i="13"/>
  <c r="I285" i="13"/>
  <c r="H285" i="13"/>
  <c r="G285" i="13"/>
  <c r="F285" i="13"/>
  <c r="E285" i="13"/>
  <c r="U284" i="13"/>
  <c r="S284" i="13"/>
  <c r="N284" i="13"/>
  <c r="M284" i="13"/>
  <c r="K284" i="13"/>
  <c r="I284" i="13"/>
  <c r="H284" i="13"/>
  <c r="G284" i="13"/>
  <c r="F284" i="13"/>
  <c r="E284" i="13"/>
  <c r="Q283" i="13"/>
  <c r="P283" i="13"/>
  <c r="O283" i="13"/>
  <c r="N283" i="13"/>
  <c r="M283" i="13"/>
  <c r="K283" i="13"/>
  <c r="J283" i="13"/>
  <c r="I283" i="13"/>
  <c r="H283" i="13"/>
  <c r="G283" i="13"/>
  <c r="F283" i="13"/>
  <c r="E283" i="13"/>
  <c r="Q282" i="13"/>
  <c r="P282" i="13"/>
  <c r="O282" i="13"/>
  <c r="N282" i="13"/>
  <c r="M282" i="13"/>
  <c r="K282" i="13"/>
  <c r="J282" i="13"/>
  <c r="I282" i="13"/>
  <c r="H282" i="13"/>
  <c r="G282" i="13"/>
  <c r="F282" i="13"/>
  <c r="E282" i="13"/>
  <c r="U280" i="13"/>
  <c r="S280" i="13"/>
  <c r="R280" i="13"/>
  <c r="N280" i="13"/>
  <c r="M280" i="13"/>
  <c r="L280" i="13"/>
  <c r="G280" i="13"/>
  <c r="F280" i="13"/>
  <c r="E280" i="13"/>
  <c r="U279" i="13"/>
  <c r="T279" i="13"/>
  <c r="N279" i="13"/>
  <c r="M279" i="13"/>
  <c r="L279" i="13"/>
  <c r="G279" i="13"/>
  <c r="F279" i="13"/>
  <c r="E279" i="13"/>
  <c r="U277" i="13"/>
  <c r="S277" i="13"/>
  <c r="N277" i="13"/>
  <c r="M277" i="13"/>
  <c r="L277" i="13"/>
  <c r="G277" i="13"/>
  <c r="F277" i="13"/>
  <c r="E277" i="13"/>
  <c r="U276" i="13"/>
  <c r="S276" i="13"/>
  <c r="N276" i="13"/>
  <c r="M276" i="13"/>
  <c r="K276" i="13"/>
  <c r="I276" i="13"/>
  <c r="H276" i="13"/>
  <c r="G276" i="13"/>
  <c r="F276" i="13"/>
  <c r="E276" i="13"/>
  <c r="U275" i="13"/>
  <c r="S275" i="13"/>
  <c r="N275" i="13"/>
  <c r="M275" i="13"/>
  <c r="K275" i="13"/>
  <c r="I275" i="13"/>
  <c r="H275" i="13"/>
  <c r="G275" i="13"/>
  <c r="F275" i="13"/>
  <c r="E275" i="13"/>
  <c r="Q274" i="13"/>
  <c r="P274" i="13"/>
  <c r="O274" i="13"/>
  <c r="N274" i="13"/>
  <c r="M274" i="13"/>
  <c r="K274" i="13"/>
  <c r="J274" i="13"/>
  <c r="I274" i="13"/>
  <c r="H274" i="13"/>
  <c r="G274" i="13"/>
  <c r="F274" i="13"/>
  <c r="E274" i="13"/>
  <c r="Q273" i="13"/>
  <c r="P273" i="13"/>
  <c r="O273" i="13"/>
  <c r="N273" i="13"/>
  <c r="M273" i="13"/>
  <c r="K273" i="13"/>
  <c r="J273" i="13"/>
  <c r="I273" i="13"/>
  <c r="H273" i="13"/>
  <c r="G273" i="13"/>
  <c r="F273" i="13"/>
  <c r="E273" i="13"/>
  <c r="U271" i="13"/>
  <c r="S271" i="13"/>
  <c r="R271" i="13"/>
  <c r="N271" i="13"/>
  <c r="M271" i="13"/>
  <c r="L271" i="13"/>
  <c r="G271" i="13"/>
  <c r="F271" i="13"/>
  <c r="E271" i="13"/>
  <c r="U270" i="13"/>
  <c r="T270" i="13"/>
  <c r="N270" i="13"/>
  <c r="M270" i="13"/>
  <c r="L270" i="13"/>
  <c r="G270" i="13"/>
  <c r="F270" i="13"/>
  <c r="E270" i="13"/>
  <c r="U268" i="13"/>
  <c r="S268" i="13"/>
  <c r="N268" i="13"/>
  <c r="M268" i="13"/>
  <c r="L268" i="13"/>
  <c r="G268" i="13"/>
  <c r="F268" i="13"/>
  <c r="E268" i="13"/>
  <c r="U267" i="13"/>
  <c r="S267" i="13"/>
  <c r="N267" i="13"/>
  <c r="M267" i="13"/>
  <c r="K267" i="13"/>
  <c r="I267" i="13"/>
  <c r="H267" i="13"/>
  <c r="G267" i="13"/>
  <c r="F267" i="13"/>
  <c r="E267" i="13"/>
  <c r="U266" i="13"/>
  <c r="S266" i="13"/>
  <c r="N266" i="13"/>
  <c r="M266" i="13"/>
  <c r="K266" i="13"/>
  <c r="I266" i="13"/>
  <c r="H266" i="13"/>
  <c r="G266" i="13"/>
  <c r="F266" i="13"/>
  <c r="E266" i="13"/>
  <c r="Q265" i="13"/>
  <c r="P265" i="13"/>
  <c r="O265" i="13"/>
  <c r="N265" i="13"/>
  <c r="M265" i="13"/>
  <c r="K265" i="13"/>
  <c r="J265" i="13"/>
  <c r="I265" i="13"/>
  <c r="H265" i="13"/>
  <c r="G265" i="13"/>
  <c r="F265" i="13"/>
  <c r="E265" i="13"/>
  <c r="Q264" i="13"/>
  <c r="P264" i="13"/>
  <c r="O264" i="13"/>
  <c r="N264" i="13"/>
  <c r="M264" i="13"/>
  <c r="K264" i="13"/>
  <c r="J264" i="13"/>
  <c r="I264" i="13"/>
  <c r="H264" i="13"/>
  <c r="G264" i="13"/>
  <c r="F264" i="13"/>
  <c r="E264" i="13"/>
  <c r="U262" i="13"/>
  <c r="S262" i="13"/>
  <c r="R262" i="13"/>
  <c r="N262" i="13"/>
  <c r="M262" i="13"/>
  <c r="L262" i="13"/>
  <c r="G262" i="13"/>
  <c r="F262" i="13"/>
  <c r="E262" i="13"/>
  <c r="U261" i="13"/>
  <c r="T261" i="13"/>
  <c r="N261" i="13"/>
  <c r="M261" i="13"/>
  <c r="L261" i="13"/>
  <c r="G261" i="13"/>
  <c r="F261" i="13"/>
  <c r="E261" i="13"/>
  <c r="U259" i="13"/>
  <c r="S259" i="13"/>
  <c r="N259" i="13"/>
  <c r="M259" i="13"/>
  <c r="L259" i="13"/>
  <c r="G259" i="13"/>
  <c r="F259" i="13"/>
  <c r="E259" i="13"/>
  <c r="U258" i="13"/>
  <c r="S258" i="13"/>
  <c r="N258" i="13"/>
  <c r="M258" i="13"/>
  <c r="K258" i="13"/>
  <c r="I258" i="13"/>
  <c r="H258" i="13"/>
  <c r="G258" i="13"/>
  <c r="F258" i="13"/>
  <c r="E258" i="13"/>
  <c r="U257" i="13"/>
  <c r="S257" i="13"/>
  <c r="N257" i="13"/>
  <c r="M257" i="13"/>
  <c r="K257" i="13"/>
  <c r="I257" i="13"/>
  <c r="H257" i="13"/>
  <c r="G257" i="13"/>
  <c r="F257" i="13"/>
  <c r="E257" i="13"/>
  <c r="Q256" i="13"/>
  <c r="P256" i="13"/>
  <c r="O256" i="13"/>
  <c r="N256" i="13"/>
  <c r="M256" i="13"/>
  <c r="K256" i="13"/>
  <c r="J256" i="13"/>
  <c r="I256" i="13"/>
  <c r="H256" i="13"/>
  <c r="G256" i="13"/>
  <c r="F256" i="13"/>
  <c r="E256" i="13"/>
  <c r="Q255" i="13"/>
  <c r="P255" i="13"/>
  <c r="O255" i="13"/>
  <c r="N255" i="13"/>
  <c r="M255" i="13"/>
  <c r="K255" i="13"/>
  <c r="J255" i="13"/>
  <c r="I255" i="13"/>
  <c r="H255" i="13"/>
  <c r="G255" i="13"/>
  <c r="F255" i="13"/>
  <c r="E255" i="13"/>
  <c r="U253" i="13"/>
  <c r="S253" i="13"/>
  <c r="R253" i="13"/>
  <c r="N253" i="13"/>
  <c r="M253" i="13"/>
  <c r="L253" i="13"/>
  <c r="G253" i="13"/>
  <c r="F253" i="13"/>
  <c r="E253" i="13"/>
  <c r="U252" i="13"/>
  <c r="T252" i="13"/>
  <c r="N252" i="13"/>
  <c r="M252" i="13"/>
  <c r="L252" i="13"/>
  <c r="G252" i="13"/>
  <c r="F252" i="13"/>
  <c r="E252" i="13"/>
  <c r="U250" i="13"/>
  <c r="S250" i="13"/>
  <c r="N250" i="13"/>
  <c r="M250" i="13"/>
  <c r="L250" i="13"/>
  <c r="G250" i="13"/>
  <c r="F250" i="13"/>
  <c r="E250" i="13"/>
  <c r="U249" i="13"/>
  <c r="S249" i="13"/>
  <c r="N249" i="13"/>
  <c r="M249" i="13"/>
  <c r="K249" i="13"/>
  <c r="I249" i="13"/>
  <c r="H249" i="13"/>
  <c r="G249" i="13"/>
  <c r="F249" i="13"/>
  <c r="E249" i="13"/>
  <c r="U248" i="13"/>
  <c r="S248" i="13"/>
  <c r="N248" i="13"/>
  <c r="M248" i="13"/>
  <c r="K248" i="13"/>
  <c r="I248" i="13"/>
  <c r="H248" i="13"/>
  <c r="G248" i="13"/>
  <c r="F248" i="13"/>
  <c r="E248" i="13"/>
  <c r="Q247" i="13"/>
  <c r="P247" i="13"/>
  <c r="O247" i="13"/>
  <c r="N247" i="13"/>
  <c r="M247" i="13"/>
  <c r="K247" i="13"/>
  <c r="J247" i="13"/>
  <c r="I247" i="13"/>
  <c r="H247" i="13"/>
  <c r="G247" i="13"/>
  <c r="F247" i="13"/>
  <c r="E247" i="13"/>
  <c r="Q246" i="13"/>
  <c r="P246" i="13"/>
  <c r="O246" i="13"/>
  <c r="N246" i="13"/>
  <c r="M246" i="13"/>
  <c r="K246" i="13"/>
  <c r="J246" i="13"/>
  <c r="I246" i="13"/>
  <c r="H246" i="13"/>
  <c r="G246" i="13"/>
  <c r="F246" i="13"/>
  <c r="E246" i="13"/>
  <c r="U244" i="13"/>
  <c r="S244" i="13"/>
  <c r="R244" i="13"/>
  <c r="N244" i="13"/>
  <c r="M244" i="13"/>
  <c r="L244" i="13"/>
  <c r="G244" i="13"/>
  <c r="F244" i="13"/>
  <c r="E244" i="13"/>
  <c r="U243" i="13"/>
  <c r="T243" i="13"/>
  <c r="N243" i="13"/>
  <c r="M243" i="13"/>
  <c r="L243" i="13"/>
  <c r="G243" i="13"/>
  <c r="F243" i="13"/>
  <c r="E243" i="13"/>
  <c r="U241" i="13"/>
  <c r="S241" i="13"/>
  <c r="N241" i="13"/>
  <c r="M241" i="13"/>
  <c r="L241" i="13"/>
  <c r="G241" i="13"/>
  <c r="F241" i="13"/>
  <c r="E241" i="13"/>
  <c r="U240" i="13"/>
  <c r="S240" i="13"/>
  <c r="N240" i="13"/>
  <c r="M240" i="13"/>
  <c r="K240" i="13"/>
  <c r="I240" i="13"/>
  <c r="H240" i="13"/>
  <c r="G240" i="13"/>
  <c r="F240" i="13"/>
  <c r="E240" i="13"/>
  <c r="U239" i="13"/>
  <c r="S239" i="13"/>
  <c r="N239" i="13"/>
  <c r="M239" i="13"/>
  <c r="K239" i="13"/>
  <c r="I239" i="13"/>
  <c r="H239" i="13"/>
  <c r="G239" i="13"/>
  <c r="F239" i="13"/>
  <c r="E239" i="13"/>
  <c r="Q238" i="13"/>
  <c r="P238" i="13"/>
  <c r="O238" i="13"/>
  <c r="N238" i="13"/>
  <c r="M238" i="13"/>
  <c r="K238" i="13"/>
  <c r="J238" i="13"/>
  <c r="I238" i="13"/>
  <c r="H238" i="13"/>
  <c r="G238" i="13"/>
  <c r="F238" i="13"/>
  <c r="E238" i="13"/>
  <c r="Q237" i="13"/>
  <c r="P237" i="13"/>
  <c r="O237" i="13"/>
  <c r="N237" i="13"/>
  <c r="M237" i="13"/>
  <c r="K237" i="13"/>
  <c r="J237" i="13"/>
  <c r="I237" i="13"/>
  <c r="H237" i="13"/>
  <c r="G237" i="13"/>
  <c r="F237" i="13"/>
  <c r="E237" i="13"/>
  <c r="U235" i="13"/>
  <c r="S235" i="13"/>
  <c r="R235" i="13"/>
  <c r="N235" i="13"/>
  <c r="M235" i="13"/>
  <c r="L235" i="13"/>
  <c r="G235" i="13"/>
  <c r="F235" i="13"/>
  <c r="E235" i="13"/>
  <c r="U234" i="13"/>
  <c r="T234" i="13"/>
  <c r="N234" i="13"/>
  <c r="M234" i="13"/>
  <c r="L234" i="13"/>
  <c r="G234" i="13"/>
  <c r="F234" i="13"/>
  <c r="E234" i="13"/>
  <c r="U232" i="13"/>
  <c r="S232" i="13"/>
  <c r="N232" i="13"/>
  <c r="M232" i="13"/>
  <c r="L232" i="13"/>
  <c r="G232" i="13"/>
  <c r="F232" i="13"/>
  <c r="E232" i="13"/>
  <c r="U231" i="13"/>
  <c r="S231" i="13"/>
  <c r="N231" i="13"/>
  <c r="M231" i="13"/>
  <c r="K231" i="13"/>
  <c r="I231" i="13"/>
  <c r="H231" i="13"/>
  <c r="G231" i="13"/>
  <c r="F231" i="13"/>
  <c r="E231" i="13"/>
  <c r="U230" i="13"/>
  <c r="S230" i="13"/>
  <c r="N230" i="13"/>
  <c r="M230" i="13"/>
  <c r="K230" i="13"/>
  <c r="I230" i="13"/>
  <c r="H230" i="13"/>
  <c r="G230" i="13"/>
  <c r="F230" i="13"/>
  <c r="E230" i="13"/>
  <c r="Q229" i="13"/>
  <c r="P229" i="13"/>
  <c r="O229" i="13"/>
  <c r="N229" i="13"/>
  <c r="M229" i="13"/>
  <c r="K229" i="13"/>
  <c r="J229" i="13"/>
  <c r="I229" i="13"/>
  <c r="H229" i="13"/>
  <c r="G229" i="13"/>
  <c r="F229" i="13"/>
  <c r="E229" i="13"/>
  <c r="Q228" i="13"/>
  <c r="P228" i="13"/>
  <c r="O228" i="13"/>
  <c r="N228" i="13"/>
  <c r="M228" i="13"/>
  <c r="K228" i="13"/>
  <c r="J228" i="13"/>
  <c r="I228" i="13"/>
  <c r="H228" i="13"/>
  <c r="G228" i="13"/>
  <c r="F228" i="13"/>
  <c r="E228" i="13"/>
  <c r="U226" i="13"/>
  <c r="S226" i="13"/>
  <c r="R226" i="13"/>
  <c r="N226" i="13"/>
  <c r="M226" i="13"/>
  <c r="L226" i="13"/>
  <c r="G226" i="13"/>
  <c r="F226" i="13"/>
  <c r="E226" i="13"/>
  <c r="U225" i="13"/>
  <c r="T225" i="13"/>
  <c r="N225" i="13"/>
  <c r="M225" i="13"/>
  <c r="L225" i="13"/>
  <c r="G225" i="13"/>
  <c r="F225" i="13"/>
  <c r="E225" i="13"/>
  <c r="U223" i="13"/>
  <c r="S223" i="13"/>
  <c r="N223" i="13"/>
  <c r="M223" i="13"/>
  <c r="L223" i="13"/>
  <c r="G223" i="13"/>
  <c r="F223" i="13"/>
  <c r="E223" i="13"/>
  <c r="U222" i="13"/>
  <c r="S222" i="13"/>
  <c r="N222" i="13"/>
  <c r="M222" i="13"/>
  <c r="K222" i="13"/>
  <c r="I222" i="13"/>
  <c r="H222" i="13"/>
  <c r="G222" i="13"/>
  <c r="F222" i="13"/>
  <c r="E222" i="13"/>
  <c r="U221" i="13"/>
  <c r="S221" i="13"/>
  <c r="N221" i="13"/>
  <c r="M221" i="13"/>
  <c r="K221" i="13"/>
  <c r="I221" i="13"/>
  <c r="H221" i="13"/>
  <c r="G221" i="13"/>
  <c r="F221" i="13"/>
  <c r="E221" i="13"/>
  <c r="Q220" i="13"/>
  <c r="P220" i="13"/>
  <c r="O220" i="13"/>
  <c r="N220" i="13"/>
  <c r="M220" i="13"/>
  <c r="K220" i="13"/>
  <c r="J220" i="13"/>
  <c r="I220" i="13"/>
  <c r="H220" i="13"/>
  <c r="G220" i="13"/>
  <c r="F220" i="13"/>
  <c r="E220" i="13"/>
  <c r="Q219" i="13"/>
  <c r="P219" i="13"/>
  <c r="O219" i="13"/>
  <c r="N219" i="13"/>
  <c r="M219" i="13"/>
  <c r="K219" i="13"/>
  <c r="J219" i="13"/>
  <c r="I219" i="13"/>
  <c r="H219" i="13"/>
  <c r="G219" i="13"/>
  <c r="F219" i="13"/>
  <c r="E219" i="13"/>
  <c r="U217" i="13"/>
  <c r="S217" i="13"/>
  <c r="R217" i="13"/>
  <c r="N217" i="13"/>
  <c r="M217" i="13"/>
  <c r="L217" i="13"/>
  <c r="G217" i="13"/>
  <c r="F217" i="13"/>
  <c r="E217" i="13"/>
  <c r="U216" i="13"/>
  <c r="T216" i="13"/>
  <c r="N216" i="13"/>
  <c r="M216" i="13"/>
  <c r="L216" i="13"/>
  <c r="G216" i="13"/>
  <c r="F216" i="13"/>
  <c r="E216" i="13"/>
  <c r="U214" i="13"/>
  <c r="S214" i="13"/>
  <c r="N214" i="13"/>
  <c r="M214" i="13"/>
  <c r="L214" i="13"/>
  <c r="G214" i="13"/>
  <c r="F214" i="13"/>
  <c r="E214" i="13"/>
  <c r="U213" i="13"/>
  <c r="S213" i="13"/>
  <c r="N213" i="13"/>
  <c r="M213" i="13"/>
  <c r="K213" i="13"/>
  <c r="I213" i="13"/>
  <c r="H213" i="13"/>
  <c r="G213" i="13"/>
  <c r="F213" i="13"/>
  <c r="E213" i="13"/>
  <c r="U212" i="13"/>
  <c r="S212" i="13"/>
  <c r="N212" i="13"/>
  <c r="M212" i="13"/>
  <c r="K212" i="13"/>
  <c r="I212" i="13"/>
  <c r="H212" i="13"/>
  <c r="G212" i="13"/>
  <c r="F212" i="13"/>
  <c r="E212" i="13"/>
  <c r="Q211" i="13"/>
  <c r="P211" i="13"/>
  <c r="O211" i="13"/>
  <c r="N211" i="13"/>
  <c r="M211" i="13"/>
  <c r="K211" i="13"/>
  <c r="J211" i="13"/>
  <c r="I211" i="13"/>
  <c r="H211" i="13"/>
  <c r="G211" i="13"/>
  <c r="F211" i="13"/>
  <c r="E211" i="13"/>
  <c r="Q210" i="13"/>
  <c r="P210" i="13"/>
  <c r="O210" i="13"/>
  <c r="N210" i="13"/>
  <c r="M210" i="13"/>
  <c r="K210" i="13"/>
  <c r="J210" i="13"/>
  <c r="I210" i="13"/>
  <c r="H210" i="13"/>
  <c r="G210" i="13"/>
  <c r="F210" i="13"/>
  <c r="E210" i="13"/>
  <c r="U208" i="13"/>
  <c r="S208" i="13"/>
  <c r="R208" i="13"/>
  <c r="N208" i="13"/>
  <c r="M208" i="13"/>
  <c r="L208" i="13"/>
  <c r="G208" i="13"/>
  <c r="F208" i="13"/>
  <c r="E208" i="13"/>
  <c r="U207" i="13"/>
  <c r="T207" i="13"/>
  <c r="N207" i="13"/>
  <c r="M207" i="13"/>
  <c r="L207" i="13"/>
  <c r="G207" i="13"/>
  <c r="F207" i="13"/>
  <c r="E207" i="13"/>
  <c r="U205" i="13"/>
  <c r="S205" i="13"/>
  <c r="N205" i="13"/>
  <c r="M205" i="13"/>
  <c r="L205" i="13"/>
  <c r="G205" i="13"/>
  <c r="F205" i="13"/>
  <c r="E205" i="13"/>
  <c r="U204" i="13"/>
  <c r="S204" i="13"/>
  <c r="N204" i="13"/>
  <c r="M204" i="13"/>
  <c r="K204" i="13"/>
  <c r="I204" i="13"/>
  <c r="H204" i="13"/>
  <c r="G204" i="13"/>
  <c r="F204" i="13"/>
  <c r="E204" i="13"/>
  <c r="U203" i="13"/>
  <c r="S203" i="13"/>
  <c r="N203" i="13"/>
  <c r="M203" i="13"/>
  <c r="K203" i="13"/>
  <c r="I203" i="13"/>
  <c r="H203" i="13"/>
  <c r="G203" i="13"/>
  <c r="F203" i="13"/>
  <c r="E203" i="13"/>
  <c r="Q202" i="13"/>
  <c r="P202" i="13"/>
  <c r="O202" i="13"/>
  <c r="N202" i="13"/>
  <c r="M202" i="13"/>
  <c r="K202" i="13"/>
  <c r="J202" i="13"/>
  <c r="I202" i="13"/>
  <c r="H202" i="13"/>
  <c r="G202" i="13"/>
  <c r="F202" i="13"/>
  <c r="E202" i="13"/>
  <c r="Q201" i="13"/>
  <c r="P201" i="13"/>
  <c r="O201" i="13"/>
  <c r="N201" i="13"/>
  <c r="M201" i="13"/>
  <c r="K201" i="13"/>
  <c r="J201" i="13"/>
  <c r="I201" i="13"/>
  <c r="H201" i="13"/>
  <c r="G201" i="13"/>
  <c r="F201" i="13"/>
  <c r="E201" i="13"/>
  <c r="U199" i="13"/>
  <c r="S199" i="13"/>
  <c r="R199" i="13"/>
  <c r="N199" i="13"/>
  <c r="M199" i="13"/>
  <c r="L199" i="13"/>
  <c r="G199" i="13"/>
  <c r="F199" i="13"/>
  <c r="E199" i="13"/>
  <c r="U198" i="13"/>
  <c r="T198" i="13"/>
  <c r="N198" i="13"/>
  <c r="M198" i="13"/>
  <c r="L198" i="13"/>
  <c r="G198" i="13"/>
  <c r="F198" i="13"/>
  <c r="E198" i="13"/>
  <c r="U196" i="13"/>
  <c r="S196" i="13"/>
  <c r="N196" i="13"/>
  <c r="M196" i="13"/>
  <c r="L196" i="13"/>
  <c r="G196" i="13"/>
  <c r="F196" i="13"/>
  <c r="E196" i="13"/>
  <c r="U195" i="13"/>
  <c r="S195" i="13"/>
  <c r="N195" i="13"/>
  <c r="M195" i="13"/>
  <c r="K195" i="13"/>
  <c r="I195" i="13"/>
  <c r="H195" i="13"/>
  <c r="G195" i="13"/>
  <c r="F195" i="13"/>
  <c r="E195" i="13"/>
  <c r="U194" i="13"/>
  <c r="S194" i="13"/>
  <c r="N194" i="13"/>
  <c r="M194" i="13"/>
  <c r="K194" i="13"/>
  <c r="I194" i="13"/>
  <c r="H194" i="13"/>
  <c r="G194" i="13"/>
  <c r="F194" i="13"/>
  <c r="E194" i="13"/>
  <c r="Q193" i="13"/>
  <c r="P193" i="13"/>
  <c r="O193" i="13"/>
  <c r="N193" i="13"/>
  <c r="M193" i="13"/>
  <c r="K193" i="13"/>
  <c r="J193" i="13"/>
  <c r="I193" i="13"/>
  <c r="H193" i="13"/>
  <c r="G193" i="13"/>
  <c r="F193" i="13"/>
  <c r="E193" i="13"/>
  <c r="Q192" i="13"/>
  <c r="P192" i="13"/>
  <c r="O192" i="13"/>
  <c r="N192" i="13"/>
  <c r="M192" i="13"/>
  <c r="K192" i="13"/>
  <c r="J192" i="13"/>
  <c r="I192" i="13"/>
  <c r="H192" i="13"/>
  <c r="G192" i="13"/>
  <c r="F192" i="13"/>
  <c r="E192" i="13"/>
  <c r="U190" i="13"/>
  <c r="S190" i="13"/>
  <c r="R190" i="13"/>
  <c r="N190" i="13"/>
  <c r="M190" i="13"/>
  <c r="L190" i="13"/>
  <c r="G190" i="13"/>
  <c r="F190" i="13"/>
  <c r="E190" i="13"/>
  <c r="U189" i="13"/>
  <c r="T189" i="13"/>
  <c r="N189" i="13"/>
  <c r="M189" i="13"/>
  <c r="L189" i="13"/>
  <c r="G189" i="13"/>
  <c r="F189" i="13"/>
  <c r="E189" i="13"/>
  <c r="U187" i="13"/>
  <c r="S187" i="13"/>
  <c r="N187" i="13"/>
  <c r="M187" i="13"/>
  <c r="L187" i="13"/>
  <c r="G187" i="13"/>
  <c r="F187" i="13"/>
  <c r="E187" i="13"/>
  <c r="U186" i="13"/>
  <c r="S186" i="13"/>
  <c r="N186" i="13"/>
  <c r="M186" i="13"/>
  <c r="K186" i="13"/>
  <c r="I186" i="13"/>
  <c r="H186" i="13"/>
  <c r="G186" i="13"/>
  <c r="F186" i="13"/>
  <c r="E186" i="13"/>
  <c r="U185" i="13"/>
  <c r="S185" i="13"/>
  <c r="N185" i="13"/>
  <c r="M185" i="13"/>
  <c r="K185" i="13"/>
  <c r="I185" i="13"/>
  <c r="H185" i="13"/>
  <c r="G185" i="13"/>
  <c r="F185" i="13"/>
  <c r="E185" i="13"/>
  <c r="Q184" i="13"/>
  <c r="P184" i="13"/>
  <c r="O184" i="13"/>
  <c r="N184" i="13"/>
  <c r="M184" i="13"/>
  <c r="K184" i="13"/>
  <c r="J184" i="13"/>
  <c r="I184" i="13"/>
  <c r="H184" i="13"/>
  <c r="G184" i="13"/>
  <c r="F184" i="13"/>
  <c r="E184" i="13"/>
  <c r="Q183" i="13"/>
  <c r="P183" i="13"/>
  <c r="O183" i="13"/>
  <c r="N183" i="13"/>
  <c r="M183" i="13"/>
  <c r="K183" i="13"/>
  <c r="J183" i="13"/>
  <c r="I183" i="13"/>
  <c r="H183" i="13"/>
  <c r="G183" i="13"/>
  <c r="F183" i="13"/>
  <c r="E183" i="13"/>
  <c r="U181" i="13"/>
  <c r="S181" i="13"/>
  <c r="R181" i="13"/>
  <c r="N181" i="13"/>
  <c r="M181" i="13"/>
  <c r="L181" i="13"/>
  <c r="G181" i="13"/>
  <c r="F181" i="13"/>
  <c r="E181" i="13"/>
  <c r="U180" i="13"/>
  <c r="T180" i="13"/>
  <c r="N180" i="13"/>
  <c r="M180" i="13"/>
  <c r="L180" i="13"/>
  <c r="G180" i="13"/>
  <c r="F180" i="13"/>
  <c r="E180" i="13"/>
  <c r="U178" i="13"/>
  <c r="S178" i="13"/>
  <c r="N178" i="13"/>
  <c r="M178" i="13"/>
  <c r="L178" i="13"/>
  <c r="G178" i="13"/>
  <c r="F178" i="13"/>
  <c r="E178" i="13"/>
  <c r="U177" i="13"/>
  <c r="S177" i="13"/>
  <c r="N177" i="13"/>
  <c r="M177" i="13"/>
  <c r="K177" i="13"/>
  <c r="I177" i="13"/>
  <c r="H177" i="13"/>
  <c r="G177" i="13"/>
  <c r="F177" i="13"/>
  <c r="E177" i="13"/>
  <c r="U176" i="13"/>
  <c r="S176" i="13"/>
  <c r="N176" i="13"/>
  <c r="M176" i="13"/>
  <c r="K176" i="13"/>
  <c r="I176" i="13"/>
  <c r="H176" i="13"/>
  <c r="G176" i="13"/>
  <c r="F176" i="13"/>
  <c r="E176" i="13"/>
  <c r="Q175" i="13"/>
  <c r="P175" i="13"/>
  <c r="O175" i="13"/>
  <c r="N175" i="13"/>
  <c r="M175" i="13"/>
  <c r="K175" i="13"/>
  <c r="J175" i="13"/>
  <c r="I175" i="13"/>
  <c r="H175" i="13"/>
  <c r="G175" i="13"/>
  <c r="F175" i="13"/>
  <c r="E175" i="13"/>
  <c r="Q174" i="13"/>
  <c r="P174" i="13"/>
  <c r="O174" i="13"/>
  <c r="N174" i="13"/>
  <c r="M174" i="13"/>
  <c r="K174" i="13"/>
  <c r="J174" i="13"/>
  <c r="I174" i="13"/>
  <c r="H174" i="13"/>
  <c r="G174" i="13"/>
  <c r="F174" i="13"/>
  <c r="E174" i="13"/>
  <c r="U171" i="13"/>
  <c r="T171" i="13"/>
  <c r="N171" i="13"/>
  <c r="M171" i="13"/>
  <c r="L171" i="13"/>
  <c r="G171" i="13"/>
  <c r="F171" i="13"/>
  <c r="E171" i="13"/>
  <c r="U169" i="13"/>
  <c r="S169" i="13"/>
  <c r="N169" i="13"/>
  <c r="M169" i="13"/>
  <c r="L169" i="13"/>
  <c r="G169" i="13"/>
  <c r="F169" i="13"/>
  <c r="E169" i="13"/>
  <c r="U168" i="13"/>
  <c r="S168" i="13"/>
  <c r="N168" i="13"/>
  <c r="M168" i="13"/>
  <c r="K168" i="13"/>
  <c r="I168" i="13"/>
  <c r="H168" i="13"/>
  <c r="G168" i="13"/>
  <c r="F168" i="13"/>
  <c r="E168" i="13"/>
  <c r="U167" i="13"/>
  <c r="S167" i="13"/>
  <c r="N167" i="13"/>
  <c r="M167" i="13"/>
  <c r="K167" i="13"/>
  <c r="I167" i="13"/>
  <c r="H167" i="13"/>
  <c r="G167" i="13"/>
  <c r="F167" i="13"/>
  <c r="E167" i="13"/>
  <c r="Q166" i="13"/>
  <c r="P166" i="13"/>
  <c r="O166" i="13"/>
  <c r="N166" i="13"/>
  <c r="M166" i="13"/>
  <c r="K166" i="13"/>
  <c r="J166" i="13"/>
  <c r="I166" i="13"/>
  <c r="H166" i="13"/>
  <c r="G166" i="13"/>
  <c r="F166" i="13"/>
  <c r="E166" i="13"/>
  <c r="Q165" i="13"/>
  <c r="P165" i="13"/>
  <c r="O165" i="13"/>
  <c r="N165" i="13"/>
  <c r="M165" i="13"/>
  <c r="K165" i="13"/>
  <c r="J165" i="13"/>
  <c r="I165" i="13"/>
  <c r="H165" i="13"/>
  <c r="G165" i="13"/>
  <c r="F165" i="13"/>
  <c r="E165" i="13"/>
  <c r="U162" i="13"/>
  <c r="T162" i="13"/>
  <c r="N162" i="13"/>
  <c r="M162" i="13"/>
  <c r="L162" i="13"/>
  <c r="G162" i="13"/>
  <c r="F162" i="13"/>
  <c r="E162" i="13"/>
  <c r="U160" i="13"/>
  <c r="S160" i="13"/>
  <c r="N160" i="13"/>
  <c r="M160" i="13"/>
  <c r="L160" i="13"/>
  <c r="G160" i="13"/>
  <c r="F160" i="13"/>
  <c r="E160" i="13"/>
  <c r="U159" i="13"/>
  <c r="S159" i="13"/>
  <c r="N159" i="13"/>
  <c r="M159" i="13"/>
  <c r="K159" i="13"/>
  <c r="I159" i="13"/>
  <c r="H159" i="13"/>
  <c r="G159" i="13"/>
  <c r="F159" i="13"/>
  <c r="E159" i="13"/>
  <c r="U158" i="13"/>
  <c r="S158" i="13"/>
  <c r="N158" i="13"/>
  <c r="M158" i="13"/>
  <c r="K158" i="13"/>
  <c r="I158" i="13"/>
  <c r="H158" i="13"/>
  <c r="G158" i="13"/>
  <c r="F158" i="13"/>
  <c r="E158" i="13"/>
  <c r="Q157" i="13"/>
  <c r="P157" i="13"/>
  <c r="O157" i="13"/>
  <c r="N157" i="13"/>
  <c r="M157" i="13"/>
  <c r="K157" i="13"/>
  <c r="J157" i="13"/>
  <c r="I157" i="13"/>
  <c r="H157" i="13"/>
  <c r="G157" i="13"/>
  <c r="F157" i="13"/>
  <c r="E157" i="13"/>
  <c r="Q156" i="13"/>
  <c r="P156" i="13"/>
  <c r="O156" i="13"/>
  <c r="N156" i="13"/>
  <c r="M156" i="13"/>
  <c r="K156" i="13"/>
  <c r="J156" i="13"/>
  <c r="I156" i="13"/>
  <c r="H156" i="13"/>
  <c r="G156" i="13"/>
  <c r="F156" i="13"/>
  <c r="E156" i="13"/>
  <c r="U154" i="13"/>
  <c r="S154" i="13"/>
  <c r="R154" i="13"/>
  <c r="N154" i="13"/>
  <c r="M154" i="13"/>
  <c r="L154" i="13"/>
  <c r="G154" i="13"/>
  <c r="F154" i="13"/>
  <c r="E154" i="13"/>
  <c r="U153" i="13"/>
  <c r="T153" i="13"/>
  <c r="N153" i="13"/>
  <c r="M153" i="13"/>
  <c r="L153" i="13"/>
  <c r="G153" i="13"/>
  <c r="F153" i="13"/>
  <c r="E153" i="13"/>
  <c r="U151" i="13"/>
  <c r="S151" i="13"/>
  <c r="N151" i="13"/>
  <c r="M151" i="13"/>
  <c r="L151" i="13"/>
  <c r="G151" i="13"/>
  <c r="F151" i="13"/>
  <c r="E151" i="13"/>
  <c r="U150" i="13"/>
  <c r="S150" i="13"/>
  <c r="N150" i="13"/>
  <c r="M150" i="13"/>
  <c r="K150" i="13"/>
  <c r="I150" i="13"/>
  <c r="H150" i="13"/>
  <c r="G150" i="13"/>
  <c r="F150" i="13"/>
  <c r="E150" i="13"/>
  <c r="U149" i="13"/>
  <c r="S149" i="13"/>
  <c r="N149" i="13"/>
  <c r="M149" i="13"/>
  <c r="K149" i="13"/>
  <c r="I149" i="13"/>
  <c r="H149" i="13"/>
  <c r="G149" i="13"/>
  <c r="F149" i="13"/>
  <c r="E149" i="13"/>
  <c r="Q148" i="13"/>
  <c r="P148" i="13"/>
  <c r="O148" i="13"/>
  <c r="N148" i="13"/>
  <c r="M148" i="13"/>
  <c r="K148" i="13"/>
  <c r="J148" i="13"/>
  <c r="I148" i="13"/>
  <c r="H148" i="13"/>
  <c r="G148" i="13"/>
  <c r="F148" i="13"/>
  <c r="E148" i="13"/>
  <c r="Q147" i="13"/>
  <c r="P147" i="13"/>
  <c r="O147" i="13"/>
  <c r="N147" i="13"/>
  <c r="M147" i="13"/>
  <c r="K147" i="13"/>
  <c r="J147" i="13"/>
  <c r="I147" i="13"/>
  <c r="H147" i="13"/>
  <c r="G147" i="13"/>
  <c r="F147" i="13"/>
  <c r="E147" i="13"/>
  <c r="U145" i="13"/>
  <c r="S145" i="13"/>
  <c r="R145" i="13"/>
  <c r="N145" i="13"/>
  <c r="M145" i="13"/>
  <c r="L145" i="13"/>
  <c r="G145" i="13"/>
  <c r="F145" i="13"/>
  <c r="E145" i="13"/>
  <c r="U144" i="13"/>
  <c r="T144" i="13"/>
  <c r="N144" i="13"/>
  <c r="M144" i="13"/>
  <c r="L144" i="13"/>
  <c r="G144" i="13"/>
  <c r="F144" i="13"/>
  <c r="E144" i="13"/>
  <c r="U142" i="13"/>
  <c r="S142" i="13"/>
  <c r="N142" i="13"/>
  <c r="M142" i="13"/>
  <c r="L142" i="13"/>
  <c r="G142" i="13"/>
  <c r="F142" i="13"/>
  <c r="E142" i="13"/>
  <c r="U141" i="13"/>
  <c r="S141" i="13"/>
  <c r="N141" i="13"/>
  <c r="M141" i="13"/>
  <c r="K141" i="13"/>
  <c r="I141" i="13"/>
  <c r="H141" i="13"/>
  <c r="G141" i="13"/>
  <c r="F141" i="13"/>
  <c r="E141" i="13"/>
  <c r="U140" i="13"/>
  <c r="S140" i="13"/>
  <c r="N140" i="13"/>
  <c r="M140" i="13"/>
  <c r="K140" i="13"/>
  <c r="I140" i="13"/>
  <c r="H140" i="13"/>
  <c r="G140" i="13"/>
  <c r="F140" i="13"/>
  <c r="E140" i="13"/>
  <c r="Q139" i="13"/>
  <c r="P139" i="13"/>
  <c r="O139" i="13"/>
  <c r="N139" i="13"/>
  <c r="M139" i="13"/>
  <c r="K139" i="13"/>
  <c r="J139" i="13"/>
  <c r="I139" i="13"/>
  <c r="H139" i="13"/>
  <c r="G139" i="13"/>
  <c r="F139" i="13"/>
  <c r="E139" i="13"/>
  <c r="Q138" i="13"/>
  <c r="P138" i="13"/>
  <c r="O138" i="13"/>
  <c r="N138" i="13"/>
  <c r="M138" i="13"/>
  <c r="K138" i="13"/>
  <c r="J138" i="13"/>
  <c r="I138" i="13"/>
  <c r="H138" i="13"/>
  <c r="G138" i="13"/>
  <c r="F138" i="13"/>
  <c r="E138" i="13"/>
  <c r="U136" i="13"/>
  <c r="S136" i="13"/>
  <c r="R136" i="13"/>
  <c r="N136" i="13"/>
  <c r="M136" i="13"/>
  <c r="L136" i="13"/>
  <c r="G136" i="13"/>
  <c r="F136" i="13"/>
  <c r="E136" i="13"/>
  <c r="U135" i="13"/>
  <c r="T135" i="13"/>
  <c r="N135" i="13"/>
  <c r="M135" i="13"/>
  <c r="L135" i="13"/>
  <c r="G135" i="13"/>
  <c r="F135" i="13"/>
  <c r="E135" i="13"/>
  <c r="U127" i="13"/>
  <c r="S127" i="13"/>
  <c r="R127" i="13"/>
  <c r="N127" i="13"/>
  <c r="M127" i="13"/>
  <c r="L127" i="13"/>
  <c r="G127" i="13"/>
  <c r="F127" i="13"/>
  <c r="E127" i="13"/>
  <c r="U126" i="13"/>
  <c r="T126" i="13"/>
  <c r="N126" i="13"/>
  <c r="M126" i="13"/>
  <c r="L126" i="13"/>
  <c r="G126" i="13"/>
  <c r="F126" i="13"/>
  <c r="E126" i="13"/>
  <c r="U133" i="13"/>
  <c r="S133" i="13"/>
  <c r="N133" i="13"/>
  <c r="M133" i="13"/>
  <c r="L133" i="13"/>
  <c r="G133" i="13"/>
  <c r="F133" i="13"/>
  <c r="E133" i="13"/>
  <c r="U132" i="13"/>
  <c r="S132" i="13"/>
  <c r="N132" i="13"/>
  <c r="M132" i="13"/>
  <c r="K132" i="13"/>
  <c r="I132" i="13"/>
  <c r="H132" i="13"/>
  <c r="G132" i="13"/>
  <c r="F132" i="13"/>
  <c r="E132" i="13"/>
  <c r="U131" i="13"/>
  <c r="S131" i="13"/>
  <c r="N131" i="13"/>
  <c r="M131" i="13"/>
  <c r="K131" i="13"/>
  <c r="I131" i="13"/>
  <c r="H131" i="13"/>
  <c r="G131" i="13"/>
  <c r="F131" i="13"/>
  <c r="E131" i="13"/>
  <c r="Q130" i="13"/>
  <c r="P130" i="13"/>
  <c r="O130" i="13"/>
  <c r="N130" i="13"/>
  <c r="M130" i="13"/>
  <c r="K130" i="13"/>
  <c r="J130" i="13"/>
  <c r="I130" i="13"/>
  <c r="H130" i="13"/>
  <c r="G130" i="13"/>
  <c r="F130" i="13"/>
  <c r="E130" i="13"/>
  <c r="Q129" i="13"/>
  <c r="P129" i="13"/>
  <c r="O129" i="13"/>
  <c r="N129" i="13"/>
  <c r="M129" i="13"/>
  <c r="K129" i="13"/>
  <c r="J129" i="13"/>
  <c r="I129" i="13"/>
  <c r="H129" i="13"/>
  <c r="G129" i="13"/>
  <c r="F129" i="13"/>
  <c r="E129" i="13"/>
  <c r="U124" i="13"/>
  <c r="S124" i="13"/>
  <c r="N124" i="13"/>
  <c r="M124" i="13"/>
  <c r="L124" i="13"/>
  <c r="G124" i="13"/>
  <c r="F124" i="13"/>
  <c r="E124" i="13"/>
  <c r="U123" i="13"/>
  <c r="S123" i="13"/>
  <c r="N123" i="13"/>
  <c r="M123" i="13"/>
  <c r="K123" i="13"/>
  <c r="I123" i="13"/>
  <c r="H123" i="13"/>
  <c r="G123" i="13"/>
  <c r="F123" i="13"/>
  <c r="E123" i="13"/>
  <c r="U122" i="13"/>
  <c r="S122" i="13"/>
  <c r="N122" i="13"/>
  <c r="M122" i="13"/>
  <c r="K122" i="13"/>
  <c r="I122" i="13"/>
  <c r="H122" i="13"/>
  <c r="G122" i="13"/>
  <c r="F122" i="13"/>
  <c r="E122" i="13"/>
  <c r="Q121" i="13"/>
  <c r="P121" i="13"/>
  <c r="O121" i="13"/>
  <c r="N121" i="13"/>
  <c r="M121" i="13"/>
  <c r="K121" i="13"/>
  <c r="J121" i="13"/>
  <c r="I121" i="13"/>
  <c r="H121" i="13"/>
  <c r="G121" i="13"/>
  <c r="F121" i="13"/>
  <c r="E121" i="13"/>
  <c r="Q120" i="13"/>
  <c r="P120" i="13"/>
  <c r="O120" i="13"/>
  <c r="N120" i="13"/>
  <c r="M120" i="13"/>
  <c r="K120" i="13"/>
  <c r="J120" i="13"/>
  <c r="I120" i="13"/>
  <c r="H120" i="13"/>
  <c r="G120" i="13"/>
  <c r="F120" i="13"/>
  <c r="E120" i="13"/>
  <c r="U118" i="13"/>
  <c r="S118" i="13"/>
  <c r="R118" i="13"/>
  <c r="N118" i="13"/>
  <c r="M118" i="13"/>
  <c r="L118" i="13"/>
  <c r="G118" i="13"/>
  <c r="F118" i="13"/>
  <c r="E118" i="13"/>
  <c r="U117" i="13"/>
  <c r="T117" i="13"/>
  <c r="N117" i="13"/>
  <c r="M117" i="13"/>
  <c r="L117" i="13"/>
  <c r="G117" i="13"/>
  <c r="F117" i="13"/>
  <c r="E117" i="13"/>
  <c r="U115" i="13"/>
  <c r="S115" i="13"/>
  <c r="N115" i="13"/>
  <c r="M115" i="13"/>
  <c r="L115" i="13"/>
  <c r="G115" i="13"/>
  <c r="F115" i="13"/>
  <c r="E115" i="13"/>
  <c r="U114" i="13"/>
  <c r="S114" i="13"/>
  <c r="N114" i="13"/>
  <c r="M114" i="13"/>
  <c r="K114" i="13"/>
  <c r="I114" i="13"/>
  <c r="H114" i="13"/>
  <c r="G114" i="13"/>
  <c r="F114" i="13"/>
  <c r="E114" i="13"/>
  <c r="U113" i="13"/>
  <c r="S113" i="13"/>
  <c r="N113" i="13"/>
  <c r="M113" i="13"/>
  <c r="K113" i="13"/>
  <c r="I113" i="13"/>
  <c r="H113" i="13"/>
  <c r="G113" i="13"/>
  <c r="F113" i="13"/>
  <c r="E113" i="13"/>
  <c r="Q112" i="13"/>
  <c r="P112" i="13"/>
  <c r="O112" i="13"/>
  <c r="N112" i="13"/>
  <c r="M112" i="13"/>
  <c r="K112" i="13"/>
  <c r="J112" i="13"/>
  <c r="I112" i="13"/>
  <c r="H112" i="13"/>
  <c r="G112" i="13"/>
  <c r="F112" i="13"/>
  <c r="E112" i="13"/>
  <c r="Q111" i="13"/>
  <c r="P111" i="13"/>
  <c r="O111" i="13"/>
  <c r="N111" i="13"/>
  <c r="M111" i="13"/>
  <c r="K111" i="13"/>
  <c r="J111" i="13"/>
  <c r="I111" i="13"/>
  <c r="H111" i="13"/>
  <c r="G111" i="13"/>
  <c r="F111" i="13"/>
  <c r="E111" i="13"/>
  <c r="U109" i="13"/>
  <c r="S109" i="13"/>
  <c r="R109" i="13"/>
  <c r="N109" i="13"/>
  <c r="M109" i="13"/>
  <c r="L109" i="13"/>
  <c r="G109" i="13"/>
  <c r="F109" i="13"/>
  <c r="E109" i="13"/>
  <c r="U108" i="13"/>
  <c r="T108" i="13"/>
  <c r="N108" i="13"/>
  <c r="M108" i="13"/>
  <c r="L108" i="13"/>
  <c r="G108" i="13"/>
  <c r="F108" i="13"/>
  <c r="E108" i="13"/>
  <c r="U106" i="13"/>
  <c r="S106" i="13"/>
  <c r="N106" i="13"/>
  <c r="M106" i="13"/>
  <c r="L106" i="13"/>
  <c r="G106" i="13"/>
  <c r="F106" i="13"/>
  <c r="E106" i="13"/>
  <c r="U105" i="13"/>
  <c r="S105" i="13"/>
  <c r="N105" i="13"/>
  <c r="M105" i="13"/>
  <c r="K105" i="13"/>
  <c r="I105" i="13"/>
  <c r="H105" i="13"/>
  <c r="G105" i="13"/>
  <c r="F105" i="13"/>
  <c r="E105" i="13"/>
  <c r="U104" i="13"/>
  <c r="S104" i="13"/>
  <c r="N104" i="13"/>
  <c r="M104" i="13"/>
  <c r="K104" i="13"/>
  <c r="I104" i="13"/>
  <c r="H104" i="13"/>
  <c r="G104" i="13"/>
  <c r="F104" i="13"/>
  <c r="E104" i="13"/>
  <c r="Q103" i="13"/>
  <c r="P103" i="13"/>
  <c r="O103" i="13"/>
  <c r="N103" i="13"/>
  <c r="M103" i="13"/>
  <c r="K103" i="13"/>
  <c r="J103" i="13"/>
  <c r="I103" i="13"/>
  <c r="H103" i="13"/>
  <c r="G103" i="13"/>
  <c r="F103" i="13"/>
  <c r="E103" i="13"/>
  <c r="Q102" i="13"/>
  <c r="P102" i="13"/>
  <c r="O102" i="13"/>
  <c r="N102" i="13"/>
  <c r="M102" i="13"/>
  <c r="K102" i="13"/>
  <c r="J102" i="13"/>
  <c r="I102" i="13"/>
  <c r="H102" i="13"/>
  <c r="G102" i="13"/>
  <c r="F102" i="13"/>
  <c r="E102" i="13"/>
  <c r="U100" i="13"/>
  <c r="S100" i="13"/>
  <c r="R100" i="13"/>
  <c r="N100" i="13"/>
  <c r="M100" i="13"/>
  <c r="L100" i="13"/>
  <c r="G100" i="13"/>
  <c r="F100" i="13"/>
  <c r="E100" i="13"/>
  <c r="U99" i="13"/>
  <c r="T99" i="13"/>
  <c r="N99" i="13"/>
  <c r="M99" i="13"/>
  <c r="L99" i="13"/>
  <c r="G99" i="13"/>
  <c r="F99" i="13"/>
  <c r="E99" i="13"/>
  <c r="U97" i="13"/>
  <c r="S97" i="13"/>
  <c r="N97" i="13"/>
  <c r="M97" i="13"/>
  <c r="L97" i="13"/>
  <c r="G97" i="13"/>
  <c r="F97" i="13"/>
  <c r="E97" i="13"/>
  <c r="U96" i="13"/>
  <c r="S96" i="13"/>
  <c r="N96" i="13"/>
  <c r="M96" i="13"/>
  <c r="K96" i="13"/>
  <c r="I96" i="13"/>
  <c r="H96" i="13"/>
  <c r="G96" i="13"/>
  <c r="F96" i="13"/>
  <c r="E96" i="13"/>
  <c r="U95" i="13"/>
  <c r="S95" i="13"/>
  <c r="N95" i="13"/>
  <c r="M95" i="13"/>
  <c r="K95" i="13"/>
  <c r="I95" i="13"/>
  <c r="H95" i="13"/>
  <c r="G95" i="13"/>
  <c r="F95" i="13"/>
  <c r="E95" i="13"/>
  <c r="Q94" i="13"/>
  <c r="P94" i="13"/>
  <c r="O94" i="13"/>
  <c r="N94" i="13"/>
  <c r="M94" i="13"/>
  <c r="K94" i="13"/>
  <c r="J94" i="13"/>
  <c r="I94" i="13"/>
  <c r="H94" i="13"/>
  <c r="G94" i="13"/>
  <c r="F94" i="13"/>
  <c r="E94" i="13"/>
  <c r="Q93" i="13"/>
  <c r="P93" i="13"/>
  <c r="O93" i="13"/>
  <c r="N93" i="13"/>
  <c r="M93" i="13"/>
  <c r="K93" i="13"/>
  <c r="J93" i="13"/>
  <c r="I93" i="13"/>
  <c r="H93" i="13"/>
  <c r="G93" i="13"/>
  <c r="F93" i="13"/>
  <c r="E93" i="13"/>
  <c r="U91" i="13"/>
  <c r="S91" i="13"/>
  <c r="R91" i="13"/>
  <c r="N91" i="13"/>
  <c r="M91" i="13"/>
  <c r="L91" i="13"/>
  <c r="G91" i="13"/>
  <c r="F91" i="13"/>
  <c r="E91" i="13"/>
  <c r="U90" i="13"/>
  <c r="T90" i="13"/>
  <c r="N90" i="13"/>
  <c r="M90" i="13"/>
  <c r="L90" i="13"/>
  <c r="G90" i="13"/>
  <c r="F90" i="13"/>
  <c r="E90" i="13"/>
  <c r="U88" i="13"/>
  <c r="S88" i="13"/>
  <c r="N88" i="13"/>
  <c r="M88" i="13"/>
  <c r="L88" i="13"/>
  <c r="G88" i="13"/>
  <c r="F88" i="13"/>
  <c r="E88" i="13"/>
  <c r="U87" i="13"/>
  <c r="S87" i="13"/>
  <c r="N87" i="13"/>
  <c r="M87" i="13"/>
  <c r="K87" i="13"/>
  <c r="I87" i="13"/>
  <c r="H87" i="13"/>
  <c r="G87" i="13"/>
  <c r="F87" i="13"/>
  <c r="E87" i="13"/>
  <c r="U86" i="13"/>
  <c r="S86" i="13"/>
  <c r="N86" i="13"/>
  <c r="M86" i="13"/>
  <c r="K86" i="13"/>
  <c r="I86" i="13"/>
  <c r="H86" i="13"/>
  <c r="G86" i="13"/>
  <c r="F86" i="13"/>
  <c r="E86" i="13"/>
  <c r="Q85" i="13"/>
  <c r="P85" i="13"/>
  <c r="O85" i="13"/>
  <c r="N85" i="13"/>
  <c r="M85" i="13"/>
  <c r="K85" i="13"/>
  <c r="J85" i="13"/>
  <c r="I85" i="13"/>
  <c r="H85" i="13"/>
  <c r="G85" i="13"/>
  <c r="F85" i="13"/>
  <c r="E85" i="13"/>
  <c r="Q84" i="13"/>
  <c r="P84" i="13"/>
  <c r="O84" i="13"/>
  <c r="N84" i="13"/>
  <c r="M84" i="13"/>
  <c r="K84" i="13"/>
  <c r="J84" i="13"/>
  <c r="I84" i="13"/>
  <c r="H84" i="13"/>
  <c r="G84" i="13"/>
  <c r="F84" i="13"/>
  <c r="E84" i="13"/>
  <c r="U82" i="13"/>
  <c r="S82" i="13"/>
  <c r="R82" i="13"/>
  <c r="N82" i="13"/>
  <c r="M82" i="13"/>
  <c r="L82" i="13"/>
  <c r="G82" i="13"/>
  <c r="F82" i="13"/>
  <c r="E82" i="13"/>
  <c r="U81" i="13"/>
  <c r="T81" i="13"/>
  <c r="N81" i="13"/>
  <c r="M81" i="13"/>
  <c r="L81" i="13"/>
  <c r="G81" i="13"/>
  <c r="F81" i="13"/>
  <c r="E81" i="13"/>
  <c r="U79" i="13"/>
  <c r="S79" i="13"/>
  <c r="N79" i="13"/>
  <c r="M79" i="13"/>
  <c r="L79" i="13"/>
  <c r="G79" i="13"/>
  <c r="F79" i="13"/>
  <c r="E79" i="13"/>
  <c r="U78" i="13"/>
  <c r="S78" i="13"/>
  <c r="N78" i="13"/>
  <c r="M78" i="13"/>
  <c r="K78" i="13"/>
  <c r="I78" i="13"/>
  <c r="H78" i="13"/>
  <c r="G78" i="13"/>
  <c r="F78" i="13"/>
  <c r="E78" i="13"/>
  <c r="U77" i="13"/>
  <c r="S77" i="13"/>
  <c r="N77" i="13"/>
  <c r="M77" i="13"/>
  <c r="K77" i="13"/>
  <c r="I77" i="13"/>
  <c r="H77" i="13"/>
  <c r="G77" i="13"/>
  <c r="F77" i="13"/>
  <c r="E77" i="13"/>
  <c r="Q76" i="13"/>
  <c r="P76" i="13"/>
  <c r="O76" i="13"/>
  <c r="N76" i="13"/>
  <c r="M76" i="13"/>
  <c r="K76" i="13"/>
  <c r="J76" i="13"/>
  <c r="I76" i="13"/>
  <c r="H76" i="13"/>
  <c r="G76" i="13"/>
  <c r="F76" i="13"/>
  <c r="E76" i="13"/>
  <c r="Q75" i="13"/>
  <c r="P75" i="13"/>
  <c r="O75" i="13"/>
  <c r="N75" i="13"/>
  <c r="M75" i="13"/>
  <c r="K75" i="13"/>
  <c r="J75" i="13"/>
  <c r="I75" i="13"/>
  <c r="H75" i="13"/>
  <c r="G75" i="13"/>
  <c r="F75" i="13"/>
  <c r="E75" i="13"/>
  <c r="U73" i="13"/>
  <c r="S73" i="13"/>
  <c r="R73" i="13"/>
  <c r="N73" i="13"/>
  <c r="M73" i="13"/>
  <c r="L73" i="13"/>
  <c r="G73" i="13"/>
  <c r="F73" i="13"/>
  <c r="E73" i="13"/>
  <c r="U72" i="13"/>
  <c r="T72" i="13"/>
  <c r="N72" i="13"/>
  <c r="M72" i="13"/>
  <c r="L72" i="13"/>
  <c r="G72" i="13"/>
  <c r="F72" i="13"/>
  <c r="E72" i="13"/>
  <c r="U70" i="13"/>
  <c r="S70" i="13"/>
  <c r="N70" i="13"/>
  <c r="M70" i="13"/>
  <c r="L70" i="13"/>
  <c r="G70" i="13"/>
  <c r="F70" i="13"/>
  <c r="E70" i="13"/>
  <c r="U69" i="13"/>
  <c r="S69" i="13"/>
  <c r="N69" i="13"/>
  <c r="M69" i="13"/>
  <c r="K69" i="13"/>
  <c r="I69" i="13"/>
  <c r="H69" i="13"/>
  <c r="G69" i="13"/>
  <c r="F69" i="13"/>
  <c r="E69" i="13"/>
  <c r="U68" i="13"/>
  <c r="S68" i="13"/>
  <c r="N68" i="13"/>
  <c r="M68" i="13"/>
  <c r="K68" i="13"/>
  <c r="I68" i="13"/>
  <c r="H68" i="13"/>
  <c r="G68" i="13"/>
  <c r="F68" i="13"/>
  <c r="E68" i="13"/>
  <c r="Q67" i="13"/>
  <c r="P67" i="13"/>
  <c r="O67" i="13"/>
  <c r="N67" i="13"/>
  <c r="M67" i="13"/>
  <c r="K67" i="13"/>
  <c r="J67" i="13"/>
  <c r="I67" i="13"/>
  <c r="H67" i="13"/>
  <c r="G67" i="13"/>
  <c r="F67" i="13"/>
  <c r="E67" i="13"/>
  <c r="Q66" i="13"/>
  <c r="P66" i="13"/>
  <c r="O66" i="13"/>
  <c r="N66" i="13"/>
  <c r="M66" i="13"/>
  <c r="K66" i="13"/>
  <c r="J66" i="13"/>
  <c r="I66" i="13"/>
  <c r="H66" i="13"/>
  <c r="G66" i="13"/>
  <c r="F66" i="13"/>
  <c r="E66" i="13"/>
  <c r="U64" i="13"/>
  <c r="S64" i="13"/>
  <c r="R64" i="13"/>
  <c r="N64" i="13"/>
  <c r="M64" i="13"/>
  <c r="L64" i="13"/>
  <c r="G64" i="13"/>
  <c r="F64" i="13"/>
  <c r="E64" i="13"/>
  <c r="U63" i="13"/>
  <c r="T63" i="13"/>
  <c r="N63" i="13"/>
  <c r="M63" i="13"/>
  <c r="L63" i="13"/>
  <c r="G63" i="13"/>
  <c r="F63" i="13"/>
  <c r="E63" i="13"/>
  <c r="U61" i="13"/>
  <c r="S61" i="13"/>
  <c r="N61" i="13"/>
  <c r="M61" i="13"/>
  <c r="L61" i="13"/>
  <c r="G61" i="13"/>
  <c r="F61" i="13"/>
  <c r="E61" i="13"/>
  <c r="U60" i="13"/>
  <c r="S60" i="13"/>
  <c r="N60" i="13"/>
  <c r="M60" i="13"/>
  <c r="K60" i="13"/>
  <c r="I60" i="13"/>
  <c r="H60" i="13"/>
  <c r="G60" i="13"/>
  <c r="F60" i="13"/>
  <c r="E60" i="13"/>
  <c r="U59" i="13"/>
  <c r="S59" i="13"/>
  <c r="N59" i="13"/>
  <c r="M59" i="13"/>
  <c r="K59" i="13"/>
  <c r="I59" i="13"/>
  <c r="H59" i="13"/>
  <c r="G59" i="13"/>
  <c r="F59" i="13"/>
  <c r="E59" i="13"/>
  <c r="Q58" i="13"/>
  <c r="P58" i="13"/>
  <c r="O58" i="13"/>
  <c r="N58" i="13"/>
  <c r="M58" i="13"/>
  <c r="K58" i="13"/>
  <c r="J58" i="13"/>
  <c r="I58" i="13"/>
  <c r="H58" i="13"/>
  <c r="G58" i="13"/>
  <c r="F58" i="13"/>
  <c r="E58" i="13"/>
  <c r="Q57" i="13"/>
  <c r="P57" i="13"/>
  <c r="O57" i="13"/>
  <c r="N57" i="13"/>
  <c r="M57" i="13"/>
  <c r="K57" i="13"/>
  <c r="J57" i="13"/>
  <c r="I57" i="13"/>
  <c r="H57" i="13"/>
  <c r="G57" i="13"/>
  <c r="F57" i="13"/>
  <c r="E57" i="13"/>
  <c r="U55" i="13"/>
  <c r="S55" i="13"/>
  <c r="R55" i="13"/>
  <c r="N55" i="13"/>
  <c r="M55" i="13"/>
  <c r="L55" i="13"/>
  <c r="G55" i="13"/>
  <c r="F55" i="13"/>
  <c r="E55" i="13"/>
  <c r="U54" i="13"/>
  <c r="T54" i="13"/>
  <c r="N54" i="13"/>
  <c r="M54" i="13"/>
  <c r="L54" i="13"/>
  <c r="G54" i="13"/>
  <c r="F54" i="13"/>
  <c r="E54" i="13"/>
  <c r="L53" i="13"/>
  <c r="G53" i="13"/>
  <c r="F53" i="13"/>
  <c r="E53" i="13"/>
  <c r="U52" i="13"/>
  <c r="S52" i="13"/>
  <c r="N52" i="13"/>
  <c r="M52" i="13"/>
  <c r="L52" i="13"/>
  <c r="G52" i="13"/>
  <c r="F52" i="13"/>
  <c r="E52" i="13"/>
  <c r="U51" i="13"/>
  <c r="S51" i="13"/>
  <c r="N51" i="13"/>
  <c r="M51" i="13"/>
  <c r="K51" i="13"/>
  <c r="I51" i="13"/>
  <c r="H51" i="13"/>
  <c r="G51" i="13"/>
  <c r="F51" i="13"/>
  <c r="E51" i="13"/>
  <c r="U50" i="13"/>
  <c r="S50" i="13"/>
  <c r="S53" i="13" s="1"/>
  <c r="N50" i="13"/>
  <c r="M50" i="13"/>
  <c r="K50" i="13"/>
  <c r="I50" i="13"/>
  <c r="H50" i="13"/>
  <c r="G50" i="13"/>
  <c r="F50" i="13"/>
  <c r="E50" i="13"/>
  <c r="Q49" i="13"/>
  <c r="P49" i="13"/>
  <c r="O49" i="13"/>
  <c r="N49" i="13"/>
  <c r="M49" i="13"/>
  <c r="K49" i="13"/>
  <c r="J49" i="13"/>
  <c r="I49" i="13"/>
  <c r="H49" i="13"/>
  <c r="G49" i="13"/>
  <c r="F49" i="13"/>
  <c r="E49" i="13"/>
  <c r="Q48" i="13"/>
  <c r="P48" i="13"/>
  <c r="O48" i="13"/>
  <c r="N48" i="13"/>
  <c r="M48" i="13"/>
  <c r="K48" i="13"/>
  <c r="J48" i="13"/>
  <c r="I48" i="13"/>
  <c r="H48" i="13"/>
  <c r="G48" i="13"/>
  <c r="F48" i="13"/>
  <c r="E48" i="13"/>
  <c r="M53" i="13" l="1"/>
  <c r="N53" i="13"/>
  <c r="U53" i="13"/>
  <c r="M854" i="3"/>
  <c r="N854" i="3"/>
  <c r="S854" i="3"/>
  <c r="U46" i="13"/>
  <c r="S46" i="13"/>
  <c r="R46" i="13"/>
  <c r="N46" i="13"/>
  <c r="M46" i="13"/>
  <c r="L46" i="13"/>
  <c r="G46" i="13"/>
  <c r="F46" i="13"/>
  <c r="E46" i="13"/>
  <c r="U45" i="13"/>
  <c r="T45" i="13"/>
  <c r="T47" i="13" s="1"/>
  <c r="N45" i="13"/>
  <c r="M45" i="13"/>
  <c r="L45" i="13"/>
  <c r="G45" i="13"/>
  <c r="F45" i="13"/>
  <c r="E45" i="13"/>
  <c r="U43" i="13"/>
  <c r="S43" i="13"/>
  <c r="N43" i="13"/>
  <c r="M43" i="13"/>
  <c r="L43" i="13"/>
  <c r="L44" i="13" s="1"/>
  <c r="G43" i="13"/>
  <c r="G44" i="13" s="1"/>
  <c r="G47" i="13" s="1"/>
  <c r="F43" i="13"/>
  <c r="E43" i="13"/>
  <c r="U42" i="13"/>
  <c r="S42" i="13"/>
  <c r="N42" i="13"/>
  <c r="M42" i="13"/>
  <c r="K42" i="13"/>
  <c r="I42" i="13"/>
  <c r="H42" i="13"/>
  <c r="G42" i="13"/>
  <c r="F42" i="13"/>
  <c r="E42" i="13"/>
  <c r="U41" i="13"/>
  <c r="U44" i="13" s="1"/>
  <c r="U47" i="13" s="1"/>
  <c r="S41" i="13"/>
  <c r="S44" i="13" s="1"/>
  <c r="R41" i="13"/>
  <c r="N41" i="13"/>
  <c r="M41" i="13"/>
  <c r="K41" i="13"/>
  <c r="I41" i="13"/>
  <c r="H41" i="13"/>
  <c r="G41" i="13"/>
  <c r="F41" i="13"/>
  <c r="E41" i="13"/>
  <c r="Q40" i="13"/>
  <c r="P40" i="13"/>
  <c r="O40" i="13"/>
  <c r="N40" i="13"/>
  <c r="M40" i="13"/>
  <c r="K40" i="13"/>
  <c r="J40" i="13"/>
  <c r="I40" i="13"/>
  <c r="H40" i="13"/>
  <c r="G40" i="13"/>
  <c r="F40" i="13"/>
  <c r="E40" i="13"/>
  <c r="Q39" i="13"/>
  <c r="Q47" i="13" s="1"/>
  <c r="P39" i="13"/>
  <c r="O39" i="13"/>
  <c r="N39" i="13"/>
  <c r="M39" i="13"/>
  <c r="M44" i="13" s="1"/>
  <c r="K39" i="13"/>
  <c r="J39" i="13"/>
  <c r="I39" i="13"/>
  <c r="I47" i="13" s="1"/>
  <c r="H39" i="13"/>
  <c r="H47" i="13" s="1"/>
  <c r="G39" i="13"/>
  <c r="F39" i="13"/>
  <c r="F44" i="13" s="1"/>
  <c r="F47" i="13" s="1"/>
  <c r="E39" i="13"/>
  <c r="U37" i="13"/>
  <c r="S37" i="13"/>
  <c r="R37" i="13"/>
  <c r="N37" i="13"/>
  <c r="M37" i="13"/>
  <c r="L37" i="13"/>
  <c r="G37" i="13"/>
  <c r="F37" i="13"/>
  <c r="E37" i="13"/>
  <c r="U36" i="13"/>
  <c r="T36" i="13"/>
  <c r="T38" i="13" s="1"/>
  <c r="S36" i="13"/>
  <c r="R36" i="13"/>
  <c r="N36" i="13"/>
  <c r="M36" i="13"/>
  <c r="L36" i="13"/>
  <c r="G36" i="13"/>
  <c r="F36" i="13"/>
  <c r="E36" i="13"/>
  <c r="U34" i="13"/>
  <c r="S34" i="13"/>
  <c r="N34" i="13"/>
  <c r="M34" i="13"/>
  <c r="L34" i="13"/>
  <c r="L35" i="13" s="1"/>
  <c r="G34" i="13"/>
  <c r="F34" i="13"/>
  <c r="F35" i="13" s="1"/>
  <c r="E34" i="13"/>
  <c r="U33" i="13"/>
  <c r="S33" i="13"/>
  <c r="N33" i="13"/>
  <c r="M33" i="13"/>
  <c r="K33" i="13"/>
  <c r="I33" i="13"/>
  <c r="I38" i="13" s="1"/>
  <c r="H33" i="13"/>
  <c r="G33" i="13"/>
  <c r="F33" i="13"/>
  <c r="E33" i="13"/>
  <c r="U32" i="13"/>
  <c r="U35" i="13" s="1"/>
  <c r="U38" i="13" s="1"/>
  <c r="S32" i="13"/>
  <c r="N32" i="13"/>
  <c r="M32" i="13"/>
  <c r="K32" i="13"/>
  <c r="I32" i="13"/>
  <c r="H32" i="13"/>
  <c r="G32" i="13"/>
  <c r="F32" i="13"/>
  <c r="E32" i="13"/>
  <c r="Q31" i="13"/>
  <c r="P31" i="13"/>
  <c r="O31" i="13"/>
  <c r="N31" i="13"/>
  <c r="M31" i="13"/>
  <c r="K31" i="13"/>
  <c r="J31" i="13"/>
  <c r="I31" i="13"/>
  <c r="H31" i="13"/>
  <c r="G31" i="13"/>
  <c r="F31" i="13"/>
  <c r="E31" i="13"/>
  <c r="Q30" i="13"/>
  <c r="Q38" i="13" s="1"/>
  <c r="P30" i="13"/>
  <c r="P38" i="13" s="1"/>
  <c r="O30" i="13"/>
  <c r="N30" i="13"/>
  <c r="M30" i="13"/>
  <c r="K30" i="13"/>
  <c r="J30" i="13"/>
  <c r="I30" i="13"/>
  <c r="H30" i="13"/>
  <c r="G30" i="13"/>
  <c r="G35" i="13" s="1"/>
  <c r="G38" i="13" s="1"/>
  <c r="F30" i="13"/>
  <c r="E30" i="13"/>
  <c r="U370" i="13"/>
  <c r="S370" i="13"/>
  <c r="R370" i="13"/>
  <c r="N370" i="13"/>
  <c r="M370" i="13"/>
  <c r="L370" i="13"/>
  <c r="G370" i="13"/>
  <c r="F370" i="13"/>
  <c r="E370" i="13"/>
  <c r="U369" i="13"/>
  <c r="T369" i="13"/>
  <c r="T371" i="13" s="1"/>
  <c r="R369" i="13"/>
  <c r="N369" i="13"/>
  <c r="M369" i="13"/>
  <c r="L369" i="13"/>
  <c r="G369" i="13"/>
  <c r="F369" i="13"/>
  <c r="E369" i="13"/>
  <c r="U367" i="13"/>
  <c r="S367" i="13"/>
  <c r="N367" i="13"/>
  <c r="M367" i="13"/>
  <c r="M368" i="13" s="1"/>
  <c r="M371" i="13" s="1"/>
  <c r="L367" i="13"/>
  <c r="L368" i="13" s="1"/>
  <c r="G367" i="13"/>
  <c r="G368" i="13" s="1"/>
  <c r="G371" i="13" s="1"/>
  <c r="F367" i="13"/>
  <c r="E367" i="13"/>
  <c r="U366" i="13"/>
  <c r="S366" i="13"/>
  <c r="N366" i="13"/>
  <c r="M366" i="13"/>
  <c r="K366" i="13"/>
  <c r="I366" i="13"/>
  <c r="I371" i="13" s="1"/>
  <c r="H366" i="13"/>
  <c r="G366" i="13"/>
  <c r="F366" i="13"/>
  <c r="E366" i="13"/>
  <c r="U365" i="13"/>
  <c r="S365" i="13"/>
  <c r="N365" i="13"/>
  <c r="M365" i="13"/>
  <c r="K365" i="13"/>
  <c r="I365" i="13"/>
  <c r="H365" i="13"/>
  <c r="G365" i="13"/>
  <c r="F365" i="13"/>
  <c r="E365" i="13"/>
  <c r="Q364" i="13"/>
  <c r="P364" i="13"/>
  <c r="O364" i="13"/>
  <c r="N364" i="13"/>
  <c r="M364" i="13"/>
  <c r="K364" i="13"/>
  <c r="J364" i="13"/>
  <c r="I364" i="13"/>
  <c r="H364" i="13"/>
  <c r="G364" i="13"/>
  <c r="F364" i="13"/>
  <c r="E364" i="13"/>
  <c r="Q363" i="13"/>
  <c r="Q371" i="13" s="1"/>
  <c r="P363" i="13"/>
  <c r="O363" i="13"/>
  <c r="N363" i="13"/>
  <c r="M363" i="13"/>
  <c r="K363" i="13"/>
  <c r="J363" i="13"/>
  <c r="J371" i="13" s="1"/>
  <c r="I363" i="13"/>
  <c r="H363" i="13"/>
  <c r="H371" i="13" s="1"/>
  <c r="G363" i="13"/>
  <c r="F363" i="13"/>
  <c r="E363" i="13"/>
  <c r="E368" i="13" s="1"/>
  <c r="E371" i="13" s="1"/>
  <c r="P371" i="13"/>
  <c r="O371" i="13"/>
  <c r="U368" i="13"/>
  <c r="T362" i="13"/>
  <c r="Q362" i="13"/>
  <c r="P362" i="13"/>
  <c r="O362" i="13"/>
  <c r="K362" i="13"/>
  <c r="J362" i="13"/>
  <c r="I362" i="13"/>
  <c r="H362" i="13"/>
  <c r="U359" i="13"/>
  <c r="U362" i="13" s="1"/>
  <c r="S359" i="13"/>
  <c r="R359" i="13"/>
  <c r="N359" i="13"/>
  <c r="N362" i="13" s="1"/>
  <c r="M359" i="13"/>
  <c r="M362" i="13" s="1"/>
  <c r="L359" i="13"/>
  <c r="L362" i="13" s="1"/>
  <c r="G359" i="13"/>
  <c r="G362" i="13" s="1"/>
  <c r="F359" i="13"/>
  <c r="F362" i="13" s="1"/>
  <c r="E359" i="13"/>
  <c r="E362" i="13" s="1"/>
  <c r="T353" i="13"/>
  <c r="Q353" i="13"/>
  <c r="P353" i="13"/>
  <c r="O353" i="13"/>
  <c r="K353" i="13"/>
  <c r="J353" i="13"/>
  <c r="I353" i="13"/>
  <c r="H353" i="13"/>
  <c r="U350" i="13"/>
  <c r="U353" i="13" s="1"/>
  <c r="S350" i="13"/>
  <c r="N350" i="13"/>
  <c r="N353" i="13" s="1"/>
  <c r="M350" i="13"/>
  <c r="M353" i="13" s="1"/>
  <c r="L350" i="13"/>
  <c r="L353" i="13" s="1"/>
  <c r="G350" i="13"/>
  <c r="G353" i="13" s="1"/>
  <c r="F350" i="13"/>
  <c r="F353" i="13" s="1"/>
  <c r="E350" i="13"/>
  <c r="E353" i="13" s="1"/>
  <c r="T344" i="13"/>
  <c r="Q344" i="13"/>
  <c r="P344" i="13"/>
  <c r="O344" i="13"/>
  <c r="K344" i="13"/>
  <c r="J344" i="13"/>
  <c r="I344" i="13"/>
  <c r="H344" i="13"/>
  <c r="U341" i="13"/>
  <c r="U344" i="13" s="1"/>
  <c r="S341" i="13"/>
  <c r="N341" i="13"/>
  <c r="N344" i="13" s="1"/>
  <c r="M341" i="13"/>
  <c r="M344" i="13" s="1"/>
  <c r="L341" i="13"/>
  <c r="L344" i="13" s="1"/>
  <c r="G341" i="13"/>
  <c r="G344" i="13" s="1"/>
  <c r="F341" i="13"/>
  <c r="F344" i="13" s="1"/>
  <c r="E341" i="13"/>
  <c r="E344" i="13" s="1"/>
  <c r="T335" i="13"/>
  <c r="Q335" i="13"/>
  <c r="P335" i="13"/>
  <c r="O335" i="13"/>
  <c r="K335" i="13"/>
  <c r="J335" i="13"/>
  <c r="I335" i="13"/>
  <c r="H335" i="13"/>
  <c r="U332" i="13"/>
  <c r="U335" i="13" s="1"/>
  <c r="S332" i="13"/>
  <c r="R332" i="13"/>
  <c r="N332" i="13"/>
  <c r="N335" i="13" s="1"/>
  <c r="M332" i="13"/>
  <c r="M335" i="13" s="1"/>
  <c r="L332" i="13"/>
  <c r="L335" i="13" s="1"/>
  <c r="G332" i="13"/>
  <c r="G335" i="13" s="1"/>
  <c r="F332" i="13"/>
  <c r="F335" i="13" s="1"/>
  <c r="E332" i="13"/>
  <c r="E335" i="13" s="1"/>
  <c r="T326" i="13"/>
  <c r="Q326" i="13"/>
  <c r="P326" i="13"/>
  <c r="O326" i="13"/>
  <c r="K326" i="13"/>
  <c r="J326" i="13"/>
  <c r="I326" i="13"/>
  <c r="H326" i="13"/>
  <c r="U323" i="13"/>
  <c r="U326" i="13" s="1"/>
  <c r="S323" i="13"/>
  <c r="N323" i="13"/>
  <c r="N326" i="13" s="1"/>
  <c r="M323" i="13"/>
  <c r="M326" i="13" s="1"/>
  <c r="L323" i="13"/>
  <c r="L326" i="13" s="1"/>
  <c r="G323" i="13"/>
  <c r="G326" i="13" s="1"/>
  <c r="F323" i="13"/>
  <c r="F326" i="13" s="1"/>
  <c r="E323" i="13"/>
  <c r="E326" i="13" s="1"/>
  <c r="T317" i="13"/>
  <c r="Q317" i="13"/>
  <c r="P317" i="13"/>
  <c r="O317" i="13"/>
  <c r="K317" i="13"/>
  <c r="J317" i="13"/>
  <c r="I317" i="13"/>
  <c r="H317" i="13"/>
  <c r="U314" i="13"/>
  <c r="U317" i="13" s="1"/>
  <c r="S314" i="13"/>
  <c r="R314" i="13"/>
  <c r="N314" i="13"/>
  <c r="N317" i="13" s="1"/>
  <c r="M314" i="13"/>
  <c r="M317" i="13" s="1"/>
  <c r="L314" i="13"/>
  <c r="L317" i="13" s="1"/>
  <c r="G314" i="13"/>
  <c r="G317" i="13" s="1"/>
  <c r="F314" i="13"/>
  <c r="F317" i="13" s="1"/>
  <c r="E314" i="13"/>
  <c r="E317" i="13" s="1"/>
  <c r="T308" i="13"/>
  <c r="Q308" i="13"/>
  <c r="P308" i="13"/>
  <c r="O308" i="13"/>
  <c r="K308" i="13"/>
  <c r="J308" i="13"/>
  <c r="I308" i="13"/>
  <c r="H308" i="13"/>
  <c r="U305" i="13"/>
  <c r="U308" i="13" s="1"/>
  <c r="S305" i="13"/>
  <c r="N305" i="13"/>
  <c r="N308" i="13" s="1"/>
  <c r="M305" i="13"/>
  <c r="M308" i="13" s="1"/>
  <c r="L305" i="13"/>
  <c r="L308" i="13" s="1"/>
  <c r="G305" i="13"/>
  <c r="G308" i="13" s="1"/>
  <c r="F305" i="13"/>
  <c r="F308" i="13" s="1"/>
  <c r="E305" i="13"/>
  <c r="E308" i="13" s="1"/>
  <c r="T299" i="13"/>
  <c r="Q299" i="13"/>
  <c r="P299" i="13"/>
  <c r="K299" i="13"/>
  <c r="J299" i="13"/>
  <c r="H299" i="13"/>
  <c r="U296" i="13"/>
  <c r="U299" i="13" s="1"/>
  <c r="S296" i="13"/>
  <c r="N296" i="13"/>
  <c r="N299" i="13" s="1"/>
  <c r="M296" i="13"/>
  <c r="M299" i="13" s="1"/>
  <c r="L296" i="13"/>
  <c r="L299" i="13" s="1"/>
  <c r="G296" i="13"/>
  <c r="G299" i="13" s="1"/>
  <c r="F296" i="13"/>
  <c r="F299" i="13" s="1"/>
  <c r="O299" i="13"/>
  <c r="I299" i="13"/>
  <c r="E296" i="13"/>
  <c r="E299" i="13" s="1"/>
  <c r="Q290" i="13"/>
  <c r="P290" i="13"/>
  <c r="J290" i="13"/>
  <c r="H290" i="13"/>
  <c r="T290" i="13"/>
  <c r="L287" i="13"/>
  <c r="L290" i="13" s="1"/>
  <c r="U287" i="13"/>
  <c r="U290" i="13" s="1"/>
  <c r="M287" i="13"/>
  <c r="M290" i="13" s="1"/>
  <c r="G287" i="13"/>
  <c r="G290" i="13" s="1"/>
  <c r="F287" i="13"/>
  <c r="F290" i="13" s="1"/>
  <c r="S287" i="13"/>
  <c r="K290" i="13"/>
  <c r="O290" i="13"/>
  <c r="N287" i="13"/>
  <c r="N290" i="13" s="1"/>
  <c r="I290" i="13"/>
  <c r="E287" i="13"/>
  <c r="E290" i="13" s="1"/>
  <c r="J281" i="13"/>
  <c r="T281" i="13"/>
  <c r="L278" i="13"/>
  <c r="L281" i="13" s="1"/>
  <c r="U278" i="13"/>
  <c r="U281" i="13" s="1"/>
  <c r="G278" i="13"/>
  <c r="G281" i="13" s="1"/>
  <c r="F278" i="13"/>
  <c r="F281" i="13" s="1"/>
  <c r="S278" i="13"/>
  <c r="K281" i="13"/>
  <c r="Q281" i="13"/>
  <c r="P281" i="13"/>
  <c r="O281" i="13"/>
  <c r="N278" i="13"/>
  <c r="N281" i="13" s="1"/>
  <c r="M278" i="13"/>
  <c r="I281" i="13"/>
  <c r="H281" i="13"/>
  <c r="E278" i="13"/>
  <c r="E281" i="13" s="1"/>
  <c r="J272" i="13"/>
  <c r="T272" i="13"/>
  <c r="L269" i="13"/>
  <c r="L272" i="13" s="1"/>
  <c r="F269" i="13"/>
  <c r="F272" i="13" s="1"/>
  <c r="U269" i="13"/>
  <c r="U272" i="13" s="1"/>
  <c r="Q272" i="13"/>
  <c r="P272" i="13"/>
  <c r="O272" i="13"/>
  <c r="N269" i="13"/>
  <c r="N272" i="13" s="1"/>
  <c r="M269" i="13"/>
  <c r="K272" i="13"/>
  <c r="I272" i="13"/>
  <c r="H272" i="13"/>
  <c r="G269" i="13"/>
  <c r="G272" i="13" s="1"/>
  <c r="E269" i="13"/>
  <c r="E272" i="13" s="1"/>
  <c r="J263" i="13"/>
  <c r="T263" i="13"/>
  <c r="L260" i="13"/>
  <c r="L263" i="13" s="1"/>
  <c r="F260" i="13"/>
  <c r="F263" i="13" s="1"/>
  <c r="U260" i="13"/>
  <c r="U263" i="13" s="1"/>
  <c r="R260" i="13"/>
  <c r="Q263" i="13"/>
  <c r="P263" i="13"/>
  <c r="O263" i="13"/>
  <c r="N260" i="13"/>
  <c r="N263" i="13" s="1"/>
  <c r="M260" i="13"/>
  <c r="K263" i="13"/>
  <c r="I263" i="13"/>
  <c r="H263" i="13"/>
  <c r="G260" i="13"/>
  <c r="G263" i="13" s="1"/>
  <c r="E260" i="13"/>
  <c r="E263" i="13" s="1"/>
  <c r="J254" i="13"/>
  <c r="T254" i="13"/>
  <c r="L251" i="13"/>
  <c r="L254" i="13" s="1"/>
  <c r="F251" i="13"/>
  <c r="F254" i="13" s="1"/>
  <c r="U251" i="13"/>
  <c r="U254" i="13" s="1"/>
  <c r="Q254" i="13"/>
  <c r="P254" i="13"/>
  <c r="O254" i="13"/>
  <c r="N251" i="13"/>
  <c r="N254" i="13" s="1"/>
  <c r="M251" i="13"/>
  <c r="K254" i="13"/>
  <c r="I254" i="13"/>
  <c r="H254" i="13"/>
  <c r="G251" i="13"/>
  <c r="G254" i="13" s="1"/>
  <c r="E251" i="13"/>
  <c r="E254" i="13" s="1"/>
  <c r="J245" i="13"/>
  <c r="T245" i="13"/>
  <c r="L242" i="13"/>
  <c r="L245" i="13" s="1"/>
  <c r="F242" i="13"/>
  <c r="F245" i="13" s="1"/>
  <c r="U242" i="13"/>
  <c r="U245" i="13" s="1"/>
  <c r="Q245" i="13"/>
  <c r="P245" i="13"/>
  <c r="O245" i="13"/>
  <c r="N242" i="13"/>
  <c r="N245" i="13" s="1"/>
  <c r="M242" i="13"/>
  <c r="M245" i="13" s="1"/>
  <c r="K245" i="13"/>
  <c r="I245" i="13"/>
  <c r="H245" i="13"/>
  <c r="G242" i="13"/>
  <c r="G245" i="13" s="1"/>
  <c r="E242" i="13"/>
  <c r="E245" i="13" s="1"/>
  <c r="J236" i="13"/>
  <c r="T236" i="13"/>
  <c r="L233" i="13"/>
  <c r="L236" i="13" s="1"/>
  <c r="F233" i="13"/>
  <c r="F236" i="13" s="1"/>
  <c r="U233" i="13"/>
  <c r="U236" i="13" s="1"/>
  <c r="R233" i="13"/>
  <c r="Q236" i="13"/>
  <c r="P236" i="13"/>
  <c r="O236" i="13"/>
  <c r="N233" i="13"/>
  <c r="N236" i="13" s="1"/>
  <c r="M233" i="13"/>
  <c r="M236" i="13" s="1"/>
  <c r="K236" i="13"/>
  <c r="I236" i="13"/>
  <c r="H236" i="13"/>
  <c r="G233" i="13"/>
  <c r="G236" i="13" s="1"/>
  <c r="E233" i="13"/>
  <c r="E236" i="13" s="1"/>
  <c r="J227" i="13"/>
  <c r="T227" i="13"/>
  <c r="L224" i="13"/>
  <c r="L227" i="13" s="1"/>
  <c r="F224" i="13"/>
  <c r="F227" i="13" s="1"/>
  <c r="U224" i="13"/>
  <c r="U227" i="13" s="1"/>
  <c r="Q227" i="13"/>
  <c r="P227" i="13"/>
  <c r="O227" i="13"/>
  <c r="N224" i="13"/>
  <c r="N227" i="13" s="1"/>
  <c r="M224" i="13"/>
  <c r="M227" i="13" s="1"/>
  <c r="K227" i="13"/>
  <c r="I227" i="13"/>
  <c r="H227" i="13"/>
  <c r="G224" i="13"/>
  <c r="G227" i="13" s="1"/>
  <c r="E224" i="13"/>
  <c r="E227" i="13" s="1"/>
  <c r="J218" i="13"/>
  <c r="T218" i="13"/>
  <c r="L215" i="13"/>
  <c r="L218" i="13" s="1"/>
  <c r="F215" i="13"/>
  <c r="F218" i="13" s="1"/>
  <c r="U215" i="13"/>
  <c r="U218" i="13" s="1"/>
  <c r="Q218" i="13"/>
  <c r="P218" i="13"/>
  <c r="O218" i="13"/>
  <c r="N215" i="13"/>
  <c r="N218" i="13" s="1"/>
  <c r="M215" i="13"/>
  <c r="M218" i="13" s="1"/>
  <c r="K218" i="13"/>
  <c r="I218" i="13"/>
  <c r="H218" i="13"/>
  <c r="G215" i="13"/>
  <c r="G218" i="13" s="1"/>
  <c r="E215" i="13"/>
  <c r="E218" i="13" s="1"/>
  <c r="J209" i="13"/>
  <c r="T209" i="13"/>
  <c r="L206" i="13"/>
  <c r="L209" i="13" s="1"/>
  <c r="F206" i="13"/>
  <c r="F209" i="13" s="1"/>
  <c r="U206" i="13"/>
  <c r="U209" i="13" s="1"/>
  <c r="R206" i="13"/>
  <c r="Q209" i="13"/>
  <c r="P209" i="13"/>
  <c r="O209" i="13"/>
  <c r="N206" i="13"/>
  <c r="N209" i="13" s="1"/>
  <c r="M206" i="13"/>
  <c r="K209" i="13"/>
  <c r="I209" i="13"/>
  <c r="H209" i="13"/>
  <c r="G206" i="13"/>
  <c r="G209" i="13" s="1"/>
  <c r="E206" i="13"/>
  <c r="E209" i="13" s="1"/>
  <c r="T200" i="13"/>
  <c r="L197" i="13"/>
  <c r="L200" i="13" s="1"/>
  <c r="E197" i="13"/>
  <c r="E200" i="13" s="1"/>
  <c r="S197" i="13"/>
  <c r="N197" i="13"/>
  <c r="N200" i="13" s="1"/>
  <c r="Q200" i="13"/>
  <c r="P200" i="13"/>
  <c r="O200" i="13"/>
  <c r="M197" i="13"/>
  <c r="M200" i="13" s="1"/>
  <c r="J200" i="13"/>
  <c r="H200" i="13"/>
  <c r="Q191" i="13"/>
  <c r="I191" i="13"/>
  <c r="T191" i="13"/>
  <c r="U188" i="13"/>
  <c r="U191" i="13" s="1"/>
  <c r="M188" i="13"/>
  <c r="M191" i="13" s="1"/>
  <c r="L188" i="13"/>
  <c r="L191" i="13" s="1"/>
  <c r="G188" i="13"/>
  <c r="G191" i="13" s="1"/>
  <c r="E188" i="13"/>
  <c r="E191" i="13" s="1"/>
  <c r="S188" i="13"/>
  <c r="K191" i="13"/>
  <c r="P191" i="13"/>
  <c r="O191" i="13"/>
  <c r="N188" i="13"/>
  <c r="N191" i="13" s="1"/>
  <c r="J191" i="13"/>
  <c r="H191" i="13"/>
  <c r="F188" i="13"/>
  <c r="F191" i="13" s="1"/>
  <c r="Q182" i="13"/>
  <c r="I182" i="13"/>
  <c r="T182" i="13"/>
  <c r="U179" i="13"/>
  <c r="U182" i="13" s="1"/>
  <c r="M179" i="13"/>
  <c r="M182" i="13" s="1"/>
  <c r="L179" i="13"/>
  <c r="L182" i="13" s="1"/>
  <c r="G179" i="13"/>
  <c r="G182" i="13" s="1"/>
  <c r="E179" i="13"/>
  <c r="E182" i="13" s="1"/>
  <c r="S179" i="13"/>
  <c r="K182" i="13"/>
  <c r="P182" i="13"/>
  <c r="O182" i="13"/>
  <c r="N179" i="13"/>
  <c r="N182" i="13" s="1"/>
  <c r="J182" i="13"/>
  <c r="H182" i="13"/>
  <c r="Q173" i="13"/>
  <c r="I173" i="13"/>
  <c r="U172" i="13"/>
  <c r="S172" i="13"/>
  <c r="R172" i="13"/>
  <c r="N172" i="13"/>
  <c r="M172" i="13"/>
  <c r="L172" i="13"/>
  <c r="G172" i="13"/>
  <c r="F172" i="13"/>
  <c r="E172" i="13"/>
  <c r="T173" i="13"/>
  <c r="S170" i="13"/>
  <c r="K173" i="13"/>
  <c r="P173" i="13"/>
  <c r="O173" i="13"/>
  <c r="J173" i="13"/>
  <c r="H173" i="13"/>
  <c r="Q164" i="13"/>
  <c r="I164" i="13"/>
  <c r="U163" i="13"/>
  <c r="S163" i="13"/>
  <c r="R163" i="13"/>
  <c r="N163" i="13"/>
  <c r="M163" i="13"/>
  <c r="L163" i="13"/>
  <c r="G163" i="13"/>
  <c r="F163" i="13"/>
  <c r="E163" i="13"/>
  <c r="T164" i="13"/>
  <c r="K164" i="13"/>
  <c r="P164" i="13"/>
  <c r="O164" i="13"/>
  <c r="J164" i="13"/>
  <c r="H164" i="13"/>
  <c r="Q155" i="13"/>
  <c r="I155" i="13"/>
  <c r="T155" i="13"/>
  <c r="U152" i="13"/>
  <c r="U155" i="13" s="1"/>
  <c r="M152" i="13"/>
  <c r="M155" i="13" s="1"/>
  <c r="L152" i="13"/>
  <c r="L155" i="13" s="1"/>
  <c r="R152" i="13"/>
  <c r="G152" i="13"/>
  <c r="G155" i="13" s="1"/>
  <c r="E152" i="13"/>
  <c r="E155" i="13" s="1"/>
  <c r="S152" i="13"/>
  <c r="K155" i="13"/>
  <c r="P155" i="13"/>
  <c r="O155" i="13"/>
  <c r="N152" i="13"/>
  <c r="N155" i="13" s="1"/>
  <c r="J155" i="13"/>
  <c r="H155" i="13"/>
  <c r="F152" i="13"/>
  <c r="F155" i="13" s="1"/>
  <c r="Q146" i="13"/>
  <c r="I146" i="13"/>
  <c r="T146" i="13"/>
  <c r="U143" i="13"/>
  <c r="U146" i="13" s="1"/>
  <c r="M143" i="13"/>
  <c r="M146" i="13" s="1"/>
  <c r="L143" i="13"/>
  <c r="L146" i="13" s="1"/>
  <c r="G143" i="13"/>
  <c r="G146" i="13" s="1"/>
  <c r="E143" i="13"/>
  <c r="E146" i="13" s="1"/>
  <c r="S143" i="13"/>
  <c r="K146" i="13"/>
  <c r="P146" i="13"/>
  <c r="O146" i="13"/>
  <c r="N143" i="13"/>
  <c r="N146" i="13" s="1"/>
  <c r="J146" i="13"/>
  <c r="H146" i="13"/>
  <c r="Q137" i="13"/>
  <c r="I137" i="13"/>
  <c r="T137" i="13"/>
  <c r="U134" i="13"/>
  <c r="U137" i="13" s="1"/>
  <c r="M134" i="13"/>
  <c r="M137" i="13" s="1"/>
  <c r="L134" i="13"/>
  <c r="L137" i="13" s="1"/>
  <c r="G134" i="13"/>
  <c r="G137" i="13" s="1"/>
  <c r="E134" i="13"/>
  <c r="E137" i="13" s="1"/>
  <c r="S134" i="13"/>
  <c r="K137" i="13"/>
  <c r="P137" i="13"/>
  <c r="O137" i="13"/>
  <c r="N134" i="13"/>
  <c r="N137" i="13" s="1"/>
  <c r="J137" i="13"/>
  <c r="H137" i="13"/>
  <c r="F134" i="13"/>
  <c r="F137" i="13" s="1"/>
  <c r="Q128" i="13"/>
  <c r="T128" i="13"/>
  <c r="U125" i="13"/>
  <c r="U128" i="13" s="1"/>
  <c r="M125" i="13"/>
  <c r="M128" i="13" s="1"/>
  <c r="L125" i="13"/>
  <c r="L128" i="13" s="1"/>
  <c r="R125" i="13"/>
  <c r="I128" i="13"/>
  <c r="G125" i="13"/>
  <c r="G128" i="13" s="1"/>
  <c r="E125" i="13"/>
  <c r="E128" i="13" s="1"/>
  <c r="S125" i="13"/>
  <c r="K128" i="13"/>
  <c r="P128" i="13"/>
  <c r="O128" i="13"/>
  <c r="N125" i="13"/>
  <c r="N128" i="13" s="1"/>
  <c r="J128" i="13"/>
  <c r="H128" i="13"/>
  <c r="I119" i="13"/>
  <c r="T119" i="13"/>
  <c r="U116" i="13"/>
  <c r="U119" i="13" s="1"/>
  <c r="L116" i="13"/>
  <c r="L119" i="13" s="1"/>
  <c r="G116" i="13"/>
  <c r="G119" i="13" s="1"/>
  <c r="E116" i="13"/>
  <c r="E119" i="13" s="1"/>
  <c r="S116" i="13"/>
  <c r="K119" i="13"/>
  <c r="Q119" i="13"/>
  <c r="P119" i="13"/>
  <c r="O119" i="13"/>
  <c r="M116" i="13"/>
  <c r="M119" i="13" s="1"/>
  <c r="J119" i="13"/>
  <c r="H119" i="13"/>
  <c r="F116" i="13"/>
  <c r="F119" i="13" s="1"/>
  <c r="Q110" i="13"/>
  <c r="T110" i="13"/>
  <c r="L107" i="13"/>
  <c r="L110" i="13" s="1"/>
  <c r="U107" i="13"/>
  <c r="U110" i="13" s="1"/>
  <c r="M107" i="13"/>
  <c r="M110" i="13" s="1"/>
  <c r="I110" i="13"/>
  <c r="G107" i="13"/>
  <c r="G110" i="13" s="1"/>
  <c r="E107" i="13"/>
  <c r="E110" i="13" s="1"/>
  <c r="S107" i="13"/>
  <c r="K110" i="13"/>
  <c r="P110" i="13"/>
  <c r="O110" i="13"/>
  <c r="N107" i="13"/>
  <c r="N110" i="13" s="1"/>
  <c r="J110" i="13"/>
  <c r="H110" i="13"/>
  <c r="F107" i="13"/>
  <c r="F110" i="13" s="1"/>
  <c r="Q101" i="13"/>
  <c r="I101" i="13"/>
  <c r="T101" i="13"/>
  <c r="L98" i="13"/>
  <c r="L101" i="13" s="1"/>
  <c r="U98" i="13"/>
  <c r="U101" i="13" s="1"/>
  <c r="M98" i="13"/>
  <c r="M101" i="13" s="1"/>
  <c r="G98" i="13"/>
  <c r="G101" i="13" s="1"/>
  <c r="E98" i="13"/>
  <c r="E101" i="13" s="1"/>
  <c r="S98" i="13"/>
  <c r="K101" i="13"/>
  <c r="P101" i="13"/>
  <c r="O101" i="13"/>
  <c r="N98" i="13"/>
  <c r="J101" i="13"/>
  <c r="H101" i="13"/>
  <c r="F98" i="13"/>
  <c r="F101" i="13" s="1"/>
  <c r="I92" i="13"/>
  <c r="T92" i="13"/>
  <c r="L89" i="13"/>
  <c r="L92" i="13" s="1"/>
  <c r="U89" i="13"/>
  <c r="U92" i="13" s="1"/>
  <c r="M89" i="13"/>
  <c r="M92" i="13" s="1"/>
  <c r="G89" i="13"/>
  <c r="G92" i="13" s="1"/>
  <c r="E89" i="13"/>
  <c r="E92" i="13" s="1"/>
  <c r="S89" i="13"/>
  <c r="K92" i="13"/>
  <c r="N89" i="13"/>
  <c r="H92" i="13"/>
  <c r="F89" i="13"/>
  <c r="F92" i="13" s="1"/>
  <c r="Q83" i="13"/>
  <c r="I83" i="13"/>
  <c r="T83" i="13"/>
  <c r="L80" i="13"/>
  <c r="L83" i="13" s="1"/>
  <c r="U80" i="13"/>
  <c r="U83" i="13" s="1"/>
  <c r="M80" i="13"/>
  <c r="M83" i="13" s="1"/>
  <c r="G80" i="13"/>
  <c r="G83" i="13" s="1"/>
  <c r="S80" i="13"/>
  <c r="P83" i="13"/>
  <c r="O83" i="13"/>
  <c r="N80" i="13"/>
  <c r="K83" i="13"/>
  <c r="J83" i="13"/>
  <c r="H83" i="13"/>
  <c r="F80" i="13"/>
  <c r="F83" i="13" s="1"/>
  <c r="E80" i="13"/>
  <c r="E83" i="13" s="1"/>
  <c r="T74" i="13"/>
  <c r="L71" i="13"/>
  <c r="L74" i="13" s="1"/>
  <c r="U71" i="13"/>
  <c r="U74" i="13" s="1"/>
  <c r="G71" i="13"/>
  <c r="G74" i="13" s="1"/>
  <c r="S71" i="13"/>
  <c r="K74" i="13"/>
  <c r="Q74" i="13"/>
  <c r="P74" i="13"/>
  <c r="O74" i="13"/>
  <c r="N71" i="13"/>
  <c r="N74" i="13" s="1"/>
  <c r="M71" i="13"/>
  <c r="M74" i="13" s="1"/>
  <c r="J74" i="13"/>
  <c r="I74" i="13"/>
  <c r="H74" i="13"/>
  <c r="F71" i="13"/>
  <c r="F74" i="13" s="1"/>
  <c r="E71" i="13"/>
  <c r="E74" i="13" s="1"/>
  <c r="T65" i="13"/>
  <c r="L62" i="13"/>
  <c r="L65" i="13" s="1"/>
  <c r="U62" i="13"/>
  <c r="U65" i="13" s="1"/>
  <c r="G62" i="13"/>
  <c r="G65" i="13" s="1"/>
  <c r="E62" i="13"/>
  <c r="E65" i="13" s="1"/>
  <c r="S62" i="13"/>
  <c r="K65" i="13"/>
  <c r="Q65" i="13"/>
  <c r="P65" i="13"/>
  <c r="O65" i="13"/>
  <c r="N62" i="13"/>
  <c r="N65" i="13" s="1"/>
  <c r="M62" i="13"/>
  <c r="M65" i="13" s="1"/>
  <c r="J65" i="13"/>
  <c r="I65" i="13"/>
  <c r="H65" i="13"/>
  <c r="F62" i="13"/>
  <c r="F65" i="13" s="1"/>
  <c r="T56" i="13"/>
  <c r="K56" i="13"/>
  <c r="Q56" i="13"/>
  <c r="P56" i="13"/>
  <c r="O56" i="13"/>
  <c r="J56" i="13"/>
  <c r="I56" i="13"/>
  <c r="H56" i="13"/>
  <c r="K47" i="13"/>
  <c r="P47" i="13"/>
  <c r="O47" i="13"/>
  <c r="N44" i="13"/>
  <c r="J47" i="13"/>
  <c r="S35" i="13"/>
  <c r="K38" i="13"/>
  <c r="O38" i="13"/>
  <c r="J38" i="13"/>
  <c r="H38" i="13"/>
  <c r="U28" i="13"/>
  <c r="S28" i="13"/>
  <c r="R28" i="13"/>
  <c r="N28" i="13"/>
  <c r="M28" i="13"/>
  <c r="L28" i="13"/>
  <c r="G28" i="13"/>
  <c r="F28" i="13"/>
  <c r="E28" i="13"/>
  <c r="U27" i="13"/>
  <c r="T27" i="13"/>
  <c r="T29" i="13" s="1"/>
  <c r="S27" i="13"/>
  <c r="R27" i="13"/>
  <c r="N27" i="13"/>
  <c r="M27" i="13"/>
  <c r="L27" i="13"/>
  <c r="G27" i="13"/>
  <c r="F27" i="13"/>
  <c r="E27" i="13"/>
  <c r="U25" i="13"/>
  <c r="U26" i="13" s="1"/>
  <c r="U29" i="13" s="1"/>
  <c r="S25" i="13"/>
  <c r="S26" i="13" s="1"/>
  <c r="S29" i="13" s="1"/>
  <c r="R25" i="13"/>
  <c r="N25" i="13"/>
  <c r="M25" i="13"/>
  <c r="L25" i="13"/>
  <c r="L26" i="13" s="1"/>
  <c r="L29" i="13" s="1"/>
  <c r="G25" i="13"/>
  <c r="F25" i="13"/>
  <c r="E25" i="13"/>
  <c r="U24" i="13"/>
  <c r="S24" i="13"/>
  <c r="N24" i="13"/>
  <c r="M24" i="13"/>
  <c r="K24" i="13"/>
  <c r="K29" i="13" s="1"/>
  <c r="I24" i="13"/>
  <c r="I29" i="13" s="1"/>
  <c r="H24" i="13"/>
  <c r="G24" i="13"/>
  <c r="F24" i="13"/>
  <c r="E24" i="13"/>
  <c r="U23" i="13"/>
  <c r="S23" i="13"/>
  <c r="N23" i="13"/>
  <c r="M23" i="13"/>
  <c r="K23" i="13"/>
  <c r="I23" i="13"/>
  <c r="H23" i="13"/>
  <c r="G23" i="13"/>
  <c r="F23" i="13"/>
  <c r="E23" i="13"/>
  <c r="Q22" i="13"/>
  <c r="P22" i="13"/>
  <c r="O22" i="13"/>
  <c r="N22" i="13"/>
  <c r="M22" i="13"/>
  <c r="K22" i="13"/>
  <c r="J22" i="13"/>
  <c r="I22" i="13"/>
  <c r="H22" i="13"/>
  <c r="G22" i="13"/>
  <c r="F22" i="13"/>
  <c r="E22" i="13"/>
  <c r="Q21" i="13"/>
  <c r="Q29" i="13" s="1"/>
  <c r="P21" i="13"/>
  <c r="O21" i="13"/>
  <c r="N21" i="13"/>
  <c r="M21" i="13"/>
  <c r="K21" i="13"/>
  <c r="J21" i="13"/>
  <c r="J29" i="13" s="1"/>
  <c r="I21" i="13"/>
  <c r="H21" i="13"/>
  <c r="G21" i="13"/>
  <c r="F21" i="13"/>
  <c r="E21" i="13"/>
  <c r="P29" i="13"/>
  <c r="O29" i="13"/>
  <c r="N26" i="13"/>
  <c r="N29" i="13" s="1"/>
  <c r="H29" i="13"/>
  <c r="U19" i="13"/>
  <c r="R19" i="13"/>
  <c r="U18" i="13"/>
  <c r="U16" i="13"/>
  <c r="U15" i="13"/>
  <c r="U14" i="13"/>
  <c r="T18" i="13"/>
  <c r="T20" i="13" s="1"/>
  <c r="S16" i="13"/>
  <c r="S15" i="13"/>
  <c r="S14" i="13"/>
  <c r="S17" i="13" s="1"/>
  <c r="R14" i="13"/>
  <c r="S19" i="13"/>
  <c r="N19" i="13"/>
  <c r="M19" i="13"/>
  <c r="L19" i="13"/>
  <c r="G19" i="13"/>
  <c r="F19" i="13"/>
  <c r="E19" i="13"/>
  <c r="N18" i="13"/>
  <c r="M18" i="13"/>
  <c r="L18" i="13"/>
  <c r="G18" i="13"/>
  <c r="F18" i="13"/>
  <c r="E18" i="13"/>
  <c r="N16" i="13"/>
  <c r="M16" i="13"/>
  <c r="L16" i="13"/>
  <c r="L17" i="13" s="1"/>
  <c r="G16" i="13"/>
  <c r="F16" i="13"/>
  <c r="E16" i="13"/>
  <c r="N15" i="13"/>
  <c r="M15" i="13"/>
  <c r="K15" i="13"/>
  <c r="I15" i="13"/>
  <c r="H15" i="13"/>
  <c r="G15" i="13"/>
  <c r="F15" i="13"/>
  <c r="E15" i="13"/>
  <c r="N14" i="13"/>
  <c r="M14" i="13"/>
  <c r="K14" i="13"/>
  <c r="I14" i="13"/>
  <c r="H14" i="13"/>
  <c r="G14" i="13"/>
  <c r="F14" i="13"/>
  <c r="E14" i="13"/>
  <c r="Q13" i="13"/>
  <c r="P13" i="13"/>
  <c r="O13" i="13"/>
  <c r="N13" i="13"/>
  <c r="M13" i="13"/>
  <c r="K13" i="13"/>
  <c r="J13" i="13"/>
  <c r="I13" i="13"/>
  <c r="H13" i="13"/>
  <c r="G13" i="13"/>
  <c r="F13" i="13"/>
  <c r="E13" i="13"/>
  <c r="Q12" i="13"/>
  <c r="P12" i="13"/>
  <c r="O12" i="13"/>
  <c r="N12" i="13"/>
  <c r="M12" i="13"/>
  <c r="K12" i="13"/>
  <c r="J12" i="13"/>
  <c r="J20" i="13" s="1"/>
  <c r="I12" i="13"/>
  <c r="H12" i="13"/>
  <c r="G12" i="13"/>
  <c r="F12" i="13"/>
  <c r="E12" i="13"/>
  <c r="U17" i="13"/>
  <c r="U20" i="13" s="1"/>
  <c r="Q20" i="13"/>
  <c r="P20" i="13"/>
  <c r="O20" i="13"/>
  <c r="BU6" i="6"/>
  <c r="R23" i="13" s="1"/>
  <c r="BV6" i="6"/>
  <c r="R24" i="13" s="1"/>
  <c r="BW6" i="6"/>
  <c r="BX6" i="6"/>
  <c r="BU7" i="6"/>
  <c r="R32" i="13" s="1"/>
  <c r="BV7" i="6"/>
  <c r="R33" i="13" s="1"/>
  <c r="BW7" i="6"/>
  <c r="R34" i="13" s="1"/>
  <c r="BX7" i="6"/>
  <c r="BU8" i="6"/>
  <c r="BV8" i="6"/>
  <c r="R42" i="13" s="1"/>
  <c r="BW8" i="6"/>
  <c r="R43" i="13" s="1"/>
  <c r="BX8" i="6"/>
  <c r="R45" i="13" s="1"/>
  <c r="BU9" i="6"/>
  <c r="R50" i="13" s="1"/>
  <c r="BV9" i="6"/>
  <c r="R51" i="13" s="1"/>
  <c r="BW9" i="6"/>
  <c r="R52" i="13" s="1"/>
  <c r="BX9" i="6"/>
  <c r="BU10" i="6"/>
  <c r="R59" i="13" s="1"/>
  <c r="BV10" i="6"/>
  <c r="R60" i="13" s="1"/>
  <c r="BW10" i="6"/>
  <c r="R61" i="13" s="1"/>
  <c r="R62" i="13" s="1"/>
  <c r="BX10" i="6"/>
  <c r="BU11" i="6"/>
  <c r="R68" i="13" s="1"/>
  <c r="BV11" i="6"/>
  <c r="R69" i="13" s="1"/>
  <c r="R71" i="13" s="1"/>
  <c r="BW11" i="6"/>
  <c r="R70" i="13" s="1"/>
  <c r="BX11" i="6"/>
  <c r="BU12" i="6"/>
  <c r="R77" i="13" s="1"/>
  <c r="R80" i="13" s="1"/>
  <c r="BV12" i="6"/>
  <c r="R78" i="13" s="1"/>
  <c r="BW12" i="6"/>
  <c r="R79" i="13" s="1"/>
  <c r="BX12" i="6"/>
  <c r="BU13" i="6"/>
  <c r="R86" i="13" s="1"/>
  <c r="BV13" i="6"/>
  <c r="R87" i="13" s="1"/>
  <c r="BW13" i="6"/>
  <c r="R88" i="13" s="1"/>
  <c r="R89" i="13" s="1"/>
  <c r="BX13" i="6"/>
  <c r="BU14" i="6"/>
  <c r="R95" i="13" s="1"/>
  <c r="R98" i="13" s="1"/>
  <c r="BV14" i="6"/>
  <c r="R96" i="13" s="1"/>
  <c r="BW14" i="6"/>
  <c r="R97" i="13" s="1"/>
  <c r="BX14" i="6"/>
  <c r="BU15" i="6"/>
  <c r="R104" i="13" s="1"/>
  <c r="R107" i="13" s="1"/>
  <c r="BV15" i="6"/>
  <c r="R105" i="13" s="1"/>
  <c r="BW15" i="6"/>
  <c r="R106" i="13" s="1"/>
  <c r="BX15" i="6"/>
  <c r="BU16" i="6"/>
  <c r="R113" i="13" s="1"/>
  <c r="R116" i="13" s="1"/>
  <c r="BV16" i="6"/>
  <c r="R114" i="13" s="1"/>
  <c r="BW16" i="6"/>
  <c r="R115" i="13" s="1"/>
  <c r="BX16" i="6"/>
  <c r="BU17" i="6"/>
  <c r="R122" i="13" s="1"/>
  <c r="BV17" i="6"/>
  <c r="R123" i="13" s="1"/>
  <c r="BW17" i="6"/>
  <c r="R124" i="13" s="1"/>
  <c r="BX17" i="6"/>
  <c r="BU18" i="6"/>
  <c r="R131" i="13" s="1"/>
  <c r="R134" i="13" s="1"/>
  <c r="BV18" i="6"/>
  <c r="R132" i="13" s="1"/>
  <c r="BW18" i="6"/>
  <c r="R133" i="13" s="1"/>
  <c r="BX18" i="6"/>
  <c r="BU19" i="6"/>
  <c r="R140" i="13" s="1"/>
  <c r="BV19" i="6"/>
  <c r="R141" i="13" s="1"/>
  <c r="R143" i="13" s="1"/>
  <c r="BW19" i="6"/>
  <c r="R142" i="13" s="1"/>
  <c r="BX19" i="6"/>
  <c r="BU20" i="6"/>
  <c r="R149" i="13" s="1"/>
  <c r="BV20" i="6"/>
  <c r="R150" i="13" s="1"/>
  <c r="BW20" i="6"/>
  <c r="R151" i="13" s="1"/>
  <c r="BX20" i="6"/>
  <c r="BU21" i="6"/>
  <c r="R158" i="13" s="1"/>
  <c r="BV21" i="6"/>
  <c r="R159" i="13" s="1"/>
  <c r="BW21" i="6"/>
  <c r="R160" i="13" s="1"/>
  <c r="BX21" i="6"/>
  <c r="BU22" i="6"/>
  <c r="R167" i="13" s="1"/>
  <c r="BV22" i="6"/>
  <c r="R168" i="13" s="1"/>
  <c r="BW22" i="6"/>
  <c r="R169" i="13" s="1"/>
  <c r="R170" i="13" s="1"/>
  <c r="BX22" i="6"/>
  <c r="BU23" i="6"/>
  <c r="R176" i="13" s="1"/>
  <c r="R179" i="13" s="1"/>
  <c r="BV23" i="6"/>
  <c r="R177" i="13" s="1"/>
  <c r="BW23" i="6"/>
  <c r="R178" i="13" s="1"/>
  <c r="BX23" i="6"/>
  <c r="BU24" i="6"/>
  <c r="R185" i="13" s="1"/>
  <c r="R188" i="13" s="1"/>
  <c r="BV24" i="6"/>
  <c r="R186" i="13" s="1"/>
  <c r="BW24" i="6"/>
  <c r="R187" i="13" s="1"/>
  <c r="BX24" i="6"/>
  <c r="BU25" i="6"/>
  <c r="R194" i="13" s="1"/>
  <c r="BV25" i="6"/>
  <c r="R195" i="13" s="1"/>
  <c r="BW25" i="6"/>
  <c r="R196" i="13" s="1"/>
  <c r="BX25" i="6"/>
  <c r="BU26" i="6"/>
  <c r="R203" i="13" s="1"/>
  <c r="BV26" i="6"/>
  <c r="R204" i="13" s="1"/>
  <c r="BW26" i="6"/>
  <c r="R205" i="13" s="1"/>
  <c r="BX26" i="6"/>
  <c r="BU27" i="6"/>
  <c r="R212" i="13" s="1"/>
  <c r="R215" i="13" s="1"/>
  <c r="BV27" i="6"/>
  <c r="R213" i="13" s="1"/>
  <c r="BW27" i="6"/>
  <c r="R214" i="13" s="1"/>
  <c r="BX27" i="6"/>
  <c r="BU28" i="6"/>
  <c r="R221" i="13" s="1"/>
  <c r="R224" i="13" s="1"/>
  <c r="BV28" i="6"/>
  <c r="R222" i="13" s="1"/>
  <c r="BW28" i="6"/>
  <c r="R223" i="13" s="1"/>
  <c r="BX28" i="6"/>
  <c r="BU29" i="6"/>
  <c r="R230" i="13" s="1"/>
  <c r="BV29" i="6"/>
  <c r="R231" i="13" s="1"/>
  <c r="BW29" i="6"/>
  <c r="R232" i="13" s="1"/>
  <c r="BX29" i="6"/>
  <c r="BU30" i="6"/>
  <c r="R239" i="13" s="1"/>
  <c r="R242" i="13" s="1"/>
  <c r="BV30" i="6"/>
  <c r="R240" i="13" s="1"/>
  <c r="BW30" i="6"/>
  <c r="R241" i="13" s="1"/>
  <c r="BX30" i="6"/>
  <c r="BU31" i="6"/>
  <c r="R248" i="13" s="1"/>
  <c r="R251" i="13" s="1"/>
  <c r="BV31" i="6"/>
  <c r="R249" i="13" s="1"/>
  <c r="BW31" i="6"/>
  <c r="R250" i="13" s="1"/>
  <c r="BX31" i="6"/>
  <c r="BU32" i="6"/>
  <c r="R257" i="13" s="1"/>
  <c r="BV32" i="6"/>
  <c r="R258" i="13" s="1"/>
  <c r="BW32" i="6"/>
  <c r="R259" i="13" s="1"/>
  <c r="BX32" i="6"/>
  <c r="BU33" i="6"/>
  <c r="R266" i="13" s="1"/>
  <c r="R269" i="13" s="1"/>
  <c r="BV33" i="6"/>
  <c r="R267" i="13" s="1"/>
  <c r="BW33" i="6"/>
  <c r="R268" i="13" s="1"/>
  <c r="BX33" i="6"/>
  <c r="BU34" i="6"/>
  <c r="R275" i="13" s="1"/>
  <c r="R278" i="13" s="1"/>
  <c r="BV34" i="6"/>
  <c r="R276" i="13" s="1"/>
  <c r="BW34" i="6"/>
  <c r="R277" i="13" s="1"/>
  <c r="BX34" i="6"/>
  <c r="BU35" i="6"/>
  <c r="R284" i="13" s="1"/>
  <c r="R287" i="13" s="1"/>
  <c r="BV35" i="6"/>
  <c r="R285" i="13" s="1"/>
  <c r="BW35" i="6"/>
  <c r="R286" i="13" s="1"/>
  <c r="BX35" i="6"/>
  <c r="BU36" i="6"/>
  <c r="R293" i="13" s="1"/>
  <c r="R296" i="13" s="1"/>
  <c r="BV36" i="6"/>
  <c r="R294" i="13" s="1"/>
  <c r="BW36" i="6"/>
  <c r="R295" i="13" s="1"/>
  <c r="BX36" i="6"/>
  <c r="BU37" i="6"/>
  <c r="R302" i="13" s="1"/>
  <c r="R305" i="13" s="1"/>
  <c r="BV37" i="6"/>
  <c r="R303" i="13" s="1"/>
  <c r="BW37" i="6"/>
  <c r="R304" i="13" s="1"/>
  <c r="BX37" i="6"/>
  <c r="BU38" i="6"/>
  <c r="R311" i="13" s="1"/>
  <c r="BV38" i="6"/>
  <c r="R312" i="13" s="1"/>
  <c r="BW38" i="6"/>
  <c r="R313" i="13" s="1"/>
  <c r="BX38" i="6"/>
  <c r="BU39" i="6"/>
  <c r="R320" i="13" s="1"/>
  <c r="R323" i="13" s="1"/>
  <c r="BV39" i="6"/>
  <c r="R321" i="13" s="1"/>
  <c r="BW39" i="6"/>
  <c r="R322" i="13" s="1"/>
  <c r="BX39" i="6"/>
  <c r="BU40" i="6"/>
  <c r="R329" i="13" s="1"/>
  <c r="BV40" i="6"/>
  <c r="R330" i="13" s="1"/>
  <c r="BW40" i="6"/>
  <c r="R331" i="13" s="1"/>
  <c r="BX40" i="6"/>
  <c r="BU41" i="6"/>
  <c r="R338" i="13" s="1"/>
  <c r="R341" i="13" s="1"/>
  <c r="BV41" i="6"/>
  <c r="R339" i="13" s="1"/>
  <c r="BW41" i="6"/>
  <c r="R340" i="13" s="1"/>
  <c r="BX41" i="6"/>
  <c r="BU42" i="6"/>
  <c r="R347" i="13" s="1"/>
  <c r="R350" i="13" s="1"/>
  <c r="BV42" i="6"/>
  <c r="R348" i="13" s="1"/>
  <c r="BW42" i="6"/>
  <c r="R349" i="13" s="1"/>
  <c r="BX42" i="6"/>
  <c r="BU43" i="6"/>
  <c r="R356" i="13" s="1"/>
  <c r="BV43" i="6"/>
  <c r="R357" i="13" s="1"/>
  <c r="BW43" i="6"/>
  <c r="R358" i="13" s="1"/>
  <c r="BX43" i="6"/>
  <c r="BU44" i="6"/>
  <c r="R365" i="13" s="1"/>
  <c r="BV44" i="6"/>
  <c r="R366" i="13" s="1"/>
  <c r="BW44" i="6"/>
  <c r="R367" i="13" s="1"/>
  <c r="BX44" i="6"/>
  <c r="S369" i="13" s="1"/>
  <c r="BX5" i="6"/>
  <c r="R18" i="13" s="1"/>
  <c r="BW5" i="6"/>
  <c r="R16" i="13" s="1"/>
  <c r="BV5" i="6"/>
  <c r="R15" i="13" s="1"/>
  <c r="BU5" i="6"/>
  <c r="R110" i="13" l="1"/>
  <c r="R26" i="13"/>
  <c r="R29" i="13" s="1"/>
  <c r="R368" i="13"/>
  <c r="R371" i="13" s="1"/>
  <c r="R101" i="13"/>
  <c r="R173" i="13"/>
  <c r="R65" i="13"/>
  <c r="R146" i="13"/>
  <c r="V146" i="13" s="1"/>
  <c r="R35" i="13"/>
  <c r="R38" i="13" s="1"/>
  <c r="R245" i="13"/>
  <c r="R83" i="13"/>
  <c r="R44" i="13"/>
  <c r="R47" i="13" s="1"/>
  <c r="R344" i="13"/>
  <c r="R182" i="13"/>
  <c r="R17" i="13"/>
  <c r="R119" i="13"/>
  <c r="S252" i="13"/>
  <c r="R252" i="13"/>
  <c r="R254" i="13" s="1"/>
  <c r="S225" i="13"/>
  <c r="R225" i="13"/>
  <c r="R227" i="13" s="1"/>
  <c r="S198" i="13"/>
  <c r="S200" i="13" s="1"/>
  <c r="R198" i="13"/>
  <c r="S171" i="13"/>
  <c r="R171" i="13"/>
  <c r="S144" i="13"/>
  <c r="R144" i="13"/>
  <c r="S117" i="13"/>
  <c r="R117" i="13"/>
  <c r="S90" i="13"/>
  <c r="S92" i="13" s="1"/>
  <c r="R90" i="13"/>
  <c r="R92" i="13" s="1"/>
  <c r="S63" i="13"/>
  <c r="R63" i="13"/>
  <c r="S65" i="13"/>
  <c r="S119" i="13"/>
  <c r="S173" i="13"/>
  <c r="U371" i="13"/>
  <c r="S45" i="13"/>
  <c r="S288" i="13"/>
  <c r="S290" i="13" s="1"/>
  <c r="R288" i="13"/>
  <c r="R290" i="13" s="1"/>
  <c r="V290" i="13" s="1"/>
  <c r="S180" i="13"/>
  <c r="S182" i="13" s="1"/>
  <c r="V182" i="13" s="1"/>
  <c r="R180" i="13"/>
  <c r="R209" i="13"/>
  <c r="S18" i="13"/>
  <c r="S20" i="13" s="1"/>
  <c r="S306" i="13"/>
  <c r="S308" i="13" s="1"/>
  <c r="R306" i="13"/>
  <c r="R308" i="13" s="1"/>
  <c r="N368" i="13"/>
  <c r="N371" i="13" s="1"/>
  <c r="R53" i="13"/>
  <c r="R56" i="13" s="1"/>
  <c r="E35" i="13"/>
  <c r="E38" i="13" s="1"/>
  <c r="V38" i="13" s="1"/>
  <c r="R315" i="13"/>
  <c r="R317" i="13" s="1"/>
  <c r="S315" i="13"/>
  <c r="S317" i="13" s="1"/>
  <c r="S207" i="13"/>
  <c r="R207" i="13"/>
  <c r="S99" i="13"/>
  <c r="R99" i="13"/>
  <c r="E44" i="13"/>
  <c r="E47" i="13" s="1"/>
  <c r="S362" i="13"/>
  <c r="M26" i="13"/>
  <c r="M29" i="13" s="1"/>
  <c r="S333" i="13"/>
  <c r="S335" i="13" s="1"/>
  <c r="R333" i="13"/>
  <c r="R335" i="13" s="1"/>
  <c r="S128" i="13"/>
  <c r="S368" i="13"/>
  <c r="M35" i="13"/>
  <c r="M38" i="13" s="1"/>
  <c r="N35" i="13"/>
  <c r="S110" i="13"/>
  <c r="S342" i="13"/>
  <c r="S344" i="13" s="1"/>
  <c r="R342" i="13"/>
  <c r="S234" i="13"/>
  <c r="R234" i="13"/>
  <c r="R236" i="13" s="1"/>
  <c r="S126" i="13"/>
  <c r="R126" i="13"/>
  <c r="R128" i="13" s="1"/>
  <c r="S360" i="13"/>
  <c r="R360" i="13"/>
  <c r="R362" i="13" s="1"/>
  <c r="V362" i="13" s="1"/>
  <c r="R351" i="13"/>
  <c r="R353" i="13" s="1"/>
  <c r="V353" i="13" s="1"/>
  <c r="S351" i="13"/>
  <c r="S353" i="13" s="1"/>
  <c r="S324" i="13"/>
  <c r="S326" i="13" s="1"/>
  <c r="R324" i="13"/>
  <c r="R326" i="13" s="1"/>
  <c r="R297" i="13"/>
  <c r="R299" i="13" s="1"/>
  <c r="S297" i="13"/>
  <c r="S299" i="13" s="1"/>
  <c r="S270" i="13"/>
  <c r="R270" i="13"/>
  <c r="R272" i="13" s="1"/>
  <c r="R243" i="13"/>
  <c r="S243" i="13"/>
  <c r="S216" i="13"/>
  <c r="R216" i="13"/>
  <c r="R218" i="13" s="1"/>
  <c r="R189" i="13"/>
  <c r="R191" i="13" s="1"/>
  <c r="S189" i="13"/>
  <c r="S191" i="13" s="1"/>
  <c r="R162" i="13"/>
  <c r="S162" i="13"/>
  <c r="S135" i="13"/>
  <c r="S137" i="13" s="1"/>
  <c r="R135" i="13"/>
  <c r="R137" i="13" s="1"/>
  <c r="V137" i="13" s="1"/>
  <c r="R108" i="13"/>
  <c r="S108" i="13"/>
  <c r="S81" i="13"/>
  <c r="S83" i="13" s="1"/>
  <c r="R81" i="13"/>
  <c r="R54" i="13"/>
  <c r="S54" i="13"/>
  <c r="S56" i="13" s="1"/>
  <c r="M17" i="13"/>
  <c r="M20" i="13" s="1"/>
  <c r="E26" i="13"/>
  <c r="E29" i="13" s="1"/>
  <c r="F26" i="13"/>
  <c r="F29" i="13" s="1"/>
  <c r="G26" i="13"/>
  <c r="G29" i="13" s="1"/>
  <c r="S155" i="13"/>
  <c r="R261" i="13"/>
  <c r="R263" i="13" s="1"/>
  <c r="S261" i="13"/>
  <c r="S153" i="13"/>
  <c r="R153" i="13"/>
  <c r="R155" i="13" s="1"/>
  <c r="S72" i="13"/>
  <c r="S74" i="13" s="1"/>
  <c r="R72" i="13"/>
  <c r="R74" i="13" s="1"/>
  <c r="S146" i="13"/>
  <c r="K371" i="13"/>
  <c r="S279" i="13"/>
  <c r="S281" i="13" s="1"/>
  <c r="R279" i="13"/>
  <c r="R281" i="13" s="1"/>
  <c r="S101" i="13"/>
  <c r="F368" i="13"/>
  <c r="F371" i="13" s="1"/>
  <c r="M47" i="13"/>
  <c r="N47" i="13"/>
  <c r="S47" i="13"/>
  <c r="L47" i="13"/>
  <c r="L38" i="13"/>
  <c r="N38" i="13"/>
  <c r="F38" i="13"/>
  <c r="S38" i="13"/>
  <c r="S371" i="13"/>
  <c r="L371" i="13"/>
  <c r="F125" i="13"/>
  <c r="F128" i="13" s="1"/>
  <c r="F143" i="13"/>
  <c r="F146" i="13" s="1"/>
  <c r="F179" i="13"/>
  <c r="F182" i="13" s="1"/>
  <c r="F197" i="13"/>
  <c r="F200" i="13" s="1"/>
  <c r="N116" i="13"/>
  <c r="N119" i="13" s="1"/>
  <c r="N83" i="13"/>
  <c r="N92" i="13"/>
  <c r="N101" i="13"/>
  <c r="I200" i="13"/>
  <c r="R197" i="13"/>
  <c r="M209" i="13"/>
  <c r="M254" i="13"/>
  <c r="M263" i="13"/>
  <c r="M272" i="13"/>
  <c r="M281" i="13"/>
  <c r="G197" i="13"/>
  <c r="G200" i="13" s="1"/>
  <c r="K200" i="13"/>
  <c r="U197" i="13"/>
  <c r="U200" i="13" s="1"/>
  <c r="S206" i="13"/>
  <c r="S209" i="13" s="1"/>
  <c r="S215" i="13"/>
  <c r="S224" i="13"/>
  <c r="S233" i="13"/>
  <c r="S242" i="13"/>
  <c r="S245" i="13" s="1"/>
  <c r="S251" i="13"/>
  <c r="S260" i="13"/>
  <c r="S263" i="13" s="1"/>
  <c r="S269" i="13"/>
  <c r="S272" i="13" s="1"/>
  <c r="E17" i="13"/>
  <c r="E20" i="13" s="1"/>
  <c r="I20" i="13"/>
  <c r="N17" i="13"/>
  <c r="N20" i="13" s="1"/>
  <c r="R20" i="13"/>
  <c r="V29" i="13" s="1"/>
  <c r="F17" i="13"/>
  <c r="F20" i="13" s="1"/>
  <c r="K20" i="13"/>
  <c r="G17" i="13"/>
  <c r="G20" i="13" s="1"/>
  <c r="L20" i="13"/>
  <c r="H20" i="13"/>
  <c r="V110" i="13"/>
  <c r="V326" i="13" l="1"/>
  <c r="V128" i="13"/>
  <c r="S236" i="13"/>
  <c r="R200" i="13"/>
  <c r="V200" i="13" s="1"/>
  <c r="S254" i="13"/>
  <c r="S227" i="13"/>
  <c r="V227" i="13" s="1"/>
  <c r="S218" i="13"/>
  <c r="V218" i="13" s="1"/>
  <c r="V74" i="13"/>
  <c r="V47" i="13"/>
  <c r="V308" i="13"/>
  <c r="V344" i="13"/>
  <c r="V263" i="13"/>
  <c r="V65" i="13"/>
  <c r="V83" i="13"/>
  <c r="V236" i="13"/>
  <c r="V254" i="13"/>
  <c r="V191" i="13"/>
  <c r="V272" i="13"/>
  <c r="V101" i="13"/>
  <c r="V371" i="13"/>
  <c r="V245" i="13"/>
  <c r="V281" i="13"/>
  <c r="V20" i="13"/>
  <c r="V299" i="13"/>
  <c r="V209" i="13"/>
  <c r="V155" i="13"/>
  <c r="V335" i="13"/>
  <c r="V317" i="13"/>
  <c r="V119" i="13"/>
  <c r="U361" i="11" l="1"/>
  <c r="S361" i="11"/>
  <c r="R361" i="11"/>
  <c r="N361" i="11"/>
  <c r="M361" i="11"/>
  <c r="L361" i="11"/>
  <c r="G361" i="11"/>
  <c r="F361" i="11"/>
  <c r="E361" i="11"/>
  <c r="U360" i="11"/>
  <c r="T360" i="11"/>
  <c r="S360" i="11"/>
  <c r="N360" i="11"/>
  <c r="M360" i="11"/>
  <c r="L360" i="11"/>
  <c r="G360" i="11"/>
  <c r="F360" i="11"/>
  <c r="E360" i="11"/>
  <c r="U358" i="11"/>
  <c r="S358" i="11"/>
  <c r="N358" i="11"/>
  <c r="M358" i="11"/>
  <c r="L358" i="11"/>
  <c r="G358" i="11"/>
  <c r="F358" i="11"/>
  <c r="E358" i="11"/>
  <c r="U357" i="11"/>
  <c r="S357" i="11"/>
  <c r="N357" i="11"/>
  <c r="M357" i="11"/>
  <c r="K357" i="11"/>
  <c r="I357" i="11"/>
  <c r="H357" i="11"/>
  <c r="G357" i="11"/>
  <c r="F357" i="11"/>
  <c r="E357" i="11"/>
  <c r="U356" i="11"/>
  <c r="S356" i="11"/>
  <c r="N356" i="11"/>
  <c r="M356" i="11"/>
  <c r="K356" i="11"/>
  <c r="I356" i="11"/>
  <c r="H356" i="11"/>
  <c r="G356" i="11"/>
  <c r="F356" i="11"/>
  <c r="E356" i="11"/>
  <c r="Q355" i="11"/>
  <c r="P355" i="11"/>
  <c r="O355" i="11"/>
  <c r="N355" i="11"/>
  <c r="M355" i="11"/>
  <c r="K355" i="11"/>
  <c r="J355" i="11"/>
  <c r="I355" i="11"/>
  <c r="H355" i="11"/>
  <c r="G355" i="11"/>
  <c r="F355" i="11"/>
  <c r="E355" i="11"/>
  <c r="Q354" i="11"/>
  <c r="P354" i="11"/>
  <c r="O354" i="11"/>
  <c r="N354" i="11"/>
  <c r="M354" i="11"/>
  <c r="K354" i="11"/>
  <c r="J354" i="11"/>
  <c r="I354" i="11"/>
  <c r="H354" i="11"/>
  <c r="G354" i="11"/>
  <c r="F354" i="11"/>
  <c r="E354" i="11"/>
  <c r="U352" i="11"/>
  <c r="S352" i="11"/>
  <c r="R352" i="11"/>
  <c r="N352" i="11"/>
  <c r="M352" i="11"/>
  <c r="L352" i="11"/>
  <c r="G352" i="11"/>
  <c r="F352" i="11"/>
  <c r="E352" i="11"/>
  <c r="U351" i="11"/>
  <c r="T351" i="11"/>
  <c r="S351" i="11"/>
  <c r="N351" i="11"/>
  <c r="M351" i="11"/>
  <c r="L351" i="11"/>
  <c r="G351" i="11"/>
  <c r="F351" i="11"/>
  <c r="E351" i="11"/>
  <c r="U349" i="11"/>
  <c r="S349" i="11"/>
  <c r="N349" i="11"/>
  <c r="M349" i="11"/>
  <c r="L349" i="11"/>
  <c r="G349" i="11"/>
  <c r="F349" i="11"/>
  <c r="E349" i="11"/>
  <c r="U348" i="11"/>
  <c r="S348" i="11"/>
  <c r="N348" i="11"/>
  <c r="M348" i="11"/>
  <c r="K348" i="11"/>
  <c r="I348" i="11"/>
  <c r="H348" i="11"/>
  <c r="G348" i="11"/>
  <c r="F348" i="11"/>
  <c r="E348" i="11"/>
  <c r="U347" i="11"/>
  <c r="S347" i="11"/>
  <c r="N347" i="11"/>
  <c r="M347" i="11"/>
  <c r="K347" i="11"/>
  <c r="I347" i="11"/>
  <c r="H347" i="11"/>
  <c r="G347" i="11"/>
  <c r="F347" i="11"/>
  <c r="E347" i="11"/>
  <c r="Q346" i="11"/>
  <c r="P346" i="11"/>
  <c r="O346" i="11"/>
  <c r="N346" i="11"/>
  <c r="M346" i="11"/>
  <c r="K346" i="11"/>
  <c r="J346" i="11"/>
  <c r="I346" i="11"/>
  <c r="H346" i="11"/>
  <c r="G346" i="11"/>
  <c r="F346" i="11"/>
  <c r="E346" i="11"/>
  <c r="Q345" i="11"/>
  <c r="P345" i="11"/>
  <c r="O345" i="11"/>
  <c r="N345" i="11"/>
  <c r="M345" i="11"/>
  <c r="K345" i="11"/>
  <c r="J345" i="11"/>
  <c r="I345" i="11"/>
  <c r="H345" i="11"/>
  <c r="G345" i="11"/>
  <c r="F345" i="11"/>
  <c r="E345" i="11"/>
  <c r="U343" i="11"/>
  <c r="S343" i="11"/>
  <c r="R343" i="11"/>
  <c r="N343" i="11"/>
  <c r="M343" i="11"/>
  <c r="L343" i="11"/>
  <c r="G343" i="11"/>
  <c r="F343" i="11"/>
  <c r="E343" i="11"/>
  <c r="U342" i="11"/>
  <c r="T342" i="11"/>
  <c r="S342" i="11"/>
  <c r="N342" i="11"/>
  <c r="M342" i="11"/>
  <c r="L342" i="11"/>
  <c r="G342" i="11"/>
  <c r="F342" i="11"/>
  <c r="E342" i="11"/>
  <c r="U340" i="11"/>
  <c r="S340" i="11"/>
  <c r="N340" i="11"/>
  <c r="M340" i="11"/>
  <c r="L340" i="11"/>
  <c r="G340" i="11"/>
  <c r="F340" i="11"/>
  <c r="E340" i="11"/>
  <c r="U339" i="11"/>
  <c r="S339" i="11"/>
  <c r="N339" i="11"/>
  <c r="M339" i="11"/>
  <c r="K339" i="11"/>
  <c r="I339" i="11"/>
  <c r="H339" i="11"/>
  <c r="G339" i="11"/>
  <c r="F339" i="11"/>
  <c r="E339" i="11"/>
  <c r="U338" i="11"/>
  <c r="S338" i="11"/>
  <c r="N338" i="11"/>
  <c r="M338" i="11"/>
  <c r="K338" i="11"/>
  <c r="I338" i="11"/>
  <c r="H338" i="11"/>
  <c r="G338" i="11"/>
  <c r="F338" i="11"/>
  <c r="E338" i="11"/>
  <c r="Q337" i="11"/>
  <c r="P337" i="11"/>
  <c r="O337" i="11"/>
  <c r="N337" i="11"/>
  <c r="M337" i="11"/>
  <c r="K337" i="11"/>
  <c r="J337" i="11"/>
  <c r="I337" i="11"/>
  <c r="H337" i="11"/>
  <c r="G337" i="11"/>
  <c r="F337" i="11"/>
  <c r="E337" i="11"/>
  <c r="Q336" i="11"/>
  <c r="P336" i="11"/>
  <c r="O336" i="11"/>
  <c r="N336" i="11"/>
  <c r="M336" i="11"/>
  <c r="K336" i="11"/>
  <c r="J336" i="11"/>
  <c r="I336" i="11"/>
  <c r="H336" i="11"/>
  <c r="G336" i="11"/>
  <c r="F336" i="11"/>
  <c r="E336" i="11"/>
  <c r="U334" i="11"/>
  <c r="S334" i="11"/>
  <c r="R334" i="11"/>
  <c r="N334" i="11"/>
  <c r="M334" i="11"/>
  <c r="L334" i="11"/>
  <c r="G334" i="11"/>
  <c r="F334" i="11"/>
  <c r="E334" i="11"/>
  <c r="U333" i="11"/>
  <c r="T333" i="11"/>
  <c r="S333" i="11"/>
  <c r="N333" i="11"/>
  <c r="M333" i="11"/>
  <c r="L333" i="11"/>
  <c r="G333" i="11"/>
  <c r="F333" i="11"/>
  <c r="E333" i="11"/>
  <c r="U331" i="11"/>
  <c r="S331" i="11"/>
  <c r="N331" i="11"/>
  <c r="M331" i="11"/>
  <c r="L331" i="11"/>
  <c r="G331" i="11"/>
  <c r="F331" i="11"/>
  <c r="E331" i="11"/>
  <c r="U330" i="11"/>
  <c r="S330" i="11"/>
  <c r="N330" i="11"/>
  <c r="M330" i="11"/>
  <c r="K330" i="11"/>
  <c r="I330" i="11"/>
  <c r="H330" i="11"/>
  <c r="G330" i="11"/>
  <c r="F330" i="11"/>
  <c r="E330" i="11"/>
  <c r="U329" i="11"/>
  <c r="S329" i="11"/>
  <c r="N329" i="11"/>
  <c r="M329" i="11"/>
  <c r="K329" i="11"/>
  <c r="I329" i="11"/>
  <c r="H329" i="11"/>
  <c r="G329" i="11"/>
  <c r="F329" i="11"/>
  <c r="E329" i="11"/>
  <c r="Q328" i="11"/>
  <c r="P328" i="11"/>
  <c r="O328" i="11"/>
  <c r="N328" i="11"/>
  <c r="M328" i="11"/>
  <c r="K328" i="11"/>
  <c r="J328" i="11"/>
  <c r="I328" i="11"/>
  <c r="H328" i="11"/>
  <c r="G328" i="11"/>
  <c r="F328" i="11"/>
  <c r="E328" i="11"/>
  <c r="Q327" i="11"/>
  <c r="P327" i="11"/>
  <c r="O327" i="11"/>
  <c r="N327" i="11"/>
  <c r="M327" i="11"/>
  <c r="K327" i="11"/>
  <c r="J327" i="11"/>
  <c r="I327" i="11"/>
  <c r="H327" i="11"/>
  <c r="G327" i="11"/>
  <c r="F327" i="11"/>
  <c r="E327" i="11"/>
  <c r="U325" i="11"/>
  <c r="S325" i="11"/>
  <c r="R325" i="11"/>
  <c r="N325" i="11"/>
  <c r="M325" i="11"/>
  <c r="L325" i="11"/>
  <c r="G325" i="11"/>
  <c r="F325" i="11"/>
  <c r="E325" i="11"/>
  <c r="U324" i="11"/>
  <c r="T324" i="11"/>
  <c r="S324" i="11"/>
  <c r="N324" i="11"/>
  <c r="M324" i="11"/>
  <c r="L324" i="11"/>
  <c r="G324" i="11"/>
  <c r="F324" i="11"/>
  <c r="E324" i="11"/>
  <c r="U322" i="11"/>
  <c r="S322" i="11"/>
  <c r="N322" i="11"/>
  <c r="M322" i="11"/>
  <c r="L322" i="11"/>
  <c r="G322" i="11"/>
  <c r="F322" i="11"/>
  <c r="E322" i="11"/>
  <c r="U321" i="11"/>
  <c r="S321" i="11"/>
  <c r="N321" i="11"/>
  <c r="M321" i="11"/>
  <c r="K321" i="11"/>
  <c r="I321" i="11"/>
  <c r="H321" i="11"/>
  <c r="G321" i="11"/>
  <c r="F321" i="11"/>
  <c r="E321" i="11"/>
  <c r="U320" i="11"/>
  <c r="S320" i="11"/>
  <c r="N320" i="11"/>
  <c r="M320" i="11"/>
  <c r="K320" i="11"/>
  <c r="I320" i="11"/>
  <c r="H320" i="11"/>
  <c r="G320" i="11"/>
  <c r="F320" i="11"/>
  <c r="E320" i="11"/>
  <c r="Q319" i="11"/>
  <c r="P319" i="11"/>
  <c r="O319" i="11"/>
  <c r="N319" i="11"/>
  <c r="M319" i="11"/>
  <c r="K319" i="11"/>
  <c r="J319" i="11"/>
  <c r="I319" i="11"/>
  <c r="H319" i="11"/>
  <c r="G319" i="11"/>
  <c r="F319" i="11"/>
  <c r="E319" i="11"/>
  <c r="Q318" i="11"/>
  <c r="P318" i="11"/>
  <c r="O318" i="11"/>
  <c r="N318" i="11"/>
  <c r="M318" i="11"/>
  <c r="K318" i="11"/>
  <c r="J318" i="11"/>
  <c r="I318" i="11"/>
  <c r="H318" i="11"/>
  <c r="G318" i="11"/>
  <c r="F318" i="11"/>
  <c r="E318" i="11"/>
  <c r="U316" i="11"/>
  <c r="S316" i="11"/>
  <c r="R316" i="11"/>
  <c r="N316" i="11"/>
  <c r="M316" i="11"/>
  <c r="L316" i="11"/>
  <c r="G316" i="11"/>
  <c r="F316" i="11"/>
  <c r="E316" i="11"/>
  <c r="U315" i="11"/>
  <c r="T315" i="11"/>
  <c r="S315" i="11"/>
  <c r="N315" i="11"/>
  <c r="M315" i="11"/>
  <c r="L315" i="11"/>
  <c r="G315" i="11"/>
  <c r="F315" i="11"/>
  <c r="E315" i="11"/>
  <c r="U313" i="11"/>
  <c r="S313" i="11"/>
  <c r="N313" i="11"/>
  <c r="M313" i="11"/>
  <c r="L313" i="11"/>
  <c r="G313" i="11"/>
  <c r="F313" i="11"/>
  <c r="E313" i="11"/>
  <c r="U312" i="11"/>
  <c r="S312" i="11"/>
  <c r="N312" i="11"/>
  <c r="M312" i="11"/>
  <c r="K312" i="11"/>
  <c r="I312" i="11"/>
  <c r="H312" i="11"/>
  <c r="G312" i="11"/>
  <c r="F312" i="11"/>
  <c r="E312" i="11"/>
  <c r="U311" i="11"/>
  <c r="S311" i="11"/>
  <c r="N311" i="11"/>
  <c r="M311" i="11"/>
  <c r="K311" i="11"/>
  <c r="I311" i="11"/>
  <c r="H311" i="11"/>
  <c r="G311" i="11"/>
  <c r="F311" i="11"/>
  <c r="E311" i="11"/>
  <c r="Q310" i="11"/>
  <c r="P310" i="11"/>
  <c r="O310" i="11"/>
  <c r="N310" i="11"/>
  <c r="M310" i="11"/>
  <c r="K310" i="11"/>
  <c r="J310" i="11"/>
  <c r="I310" i="11"/>
  <c r="H310" i="11"/>
  <c r="G310" i="11"/>
  <c r="F310" i="11"/>
  <c r="E310" i="11"/>
  <c r="Q309" i="11"/>
  <c r="P309" i="11"/>
  <c r="O309" i="11"/>
  <c r="N309" i="11"/>
  <c r="M309" i="11"/>
  <c r="K309" i="11"/>
  <c r="J309" i="11"/>
  <c r="I309" i="11"/>
  <c r="H309" i="11"/>
  <c r="G309" i="11"/>
  <c r="F309" i="11"/>
  <c r="E309" i="11"/>
  <c r="U307" i="11"/>
  <c r="S307" i="11"/>
  <c r="R307" i="11"/>
  <c r="N307" i="11"/>
  <c r="M307" i="11"/>
  <c r="L307" i="11"/>
  <c r="G307" i="11"/>
  <c r="F307" i="11"/>
  <c r="E307" i="11"/>
  <c r="U306" i="11"/>
  <c r="T306" i="11"/>
  <c r="S306" i="11"/>
  <c r="N306" i="11"/>
  <c r="M306" i="11"/>
  <c r="L306" i="11"/>
  <c r="G306" i="11"/>
  <c r="F306" i="11"/>
  <c r="E306" i="11"/>
  <c r="U304" i="11"/>
  <c r="S304" i="11"/>
  <c r="N304" i="11"/>
  <c r="M304" i="11"/>
  <c r="L304" i="11"/>
  <c r="G304" i="11"/>
  <c r="F304" i="11"/>
  <c r="E304" i="11"/>
  <c r="U303" i="11"/>
  <c r="S303" i="11"/>
  <c r="N303" i="11"/>
  <c r="M303" i="11"/>
  <c r="K303" i="11"/>
  <c r="I303" i="11"/>
  <c r="H303" i="11"/>
  <c r="G303" i="11"/>
  <c r="F303" i="11"/>
  <c r="E303" i="11"/>
  <c r="U302" i="11"/>
  <c r="S302" i="11"/>
  <c r="N302" i="11"/>
  <c r="M302" i="11"/>
  <c r="K302" i="11"/>
  <c r="I302" i="11"/>
  <c r="H302" i="11"/>
  <c r="G302" i="11"/>
  <c r="F302" i="11"/>
  <c r="E302" i="11"/>
  <c r="Q301" i="11"/>
  <c r="P301" i="11"/>
  <c r="O301" i="11"/>
  <c r="N301" i="11"/>
  <c r="M301" i="11"/>
  <c r="K301" i="11"/>
  <c r="J301" i="11"/>
  <c r="I301" i="11"/>
  <c r="H301" i="11"/>
  <c r="G301" i="11"/>
  <c r="F301" i="11"/>
  <c r="E301" i="11"/>
  <c r="Q300" i="11"/>
  <c r="P300" i="11"/>
  <c r="O300" i="11"/>
  <c r="N300" i="11"/>
  <c r="M300" i="11"/>
  <c r="K300" i="11"/>
  <c r="J300" i="11"/>
  <c r="I300" i="11"/>
  <c r="H300" i="11"/>
  <c r="G300" i="11"/>
  <c r="F300" i="11"/>
  <c r="E300" i="11"/>
  <c r="U298" i="11"/>
  <c r="S298" i="11"/>
  <c r="R298" i="11"/>
  <c r="N298" i="11"/>
  <c r="M298" i="11"/>
  <c r="L298" i="11"/>
  <c r="G298" i="11"/>
  <c r="F298" i="11"/>
  <c r="E298" i="11"/>
  <c r="U297" i="11"/>
  <c r="T297" i="11"/>
  <c r="S297" i="11"/>
  <c r="N297" i="11"/>
  <c r="M297" i="11"/>
  <c r="L297" i="11"/>
  <c r="G297" i="11"/>
  <c r="F297" i="11"/>
  <c r="E297" i="11"/>
  <c r="U295" i="11"/>
  <c r="S295" i="11"/>
  <c r="N295" i="11"/>
  <c r="M295" i="11"/>
  <c r="L295" i="11"/>
  <c r="G295" i="11"/>
  <c r="F295" i="11"/>
  <c r="E295" i="11"/>
  <c r="U294" i="11"/>
  <c r="S294" i="11"/>
  <c r="N294" i="11"/>
  <c r="M294" i="11"/>
  <c r="K294" i="11"/>
  <c r="I294" i="11"/>
  <c r="H294" i="11"/>
  <c r="G294" i="11"/>
  <c r="F294" i="11"/>
  <c r="E294" i="11"/>
  <c r="U293" i="11"/>
  <c r="S293" i="11"/>
  <c r="N293" i="11"/>
  <c r="M293" i="11"/>
  <c r="K293" i="11"/>
  <c r="I293" i="11"/>
  <c r="H293" i="11"/>
  <c r="G293" i="11"/>
  <c r="F293" i="11"/>
  <c r="E293" i="11"/>
  <c r="Q292" i="11"/>
  <c r="P292" i="11"/>
  <c r="O292" i="11"/>
  <c r="N292" i="11"/>
  <c r="M292" i="11"/>
  <c r="K292" i="11"/>
  <c r="J292" i="11"/>
  <c r="I292" i="11"/>
  <c r="H292" i="11"/>
  <c r="G292" i="11"/>
  <c r="F292" i="11"/>
  <c r="E292" i="11"/>
  <c r="Q291" i="11"/>
  <c r="P291" i="11"/>
  <c r="O291" i="11"/>
  <c r="N291" i="11"/>
  <c r="M291" i="11"/>
  <c r="K291" i="11"/>
  <c r="J291" i="11"/>
  <c r="I291" i="11"/>
  <c r="H291" i="11"/>
  <c r="G291" i="11"/>
  <c r="F291" i="11"/>
  <c r="E291" i="11"/>
  <c r="U289" i="11"/>
  <c r="S289" i="11"/>
  <c r="R289" i="11"/>
  <c r="N289" i="11"/>
  <c r="M289" i="11"/>
  <c r="L289" i="11"/>
  <c r="G289" i="11"/>
  <c r="F289" i="11"/>
  <c r="E289" i="11"/>
  <c r="U288" i="11"/>
  <c r="T288" i="11"/>
  <c r="S288" i="11"/>
  <c r="N288" i="11"/>
  <c r="M288" i="11"/>
  <c r="L288" i="11"/>
  <c r="G288" i="11"/>
  <c r="F288" i="11"/>
  <c r="E288" i="11"/>
  <c r="U286" i="11"/>
  <c r="S286" i="11"/>
  <c r="N286" i="11"/>
  <c r="M286" i="11"/>
  <c r="L286" i="11"/>
  <c r="G286" i="11"/>
  <c r="F286" i="11"/>
  <c r="E286" i="11"/>
  <c r="U285" i="11"/>
  <c r="S285" i="11"/>
  <c r="N285" i="11"/>
  <c r="M285" i="11"/>
  <c r="K285" i="11"/>
  <c r="I285" i="11"/>
  <c r="H285" i="11"/>
  <c r="G285" i="11"/>
  <c r="F285" i="11"/>
  <c r="E285" i="11"/>
  <c r="U284" i="11"/>
  <c r="S284" i="11"/>
  <c r="N284" i="11"/>
  <c r="M284" i="11"/>
  <c r="K284" i="11"/>
  <c r="I284" i="11"/>
  <c r="H284" i="11"/>
  <c r="G284" i="11"/>
  <c r="F284" i="11"/>
  <c r="E284" i="11"/>
  <c r="Q283" i="11"/>
  <c r="P283" i="11"/>
  <c r="O283" i="11"/>
  <c r="N283" i="11"/>
  <c r="M283" i="11"/>
  <c r="K283" i="11"/>
  <c r="J283" i="11"/>
  <c r="I283" i="11"/>
  <c r="H283" i="11"/>
  <c r="G283" i="11"/>
  <c r="F283" i="11"/>
  <c r="E283" i="11"/>
  <c r="Q282" i="11"/>
  <c r="P282" i="11"/>
  <c r="O282" i="11"/>
  <c r="N282" i="11"/>
  <c r="M282" i="11"/>
  <c r="K282" i="11"/>
  <c r="J282" i="11"/>
  <c r="I282" i="11"/>
  <c r="H282" i="11"/>
  <c r="G282" i="11"/>
  <c r="F282" i="11"/>
  <c r="E282" i="11"/>
  <c r="U280" i="11"/>
  <c r="S280" i="11"/>
  <c r="R280" i="11"/>
  <c r="N280" i="11"/>
  <c r="M280" i="11"/>
  <c r="L280" i="11"/>
  <c r="G280" i="11"/>
  <c r="F280" i="11"/>
  <c r="E280" i="11"/>
  <c r="U279" i="11"/>
  <c r="T279" i="11"/>
  <c r="S279" i="11"/>
  <c r="N279" i="11"/>
  <c r="M279" i="11"/>
  <c r="L279" i="11"/>
  <c r="G279" i="11"/>
  <c r="F279" i="11"/>
  <c r="E279" i="11"/>
  <c r="U277" i="11"/>
  <c r="S277" i="11"/>
  <c r="N277" i="11"/>
  <c r="M277" i="11"/>
  <c r="L277" i="11"/>
  <c r="G277" i="11"/>
  <c r="F277" i="11"/>
  <c r="E277" i="11"/>
  <c r="U276" i="11"/>
  <c r="S276" i="11"/>
  <c r="N276" i="11"/>
  <c r="M276" i="11"/>
  <c r="K276" i="11"/>
  <c r="I276" i="11"/>
  <c r="H276" i="11"/>
  <c r="G276" i="11"/>
  <c r="F276" i="11"/>
  <c r="E276" i="11"/>
  <c r="U275" i="11"/>
  <c r="S275" i="11"/>
  <c r="N275" i="11"/>
  <c r="M275" i="11"/>
  <c r="K275" i="11"/>
  <c r="I275" i="11"/>
  <c r="H275" i="11"/>
  <c r="G275" i="11"/>
  <c r="F275" i="11"/>
  <c r="E275" i="11"/>
  <c r="Q274" i="11"/>
  <c r="P274" i="11"/>
  <c r="O274" i="11"/>
  <c r="N274" i="11"/>
  <c r="M274" i="11"/>
  <c r="K274" i="11"/>
  <c r="J274" i="11"/>
  <c r="I274" i="11"/>
  <c r="H274" i="11"/>
  <c r="G274" i="11"/>
  <c r="F274" i="11"/>
  <c r="E274" i="11"/>
  <c r="Q273" i="11"/>
  <c r="P273" i="11"/>
  <c r="O273" i="11"/>
  <c r="N273" i="11"/>
  <c r="M273" i="11"/>
  <c r="K273" i="11"/>
  <c r="J273" i="11"/>
  <c r="I273" i="11"/>
  <c r="H273" i="11"/>
  <c r="G273" i="11"/>
  <c r="F273" i="11"/>
  <c r="E273" i="11"/>
  <c r="U271" i="11"/>
  <c r="S271" i="11"/>
  <c r="R271" i="11"/>
  <c r="N271" i="11"/>
  <c r="M271" i="11"/>
  <c r="L271" i="11"/>
  <c r="G271" i="11"/>
  <c r="F271" i="11"/>
  <c r="E271" i="11"/>
  <c r="U270" i="11"/>
  <c r="T270" i="11"/>
  <c r="S270" i="11"/>
  <c r="N270" i="11"/>
  <c r="M270" i="11"/>
  <c r="L270" i="11"/>
  <c r="G270" i="11"/>
  <c r="F270" i="11"/>
  <c r="E270" i="11"/>
  <c r="U268" i="11"/>
  <c r="S268" i="11"/>
  <c r="N268" i="11"/>
  <c r="M268" i="11"/>
  <c r="L268" i="11"/>
  <c r="G268" i="11"/>
  <c r="F268" i="11"/>
  <c r="E268" i="11"/>
  <c r="U267" i="11"/>
  <c r="S267" i="11"/>
  <c r="N267" i="11"/>
  <c r="M267" i="11"/>
  <c r="K267" i="11"/>
  <c r="I267" i="11"/>
  <c r="H267" i="11"/>
  <c r="G267" i="11"/>
  <c r="F267" i="11"/>
  <c r="E267" i="11"/>
  <c r="U266" i="11"/>
  <c r="S266" i="11"/>
  <c r="N266" i="11"/>
  <c r="M266" i="11"/>
  <c r="K266" i="11"/>
  <c r="I266" i="11"/>
  <c r="H266" i="11"/>
  <c r="G266" i="11"/>
  <c r="F266" i="11"/>
  <c r="E266" i="11"/>
  <c r="Q265" i="11"/>
  <c r="P265" i="11"/>
  <c r="O265" i="11"/>
  <c r="N265" i="11"/>
  <c r="M265" i="11"/>
  <c r="K265" i="11"/>
  <c r="J265" i="11"/>
  <c r="I265" i="11"/>
  <c r="H265" i="11"/>
  <c r="G265" i="11"/>
  <c r="F265" i="11"/>
  <c r="E265" i="11"/>
  <c r="Q264" i="11"/>
  <c r="P264" i="11"/>
  <c r="O264" i="11"/>
  <c r="N264" i="11"/>
  <c r="M264" i="11"/>
  <c r="K264" i="11"/>
  <c r="J264" i="11"/>
  <c r="I264" i="11"/>
  <c r="H264" i="11"/>
  <c r="G264" i="11"/>
  <c r="F264" i="11"/>
  <c r="E264" i="11"/>
  <c r="U262" i="11"/>
  <c r="S262" i="11"/>
  <c r="R262" i="11"/>
  <c r="N262" i="11"/>
  <c r="M262" i="11"/>
  <c r="L262" i="11"/>
  <c r="G262" i="11"/>
  <c r="F262" i="11"/>
  <c r="E262" i="11"/>
  <c r="U261" i="11"/>
  <c r="T261" i="11"/>
  <c r="S261" i="11"/>
  <c r="N261" i="11"/>
  <c r="M261" i="11"/>
  <c r="L261" i="11"/>
  <c r="G261" i="11"/>
  <c r="F261" i="11"/>
  <c r="E261" i="11"/>
  <c r="U259" i="11"/>
  <c r="S259" i="11"/>
  <c r="N259" i="11"/>
  <c r="M259" i="11"/>
  <c r="L259" i="11"/>
  <c r="G259" i="11"/>
  <c r="F259" i="11"/>
  <c r="E259" i="11"/>
  <c r="U258" i="11"/>
  <c r="S258" i="11"/>
  <c r="N258" i="11"/>
  <c r="M258" i="11"/>
  <c r="K258" i="11"/>
  <c r="I258" i="11"/>
  <c r="H258" i="11"/>
  <c r="G258" i="11"/>
  <c r="F258" i="11"/>
  <c r="E258" i="11"/>
  <c r="U257" i="11"/>
  <c r="S257" i="11"/>
  <c r="N257" i="11"/>
  <c r="M257" i="11"/>
  <c r="K257" i="11"/>
  <c r="I257" i="11"/>
  <c r="H257" i="11"/>
  <c r="G257" i="11"/>
  <c r="F257" i="11"/>
  <c r="E257" i="11"/>
  <c r="Q256" i="11"/>
  <c r="P256" i="11"/>
  <c r="O256" i="11"/>
  <c r="N256" i="11"/>
  <c r="M256" i="11"/>
  <c r="K256" i="11"/>
  <c r="J256" i="11"/>
  <c r="I256" i="11"/>
  <c r="H256" i="11"/>
  <c r="G256" i="11"/>
  <c r="F256" i="11"/>
  <c r="E256" i="11"/>
  <c r="Q255" i="11"/>
  <c r="P255" i="11"/>
  <c r="O255" i="11"/>
  <c r="N255" i="11"/>
  <c r="M255" i="11"/>
  <c r="K255" i="11"/>
  <c r="J255" i="11"/>
  <c r="I255" i="11"/>
  <c r="H255" i="11"/>
  <c r="G255" i="11"/>
  <c r="F255" i="11"/>
  <c r="E255" i="11"/>
  <c r="U253" i="11"/>
  <c r="S253" i="11"/>
  <c r="R253" i="11"/>
  <c r="N253" i="11"/>
  <c r="M253" i="11"/>
  <c r="L253" i="11"/>
  <c r="G253" i="11"/>
  <c r="F253" i="11"/>
  <c r="E253" i="11"/>
  <c r="U252" i="11"/>
  <c r="T252" i="11"/>
  <c r="S252" i="11"/>
  <c r="N252" i="11"/>
  <c r="M252" i="11"/>
  <c r="L252" i="11"/>
  <c r="G252" i="11"/>
  <c r="F252" i="11"/>
  <c r="E252" i="11"/>
  <c r="U250" i="11"/>
  <c r="S250" i="11"/>
  <c r="N250" i="11"/>
  <c r="M250" i="11"/>
  <c r="L250" i="11"/>
  <c r="G250" i="11"/>
  <c r="F250" i="11"/>
  <c r="E250" i="11"/>
  <c r="U249" i="11"/>
  <c r="S249" i="11"/>
  <c r="N249" i="11"/>
  <c r="M249" i="11"/>
  <c r="K249" i="11"/>
  <c r="I249" i="11"/>
  <c r="H249" i="11"/>
  <c r="G249" i="11"/>
  <c r="F249" i="11"/>
  <c r="E249" i="11"/>
  <c r="U248" i="11"/>
  <c r="S248" i="11"/>
  <c r="N248" i="11"/>
  <c r="M248" i="11"/>
  <c r="K248" i="11"/>
  <c r="I248" i="11"/>
  <c r="H248" i="11"/>
  <c r="G248" i="11"/>
  <c r="F248" i="11"/>
  <c r="E248" i="11"/>
  <c r="Q247" i="11"/>
  <c r="P247" i="11"/>
  <c r="O247" i="11"/>
  <c r="N247" i="11"/>
  <c r="M247" i="11"/>
  <c r="K247" i="11"/>
  <c r="J247" i="11"/>
  <c r="I247" i="11"/>
  <c r="H247" i="11"/>
  <c r="G247" i="11"/>
  <c r="F247" i="11"/>
  <c r="E247" i="11"/>
  <c r="Q246" i="11"/>
  <c r="P246" i="11"/>
  <c r="O246" i="11"/>
  <c r="N246" i="11"/>
  <c r="M246" i="11"/>
  <c r="K246" i="11"/>
  <c r="J246" i="11"/>
  <c r="I246" i="11"/>
  <c r="H246" i="11"/>
  <c r="G246" i="11"/>
  <c r="F246" i="11"/>
  <c r="E246" i="11"/>
  <c r="U244" i="11"/>
  <c r="S244" i="11"/>
  <c r="R244" i="11"/>
  <c r="N244" i="11"/>
  <c r="M244" i="11"/>
  <c r="L244" i="11"/>
  <c r="G244" i="11"/>
  <c r="F244" i="11"/>
  <c r="E244" i="11"/>
  <c r="U243" i="11"/>
  <c r="T243" i="11"/>
  <c r="S243" i="11"/>
  <c r="N243" i="11"/>
  <c r="M243" i="11"/>
  <c r="L243" i="11"/>
  <c r="G243" i="11"/>
  <c r="F243" i="11"/>
  <c r="E243" i="11"/>
  <c r="U241" i="11"/>
  <c r="S241" i="11"/>
  <c r="N241" i="11"/>
  <c r="M241" i="11"/>
  <c r="L241" i="11"/>
  <c r="G241" i="11"/>
  <c r="F241" i="11"/>
  <c r="E241" i="11"/>
  <c r="U240" i="11"/>
  <c r="S240" i="11"/>
  <c r="N240" i="11"/>
  <c r="M240" i="11"/>
  <c r="K240" i="11"/>
  <c r="I240" i="11"/>
  <c r="H240" i="11"/>
  <c r="G240" i="11"/>
  <c r="F240" i="11"/>
  <c r="E240" i="11"/>
  <c r="U239" i="11"/>
  <c r="S239" i="11"/>
  <c r="N239" i="11"/>
  <c r="M239" i="11"/>
  <c r="K239" i="11"/>
  <c r="I239" i="11"/>
  <c r="H239" i="11"/>
  <c r="G239" i="11"/>
  <c r="F239" i="11"/>
  <c r="E239" i="11"/>
  <c r="Q238" i="11"/>
  <c r="P238" i="11"/>
  <c r="O238" i="11"/>
  <c r="N238" i="11"/>
  <c r="M238" i="11"/>
  <c r="K238" i="11"/>
  <c r="J238" i="11"/>
  <c r="I238" i="11"/>
  <c r="H238" i="11"/>
  <c r="G238" i="11"/>
  <c r="F238" i="11"/>
  <c r="E238" i="11"/>
  <c r="Q237" i="11"/>
  <c r="P237" i="11"/>
  <c r="O237" i="11"/>
  <c r="N237" i="11"/>
  <c r="M237" i="11"/>
  <c r="K237" i="11"/>
  <c r="J237" i="11"/>
  <c r="I237" i="11"/>
  <c r="H237" i="11"/>
  <c r="G237" i="11"/>
  <c r="F237" i="11"/>
  <c r="E237" i="11"/>
  <c r="U235" i="11"/>
  <c r="S235" i="11"/>
  <c r="R235" i="11"/>
  <c r="N235" i="11"/>
  <c r="M235" i="11"/>
  <c r="L235" i="11"/>
  <c r="G235" i="11"/>
  <c r="F235" i="11"/>
  <c r="E235" i="11"/>
  <c r="U234" i="11"/>
  <c r="T234" i="11"/>
  <c r="S234" i="11"/>
  <c r="N234" i="11"/>
  <c r="M234" i="11"/>
  <c r="L234" i="11"/>
  <c r="G234" i="11"/>
  <c r="F234" i="11"/>
  <c r="E234" i="11"/>
  <c r="U232" i="11"/>
  <c r="S232" i="11"/>
  <c r="N232" i="11"/>
  <c r="M232" i="11"/>
  <c r="L232" i="11"/>
  <c r="G232" i="11"/>
  <c r="F232" i="11"/>
  <c r="E232" i="11"/>
  <c r="U231" i="11"/>
  <c r="S231" i="11"/>
  <c r="N231" i="11"/>
  <c r="M231" i="11"/>
  <c r="K231" i="11"/>
  <c r="I231" i="11"/>
  <c r="H231" i="11"/>
  <c r="G231" i="11"/>
  <c r="F231" i="11"/>
  <c r="E231" i="11"/>
  <c r="U230" i="11"/>
  <c r="S230" i="11"/>
  <c r="N230" i="11"/>
  <c r="M230" i="11"/>
  <c r="K230" i="11"/>
  <c r="I230" i="11"/>
  <c r="H230" i="11"/>
  <c r="G230" i="11"/>
  <c r="F230" i="11"/>
  <c r="E230" i="11"/>
  <c r="Q229" i="11"/>
  <c r="P229" i="11"/>
  <c r="O229" i="11"/>
  <c r="N229" i="11"/>
  <c r="M229" i="11"/>
  <c r="K229" i="11"/>
  <c r="J229" i="11"/>
  <c r="I229" i="11"/>
  <c r="H229" i="11"/>
  <c r="G229" i="11"/>
  <c r="F229" i="11"/>
  <c r="E229" i="11"/>
  <c r="Q228" i="11"/>
  <c r="P228" i="11"/>
  <c r="O228" i="11"/>
  <c r="N228" i="11"/>
  <c r="M228" i="11"/>
  <c r="K228" i="11"/>
  <c r="J228" i="11"/>
  <c r="I228" i="11"/>
  <c r="H228" i="11"/>
  <c r="G228" i="11"/>
  <c r="F228" i="11"/>
  <c r="E228" i="11"/>
  <c r="U226" i="11"/>
  <c r="S226" i="11"/>
  <c r="R226" i="11"/>
  <c r="N226" i="11"/>
  <c r="M226" i="11"/>
  <c r="L226" i="11"/>
  <c r="G226" i="11"/>
  <c r="F226" i="11"/>
  <c r="E226" i="11"/>
  <c r="U225" i="11"/>
  <c r="T225" i="11"/>
  <c r="S225" i="11"/>
  <c r="N225" i="11"/>
  <c r="M225" i="11"/>
  <c r="L225" i="11"/>
  <c r="G225" i="11"/>
  <c r="F225" i="11"/>
  <c r="E225" i="11"/>
  <c r="U223" i="11"/>
  <c r="S223" i="11"/>
  <c r="N223" i="11"/>
  <c r="M223" i="11"/>
  <c r="L223" i="11"/>
  <c r="G223" i="11"/>
  <c r="F223" i="11"/>
  <c r="E223" i="11"/>
  <c r="U222" i="11"/>
  <c r="S222" i="11"/>
  <c r="N222" i="11"/>
  <c r="M222" i="11"/>
  <c r="K222" i="11"/>
  <c r="I222" i="11"/>
  <c r="H222" i="11"/>
  <c r="G222" i="11"/>
  <c r="F222" i="11"/>
  <c r="E222" i="11"/>
  <c r="U221" i="11"/>
  <c r="S221" i="11"/>
  <c r="N221" i="11"/>
  <c r="M221" i="11"/>
  <c r="K221" i="11"/>
  <c r="I221" i="11"/>
  <c r="H221" i="11"/>
  <c r="G221" i="11"/>
  <c r="F221" i="11"/>
  <c r="E221" i="11"/>
  <c r="Q220" i="11"/>
  <c r="P220" i="11"/>
  <c r="O220" i="11"/>
  <c r="N220" i="11"/>
  <c r="M220" i="11"/>
  <c r="K220" i="11"/>
  <c r="J220" i="11"/>
  <c r="I220" i="11"/>
  <c r="H220" i="11"/>
  <c r="G220" i="11"/>
  <c r="F220" i="11"/>
  <c r="E220" i="11"/>
  <c r="Q219" i="11"/>
  <c r="P219" i="11"/>
  <c r="O219" i="11"/>
  <c r="N219" i="11"/>
  <c r="M219" i="11"/>
  <c r="K219" i="11"/>
  <c r="J219" i="11"/>
  <c r="I219" i="11"/>
  <c r="H219" i="11"/>
  <c r="G219" i="11"/>
  <c r="F219" i="11"/>
  <c r="E219" i="11"/>
  <c r="U217" i="11"/>
  <c r="S217" i="11"/>
  <c r="R217" i="11"/>
  <c r="N217" i="11"/>
  <c r="M217" i="11"/>
  <c r="L217" i="11"/>
  <c r="G217" i="11"/>
  <c r="F217" i="11"/>
  <c r="E217" i="11"/>
  <c r="U216" i="11"/>
  <c r="T216" i="11"/>
  <c r="S216" i="11"/>
  <c r="N216" i="11"/>
  <c r="M216" i="11"/>
  <c r="L216" i="11"/>
  <c r="G216" i="11"/>
  <c r="F216" i="11"/>
  <c r="E216" i="11"/>
  <c r="U214" i="11"/>
  <c r="S214" i="11"/>
  <c r="N214" i="11"/>
  <c r="M214" i="11"/>
  <c r="L214" i="11"/>
  <c r="G214" i="11"/>
  <c r="F214" i="11"/>
  <c r="E214" i="11"/>
  <c r="U213" i="11"/>
  <c r="S213" i="11"/>
  <c r="N213" i="11"/>
  <c r="M213" i="11"/>
  <c r="K213" i="11"/>
  <c r="I213" i="11"/>
  <c r="H213" i="11"/>
  <c r="G213" i="11"/>
  <c r="F213" i="11"/>
  <c r="E213" i="11"/>
  <c r="U212" i="11"/>
  <c r="S212" i="11"/>
  <c r="N212" i="11"/>
  <c r="M212" i="11"/>
  <c r="K212" i="11"/>
  <c r="I212" i="11"/>
  <c r="H212" i="11"/>
  <c r="G212" i="11"/>
  <c r="F212" i="11"/>
  <c r="E212" i="11"/>
  <c r="Q211" i="11"/>
  <c r="P211" i="11"/>
  <c r="O211" i="11"/>
  <c r="N211" i="11"/>
  <c r="M211" i="11"/>
  <c r="K211" i="11"/>
  <c r="J211" i="11"/>
  <c r="I211" i="11"/>
  <c r="H211" i="11"/>
  <c r="G211" i="11"/>
  <c r="F211" i="11"/>
  <c r="E211" i="11"/>
  <c r="Q210" i="11"/>
  <c r="P210" i="11"/>
  <c r="O210" i="11"/>
  <c r="N210" i="11"/>
  <c r="M210" i="11"/>
  <c r="K210" i="11"/>
  <c r="J210" i="11"/>
  <c r="I210" i="11"/>
  <c r="H210" i="11"/>
  <c r="G210" i="11"/>
  <c r="F210" i="11"/>
  <c r="E210" i="11"/>
  <c r="U208" i="11"/>
  <c r="S208" i="11"/>
  <c r="R208" i="11"/>
  <c r="N208" i="11"/>
  <c r="M208" i="11"/>
  <c r="L208" i="11"/>
  <c r="G208" i="11"/>
  <c r="F208" i="11"/>
  <c r="E208" i="11"/>
  <c r="U207" i="11"/>
  <c r="T207" i="11"/>
  <c r="S207" i="11"/>
  <c r="N207" i="11"/>
  <c r="M207" i="11"/>
  <c r="L207" i="11"/>
  <c r="G207" i="11"/>
  <c r="F207" i="11"/>
  <c r="E207" i="11"/>
  <c r="U205" i="11"/>
  <c r="S205" i="11"/>
  <c r="N205" i="11"/>
  <c r="M205" i="11"/>
  <c r="L205" i="11"/>
  <c r="G205" i="11"/>
  <c r="F205" i="11"/>
  <c r="E205" i="11"/>
  <c r="U204" i="11"/>
  <c r="S204" i="11"/>
  <c r="N204" i="11"/>
  <c r="M204" i="11"/>
  <c r="K204" i="11"/>
  <c r="I204" i="11"/>
  <c r="H204" i="11"/>
  <c r="G204" i="11"/>
  <c r="F204" i="11"/>
  <c r="E204" i="11"/>
  <c r="U203" i="11"/>
  <c r="S203" i="11"/>
  <c r="N203" i="11"/>
  <c r="M203" i="11"/>
  <c r="K203" i="11"/>
  <c r="I203" i="11"/>
  <c r="H203" i="11"/>
  <c r="G203" i="11"/>
  <c r="F203" i="11"/>
  <c r="E203" i="11"/>
  <c r="Q202" i="11"/>
  <c r="P202" i="11"/>
  <c r="O202" i="11"/>
  <c r="N202" i="11"/>
  <c r="M202" i="11"/>
  <c r="K202" i="11"/>
  <c r="J202" i="11"/>
  <c r="I202" i="11"/>
  <c r="H202" i="11"/>
  <c r="G202" i="11"/>
  <c r="F202" i="11"/>
  <c r="E202" i="11"/>
  <c r="Q201" i="11"/>
  <c r="P201" i="11"/>
  <c r="O201" i="11"/>
  <c r="N201" i="11"/>
  <c r="M201" i="11"/>
  <c r="K201" i="11"/>
  <c r="J201" i="11"/>
  <c r="I201" i="11"/>
  <c r="H201" i="11"/>
  <c r="G201" i="11"/>
  <c r="F201" i="11"/>
  <c r="E201" i="11"/>
  <c r="U199" i="11"/>
  <c r="S199" i="11"/>
  <c r="R199" i="11"/>
  <c r="N199" i="11"/>
  <c r="M199" i="11"/>
  <c r="L199" i="11"/>
  <c r="G199" i="11"/>
  <c r="F199" i="11"/>
  <c r="E199" i="11"/>
  <c r="U198" i="11"/>
  <c r="T198" i="11"/>
  <c r="S198" i="11"/>
  <c r="N198" i="11"/>
  <c r="M198" i="11"/>
  <c r="L198" i="11"/>
  <c r="G198" i="11"/>
  <c r="F198" i="11"/>
  <c r="E198" i="11"/>
  <c r="U196" i="11"/>
  <c r="S196" i="11"/>
  <c r="N196" i="11"/>
  <c r="M196" i="11"/>
  <c r="L196" i="11"/>
  <c r="G196" i="11"/>
  <c r="F196" i="11"/>
  <c r="E196" i="11"/>
  <c r="U195" i="11"/>
  <c r="S195" i="11"/>
  <c r="N195" i="11"/>
  <c r="M195" i="11"/>
  <c r="K195" i="11"/>
  <c r="I195" i="11"/>
  <c r="H195" i="11"/>
  <c r="G195" i="11"/>
  <c r="F195" i="11"/>
  <c r="E195" i="11"/>
  <c r="U194" i="11"/>
  <c r="S194" i="11"/>
  <c r="N194" i="11"/>
  <c r="M194" i="11"/>
  <c r="K194" i="11"/>
  <c r="I194" i="11"/>
  <c r="H194" i="11"/>
  <c r="G194" i="11"/>
  <c r="F194" i="11"/>
  <c r="E194" i="11"/>
  <c r="Q193" i="11"/>
  <c r="P193" i="11"/>
  <c r="O193" i="11"/>
  <c r="N193" i="11"/>
  <c r="M193" i="11"/>
  <c r="K193" i="11"/>
  <c r="J193" i="11"/>
  <c r="I193" i="11"/>
  <c r="H193" i="11"/>
  <c r="G193" i="11"/>
  <c r="F193" i="11"/>
  <c r="E193" i="11"/>
  <c r="Q192" i="11"/>
  <c r="P192" i="11"/>
  <c r="O192" i="11"/>
  <c r="N192" i="11"/>
  <c r="M192" i="11"/>
  <c r="K192" i="11"/>
  <c r="J192" i="11"/>
  <c r="I192" i="11"/>
  <c r="H192" i="11"/>
  <c r="G192" i="11"/>
  <c r="F192" i="11"/>
  <c r="E192" i="11"/>
  <c r="U190" i="11"/>
  <c r="S190" i="11"/>
  <c r="R190" i="11"/>
  <c r="N190" i="11"/>
  <c r="M190" i="11"/>
  <c r="L190" i="11"/>
  <c r="G190" i="11"/>
  <c r="F190" i="11"/>
  <c r="E190" i="11"/>
  <c r="U189" i="11"/>
  <c r="T189" i="11"/>
  <c r="S189" i="11"/>
  <c r="N189" i="11"/>
  <c r="M189" i="11"/>
  <c r="L189" i="11"/>
  <c r="G189" i="11"/>
  <c r="F189" i="11"/>
  <c r="E189" i="11"/>
  <c r="U187" i="11"/>
  <c r="S187" i="11"/>
  <c r="N187" i="11"/>
  <c r="M187" i="11"/>
  <c r="L187" i="11"/>
  <c r="G187" i="11"/>
  <c r="F187" i="11"/>
  <c r="E187" i="11"/>
  <c r="U186" i="11"/>
  <c r="S186" i="11"/>
  <c r="N186" i="11"/>
  <c r="M186" i="11"/>
  <c r="K186" i="11"/>
  <c r="I186" i="11"/>
  <c r="H186" i="11"/>
  <c r="G186" i="11"/>
  <c r="F186" i="11"/>
  <c r="E186" i="11"/>
  <c r="U185" i="11"/>
  <c r="S185" i="11"/>
  <c r="N185" i="11"/>
  <c r="M185" i="11"/>
  <c r="K185" i="11"/>
  <c r="I185" i="11"/>
  <c r="H185" i="11"/>
  <c r="G185" i="11"/>
  <c r="F185" i="11"/>
  <c r="E185" i="11"/>
  <c r="Q184" i="11"/>
  <c r="P184" i="11"/>
  <c r="O184" i="11"/>
  <c r="N184" i="11"/>
  <c r="M184" i="11"/>
  <c r="K184" i="11"/>
  <c r="J184" i="11"/>
  <c r="I184" i="11"/>
  <c r="H184" i="11"/>
  <c r="G184" i="11"/>
  <c r="F184" i="11"/>
  <c r="E184" i="11"/>
  <c r="Q183" i="11"/>
  <c r="P183" i="11"/>
  <c r="O183" i="11"/>
  <c r="N183" i="11"/>
  <c r="M183" i="11"/>
  <c r="K183" i="11"/>
  <c r="J183" i="11"/>
  <c r="I183" i="11"/>
  <c r="H183" i="11"/>
  <c r="G183" i="11"/>
  <c r="F183" i="11"/>
  <c r="E183" i="11"/>
  <c r="U181" i="11"/>
  <c r="S181" i="11"/>
  <c r="R181" i="11"/>
  <c r="N181" i="11"/>
  <c r="M181" i="11"/>
  <c r="L181" i="11"/>
  <c r="G181" i="11"/>
  <c r="F181" i="11"/>
  <c r="E181" i="11"/>
  <c r="U180" i="11"/>
  <c r="T180" i="11"/>
  <c r="S180" i="11"/>
  <c r="N180" i="11"/>
  <c r="M180" i="11"/>
  <c r="L180" i="11"/>
  <c r="G180" i="11"/>
  <c r="F180" i="11"/>
  <c r="E180" i="11"/>
  <c r="U178" i="11"/>
  <c r="S178" i="11"/>
  <c r="N178" i="11"/>
  <c r="M178" i="11"/>
  <c r="L178" i="11"/>
  <c r="G178" i="11"/>
  <c r="F178" i="11"/>
  <c r="E178" i="11"/>
  <c r="U177" i="11"/>
  <c r="S177" i="11"/>
  <c r="N177" i="11"/>
  <c r="M177" i="11"/>
  <c r="K177" i="11"/>
  <c r="I177" i="11"/>
  <c r="H177" i="11"/>
  <c r="G177" i="11"/>
  <c r="F177" i="11"/>
  <c r="E177" i="11"/>
  <c r="U176" i="11"/>
  <c r="S176" i="11"/>
  <c r="N176" i="11"/>
  <c r="M176" i="11"/>
  <c r="K176" i="11"/>
  <c r="I176" i="11"/>
  <c r="H176" i="11"/>
  <c r="G176" i="11"/>
  <c r="F176" i="11"/>
  <c r="E176" i="11"/>
  <c r="Q175" i="11"/>
  <c r="P175" i="11"/>
  <c r="O175" i="11"/>
  <c r="N175" i="11"/>
  <c r="M175" i="11"/>
  <c r="K175" i="11"/>
  <c r="J175" i="11"/>
  <c r="I175" i="11"/>
  <c r="H175" i="11"/>
  <c r="G175" i="11"/>
  <c r="F175" i="11"/>
  <c r="E175" i="11"/>
  <c r="Q174" i="11"/>
  <c r="P174" i="11"/>
  <c r="O174" i="11"/>
  <c r="N174" i="11"/>
  <c r="M174" i="11"/>
  <c r="K174" i="11"/>
  <c r="J174" i="11"/>
  <c r="I174" i="11"/>
  <c r="H174" i="11"/>
  <c r="G174" i="11"/>
  <c r="F174" i="11"/>
  <c r="E174" i="11"/>
  <c r="U172" i="11"/>
  <c r="S172" i="11"/>
  <c r="R172" i="11"/>
  <c r="N172" i="11"/>
  <c r="M172" i="11"/>
  <c r="L172" i="11"/>
  <c r="G172" i="11"/>
  <c r="F172" i="11"/>
  <c r="E172" i="11"/>
  <c r="U171" i="11"/>
  <c r="T171" i="11"/>
  <c r="S171" i="11"/>
  <c r="N171" i="11"/>
  <c r="M171" i="11"/>
  <c r="L171" i="11"/>
  <c r="G171" i="11"/>
  <c r="F171" i="11"/>
  <c r="E171" i="11"/>
  <c r="U169" i="11"/>
  <c r="S169" i="11"/>
  <c r="N169" i="11"/>
  <c r="M169" i="11"/>
  <c r="L169" i="11"/>
  <c r="G169" i="11"/>
  <c r="F169" i="11"/>
  <c r="E169" i="11"/>
  <c r="U168" i="11"/>
  <c r="S168" i="11"/>
  <c r="N168" i="11"/>
  <c r="M168" i="11"/>
  <c r="K168" i="11"/>
  <c r="I168" i="11"/>
  <c r="H168" i="11"/>
  <c r="G168" i="11"/>
  <c r="F168" i="11"/>
  <c r="E168" i="11"/>
  <c r="U167" i="11"/>
  <c r="S167" i="11"/>
  <c r="N167" i="11"/>
  <c r="M167" i="11"/>
  <c r="K167" i="11"/>
  <c r="I167" i="11"/>
  <c r="H167" i="11"/>
  <c r="G167" i="11"/>
  <c r="F167" i="11"/>
  <c r="E167" i="11"/>
  <c r="Q166" i="11"/>
  <c r="P166" i="11"/>
  <c r="O166" i="11"/>
  <c r="N166" i="11"/>
  <c r="M166" i="11"/>
  <c r="K166" i="11"/>
  <c r="J166" i="11"/>
  <c r="I166" i="11"/>
  <c r="H166" i="11"/>
  <c r="G166" i="11"/>
  <c r="F166" i="11"/>
  <c r="E166" i="11"/>
  <c r="Q165" i="11"/>
  <c r="P165" i="11"/>
  <c r="O165" i="11"/>
  <c r="N165" i="11"/>
  <c r="M165" i="11"/>
  <c r="K165" i="11"/>
  <c r="J165" i="11"/>
  <c r="I165" i="11"/>
  <c r="H165" i="11"/>
  <c r="G165" i="11"/>
  <c r="F165" i="11"/>
  <c r="E165" i="11"/>
  <c r="U163" i="11"/>
  <c r="S163" i="11"/>
  <c r="R163" i="11"/>
  <c r="N163" i="11"/>
  <c r="M163" i="11"/>
  <c r="L163" i="11"/>
  <c r="G163" i="11"/>
  <c r="F163" i="11"/>
  <c r="E163" i="11"/>
  <c r="U162" i="11"/>
  <c r="T162" i="11"/>
  <c r="S162" i="11"/>
  <c r="N162" i="11"/>
  <c r="M162" i="11"/>
  <c r="L162" i="11"/>
  <c r="G162" i="11"/>
  <c r="F162" i="11"/>
  <c r="E162" i="11"/>
  <c r="U160" i="11"/>
  <c r="S160" i="11"/>
  <c r="N160" i="11"/>
  <c r="M160" i="11"/>
  <c r="L160" i="11"/>
  <c r="G160" i="11"/>
  <c r="F160" i="11"/>
  <c r="E160" i="11"/>
  <c r="U159" i="11"/>
  <c r="S159" i="11"/>
  <c r="N159" i="11"/>
  <c r="M159" i="11"/>
  <c r="K159" i="11"/>
  <c r="I159" i="11"/>
  <c r="H159" i="11"/>
  <c r="G159" i="11"/>
  <c r="F159" i="11"/>
  <c r="E159" i="11"/>
  <c r="U158" i="11"/>
  <c r="S158" i="11"/>
  <c r="N158" i="11"/>
  <c r="M158" i="11"/>
  <c r="K158" i="11"/>
  <c r="I158" i="11"/>
  <c r="H158" i="11"/>
  <c r="G158" i="11"/>
  <c r="F158" i="11"/>
  <c r="E158" i="11"/>
  <c r="Q157" i="11"/>
  <c r="P157" i="11"/>
  <c r="O157" i="11"/>
  <c r="N157" i="11"/>
  <c r="M157" i="11"/>
  <c r="K157" i="11"/>
  <c r="J157" i="11"/>
  <c r="I157" i="11"/>
  <c r="H157" i="11"/>
  <c r="G157" i="11"/>
  <c r="F157" i="11"/>
  <c r="E157" i="11"/>
  <c r="Q156" i="11"/>
  <c r="P156" i="11"/>
  <c r="O156" i="11"/>
  <c r="N156" i="11"/>
  <c r="M156" i="11"/>
  <c r="K156" i="11"/>
  <c r="J156" i="11"/>
  <c r="I156" i="11"/>
  <c r="H156" i="11"/>
  <c r="G156" i="11"/>
  <c r="F156" i="11"/>
  <c r="E156" i="11"/>
  <c r="U154" i="11"/>
  <c r="S154" i="11"/>
  <c r="R154" i="11"/>
  <c r="N154" i="11"/>
  <c r="M154" i="11"/>
  <c r="L154" i="11"/>
  <c r="G154" i="11"/>
  <c r="F154" i="11"/>
  <c r="E154" i="11"/>
  <c r="U153" i="11"/>
  <c r="T153" i="11"/>
  <c r="S153" i="11"/>
  <c r="N153" i="11"/>
  <c r="M153" i="11"/>
  <c r="L153" i="11"/>
  <c r="G153" i="11"/>
  <c r="F153" i="11"/>
  <c r="E153" i="11"/>
  <c r="U151" i="11"/>
  <c r="S151" i="11"/>
  <c r="N151" i="11"/>
  <c r="M151" i="11"/>
  <c r="L151" i="11"/>
  <c r="G151" i="11"/>
  <c r="F151" i="11"/>
  <c r="E151" i="11"/>
  <c r="U150" i="11"/>
  <c r="S150" i="11"/>
  <c r="N150" i="11"/>
  <c r="M150" i="11"/>
  <c r="K150" i="11"/>
  <c r="I150" i="11"/>
  <c r="H150" i="11"/>
  <c r="G150" i="11"/>
  <c r="F150" i="11"/>
  <c r="E150" i="11"/>
  <c r="U149" i="11"/>
  <c r="S149" i="11"/>
  <c r="N149" i="11"/>
  <c r="M149" i="11"/>
  <c r="K149" i="11"/>
  <c r="I149" i="11"/>
  <c r="H149" i="11"/>
  <c r="G149" i="11"/>
  <c r="F149" i="11"/>
  <c r="E149" i="11"/>
  <c r="Q148" i="11"/>
  <c r="P148" i="11"/>
  <c r="O148" i="11"/>
  <c r="N148" i="11"/>
  <c r="M148" i="11"/>
  <c r="K148" i="11"/>
  <c r="J148" i="11"/>
  <c r="I148" i="11"/>
  <c r="H148" i="11"/>
  <c r="G148" i="11"/>
  <c r="F148" i="11"/>
  <c r="E148" i="11"/>
  <c r="Q147" i="11"/>
  <c r="P147" i="11"/>
  <c r="O147" i="11"/>
  <c r="N147" i="11"/>
  <c r="M147" i="11"/>
  <c r="K147" i="11"/>
  <c r="J147" i="11"/>
  <c r="I147" i="11"/>
  <c r="H147" i="11"/>
  <c r="G147" i="11"/>
  <c r="F147" i="11"/>
  <c r="E147" i="11"/>
  <c r="U145" i="11"/>
  <c r="S145" i="11"/>
  <c r="R145" i="11"/>
  <c r="N145" i="11"/>
  <c r="M145" i="11"/>
  <c r="L145" i="11"/>
  <c r="G145" i="11"/>
  <c r="F145" i="11"/>
  <c r="E145" i="11"/>
  <c r="U144" i="11"/>
  <c r="T144" i="11"/>
  <c r="S144" i="11"/>
  <c r="N144" i="11"/>
  <c r="M144" i="11"/>
  <c r="L144" i="11"/>
  <c r="G144" i="11"/>
  <c r="F144" i="11"/>
  <c r="E144" i="11"/>
  <c r="U142" i="11"/>
  <c r="S142" i="11"/>
  <c r="N142" i="11"/>
  <c r="M142" i="11"/>
  <c r="L142" i="11"/>
  <c r="G142" i="11"/>
  <c r="F142" i="11"/>
  <c r="E142" i="11"/>
  <c r="U141" i="11"/>
  <c r="S141" i="11"/>
  <c r="N141" i="11"/>
  <c r="M141" i="11"/>
  <c r="K141" i="11"/>
  <c r="I141" i="11"/>
  <c r="H141" i="11"/>
  <c r="G141" i="11"/>
  <c r="F141" i="11"/>
  <c r="E141" i="11"/>
  <c r="U140" i="11"/>
  <c r="S140" i="11"/>
  <c r="N140" i="11"/>
  <c r="M140" i="11"/>
  <c r="K140" i="11"/>
  <c r="I140" i="11"/>
  <c r="H140" i="11"/>
  <c r="G140" i="11"/>
  <c r="F140" i="11"/>
  <c r="E140" i="11"/>
  <c r="Q139" i="11"/>
  <c r="P139" i="11"/>
  <c r="O139" i="11"/>
  <c r="N139" i="11"/>
  <c r="M139" i="11"/>
  <c r="K139" i="11"/>
  <c r="J139" i="11"/>
  <c r="I139" i="11"/>
  <c r="H139" i="11"/>
  <c r="G139" i="11"/>
  <c r="F139" i="11"/>
  <c r="E139" i="11"/>
  <c r="Q138" i="11"/>
  <c r="P138" i="11"/>
  <c r="O138" i="11"/>
  <c r="N138" i="11"/>
  <c r="M138" i="11"/>
  <c r="K138" i="11"/>
  <c r="J138" i="11"/>
  <c r="I138" i="11"/>
  <c r="H138" i="11"/>
  <c r="G138" i="11"/>
  <c r="F138" i="11"/>
  <c r="E138" i="11"/>
  <c r="U136" i="11"/>
  <c r="S136" i="11"/>
  <c r="R136" i="11"/>
  <c r="N136" i="11"/>
  <c r="M136" i="11"/>
  <c r="L136" i="11"/>
  <c r="G136" i="11"/>
  <c r="F136" i="11"/>
  <c r="E136" i="11"/>
  <c r="U135" i="11"/>
  <c r="T135" i="11"/>
  <c r="S135" i="11"/>
  <c r="N135" i="11"/>
  <c r="M135" i="11"/>
  <c r="L135" i="11"/>
  <c r="G135" i="11"/>
  <c r="F135" i="11"/>
  <c r="E135" i="11"/>
  <c r="U133" i="11"/>
  <c r="S133" i="11"/>
  <c r="N133" i="11"/>
  <c r="M133" i="11"/>
  <c r="L133" i="11"/>
  <c r="G133" i="11"/>
  <c r="F133" i="11"/>
  <c r="E133" i="11"/>
  <c r="U132" i="11"/>
  <c r="S132" i="11"/>
  <c r="N132" i="11"/>
  <c r="M132" i="11"/>
  <c r="K132" i="11"/>
  <c r="I132" i="11"/>
  <c r="H132" i="11"/>
  <c r="G132" i="11"/>
  <c r="F132" i="11"/>
  <c r="E132" i="11"/>
  <c r="U131" i="11"/>
  <c r="S131" i="11"/>
  <c r="N131" i="11"/>
  <c r="M131" i="11"/>
  <c r="K131" i="11"/>
  <c r="I131" i="11"/>
  <c r="H131" i="11"/>
  <c r="G131" i="11"/>
  <c r="F131" i="11"/>
  <c r="E131" i="11"/>
  <c r="Q130" i="11"/>
  <c r="P130" i="11"/>
  <c r="O130" i="11"/>
  <c r="N130" i="11"/>
  <c r="M130" i="11"/>
  <c r="K130" i="11"/>
  <c r="J130" i="11"/>
  <c r="I130" i="11"/>
  <c r="H130" i="11"/>
  <c r="G130" i="11"/>
  <c r="F130" i="11"/>
  <c r="E130" i="11"/>
  <c r="Q129" i="11"/>
  <c r="P129" i="11"/>
  <c r="O129" i="11"/>
  <c r="N129" i="11"/>
  <c r="M129" i="11"/>
  <c r="K129" i="11"/>
  <c r="J129" i="11"/>
  <c r="I129" i="11"/>
  <c r="H129" i="11"/>
  <c r="G129" i="11"/>
  <c r="F129" i="11"/>
  <c r="E129" i="11"/>
  <c r="U127" i="11"/>
  <c r="S127" i="11"/>
  <c r="R127" i="11"/>
  <c r="N127" i="11"/>
  <c r="M127" i="11"/>
  <c r="L127" i="11"/>
  <c r="G127" i="11"/>
  <c r="F127" i="11"/>
  <c r="E127" i="11"/>
  <c r="U126" i="11"/>
  <c r="T126" i="11"/>
  <c r="S126" i="11"/>
  <c r="N126" i="11"/>
  <c r="M126" i="11"/>
  <c r="L126" i="11"/>
  <c r="G126" i="11"/>
  <c r="F126" i="11"/>
  <c r="E126" i="11"/>
  <c r="U124" i="11"/>
  <c r="S124" i="11"/>
  <c r="N124" i="11"/>
  <c r="M124" i="11"/>
  <c r="L124" i="11"/>
  <c r="G124" i="11"/>
  <c r="F124" i="11"/>
  <c r="E124" i="11"/>
  <c r="U123" i="11"/>
  <c r="S123" i="11"/>
  <c r="N123" i="11"/>
  <c r="M123" i="11"/>
  <c r="K123" i="11"/>
  <c r="I123" i="11"/>
  <c r="H123" i="11"/>
  <c r="G123" i="11"/>
  <c r="F123" i="11"/>
  <c r="E123" i="11"/>
  <c r="U122" i="11"/>
  <c r="S122" i="11"/>
  <c r="N122" i="11"/>
  <c r="M122" i="11"/>
  <c r="K122" i="11"/>
  <c r="I122" i="11"/>
  <c r="H122" i="11"/>
  <c r="G122" i="11"/>
  <c r="F122" i="11"/>
  <c r="E122" i="11"/>
  <c r="Q121" i="11"/>
  <c r="P121" i="11"/>
  <c r="O121" i="11"/>
  <c r="N121" i="11"/>
  <c r="M121" i="11"/>
  <c r="K121" i="11"/>
  <c r="J121" i="11"/>
  <c r="I121" i="11"/>
  <c r="H121" i="11"/>
  <c r="G121" i="11"/>
  <c r="F121" i="11"/>
  <c r="E121" i="11"/>
  <c r="Q120" i="11"/>
  <c r="P120" i="11"/>
  <c r="O120" i="11"/>
  <c r="N120" i="11"/>
  <c r="M120" i="11"/>
  <c r="K120" i="11"/>
  <c r="J120" i="11"/>
  <c r="I120" i="11"/>
  <c r="H120" i="11"/>
  <c r="G120" i="11"/>
  <c r="F120" i="11"/>
  <c r="E120" i="11"/>
  <c r="U118" i="11"/>
  <c r="S118" i="11"/>
  <c r="R118" i="11"/>
  <c r="N118" i="11"/>
  <c r="M118" i="11"/>
  <c r="L118" i="11"/>
  <c r="G118" i="11"/>
  <c r="F118" i="11"/>
  <c r="E118" i="11"/>
  <c r="U117" i="11"/>
  <c r="T117" i="11"/>
  <c r="S117" i="11"/>
  <c r="N117" i="11"/>
  <c r="M117" i="11"/>
  <c r="L117" i="11"/>
  <c r="G117" i="11"/>
  <c r="F117" i="11"/>
  <c r="E117" i="11"/>
  <c r="U115" i="11"/>
  <c r="S115" i="11"/>
  <c r="N115" i="11"/>
  <c r="M115" i="11"/>
  <c r="L115" i="11"/>
  <c r="G115" i="11"/>
  <c r="F115" i="11"/>
  <c r="E115" i="11"/>
  <c r="U114" i="11"/>
  <c r="S114" i="11"/>
  <c r="N114" i="11"/>
  <c r="M114" i="11"/>
  <c r="K114" i="11"/>
  <c r="I114" i="11"/>
  <c r="H114" i="11"/>
  <c r="G114" i="11"/>
  <c r="F114" i="11"/>
  <c r="E114" i="11"/>
  <c r="U113" i="11"/>
  <c r="S113" i="11"/>
  <c r="N113" i="11"/>
  <c r="M113" i="11"/>
  <c r="K113" i="11"/>
  <c r="I113" i="11"/>
  <c r="H113" i="11"/>
  <c r="G113" i="11"/>
  <c r="F113" i="11"/>
  <c r="E113" i="11"/>
  <c r="Q112" i="11"/>
  <c r="P112" i="11"/>
  <c r="O112" i="11"/>
  <c r="N112" i="11"/>
  <c r="M112" i="11"/>
  <c r="K112" i="11"/>
  <c r="J112" i="11"/>
  <c r="I112" i="11"/>
  <c r="H112" i="11"/>
  <c r="G112" i="11"/>
  <c r="F112" i="11"/>
  <c r="E112" i="11"/>
  <c r="Q111" i="11"/>
  <c r="P111" i="11"/>
  <c r="O111" i="11"/>
  <c r="N111" i="11"/>
  <c r="M111" i="11"/>
  <c r="K111" i="11"/>
  <c r="J111" i="11"/>
  <c r="I111" i="11"/>
  <c r="H111" i="11"/>
  <c r="G111" i="11"/>
  <c r="F111" i="11"/>
  <c r="E111" i="11"/>
  <c r="U109" i="11"/>
  <c r="S109" i="11"/>
  <c r="R109" i="11"/>
  <c r="N109" i="11"/>
  <c r="M109" i="11"/>
  <c r="L109" i="11"/>
  <c r="G109" i="11"/>
  <c r="F109" i="11"/>
  <c r="E109" i="11"/>
  <c r="U108" i="11"/>
  <c r="T108" i="11"/>
  <c r="S108" i="11"/>
  <c r="N108" i="11"/>
  <c r="M108" i="11"/>
  <c r="L108" i="11"/>
  <c r="G108" i="11"/>
  <c r="F108" i="11"/>
  <c r="E108" i="11"/>
  <c r="U106" i="11"/>
  <c r="S106" i="11"/>
  <c r="N106" i="11"/>
  <c r="M106" i="11"/>
  <c r="L106" i="11"/>
  <c r="G106" i="11"/>
  <c r="F106" i="11"/>
  <c r="E106" i="11"/>
  <c r="U105" i="11"/>
  <c r="S105" i="11"/>
  <c r="N105" i="11"/>
  <c r="M105" i="11"/>
  <c r="K105" i="11"/>
  <c r="I105" i="11"/>
  <c r="H105" i="11"/>
  <c r="G105" i="11"/>
  <c r="F105" i="11"/>
  <c r="E105" i="11"/>
  <c r="U104" i="11"/>
  <c r="S104" i="11"/>
  <c r="N104" i="11"/>
  <c r="M104" i="11"/>
  <c r="K104" i="11"/>
  <c r="I104" i="11"/>
  <c r="H104" i="11"/>
  <c r="G104" i="11"/>
  <c r="F104" i="11"/>
  <c r="E104" i="11"/>
  <c r="Q103" i="11"/>
  <c r="P103" i="11"/>
  <c r="O103" i="11"/>
  <c r="N103" i="11"/>
  <c r="M103" i="11"/>
  <c r="K103" i="11"/>
  <c r="J103" i="11"/>
  <c r="I103" i="11"/>
  <c r="H103" i="11"/>
  <c r="G103" i="11"/>
  <c r="F103" i="11"/>
  <c r="E103" i="11"/>
  <c r="Q102" i="11"/>
  <c r="P102" i="11"/>
  <c r="O102" i="11"/>
  <c r="N102" i="11"/>
  <c r="M102" i="11"/>
  <c r="K102" i="11"/>
  <c r="J102" i="11"/>
  <c r="I102" i="11"/>
  <c r="H102" i="11"/>
  <c r="G102" i="11"/>
  <c r="F102" i="11"/>
  <c r="E102" i="11"/>
  <c r="U100" i="11"/>
  <c r="S100" i="11"/>
  <c r="R100" i="11"/>
  <c r="N100" i="11"/>
  <c r="M100" i="11"/>
  <c r="L100" i="11"/>
  <c r="G100" i="11"/>
  <c r="F100" i="11"/>
  <c r="E100" i="11"/>
  <c r="U99" i="11"/>
  <c r="T99" i="11"/>
  <c r="S99" i="11"/>
  <c r="N99" i="11"/>
  <c r="M99" i="11"/>
  <c r="L99" i="11"/>
  <c r="G99" i="11"/>
  <c r="F99" i="11"/>
  <c r="E99" i="11"/>
  <c r="U97" i="11"/>
  <c r="S97" i="11"/>
  <c r="N97" i="11"/>
  <c r="M97" i="11"/>
  <c r="L97" i="11"/>
  <c r="G97" i="11"/>
  <c r="F97" i="11"/>
  <c r="E97" i="11"/>
  <c r="U96" i="11"/>
  <c r="S96" i="11"/>
  <c r="N96" i="11"/>
  <c r="M96" i="11"/>
  <c r="K96" i="11"/>
  <c r="I96" i="11"/>
  <c r="H96" i="11"/>
  <c r="G96" i="11"/>
  <c r="F96" i="11"/>
  <c r="E96" i="11"/>
  <c r="U95" i="11"/>
  <c r="S95" i="11"/>
  <c r="N95" i="11"/>
  <c r="M95" i="11"/>
  <c r="K95" i="11"/>
  <c r="I95" i="11"/>
  <c r="H95" i="11"/>
  <c r="G95" i="11"/>
  <c r="F95" i="11"/>
  <c r="E95" i="11"/>
  <c r="Q94" i="11"/>
  <c r="P94" i="11"/>
  <c r="O94" i="11"/>
  <c r="N94" i="11"/>
  <c r="M94" i="11"/>
  <c r="K94" i="11"/>
  <c r="J94" i="11"/>
  <c r="I94" i="11"/>
  <c r="H94" i="11"/>
  <c r="G94" i="11"/>
  <c r="F94" i="11"/>
  <c r="E94" i="11"/>
  <c r="Q93" i="11"/>
  <c r="P93" i="11"/>
  <c r="O93" i="11"/>
  <c r="N93" i="11"/>
  <c r="M93" i="11"/>
  <c r="K93" i="11"/>
  <c r="J93" i="11"/>
  <c r="I93" i="11"/>
  <c r="H93" i="11"/>
  <c r="G93" i="11"/>
  <c r="F93" i="11"/>
  <c r="E93" i="11"/>
  <c r="U91" i="11"/>
  <c r="S91" i="11"/>
  <c r="R91" i="11"/>
  <c r="N91" i="11"/>
  <c r="M91" i="11"/>
  <c r="L91" i="11"/>
  <c r="G91" i="11"/>
  <c r="F91" i="11"/>
  <c r="E91" i="11"/>
  <c r="U90" i="11"/>
  <c r="T90" i="11"/>
  <c r="S90" i="11"/>
  <c r="N90" i="11"/>
  <c r="M90" i="11"/>
  <c r="L90" i="11"/>
  <c r="G90" i="11"/>
  <c r="F90" i="11"/>
  <c r="E90" i="11"/>
  <c r="U88" i="11"/>
  <c r="S88" i="11"/>
  <c r="N88" i="11"/>
  <c r="M88" i="11"/>
  <c r="L88" i="11"/>
  <c r="G88" i="11"/>
  <c r="F88" i="11"/>
  <c r="E88" i="11"/>
  <c r="U87" i="11"/>
  <c r="S87" i="11"/>
  <c r="N87" i="11"/>
  <c r="M87" i="11"/>
  <c r="K87" i="11"/>
  <c r="I87" i="11"/>
  <c r="H87" i="11"/>
  <c r="G87" i="11"/>
  <c r="F87" i="11"/>
  <c r="E87" i="11"/>
  <c r="U86" i="11"/>
  <c r="S86" i="11"/>
  <c r="N86" i="11"/>
  <c r="M86" i="11"/>
  <c r="K86" i="11"/>
  <c r="I86" i="11"/>
  <c r="H86" i="11"/>
  <c r="G86" i="11"/>
  <c r="F86" i="11"/>
  <c r="E86" i="11"/>
  <c r="Q85" i="11"/>
  <c r="P85" i="11"/>
  <c r="O85" i="11"/>
  <c r="N85" i="11"/>
  <c r="M85" i="11"/>
  <c r="K85" i="11"/>
  <c r="J85" i="11"/>
  <c r="I85" i="11"/>
  <c r="H85" i="11"/>
  <c r="G85" i="11"/>
  <c r="F85" i="11"/>
  <c r="E85" i="11"/>
  <c r="Q84" i="11"/>
  <c r="P84" i="11"/>
  <c r="O84" i="11"/>
  <c r="N84" i="11"/>
  <c r="M84" i="11"/>
  <c r="K84" i="11"/>
  <c r="J84" i="11"/>
  <c r="I84" i="11"/>
  <c r="H84" i="11"/>
  <c r="G84" i="11"/>
  <c r="F84" i="11"/>
  <c r="E84" i="11"/>
  <c r="U82" i="11"/>
  <c r="S82" i="11"/>
  <c r="R82" i="11"/>
  <c r="N82" i="11"/>
  <c r="M82" i="11"/>
  <c r="L82" i="11"/>
  <c r="G82" i="11"/>
  <c r="F82" i="11"/>
  <c r="E82" i="11"/>
  <c r="U81" i="11"/>
  <c r="T81" i="11"/>
  <c r="S81" i="11"/>
  <c r="N81" i="11"/>
  <c r="M81" i="11"/>
  <c r="L81" i="11"/>
  <c r="G81" i="11"/>
  <c r="F81" i="11"/>
  <c r="E81" i="11"/>
  <c r="U79" i="11"/>
  <c r="S79" i="11"/>
  <c r="N79" i="11"/>
  <c r="M79" i="11"/>
  <c r="L79" i="11"/>
  <c r="G79" i="11"/>
  <c r="F79" i="11"/>
  <c r="E79" i="11"/>
  <c r="U78" i="11"/>
  <c r="S78" i="11"/>
  <c r="N78" i="11"/>
  <c r="M78" i="11"/>
  <c r="K78" i="11"/>
  <c r="I78" i="11"/>
  <c r="H78" i="11"/>
  <c r="G78" i="11"/>
  <c r="F78" i="11"/>
  <c r="E78" i="11"/>
  <c r="U77" i="11"/>
  <c r="S77" i="11"/>
  <c r="N77" i="11"/>
  <c r="M77" i="11"/>
  <c r="K77" i="11"/>
  <c r="I77" i="11"/>
  <c r="H77" i="11"/>
  <c r="G77" i="11"/>
  <c r="F77" i="11"/>
  <c r="E77" i="11"/>
  <c r="Q76" i="11"/>
  <c r="P76" i="11"/>
  <c r="O76" i="11"/>
  <c r="N76" i="11"/>
  <c r="M76" i="11"/>
  <c r="K76" i="11"/>
  <c r="J76" i="11"/>
  <c r="I76" i="11"/>
  <c r="H76" i="11"/>
  <c r="G76" i="11"/>
  <c r="F76" i="11"/>
  <c r="E76" i="11"/>
  <c r="Q75" i="11"/>
  <c r="P75" i="11"/>
  <c r="O75" i="11"/>
  <c r="N75" i="11"/>
  <c r="M75" i="11"/>
  <c r="K75" i="11"/>
  <c r="J75" i="11"/>
  <c r="I75" i="11"/>
  <c r="H75" i="11"/>
  <c r="G75" i="11"/>
  <c r="F75" i="11"/>
  <c r="E75" i="11"/>
  <c r="U73" i="11"/>
  <c r="S73" i="11"/>
  <c r="R73" i="11"/>
  <c r="N73" i="11"/>
  <c r="M73" i="11"/>
  <c r="L73" i="11"/>
  <c r="G73" i="11"/>
  <c r="F73" i="11"/>
  <c r="E73" i="11"/>
  <c r="U72" i="11"/>
  <c r="T72" i="11"/>
  <c r="S72" i="11"/>
  <c r="N72" i="11"/>
  <c r="M72" i="11"/>
  <c r="L72" i="11"/>
  <c r="G72" i="11"/>
  <c r="F72" i="11"/>
  <c r="E72" i="11"/>
  <c r="U70" i="11"/>
  <c r="S70" i="11"/>
  <c r="N70" i="11"/>
  <c r="M70" i="11"/>
  <c r="L70" i="11"/>
  <c r="G70" i="11"/>
  <c r="F70" i="11"/>
  <c r="E70" i="11"/>
  <c r="U69" i="11"/>
  <c r="S69" i="11"/>
  <c r="N69" i="11"/>
  <c r="M69" i="11"/>
  <c r="K69" i="11"/>
  <c r="I69" i="11"/>
  <c r="H69" i="11"/>
  <c r="G69" i="11"/>
  <c r="F69" i="11"/>
  <c r="E69" i="11"/>
  <c r="U68" i="11"/>
  <c r="S68" i="11"/>
  <c r="N68" i="11"/>
  <c r="M68" i="11"/>
  <c r="K68" i="11"/>
  <c r="I68" i="11"/>
  <c r="H68" i="11"/>
  <c r="G68" i="11"/>
  <c r="F68" i="11"/>
  <c r="E68" i="11"/>
  <c r="Q67" i="11"/>
  <c r="P67" i="11"/>
  <c r="O67" i="11"/>
  <c r="N67" i="11"/>
  <c r="M67" i="11"/>
  <c r="K67" i="11"/>
  <c r="J67" i="11"/>
  <c r="I67" i="11"/>
  <c r="H67" i="11"/>
  <c r="G67" i="11"/>
  <c r="F67" i="11"/>
  <c r="E67" i="11"/>
  <c r="Q66" i="11"/>
  <c r="P66" i="11"/>
  <c r="O66" i="11"/>
  <c r="N66" i="11"/>
  <c r="M66" i="11"/>
  <c r="K66" i="11"/>
  <c r="J66" i="11"/>
  <c r="I66" i="11"/>
  <c r="H66" i="11"/>
  <c r="G66" i="11"/>
  <c r="F66" i="11"/>
  <c r="E66" i="11"/>
  <c r="U64" i="11"/>
  <c r="S64" i="11"/>
  <c r="R64" i="11"/>
  <c r="N64" i="11"/>
  <c r="M64" i="11"/>
  <c r="L64" i="11"/>
  <c r="G64" i="11"/>
  <c r="F64" i="11"/>
  <c r="E64" i="11"/>
  <c r="U63" i="11"/>
  <c r="T63" i="11"/>
  <c r="S63" i="11"/>
  <c r="N63" i="11"/>
  <c r="M63" i="11"/>
  <c r="L63" i="11"/>
  <c r="G63" i="11"/>
  <c r="F63" i="11"/>
  <c r="E63" i="11"/>
  <c r="U61" i="11"/>
  <c r="S61" i="11"/>
  <c r="N61" i="11"/>
  <c r="M61" i="11"/>
  <c r="L61" i="11"/>
  <c r="G61" i="11"/>
  <c r="F61" i="11"/>
  <c r="E61" i="11"/>
  <c r="U60" i="11"/>
  <c r="S60" i="11"/>
  <c r="N60" i="11"/>
  <c r="M60" i="11"/>
  <c r="K60" i="11"/>
  <c r="I60" i="11"/>
  <c r="H60" i="11"/>
  <c r="G60" i="11"/>
  <c r="F60" i="11"/>
  <c r="E60" i="11"/>
  <c r="U59" i="11"/>
  <c r="S59" i="11"/>
  <c r="N59" i="11"/>
  <c r="M59" i="11"/>
  <c r="K59" i="11"/>
  <c r="I59" i="11"/>
  <c r="H59" i="11"/>
  <c r="G59" i="11"/>
  <c r="F59" i="11"/>
  <c r="E59" i="11"/>
  <c r="Q58" i="11"/>
  <c r="P58" i="11"/>
  <c r="O58" i="11"/>
  <c r="N58" i="11"/>
  <c r="M58" i="11"/>
  <c r="K58" i="11"/>
  <c r="J58" i="11"/>
  <c r="I58" i="11"/>
  <c r="H58" i="11"/>
  <c r="G58" i="11"/>
  <c r="F58" i="11"/>
  <c r="E58" i="11"/>
  <c r="Q57" i="11"/>
  <c r="P57" i="11"/>
  <c r="O57" i="11"/>
  <c r="N57" i="11"/>
  <c r="M57" i="11"/>
  <c r="K57" i="11"/>
  <c r="J57" i="11"/>
  <c r="I57" i="11"/>
  <c r="H57" i="11"/>
  <c r="G57" i="11"/>
  <c r="F57" i="11"/>
  <c r="E57" i="11"/>
  <c r="U55" i="11"/>
  <c r="S55" i="11"/>
  <c r="R55" i="11"/>
  <c r="N55" i="11"/>
  <c r="M55" i="11"/>
  <c r="L55" i="11"/>
  <c r="G55" i="11"/>
  <c r="F55" i="11"/>
  <c r="E55" i="11"/>
  <c r="U54" i="11"/>
  <c r="T54" i="11"/>
  <c r="S54" i="11"/>
  <c r="N54" i="11"/>
  <c r="M54" i="11"/>
  <c r="L54" i="11"/>
  <c r="G54" i="11"/>
  <c r="F54" i="11"/>
  <c r="E54" i="11"/>
  <c r="U52" i="11"/>
  <c r="S52" i="11"/>
  <c r="N52" i="11"/>
  <c r="M52" i="11"/>
  <c r="L52" i="11"/>
  <c r="G52" i="11"/>
  <c r="F52" i="11"/>
  <c r="E52" i="11"/>
  <c r="U51" i="11"/>
  <c r="S51" i="11"/>
  <c r="N51" i="11"/>
  <c r="M51" i="11"/>
  <c r="K51" i="11"/>
  <c r="I51" i="11"/>
  <c r="H51" i="11"/>
  <c r="G51" i="11"/>
  <c r="F51" i="11"/>
  <c r="E51" i="11"/>
  <c r="U50" i="11"/>
  <c r="S50" i="11"/>
  <c r="N50" i="11"/>
  <c r="M50" i="11"/>
  <c r="K50" i="11"/>
  <c r="I50" i="11"/>
  <c r="H50" i="11"/>
  <c r="G50" i="11"/>
  <c r="F50" i="11"/>
  <c r="E50" i="11"/>
  <c r="Q49" i="11"/>
  <c r="P49" i="11"/>
  <c r="O49" i="11"/>
  <c r="N49" i="11"/>
  <c r="M49" i="11"/>
  <c r="K49" i="11"/>
  <c r="J49" i="11"/>
  <c r="I49" i="11"/>
  <c r="H49" i="11"/>
  <c r="G49" i="11"/>
  <c r="F49" i="11"/>
  <c r="E49" i="11"/>
  <c r="Q48" i="11"/>
  <c r="P48" i="11"/>
  <c r="O48" i="11"/>
  <c r="N48" i="11"/>
  <c r="M48" i="11"/>
  <c r="K48" i="11"/>
  <c r="J48" i="11"/>
  <c r="I48" i="11"/>
  <c r="H48" i="11"/>
  <c r="G48" i="11"/>
  <c r="F48" i="11"/>
  <c r="E48" i="11"/>
  <c r="U46" i="11"/>
  <c r="S46" i="11"/>
  <c r="R46" i="11"/>
  <c r="N46" i="11"/>
  <c r="M46" i="11"/>
  <c r="L46" i="11"/>
  <c r="G46" i="11"/>
  <c r="F46" i="11"/>
  <c r="E46" i="11"/>
  <c r="U45" i="11"/>
  <c r="T45" i="11"/>
  <c r="S45" i="11"/>
  <c r="N45" i="11"/>
  <c r="M45" i="11"/>
  <c r="L45" i="11"/>
  <c r="G45" i="11"/>
  <c r="F45" i="11"/>
  <c r="E45" i="11"/>
  <c r="U43" i="11"/>
  <c r="S43" i="11"/>
  <c r="N43" i="11"/>
  <c r="M43" i="11"/>
  <c r="L43" i="11"/>
  <c r="G43" i="11"/>
  <c r="F43" i="11"/>
  <c r="E43" i="11"/>
  <c r="U42" i="11"/>
  <c r="S42" i="11"/>
  <c r="N42" i="11"/>
  <c r="M42" i="11"/>
  <c r="K42" i="11"/>
  <c r="I42" i="11"/>
  <c r="H42" i="11"/>
  <c r="G42" i="11"/>
  <c r="F42" i="11"/>
  <c r="E42" i="11"/>
  <c r="U41" i="11"/>
  <c r="S41" i="11"/>
  <c r="N41" i="11"/>
  <c r="M41" i="11"/>
  <c r="K41" i="11"/>
  <c r="I41" i="11"/>
  <c r="H41" i="11"/>
  <c r="G41" i="11"/>
  <c r="F41" i="11"/>
  <c r="E41" i="11"/>
  <c r="Q40" i="11"/>
  <c r="P40" i="11"/>
  <c r="O40" i="11"/>
  <c r="N40" i="11"/>
  <c r="M40" i="11"/>
  <c r="K40" i="11"/>
  <c r="J40" i="11"/>
  <c r="I40" i="11"/>
  <c r="H40" i="11"/>
  <c r="G40" i="11"/>
  <c r="F40" i="11"/>
  <c r="E40" i="11"/>
  <c r="Q39" i="11"/>
  <c r="P39" i="11"/>
  <c r="O39" i="11"/>
  <c r="N39" i="11"/>
  <c r="M39" i="11"/>
  <c r="K39" i="11"/>
  <c r="J39" i="11"/>
  <c r="I39" i="11"/>
  <c r="H39" i="11"/>
  <c r="G39" i="11"/>
  <c r="F39" i="11"/>
  <c r="E39" i="11"/>
  <c r="U37" i="11"/>
  <c r="S37" i="11"/>
  <c r="R37" i="11"/>
  <c r="N37" i="11"/>
  <c r="M37" i="11"/>
  <c r="L37" i="11"/>
  <c r="G37" i="11"/>
  <c r="F37" i="11"/>
  <c r="E37" i="11"/>
  <c r="U36" i="11"/>
  <c r="T36" i="11"/>
  <c r="S36" i="11"/>
  <c r="N36" i="11"/>
  <c r="M36" i="11"/>
  <c r="L36" i="11"/>
  <c r="G36" i="11"/>
  <c r="F36" i="11"/>
  <c r="E36" i="11"/>
  <c r="U34" i="11"/>
  <c r="S34" i="11"/>
  <c r="N34" i="11"/>
  <c r="M34" i="11"/>
  <c r="L34" i="11"/>
  <c r="G34" i="11"/>
  <c r="F34" i="11"/>
  <c r="E34" i="11"/>
  <c r="U33" i="11"/>
  <c r="S33" i="11"/>
  <c r="N33" i="11"/>
  <c r="M33" i="11"/>
  <c r="K33" i="11"/>
  <c r="I33" i="11"/>
  <c r="H33" i="11"/>
  <c r="G33" i="11"/>
  <c r="F33" i="11"/>
  <c r="E33" i="11"/>
  <c r="U32" i="11"/>
  <c r="S32" i="11"/>
  <c r="N32" i="11"/>
  <c r="M32" i="11"/>
  <c r="K32" i="11"/>
  <c r="I32" i="11"/>
  <c r="H32" i="11"/>
  <c r="G32" i="11"/>
  <c r="F32" i="11"/>
  <c r="E32" i="11"/>
  <c r="Q31" i="11"/>
  <c r="P31" i="11"/>
  <c r="O31" i="11"/>
  <c r="N31" i="11"/>
  <c r="M31" i="11"/>
  <c r="K31" i="11"/>
  <c r="J31" i="11"/>
  <c r="I31" i="11"/>
  <c r="H31" i="11"/>
  <c r="G31" i="11"/>
  <c r="F31" i="11"/>
  <c r="E31" i="11"/>
  <c r="Q30" i="11"/>
  <c r="P30" i="11"/>
  <c r="O30" i="11"/>
  <c r="N30" i="11"/>
  <c r="M30" i="11"/>
  <c r="K30" i="11"/>
  <c r="J30" i="11"/>
  <c r="I30" i="11"/>
  <c r="H30" i="11"/>
  <c r="G30" i="11"/>
  <c r="F30" i="11"/>
  <c r="E30" i="11"/>
  <c r="U28" i="11"/>
  <c r="S28" i="11"/>
  <c r="R28" i="11"/>
  <c r="N28" i="11"/>
  <c r="M28" i="11"/>
  <c r="L28" i="11"/>
  <c r="G28" i="11"/>
  <c r="F28" i="11"/>
  <c r="E28" i="11"/>
  <c r="U27" i="11"/>
  <c r="T27" i="11"/>
  <c r="S27" i="11"/>
  <c r="N27" i="11"/>
  <c r="M27" i="11"/>
  <c r="L27" i="11"/>
  <c r="G27" i="11"/>
  <c r="F27" i="11"/>
  <c r="E27" i="11"/>
  <c r="U25" i="11"/>
  <c r="S25" i="11"/>
  <c r="N25" i="11"/>
  <c r="M25" i="11"/>
  <c r="L25" i="11"/>
  <c r="G25" i="11"/>
  <c r="F25" i="11"/>
  <c r="E25" i="11"/>
  <c r="U24" i="11"/>
  <c r="S24" i="11"/>
  <c r="N24" i="11"/>
  <c r="M24" i="11"/>
  <c r="K24" i="11"/>
  <c r="I24" i="11"/>
  <c r="H24" i="11"/>
  <c r="G24" i="11"/>
  <c r="F24" i="11"/>
  <c r="E24" i="11"/>
  <c r="U23" i="11"/>
  <c r="S23" i="11"/>
  <c r="N23" i="11"/>
  <c r="M23" i="11"/>
  <c r="K23" i="11"/>
  <c r="I23" i="11"/>
  <c r="H23" i="11"/>
  <c r="G23" i="11"/>
  <c r="F23" i="11"/>
  <c r="E23" i="11"/>
  <c r="Q22" i="11"/>
  <c r="P22" i="11"/>
  <c r="O22" i="11"/>
  <c r="N22" i="11"/>
  <c r="M22" i="11"/>
  <c r="K22" i="11"/>
  <c r="J22" i="11"/>
  <c r="I22" i="11"/>
  <c r="H22" i="11"/>
  <c r="G22" i="11"/>
  <c r="F22" i="11"/>
  <c r="E22" i="11"/>
  <c r="Q21" i="11"/>
  <c r="P21" i="11"/>
  <c r="O21" i="11"/>
  <c r="N21" i="11"/>
  <c r="M21" i="11"/>
  <c r="K21" i="11"/>
  <c r="J21" i="11"/>
  <c r="I21" i="11"/>
  <c r="H21" i="11"/>
  <c r="G21" i="11"/>
  <c r="F21" i="11"/>
  <c r="E21" i="11"/>
  <c r="U19" i="11"/>
  <c r="S19" i="11"/>
  <c r="R19" i="11"/>
  <c r="N19" i="11"/>
  <c r="M19" i="11"/>
  <c r="L19" i="11"/>
  <c r="G19" i="11"/>
  <c r="F19" i="11"/>
  <c r="E19" i="11"/>
  <c r="U18" i="11"/>
  <c r="T18" i="11"/>
  <c r="S18" i="11"/>
  <c r="N18" i="11"/>
  <c r="M18" i="11"/>
  <c r="L18" i="11"/>
  <c r="G18" i="11"/>
  <c r="F18" i="11"/>
  <c r="E18" i="11"/>
  <c r="U16" i="11"/>
  <c r="S16" i="11"/>
  <c r="N16" i="11"/>
  <c r="M16" i="11"/>
  <c r="L16" i="11"/>
  <c r="G16" i="11"/>
  <c r="F16" i="11"/>
  <c r="E16" i="11"/>
  <c r="U15" i="11"/>
  <c r="S15" i="11"/>
  <c r="N15" i="11"/>
  <c r="M15" i="11"/>
  <c r="K15" i="11"/>
  <c r="I15" i="11"/>
  <c r="H15" i="11"/>
  <c r="G15" i="11"/>
  <c r="F15" i="11"/>
  <c r="E15" i="11"/>
  <c r="U14" i="11"/>
  <c r="S14" i="11"/>
  <c r="N14" i="11"/>
  <c r="M14" i="11"/>
  <c r="K14" i="11"/>
  <c r="I14" i="11"/>
  <c r="H14" i="11"/>
  <c r="G14" i="11"/>
  <c r="F14" i="11"/>
  <c r="E14" i="11"/>
  <c r="Q13" i="11"/>
  <c r="P13" i="11"/>
  <c r="O13" i="11"/>
  <c r="N13" i="11"/>
  <c r="M13" i="11"/>
  <c r="K13" i="11"/>
  <c r="J13" i="11"/>
  <c r="I13" i="11"/>
  <c r="H13" i="11"/>
  <c r="G13" i="11"/>
  <c r="F13" i="11"/>
  <c r="E13" i="11"/>
  <c r="Q12" i="11"/>
  <c r="P12" i="11"/>
  <c r="O12" i="11"/>
  <c r="N12" i="11"/>
  <c r="M12" i="11"/>
  <c r="K12" i="11"/>
  <c r="J12" i="11"/>
  <c r="I12" i="11"/>
  <c r="H12" i="11"/>
  <c r="G12" i="11"/>
  <c r="F12" i="11"/>
  <c r="E12" i="11"/>
  <c r="T362" i="11" l="1"/>
  <c r="G359" i="11"/>
  <c r="G362" i="11" s="1"/>
  <c r="L359" i="11"/>
  <c r="U359" i="11"/>
  <c r="I362" i="11"/>
  <c r="E359" i="11"/>
  <c r="E362" i="11" s="1"/>
  <c r="S359" i="11"/>
  <c r="Q362" i="11"/>
  <c r="P362" i="11"/>
  <c r="O362" i="11"/>
  <c r="M359" i="11"/>
  <c r="M362" i="11" s="1"/>
  <c r="J362" i="11"/>
  <c r="H362" i="11"/>
  <c r="T353" i="11"/>
  <c r="N350" i="11"/>
  <c r="N353" i="11" s="1"/>
  <c r="L350" i="11"/>
  <c r="L353" i="11" s="1"/>
  <c r="S350" i="11"/>
  <c r="S353" i="11" s="1"/>
  <c r="Q353" i="11"/>
  <c r="P353" i="11"/>
  <c r="O353" i="11"/>
  <c r="J353" i="11"/>
  <c r="H353" i="11"/>
  <c r="F350" i="11"/>
  <c r="F353" i="11" s="1"/>
  <c r="I344" i="11"/>
  <c r="T344" i="11"/>
  <c r="S341" i="11"/>
  <c r="S344" i="11" s="1"/>
  <c r="L341" i="11"/>
  <c r="F341" i="11"/>
  <c r="U341" i="11"/>
  <c r="Q344" i="11"/>
  <c r="P344" i="11"/>
  <c r="O344" i="11"/>
  <c r="N341" i="11"/>
  <c r="M341" i="11"/>
  <c r="M344" i="11" s="1"/>
  <c r="J344" i="11"/>
  <c r="E341" i="11"/>
  <c r="E344" i="11" s="1"/>
  <c r="T335" i="11"/>
  <c r="U332" i="11"/>
  <c r="U335" i="11" s="1"/>
  <c r="L332" i="11"/>
  <c r="Q335" i="11"/>
  <c r="P335" i="11"/>
  <c r="O335" i="11"/>
  <c r="M332" i="11"/>
  <c r="J335" i="11"/>
  <c r="I335" i="11"/>
  <c r="H335" i="11"/>
  <c r="J326" i="11"/>
  <c r="T326" i="11"/>
  <c r="L323" i="11"/>
  <c r="L326" i="11" s="1"/>
  <c r="S323" i="11"/>
  <c r="S326" i="11" s="1"/>
  <c r="F323" i="11"/>
  <c r="F326" i="11" s="1"/>
  <c r="U323" i="11"/>
  <c r="U326" i="11" s="1"/>
  <c r="Q326" i="11"/>
  <c r="P326" i="11"/>
  <c r="O326" i="11"/>
  <c r="N323" i="11"/>
  <c r="N326" i="11" s="1"/>
  <c r="M323" i="11"/>
  <c r="I326" i="11"/>
  <c r="E323" i="11"/>
  <c r="E326" i="11" s="1"/>
  <c r="T317" i="11"/>
  <c r="L314" i="11"/>
  <c r="Q317" i="11"/>
  <c r="P317" i="11"/>
  <c r="O317" i="11"/>
  <c r="N314" i="11"/>
  <c r="N317" i="11" s="1"/>
  <c r="J317" i="11"/>
  <c r="T308" i="11"/>
  <c r="L305" i="11"/>
  <c r="L308" i="11" s="1"/>
  <c r="S305" i="11"/>
  <c r="S308" i="11" s="1"/>
  <c r="Q308" i="11"/>
  <c r="P308" i="11"/>
  <c r="O308" i="11"/>
  <c r="J308" i="11"/>
  <c r="Q299" i="11"/>
  <c r="T299" i="11"/>
  <c r="U296" i="11"/>
  <c r="U299" i="11" s="1"/>
  <c r="L296" i="11"/>
  <c r="P299" i="11"/>
  <c r="O299" i="11"/>
  <c r="N296" i="11"/>
  <c r="M296" i="11"/>
  <c r="M299" i="11" s="1"/>
  <c r="J299" i="11"/>
  <c r="T290" i="11"/>
  <c r="L287" i="11"/>
  <c r="L290" i="11" s="1"/>
  <c r="F287" i="11"/>
  <c r="F290" i="11" s="1"/>
  <c r="S287" i="11"/>
  <c r="N287" i="11"/>
  <c r="N290" i="11" s="1"/>
  <c r="Q290" i="11"/>
  <c r="P290" i="11"/>
  <c r="O290" i="11"/>
  <c r="M287" i="11"/>
  <c r="J290" i="11"/>
  <c r="T281" i="11"/>
  <c r="L278" i="11"/>
  <c r="I281" i="11"/>
  <c r="E278" i="11"/>
  <c r="S278" i="11"/>
  <c r="S281" i="11" s="1"/>
  <c r="K281" i="11"/>
  <c r="Q281" i="11"/>
  <c r="P281" i="11"/>
  <c r="O281" i="11"/>
  <c r="J281" i="11"/>
  <c r="H281" i="11"/>
  <c r="F278" i="11"/>
  <c r="F281" i="11" s="1"/>
  <c r="T272" i="11"/>
  <c r="H272" i="11"/>
  <c r="L269" i="11"/>
  <c r="S269" i="11"/>
  <c r="S272" i="11" s="1"/>
  <c r="F269" i="11"/>
  <c r="F272" i="11" s="1"/>
  <c r="U269" i="11"/>
  <c r="U272" i="11" s="1"/>
  <c r="Q272" i="11"/>
  <c r="P272" i="11"/>
  <c r="O272" i="11"/>
  <c r="N269" i="11"/>
  <c r="N272" i="11" s="1"/>
  <c r="J272" i="11"/>
  <c r="I272" i="11"/>
  <c r="E269" i="11"/>
  <c r="E272" i="11" s="1"/>
  <c r="T263" i="11"/>
  <c r="L260" i="11"/>
  <c r="U260" i="11"/>
  <c r="Q263" i="11"/>
  <c r="P263" i="11"/>
  <c r="O263" i="11"/>
  <c r="J263" i="11"/>
  <c r="I263" i="11"/>
  <c r="F260" i="11"/>
  <c r="J254" i="11"/>
  <c r="T254" i="11"/>
  <c r="L251" i="11"/>
  <c r="F251" i="11"/>
  <c r="F254" i="11" s="1"/>
  <c r="S251" i="11"/>
  <c r="Q254" i="11"/>
  <c r="P254" i="11"/>
  <c r="O254" i="11"/>
  <c r="M251" i="11"/>
  <c r="M254" i="11" s="1"/>
  <c r="K254" i="11"/>
  <c r="G251" i="11"/>
  <c r="G254" i="11" s="1"/>
  <c r="T245" i="11"/>
  <c r="L242" i="11"/>
  <c r="U242" i="11"/>
  <c r="S242" i="11"/>
  <c r="S245" i="11" s="1"/>
  <c r="Q245" i="11"/>
  <c r="P245" i="11"/>
  <c r="O245" i="11"/>
  <c r="J245" i="11"/>
  <c r="G242" i="11"/>
  <c r="G245" i="11" s="1"/>
  <c r="F242" i="11"/>
  <c r="J236" i="11"/>
  <c r="T236" i="11"/>
  <c r="L233" i="11"/>
  <c r="L236" i="11" s="1"/>
  <c r="S233" i="11"/>
  <c r="S236" i="11" s="1"/>
  <c r="Q236" i="11"/>
  <c r="P236" i="11"/>
  <c r="O236" i="11"/>
  <c r="N233" i="11"/>
  <c r="N236" i="11" s="1"/>
  <c r="I236" i="11"/>
  <c r="H236" i="11"/>
  <c r="E233" i="11"/>
  <c r="T227" i="11"/>
  <c r="U224" i="11"/>
  <c r="U227" i="11" s="1"/>
  <c r="L224" i="11"/>
  <c r="Q227" i="11"/>
  <c r="P227" i="11"/>
  <c r="O227" i="11"/>
  <c r="M224" i="11"/>
  <c r="J227" i="11"/>
  <c r="H227" i="11"/>
  <c r="J218" i="11"/>
  <c r="T218" i="11"/>
  <c r="L215" i="11"/>
  <c r="U215" i="11"/>
  <c r="U218" i="11" s="1"/>
  <c r="Q218" i="11"/>
  <c r="P218" i="11"/>
  <c r="O218" i="11"/>
  <c r="M215" i="11"/>
  <c r="M218" i="11" s="1"/>
  <c r="H218" i="11"/>
  <c r="T209" i="11"/>
  <c r="L206" i="11"/>
  <c r="E206" i="11"/>
  <c r="E209" i="11" s="1"/>
  <c r="S206" i="11"/>
  <c r="Q209" i="11"/>
  <c r="P209" i="11"/>
  <c r="O209" i="11"/>
  <c r="J209" i="11"/>
  <c r="H209" i="11"/>
  <c r="T200" i="11"/>
  <c r="L197" i="11"/>
  <c r="L200" i="11" s="1"/>
  <c r="U197" i="11"/>
  <c r="S197" i="11"/>
  <c r="S200" i="11" s="1"/>
  <c r="Q200" i="11"/>
  <c r="P200" i="11"/>
  <c r="O200" i="11"/>
  <c r="K200" i="11"/>
  <c r="J200" i="11"/>
  <c r="I200" i="11"/>
  <c r="H200" i="11"/>
  <c r="G197" i="11"/>
  <c r="G200" i="11" s="1"/>
  <c r="T191" i="11"/>
  <c r="L188" i="11"/>
  <c r="L191" i="11" s="1"/>
  <c r="U188" i="11"/>
  <c r="U191" i="11" s="1"/>
  <c r="G188" i="11"/>
  <c r="G191" i="11" s="1"/>
  <c r="S188" i="11"/>
  <c r="S191" i="11" s="1"/>
  <c r="Q191" i="11"/>
  <c r="P191" i="11"/>
  <c r="O191" i="11"/>
  <c r="J191" i="11"/>
  <c r="H191" i="11"/>
  <c r="T182" i="11"/>
  <c r="L179" i="11"/>
  <c r="F179" i="11"/>
  <c r="F182" i="11" s="1"/>
  <c r="U179" i="11"/>
  <c r="Q182" i="11"/>
  <c r="P182" i="11"/>
  <c r="O182" i="11"/>
  <c r="N179" i="11"/>
  <c r="N182" i="11" s="1"/>
  <c r="M179" i="11"/>
  <c r="M182" i="11" s="1"/>
  <c r="J182" i="11"/>
  <c r="I182" i="11"/>
  <c r="H182" i="11"/>
  <c r="E179" i="11"/>
  <c r="E182" i="11" s="1"/>
  <c r="T173" i="11"/>
  <c r="L170" i="11"/>
  <c r="E170" i="11"/>
  <c r="E173" i="11" s="1"/>
  <c r="U170" i="11"/>
  <c r="U173" i="11" s="1"/>
  <c r="S170" i="11"/>
  <c r="Q173" i="11"/>
  <c r="P173" i="11"/>
  <c r="O173" i="11"/>
  <c r="M170" i="11"/>
  <c r="M173" i="11" s="1"/>
  <c r="K173" i="11"/>
  <c r="J173" i="11"/>
  <c r="H173" i="11"/>
  <c r="G170" i="11"/>
  <c r="J164" i="11"/>
  <c r="T164" i="11"/>
  <c r="U161" i="11"/>
  <c r="U164" i="11" s="1"/>
  <c r="L161" i="11"/>
  <c r="S161" i="11"/>
  <c r="S164" i="11" s="1"/>
  <c r="F161" i="11"/>
  <c r="F164" i="11" s="1"/>
  <c r="Q164" i="11"/>
  <c r="P164" i="11"/>
  <c r="O164" i="11"/>
  <c r="N161" i="11"/>
  <c r="N164" i="11" s="1"/>
  <c r="M161" i="11"/>
  <c r="M164" i="11" s="1"/>
  <c r="I164" i="11"/>
  <c r="H164" i="11"/>
  <c r="E161" i="11"/>
  <c r="E164" i="11" s="1"/>
  <c r="T155" i="11"/>
  <c r="L152" i="11"/>
  <c r="S152" i="11"/>
  <c r="Q155" i="11"/>
  <c r="P155" i="11"/>
  <c r="O155" i="11"/>
  <c r="M152" i="11"/>
  <c r="M155" i="11" s="1"/>
  <c r="J155" i="11"/>
  <c r="H155" i="11"/>
  <c r="T146" i="11"/>
  <c r="L143" i="11"/>
  <c r="L146" i="11" s="1"/>
  <c r="S143" i="11"/>
  <c r="S146" i="11" s="1"/>
  <c r="Q146" i="11"/>
  <c r="P146" i="11"/>
  <c r="O146" i="11"/>
  <c r="N143" i="11"/>
  <c r="J146" i="11"/>
  <c r="I146" i="11"/>
  <c r="F143" i="11"/>
  <c r="F146" i="11" s="1"/>
  <c r="E143" i="11"/>
  <c r="E146" i="11" s="1"/>
  <c r="T137" i="11"/>
  <c r="L134" i="11"/>
  <c r="L137" i="11" s="1"/>
  <c r="I137" i="11"/>
  <c r="E134" i="11"/>
  <c r="E137" i="11" s="1"/>
  <c r="U134" i="11"/>
  <c r="U137" i="11" s="1"/>
  <c r="S134" i="11"/>
  <c r="S137" i="11" s="1"/>
  <c r="Q137" i="11"/>
  <c r="P137" i="11"/>
  <c r="O137" i="11"/>
  <c r="M134" i="11"/>
  <c r="M137" i="11" s="1"/>
  <c r="K137" i="11"/>
  <c r="J137" i="11"/>
  <c r="H137" i="11"/>
  <c r="G134" i="11"/>
  <c r="G137" i="11" s="1"/>
  <c r="J128" i="11"/>
  <c r="T128" i="11"/>
  <c r="L125" i="11"/>
  <c r="U125" i="11"/>
  <c r="U128" i="11" s="1"/>
  <c r="S125" i="11"/>
  <c r="Q128" i="11"/>
  <c r="P128" i="11"/>
  <c r="O128" i="11"/>
  <c r="K128" i="11"/>
  <c r="G125" i="11"/>
  <c r="G128" i="11" s="1"/>
  <c r="T119" i="11"/>
  <c r="L116" i="11"/>
  <c r="U116" i="11"/>
  <c r="U119" i="11" s="1"/>
  <c r="S116" i="11"/>
  <c r="Q119" i="11"/>
  <c r="P119" i="11"/>
  <c r="O119" i="11"/>
  <c r="J119" i="11"/>
  <c r="I119" i="11"/>
  <c r="F116" i="11"/>
  <c r="T110" i="11"/>
  <c r="L107" i="11"/>
  <c r="L110" i="11" s="1"/>
  <c r="H110" i="11"/>
  <c r="U107" i="11"/>
  <c r="S107" i="11"/>
  <c r="S110" i="11" s="1"/>
  <c r="Q110" i="11"/>
  <c r="P110" i="11"/>
  <c r="O110" i="11"/>
  <c r="N107" i="11"/>
  <c r="N110" i="11" s="1"/>
  <c r="J110" i="11"/>
  <c r="I110" i="11"/>
  <c r="E107" i="11"/>
  <c r="E110" i="11" s="1"/>
  <c r="T101" i="11"/>
  <c r="L98" i="11"/>
  <c r="L101" i="11" s="1"/>
  <c r="S98" i="11"/>
  <c r="S101" i="11" s="1"/>
  <c r="U98" i="11"/>
  <c r="U101" i="11" s="1"/>
  <c r="Q101" i="11"/>
  <c r="P101" i="11"/>
  <c r="O101" i="11"/>
  <c r="K101" i="11"/>
  <c r="J101" i="11"/>
  <c r="G98" i="11"/>
  <c r="G101" i="11" s="1"/>
  <c r="T92" i="11"/>
  <c r="L89" i="11"/>
  <c r="L92" i="11" s="1"/>
  <c r="F89" i="11"/>
  <c r="F92" i="11" s="1"/>
  <c r="U89" i="11"/>
  <c r="U92" i="11" s="1"/>
  <c r="Q92" i="11"/>
  <c r="P92" i="11"/>
  <c r="O92" i="11"/>
  <c r="K92" i="11"/>
  <c r="J92" i="11"/>
  <c r="I92" i="11"/>
  <c r="G89" i="11"/>
  <c r="G92" i="11" s="1"/>
  <c r="T83" i="11"/>
  <c r="L80" i="11"/>
  <c r="L83" i="11" s="1"/>
  <c r="G80" i="11"/>
  <c r="G83" i="11" s="1"/>
  <c r="S80" i="11"/>
  <c r="S83" i="11" s="1"/>
  <c r="K83" i="11"/>
  <c r="Q83" i="11"/>
  <c r="P83" i="11"/>
  <c r="O83" i="11"/>
  <c r="J83" i="11"/>
  <c r="H83" i="11"/>
  <c r="F80" i="11"/>
  <c r="F83" i="11" s="1"/>
  <c r="T74" i="11"/>
  <c r="L71" i="11"/>
  <c r="L74" i="11" s="1"/>
  <c r="S71" i="11"/>
  <c r="S74" i="11" s="1"/>
  <c r="Q74" i="11"/>
  <c r="P74" i="11"/>
  <c r="O74" i="11"/>
  <c r="M71" i="11"/>
  <c r="M74" i="11" s="1"/>
  <c r="J74" i="11"/>
  <c r="T65" i="11"/>
  <c r="L62" i="11"/>
  <c r="L65" i="11" s="1"/>
  <c r="U62" i="11"/>
  <c r="U65" i="11" s="1"/>
  <c r="I65" i="11"/>
  <c r="E62" i="11"/>
  <c r="E65" i="11" s="1"/>
  <c r="S62" i="11"/>
  <c r="S65" i="11" s="1"/>
  <c r="Q65" i="11"/>
  <c r="P65" i="11"/>
  <c r="O65" i="11"/>
  <c r="J65" i="11"/>
  <c r="H65" i="11"/>
  <c r="F62" i="11"/>
  <c r="F65" i="11" s="1"/>
  <c r="T56" i="11"/>
  <c r="L53" i="11"/>
  <c r="L56" i="11" s="1"/>
  <c r="U53" i="11"/>
  <c r="U56" i="11" s="1"/>
  <c r="S53" i="11"/>
  <c r="S56" i="11" s="1"/>
  <c r="Q56" i="11"/>
  <c r="P56" i="11"/>
  <c r="O56" i="11"/>
  <c r="J56" i="11"/>
  <c r="H56" i="11"/>
  <c r="T47" i="11"/>
  <c r="L44" i="11"/>
  <c r="U44" i="11"/>
  <c r="U47" i="11" s="1"/>
  <c r="Q47" i="11"/>
  <c r="P47" i="11"/>
  <c r="O47" i="11"/>
  <c r="N44" i="11"/>
  <c r="N47" i="11" s="1"/>
  <c r="J47" i="11"/>
  <c r="I47" i="11"/>
  <c r="E44" i="11"/>
  <c r="E47" i="11" s="1"/>
  <c r="T38" i="11"/>
  <c r="L35" i="11"/>
  <c r="L38" i="11" s="1"/>
  <c r="H38" i="11"/>
  <c r="U35" i="11"/>
  <c r="U38" i="11" s="1"/>
  <c r="S35" i="11"/>
  <c r="S38" i="11" s="1"/>
  <c r="Q38" i="11"/>
  <c r="P38" i="11"/>
  <c r="O38" i="11"/>
  <c r="K38" i="11"/>
  <c r="J38" i="11"/>
  <c r="I38" i="11"/>
  <c r="G35" i="11"/>
  <c r="G38" i="11" s="1"/>
  <c r="T29" i="11"/>
  <c r="L26" i="11"/>
  <c r="L29" i="11" s="1"/>
  <c r="S26" i="11"/>
  <c r="S29" i="11" s="1"/>
  <c r="U26" i="11"/>
  <c r="U29" i="11" s="1"/>
  <c r="Q29" i="11"/>
  <c r="P29" i="11"/>
  <c r="O29" i="11"/>
  <c r="N26" i="11"/>
  <c r="N29" i="11" s="1"/>
  <c r="J29" i="11"/>
  <c r="J20" i="11"/>
  <c r="T20" i="11"/>
  <c r="L17" i="11"/>
  <c r="F17" i="11"/>
  <c r="F20" i="11" s="1"/>
  <c r="U17" i="11"/>
  <c r="U20" i="11" s="1"/>
  <c r="Q20" i="11"/>
  <c r="P20" i="11"/>
  <c r="O20" i="11"/>
  <c r="N17" i="11"/>
  <c r="N20" i="11" s="1"/>
  <c r="I20" i="11"/>
  <c r="E17" i="11"/>
  <c r="E20" i="11" s="1"/>
  <c r="U469" i="3"/>
  <c r="S469" i="3"/>
  <c r="R469" i="3"/>
  <c r="N469" i="3"/>
  <c r="M469" i="3"/>
  <c r="L469" i="3"/>
  <c r="G469" i="3"/>
  <c r="F469" i="3"/>
  <c r="E469" i="3"/>
  <c r="U468" i="3"/>
  <c r="T468" i="3"/>
  <c r="S468" i="3"/>
  <c r="N468" i="3"/>
  <c r="M468" i="3"/>
  <c r="L468" i="3"/>
  <c r="G468" i="3"/>
  <c r="F468" i="3"/>
  <c r="E468" i="3"/>
  <c r="U466" i="3"/>
  <c r="S466" i="3"/>
  <c r="N466" i="3"/>
  <c r="M466" i="3"/>
  <c r="L466" i="3"/>
  <c r="G466" i="3"/>
  <c r="F466" i="3"/>
  <c r="E466" i="3"/>
  <c r="U465" i="3"/>
  <c r="S465" i="3"/>
  <c r="N465" i="3"/>
  <c r="M465" i="3"/>
  <c r="K465" i="3"/>
  <c r="I465" i="3"/>
  <c r="H465" i="3"/>
  <c r="G465" i="3"/>
  <c r="F465" i="3"/>
  <c r="E465" i="3"/>
  <c r="U464" i="3"/>
  <c r="S464" i="3"/>
  <c r="N464" i="3"/>
  <c r="M464" i="3"/>
  <c r="K464" i="3"/>
  <c r="I464" i="3"/>
  <c r="H464" i="3"/>
  <c r="G464" i="3"/>
  <c r="F464" i="3"/>
  <c r="E464" i="3"/>
  <c r="Q463" i="3"/>
  <c r="P463" i="3"/>
  <c r="O463" i="3"/>
  <c r="N463" i="3"/>
  <c r="M463" i="3"/>
  <c r="K463" i="3"/>
  <c r="J463" i="3"/>
  <c r="I463" i="3"/>
  <c r="H463" i="3"/>
  <c r="G463" i="3"/>
  <c r="F463" i="3"/>
  <c r="E463" i="3"/>
  <c r="Q462" i="3"/>
  <c r="P462" i="3"/>
  <c r="O462" i="3"/>
  <c r="N462" i="3"/>
  <c r="M462" i="3"/>
  <c r="K462" i="3"/>
  <c r="J462" i="3"/>
  <c r="I462" i="3"/>
  <c r="H462" i="3"/>
  <c r="G462" i="3"/>
  <c r="F462" i="3"/>
  <c r="E462" i="3"/>
  <c r="U460" i="3"/>
  <c r="S460" i="3"/>
  <c r="R460" i="3"/>
  <c r="N460" i="3"/>
  <c r="M460" i="3"/>
  <c r="L460" i="3"/>
  <c r="G460" i="3"/>
  <c r="F460" i="3"/>
  <c r="E460" i="3"/>
  <c r="U459" i="3"/>
  <c r="T459" i="3"/>
  <c r="S459" i="3"/>
  <c r="N459" i="3"/>
  <c r="M459" i="3"/>
  <c r="L459" i="3"/>
  <c r="G459" i="3"/>
  <c r="F459" i="3"/>
  <c r="E459" i="3"/>
  <c r="U457" i="3"/>
  <c r="S457" i="3"/>
  <c r="N457" i="3"/>
  <c r="M457" i="3"/>
  <c r="L457" i="3"/>
  <c r="G457" i="3"/>
  <c r="F457" i="3"/>
  <c r="E457" i="3"/>
  <c r="U456" i="3"/>
  <c r="S456" i="3"/>
  <c r="N456" i="3"/>
  <c r="M456" i="3"/>
  <c r="K456" i="3"/>
  <c r="I456" i="3"/>
  <c r="H456" i="3"/>
  <c r="G456" i="3"/>
  <c r="F456" i="3"/>
  <c r="E456" i="3"/>
  <c r="U455" i="3"/>
  <c r="S455" i="3"/>
  <c r="N455" i="3"/>
  <c r="M455" i="3"/>
  <c r="K455" i="3"/>
  <c r="I455" i="3"/>
  <c r="H455" i="3"/>
  <c r="G455" i="3"/>
  <c r="F455" i="3"/>
  <c r="E455" i="3"/>
  <c r="Q454" i="3"/>
  <c r="P454" i="3"/>
  <c r="O454" i="3"/>
  <c r="N454" i="3"/>
  <c r="M454" i="3"/>
  <c r="K454" i="3"/>
  <c r="J454" i="3"/>
  <c r="I454" i="3"/>
  <c r="H454" i="3"/>
  <c r="G454" i="3"/>
  <c r="F454" i="3"/>
  <c r="E454" i="3"/>
  <c r="Q453" i="3"/>
  <c r="P453" i="3"/>
  <c r="O453" i="3"/>
  <c r="N453" i="3"/>
  <c r="M453" i="3"/>
  <c r="K453" i="3"/>
  <c r="J453" i="3"/>
  <c r="I453" i="3"/>
  <c r="H453" i="3"/>
  <c r="G453" i="3"/>
  <c r="F453" i="3"/>
  <c r="E453" i="3"/>
  <c r="U451" i="3"/>
  <c r="S451" i="3"/>
  <c r="R451" i="3"/>
  <c r="N451" i="3"/>
  <c r="M451" i="3"/>
  <c r="L451" i="3"/>
  <c r="G451" i="3"/>
  <c r="F451" i="3"/>
  <c r="E451" i="3"/>
  <c r="U450" i="3"/>
  <c r="T450" i="3"/>
  <c r="S450" i="3"/>
  <c r="N450" i="3"/>
  <c r="M450" i="3"/>
  <c r="L450" i="3"/>
  <c r="G450" i="3"/>
  <c r="F450" i="3"/>
  <c r="E450" i="3"/>
  <c r="U448" i="3"/>
  <c r="S448" i="3"/>
  <c r="N448" i="3"/>
  <c r="M448" i="3"/>
  <c r="L448" i="3"/>
  <c r="G448" i="3"/>
  <c r="F448" i="3"/>
  <c r="E448" i="3"/>
  <c r="U447" i="3"/>
  <c r="S447" i="3"/>
  <c r="N447" i="3"/>
  <c r="M447" i="3"/>
  <c r="K447" i="3"/>
  <c r="I447" i="3"/>
  <c r="H447" i="3"/>
  <c r="G447" i="3"/>
  <c r="F447" i="3"/>
  <c r="E447" i="3"/>
  <c r="U446" i="3"/>
  <c r="S446" i="3"/>
  <c r="N446" i="3"/>
  <c r="M446" i="3"/>
  <c r="K446" i="3"/>
  <c r="I446" i="3"/>
  <c r="H446" i="3"/>
  <c r="G446" i="3"/>
  <c r="F446" i="3"/>
  <c r="E446" i="3"/>
  <c r="Q445" i="3"/>
  <c r="P445" i="3"/>
  <c r="O445" i="3"/>
  <c r="N445" i="3"/>
  <c r="M445" i="3"/>
  <c r="K445" i="3"/>
  <c r="J445" i="3"/>
  <c r="I445" i="3"/>
  <c r="H445" i="3"/>
  <c r="G445" i="3"/>
  <c r="F445" i="3"/>
  <c r="E445" i="3"/>
  <c r="Q444" i="3"/>
  <c r="P444" i="3"/>
  <c r="O444" i="3"/>
  <c r="N444" i="3"/>
  <c r="M444" i="3"/>
  <c r="K444" i="3"/>
  <c r="J444" i="3"/>
  <c r="I444" i="3"/>
  <c r="H444" i="3"/>
  <c r="G444" i="3"/>
  <c r="F444" i="3"/>
  <c r="E444" i="3"/>
  <c r="U442" i="3"/>
  <c r="S442" i="3"/>
  <c r="R442" i="3"/>
  <c r="N442" i="3"/>
  <c r="M442" i="3"/>
  <c r="L442" i="3"/>
  <c r="G442" i="3"/>
  <c r="F442" i="3"/>
  <c r="E442" i="3"/>
  <c r="U441" i="3"/>
  <c r="T441" i="3"/>
  <c r="S441" i="3"/>
  <c r="N441" i="3"/>
  <c r="M441" i="3"/>
  <c r="L441" i="3"/>
  <c r="G441" i="3"/>
  <c r="F441" i="3"/>
  <c r="E441" i="3"/>
  <c r="U439" i="3"/>
  <c r="S439" i="3"/>
  <c r="N439" i="3"/>
  <c r="M439" i="3"/>
  <c r="L439" i="3"/>
  <c r="G439" i="3"/>
  <c r="F439" i="3"/>
  <c r="E439" i="3"/>
  <c r="U438" i="3"/>
  <c r="S438" i="3"/>
  <c r="N438" i="3"/>
  <c r="M438" i="3"/>
  <c r="K438" i="3"/>
  <c r="I438" i="3"/>
  <c r="H438" i="3"/>
  <c r="G438" i="3"/>
  <c r="F438" i="3"/>
  <c r="E438" i="3"/>
  <c r="U437" i="3"/>
  <c r="S437" i="3"/>
  <c r="N437" i="3"/>
  <c r="M437" i="3"/>
  <c r="K437" i="3"/>
  <c r="I437" i="3"/>
  <c r="H437" i="3"/>
  <c r="G437" i="3"/>
  <c r="F437" i="3"/>
  <c r="E437" i="3"/>
  <c r="Q436" i="3"/>
  <c r="P436" i="3"/>
  <c r="O436" i="3"/>
  <c r="N436" i="3"/>
  <c r="M436" i="3"/>
  <c r="K436" i="3"/>
  <c r="J436" i="3"/>
  <c r="I436" i="3"/>
  <c r="H436" i="3"/>
  <c r="G436" i="3"/>
  <c r="F436" i="3"/>
  <c r="E436" i="3"/>
  <c r="Q435" i="3"/>
  <c r="P435" i="3"/>
  <c r="O435" i="3"/>
  <c r="N435" i="3"/>
  <c r="M435" i="3"/>
  <c r="K435" i="3"/>
  <c r="J435" i="3"/>
  <c r="I435" i="3"/>
  <c r="H435" i="3"/>
  <c r="G435" i="3"/>
  <c r="F435" i="3"/>
  <c r="E435" i="3"/>
  <c r="U430" i="3"/>
  <c r="S430" i="3"/>
  <c r="N430" i="3"/>
  <c r="M430" i="3"/>
  <c r="L430" i="3"/>
  <c r="G430" i="3"/>
  <c r="F430" i="3"/>
  <c r="E430" i="3"/>
  <c r="U429" i="3"/>
  <c r="S429" i="3"/>
  <c r="N429" i="3"/>
  <c r="M429" i="3"/>
  <c r="K429" i="3"/>
  <c r="I429" i="3"/>
  <c r="H429" i="3"/>
  <c r="G429" i="3"/>
  <c r="F429" i="3"/>
  <c r="E429" i="3"/>
  <c r="U428" i="3"/>
  <c r="S428" i="3"/>
  <c r="N428" i="3"/>
  <c r="M428" i="3"/>
  <c r="K428" i="3"/>
  <c r="I428" i="3"/>
  <c r="H428" i="3"/>
  <c r="G428" i="3"/>
  <c r="F428" i="3"/>
  <c r="E428" i="3"/>
  <c r="Q427" i="3"/>
  <c r="P427" i="3"/>
  <c r="O427" i="3"/>
  <c r="N427" i="3"/>
  <c r="M427" i="3"/>
  <c r="K427" i="3"/>
  <c r="J427" i="3"/>
  <c r="I427" i="3"/>
  <c r="H427" i="3"/>
  <c r="G427" i="3"/>
  <c r="F427" i="3"/>
  <c r="E427" i="3"/>
  <c r="Q426" i="3"/>
  <c r="P426" i="3"/>
  <c r="O426" i="3"/>
  <c r="N426" i="3"/>
  <c r="M426" i="3"/>
  <c r="K426" i="3"/>
  <c r="J426" i="3"/>
  <c r="I426" i="3"/>
  <c r="H426" i="3"/>
  <c r="G426" i="3"/>
  <c r="F426" i="3"/>
  <c r="E426" i="3"/>
  <c r="U424" i="3"/>
  <c r="S424" i="3"/>
  <c r="R424" i="3"/>
  <c r="N424" i="3"/>
  <c r="M424" i="3"/>
  <c r="L424" i="3"/>
  <c r="G424" i="3"/>
  <c r="F424" i="3"/>
  <c r="E424" i="3"/>
  <c r="U423" i="3"/>
  <c r="T423" i="3"/>
  <c r="S423" i="3"/>
  <c r="N423" i="3"/>
  <c r="M423" i="3"/>
  <c r="L423" i="3"/>
  <c r="G423" i="3"/>
  <c r="F423" i="3"/>
  <c r="E423" i="3"/>
  <c r="U421" i="3"/>
  <c r="S421" i="3"/>
  <c r="N421" i="3"/>
  <c r="M421" i="3"/>
  <c r="L421" i="3"/>
  <c r="G421" i="3"/>
  <c r="F421" i="3"/>
  <c r="E421" i="3"/>
  <c r="U420" i="3"/>
  <c r="S420" i="3"/>
  <c r="N420" i="3"/>
  <c r="M420" i="3"/>
  <c r="K420" i="3"/>
  <c r="I420" i="3"/>
  <c r="H420" i="3"/>
  <c r="G420" i="3"/>
  <c r="F420" i="3"/>
  <c r="E420" i="3"/>
  <c r="U419" i="3"/>
  <c r="S419" i="3"/>
  <c r="N419" i="3"/>
  <c r="M419" i="3"/>
  <c r="K419" i="3"/>
  <c r="I419" i="3"/>
  <c r="H419" i="3"/>
  <c r="G419" i="3"/>
  <c r="F419" i="3"/>
  <c r="E419" i="3"/>
  <c r="Q418" i="3"/>
  <c r="P418" i="3"/>
  <c r="O418" i="3"/>
  <c r="N418" i="3"/>
  <c r="M418" i="3"/>
  <c r="K418" i="3"/>
  <c r="J418" i="3"/>
  <c r="I418" i="3"/>
  <c r="H418" i="3"/>
  <c r="G418" i="3"/>
  <c r="F418" i="3"/>
  <c r="E418" i="3"/>
  <c r="Q417" i="3"/>
  <c r="P417" i="3"/>
  <c r="O417" i="3"/>
  <c r="N417" i="3"/>
  <c r="M417" i="3"/>
  <c r="K417" i="3"/>
  <c r="J417" i="3"/>
  <c r="I417" i="3"/>
  <c r="H417" i="3"/>
  <c r="G417" i="3"/>
  <c r="F417" i="3"/>
  <c r="E417" i="3"/>
  <c r="U415" i="3"/>
  <c r="S415" i="3"/>
  <c r="R415" i="3"/>
  <c r="N415" i="3"/>
  <c r="M415" i="3"/>
  <c r="L415" i="3"/>
  <c r="G415" i="3"/>
  <c r="F415" i="3"/>
  <c r="E415" i="3"/>
  <c r="U414" i="3"/>
  <c r="T414" i="3"/>
  <c r="S414" i="3"/>
  <c r="N414" i="3"/>
  <c r="M414" i="3"/>
  <c r="L414" i="3"/>
  <c r="G414" i="3"/>
  <c r="F414" i="3"/>
  <c r="E414" i="3"/>
  <c r="U412" i="3"/>
  <c r="S412" i="3"/>
  <c r="N412" i="3"/>
  <c r="M412" i="3"/>
  <c r="L412" i="3"/>
  <c r="G412" i="3"/>
  <c r="F412" i="3"/>
  <c r="E412" i="3"/>
  <c r="U411" i="3"/>
  <c r="S411" i="3"/>
  <c r="N411" i="3"/>
  <c r="M411" i="3"/>
  <c r="K411" i="3"/>
  <c r="I411" i="3"/>
  <c r="H411" i="3"/>
  <c r="G411" i="3"/>
  <c r="F411" i="3"/>
  <c r="E411" i="3"/>
  <c r="U410" i="3"/>
  <c r="S410" i="3"/>
  <c r="N410" i="3"/>
  <c r="M410" i="3"/>
  <c r="K410" i="3"/>
  <c r="I410" i="3"/>
  <c r="H410" i="3"/>
  <c r="G410" i="3"/>
  <c r="F410" i="3"/>
  <c r="E410" i="3"/>
  <c r="Q409" i="3"/>
  <c r="P409" i="3"/>
  <c r="O409" i="3"/>
  <c r="N409" i="3"/>
  <c r="M409" i="3"/>
  <c r="K409" i="3"/>
  <c r="J409" i="3"/>
  <c r="I409" i="3"/>
  <c r="H409" i="3"/>
  <c r="G409" i="3"/>
  <c r="F409" i="3"/>
  <c r="E409" i="3"/>
  <c r="Q408" i="3"/>
  <c r="P408" i="3"/>
  <c r="O408" i="3"/>
  <c r="N408" i="3"/>
  <c r="M408" i="3"/>
  <c r="K408" i="3"/>
  <c r="J408" i="3"/>
  <c r="I408" i="3"/>
  <c r="H408" i="3"/>
  <c r="G408" i="3"/>
  <c r="F408" i="3"/>
  <c r="E408" i="3"/>
  <c r="U406" i="3"/>
  <c r="S406" i="3"/>
  <c r="R406" i="3"/>
  <c r="N406" i="3"/>
  <c r="M406" i="3"/>
  <c r="L406" i="3"/>
  <c r="G406" i="3"/>
  <c r="F406" i="3"/>
  <c r="E406" i="3"/>
  <c r="U405" i="3"/>
  <c r="T405" i="3"/>
  <c r="S405" i="3"/>
  <c r="N405" i="3"/>
  <c r="M405" i="3"/>
  <c r="L405" i="3"/>
  <c r="G405" i="3"/>
  <c r="F405" i="3"/>
  <c r="E405" i="3"/>
  <c r="U403" i="3"/>
  <c r="S403" i="3"/>
  <c r="N403" i="3"/>
  <c r="M403" i="3"/>
  <c r="L403" i="3"/>
  <c r="G403" i="3"/>
  <c r="F403" i="3"/>
  <c r="E403" i="3"/>
  <c r="U402" i="3"/>
  <c r="S402" i="3"/>
  <c r="N402" i="3"/>
  <c r="M402" i="3"/>
  <c r="K402" i="3"/>
  <c r="I402" i="3"/>
  <c r="H402" i="3"/>
  <c r="G402" i="3"/>
  <c r="F402" i="3"/>
  <c r="E402" i="3"/>
  <c r="U401" i="3"/>
  <c r="S401" i="3"/>
  <c r="N401" i="3"/>
  <c r="M401" i="3"/>
  <c r="K401" i="3"/>
  <c r="I401" i="3"/>
  <c r="H401" i="3"/>
  <c r="G401" i="3"/>
  <c r="F401" i="3"/>
  <c r="E401" i="3"/>
  <c r="Q400" i="3"/>
  <c r="P400" i="3"/>
  <c r="O400" i="3"/>
  <c r="N400" i="3"/>
  <c r="M400" i="3"/>
  <c r="K400" i="3"/>
  <c r="J400" i="3"/>
  <c r="I400" i="3"/>
  <c r="H400" i="3"/>
  <c r="G400" i="3"/>
  <c r="F400" i="3"/>
  <c r="E400" i="3"/>
  <c r="Q399" i="3"/>
  <c r="P399" i="3"/>
  <c r="O399" i="3"/>
  <c r="N399" i="3"/>
  <c r="M399" i="3"/>
  <c r="K399" i="3"/>
  <c r="J399" i="3"/>
  <c r="I399" i="3"/>
  <c r="H399" i="3"/>
  <c r="G399" i="3"/>
  <c r="F399" i="3"/>
  <c r="E399" i="3"/>
  <c r="U397" i="3"/>
  <c r="S397" i="3"/>
  <c r="R397" i="3"/>
  <c r="N397" i="3"/>
  <c r="M397" i="3"/>
  <c r="L397" i="3"/>
  <c r="G397" i="3"/>
  <c r="F397" i="3"/>
  <c r="E397" i="3"/>
  <c r="U396" i="3"/>
  <c r="T396" i="3"/>
  <c r="S396" i="3"/>
  <c r="N396" i="3"/>
  <c r="M396" i="3"/>
  <c r="L396" i="3"/>
  <c r="G396" i="3"/>
  <c r="F396" i="3"/>
  <c r="E396" i="3"/>
  <c r="U394" i="3"/>
  <c r="S394" i="3"/>
  <c r="N394" i="3"/>
  <c r="M394" i="3"/>
  <c r="L394" i="3"/>
  <c r="G394" i="3"/>
  <c r="F394" i="3"/>
  <c r="E394" i="3"/>
  <c r="U393" i="3"/>
  <c r="S393" i="3"/>
  <c r="N393" i="3"/>
  <c r="M393" i="3"/>
  <c r="K393" i="3"/>
  <c r="I393" i="3"/>
  <c r="H393" i="3"/>
  <c r="G393" i="3"/>
  <c r="F393" i="3"/>
  <c r="E393" i="3"/>
  <c r="U392" i="3"/>
  <c r="S392" i="3"/>
  <c r="N392" i="3"/>
  <c r="M392" i="3"/>
  <c r="K392" i="3"/>
  <c r="I392" i="3"/>
  <c r="H392" i="3"/>
  <c r="G392" i="3"/>
  <c r="F392" i="3"/>
  <c r="E392" i="3"/>
  <c r="Q391" i="3"/>
  <c r="P391" i="3"/>
  <c r="O391" i="3"/>
  <c r="N391" i="3"/>
  <c r="M391" i="3"/>
  <c r="K391" i="3"/>
  <c r="J391" i="3"/>
  <c r="I391" i="3"/>
  <c r="H391" i="3"/>
  <c r="G391" i="3"/>
  <c r="F391" i="3"/>
  <c r="E391" i="3"/>
  <c r="Q390" i="3"/>
  <c r="P390" i="3"/>
  <c r="O390" i="3"/>
  <c r="N390" i="3"/>
  <c r="M390" i="3"/>
  <c r="K390" i="3"/>
  <c r="J390" i="3"/>
  <c r="I390" i="3"/>
  <c r="H390" i="3"/>
  <c r="G390" i="3"/>
  <c r="F390" i="3"/>
  <c r="E390" i="3"/>
  <c r="U388" i="3"/>
  <c r="S388" i="3"/>
  <c r="R388" i="3"/>
  <c r="N388" i="3"/>
  <c r="M388" i="3"/>
  <c r="L388" i="3"/>
  <c r="G388" i="3"/>
  <c r="F388" i="3"/>
  <c r="E388" i="3"/>
  <c r="U387" i="3"/>
  <c r="T387" i="3"/>
  <c r="S387" i="3"/>
  <c r="N387" i="3"/>
  <c r="M387" i="3"/>
  <c r="L387" i="3"/>
  <c r="G387" i="3"/>
  <c r="F387" i="3"/>
  <c r="E387" i="3"/>
  <c r="U385" i="3"/>
  <c r="S385" i="3"/>
  <c r="N385" i="3"/>
  <c r="M385" i="3"/>
  <c r="L385" i="3"/>
  <c r="G385" i="3"/>
  <c r="F385" i="3"/>
  <c r="E385" i="3"/>
  <c r="U384" i="3"/>
  <c r="S384" i="3"/>
  <c r="N384" i="3"/>
  <c r="M384" i="3"/>
  <c r="K384" i="3"/>
  <c r="I384" i="3"/>
  <c r="H384" i="3"/>
  <c r="G384" i="3"/>
  <c r="F384" i="3"/>
  <c r="E384" i="3"/>
  <c r="U383" i="3"/>
  <c r="S383" i="3"/>
  <c r="N383" i="3"/>
  <c r="M383" i="3"/>
  <c r="K383" i="3"/>
  <c r="I383" i="3"/>
  <c r="H383" i="3"/>
  <c r="G383" i="3"/>
  <c r="F383" i="3"/>
  <c r="E383" i="3"/>
  <c r="Q382" i="3"/>
  <c r="P382" i="3"/>
  <c r="O382" i="3"/>
  <c r="N382" i="3"/>
  <c r="M382" i="3"/>
  <c r="K382" i="3"/>
  <c r="J382" i="3"/>
  <c r="I382" i="3"/>
  <c r="H382" i="3"/>
  <c r="G382" i="3"/>
  <c r="F382" i="3"/>
  <c r="E382" i="3"/>
  <c r="Q381" i="3"/>
  <c r="P381" i="3"/>
  <c r="O381" i="3"/>
  <c r="N381" i="3"/>
  <c r="M381" i="3"/>
  <c r="K381" i="3"/>
  <c r="J381" i="3"/>
  <c r="I381" i="3"/>
  <c r="H381" i="3"/>
  <c r="G381" i="3"/>
  <c r="F381" i="3"/>
  <c r="E381" i="3"/>
  <c r="U379" i="3"/>
  <c r="S379" i="3"/>
  <c r="R379" i="3"/>
  <c r="N379" i="3"/>
  <c r="M379" i="3"/>
  <c r="L379" i="3"/>
  <c r="G379" i="3"/>
  <c r="F379" i="3"/>
  <c r="E379" i="3"/>
  <c r="U378" i="3"/>
  <c r="T378" i="3"/>
  <c r="S378" i="3"/>
  <c r="N378" i="3"/>
  <c r="M378" i="3"/>
  <c r="L378" i="3"/>
  <c r="G378" i="3"/>
  <c r="F378" i="3"/>
  <c r="E378" i="3"/>
  <c r="U376" i="3"/>
  <c r="S376" i="3"/>
  <c r="N376" i="3"/>
  <c r="M376" i="3"/>
  <c r="L376" i="3"/>
  <c r="G376" i="3"/>
  <c r="F376" i="3"/>
  <c r="E376" i="3"/>
  <c r="U375" i="3"/>
  <c r="S375" i="3"/>
  <c r="N375" i="3"/>
  <c r="M375" i="3"/>
  <c r="K375" i="3"/>
  <c r="I375" i="3"/>
  <c r="H375" i="3"/>
  <c r="G375" i="3"/>
  <c r="F375" i="3"/>
  <c r="E375" i="3"/>
  <c r="U374" i="3"/>
  <c r="S374" i="3"/>
  <c r="N374" i="3"/>
  <c r="M374" i="3"/>
  <c r="K374" i="3"/>
  <c r="I374" i="3"/>
  <c r="H374" i="3"/>
  <c r="G374" i="3"/>
  <c r="F374" i="3"/>
  <c r="E374" i="3"/>
  <c r="Q373" i="3"/>
  <c r="P373" i="3"/>
  <c r="O373" i="3"/>
  <c r="N373" i="3"/>
  <c r="M373" i="3"/>
  <c r="K373" i="3"/>
  <c r="J373" i="3"/>
  <c r="I373" i="3"/>
  <c r="H373" i="3"/>
  <c r="G373" i="3"/>
  <c r="F373" i="3"/>
  <c r="E373" i="3"/>
  <c r="Q372" i="3"/>
  <c r="P372" i="3"/>
  <c r="O372" i="3"/>
  <c r="N372" i="3"/>
  <c r="M372" i="3"/>
  <c r="K372" i="3"/>
  <c r="J372" i="3"/>
  <c r="I372" i="3"/>
  <c r="H372" i="3"/>
  <c r="G372" i="3"/>
  <c r="F372" i="3"/>
  <c r="E372" i="3"/>
  <c r="U370" i="3"/>
  <c r="S370" i="3"/>
  <c r="R370" i="3"/>
  <c r="N370" i="3"/>
  <c r="M370" i="3"/>
  <c r="L370" i="3"/>
  <c r="G370" i="3"/>
  <c r="F370" i="3"/>
  <c r="E370" i="3"/>
  <c r="U369" i="3"/>
  <c r="T369" i="3"/>
  <c r="S369" i="3"/>
  <c r="N369" i="3"/>
  <c r="M369" i="3"/>
  <c r="L369" i="3"/>
  <c r="G369" i="3"/>
  <c r="F369" i="3"/>
  <c r="E369" i="3"/>
  <c r="U367" i="3"/>
  <c r="S367" i="3"/>
  <c r="N367" i="3"/>
  <c r="M367" i="3"/>
  <c r="L367" i="3"/>
  <c r="G367" i="3"/>
  <c r="F367" i="3"/>
  <c r="E367" i="3"/>
  <c r="U366" i="3"/>
  <c r="S366" i="3"/>
  <c r="N366" i="3"/>
  <c r="M366" i="3"/>
  <c r="K366" i="3"/>
  <c r="I366" i="3"/>
  <c r="H366" i="3"/>
  <c r="G366" i="3"/>
  <c r="F366" i="3"/>
  <c r="E366" i="3"/>
  <c r="U365" i="3"/>
  <c r="S365" i="3"/>
  <c r="N365" i="3"/>
  <c r="M365" i="3"/>
  <c r="K365" i="3"/>
  <c r="I365" i="3"/>
  <c r="H365" i="3"/>
  <c r="G365" i="3"/>
  <c r="F365" i="3"/>
  <c r="E365" i="3"/>
  <c r="Q364" i="3"/>
  <c r="P364" i="3"/>
  <c r="O364" i="3"/>
  <c r="N364" i="3"/>
  <c r="M364" i="3"/>
  <c r="K364" i="3"/>
  <c r="J364" i="3"/>
  <c r="I364" i="3"/>
  <c r="H364" i="3"/>
  <c r="G364" i="3"/>
  <c r="F364" i="3"/>
  <c r="E364" i="3"/>
  <c r="Q363" i="3"/>
  <c r="P363" i="3"/>
  <c r="O363" i="3"/>
  <c r="N363" i="3"/>
  <c r="M363" i="3"/>
  <c r="K363" i="3"/>
  <c r="J363" i="3"/>
  <c r="I363" i="3"/>
  <c r="H363" i="3"/>
  <c r="G363" i="3"/>
  <c r="F363" i="3"/>
  <c r="E363" i="3"/>
  <c r="U361" i="3"/>
  <c r="S361" i="3"/>
  <c r="R361" i="3"/>
  <c r="N361" i="3"/>
  <c r="M361" i="3"/>
  <c r="L361" i="3"/>
  <c r="G361" i="3"/>
  <c r="F361" i="3"/>
  <c r="E361" i="3"/>
  <c r="U360" i="3"/>
  <c r="T360" i="3"/>
  <c r="S360" i="3"/>
  <c r="N360" i="3"/>
  <c r="M360" i="3"/>
  <c r="L360" i="3"/>
  <c r="G360" i="3"/>
  <c r="F360" i="3"/>
  <c r="E360" i="3"/>
  <c r="U358" i="3"/>
  <c r="S358" i="3"/>
  <c r="N358" i="3"/>
  <c r="M358" i="3"/>
  <c r="L358" i="3"/>
  <c r="G358" i="3"/>
  <c r="F358" i="3"/>
  <c r="E358" i="3"/>
  <c r="U357" i="3"/>
  <c r="S357" i="3"/>
  <c r="N357" i="3"/>
  <c r="M357" i="3"/>
  <c r="K357" i="3"/>
  <c r="I357" i="3"/>
  <c r="H357" i="3"/>
  <c r="G357" i="3"/>
  <c r="F357" i="3"/>
  <c r="E357" i="3"/>
  <c r="U356" i="3"/>
  <c r="S356" i="3"/>
  <c r="N356" i="3"/>
  <c r="M356" i="3"/>
  <c r="K356" i="3"/>
  <c r="I356" i="3"/>
  <c r="H356" i="3"/>
  <c r="G356" i="3"/>
  <c r="F356" i="3"/>
  <c r="E356" i="3"/>
  <c r="Q355" i="3"/>
  <c r="P355" i="3"/>
  <c r="O355" i="3"/>
  <c r="N355" i="3"/>
  <c r="M355" i="3"/>
  <c r="K355" i="3"/>
  <c r="J355" i="3"/>
  <c r="I355" i="3"/>
  <c r="H355" i="3"/>
  <c r="G355" i="3"/>
  <c r="F355" i="3"/>
  <c r="E355" i="3"/>
  <c r="Q354" i="3"/>
  <c r="P354" i="3"/>
  <c r="O354" i="3"/>
  <c r="N354" i="3"/>
  <c r="M354" i="3"/>
  <c r="K354" i="3"/>
  <c r="J354" i="3"/>
  <c r="I354" i="3"/>
  <c r="H354" i="3"/>
  <c r="G354" i="3"/>
  <c r="F354" i="3"/>
  <c r="E354" i="3"/>
  <c r="U352" i="3"/>
  <c r="S352" i="3"/>
  <c r="R352" i="3"/>
  <c r="N352" i="3"/>
  <c r="M352" i="3"/>
  <c r="L352" i="3"/>
  <c r="G352" i="3"/>
  <c r="F352" i="3"/>
  <c r="E352" i="3"/>
  <c r="U351" i="3"/>
  <c r="T351" i="3"/>
  <c r="S351" i="3"/>
  <c r="N351" i="3"/>
  <c r="M351" i="3"/>
  <c r="L351" i="3"/>
  <c r="G351" i="3"/>
  <c r="F351" i="3"/>
  <c r="E351" i="3"/>
  <c r="U349" i="3"/>
  <c r="S349" i="3"/>
  <c r="N349" i="3"/>
  <c r="M349" i="3"/>
  <c r="L349" i="3"/>
  <c r="G349" i="3"/>
  <c r="F349" i="3"/>
  <c r="E349" i="3"/>
  <c r="U348" i="3"/>
  <c r="S348" i="3"/>
  <c r="N348" i="3"/>
  <c r="M348" i="3"/>
  <c r="K348" i="3"/>
  <c r="I348" i="3"/>
  <c r="H348" i="3"/>
  <c r="G348" i="3"/>
  <c r="F348" i="3"/>
  <c r="E348" i="3"/>
  <c r="U347" i="3"/>
  <c r="S347" i="3"/>
  <c r="N347" i="3"/>
  <c r="M347" i="3"/>
  <c r="K347" i="3"/>
  <c r="I347" i="3"/>
  <c r="H347" i="3"/>
  <c r="G347" i="3"/>
  <c r="F347" i="3"/>
  <c r="E347" i="3"/>
  <c r="Q346" i="3"/>
  <c r="P346" i="3"/>
  <c r="O346" i="3"/>
  <c r="N346" i="3"/>
  <c r="M346" i="3"/>
  <c r="K346" i="3"/>
  <c r="J346" i="3"/>
  <c r="I346" i="3"/>
  <c r="H346" i="3"/>
  <c r="G346" i="3"/>
  <c r="F346" i="3"/>
  <c r="E346" i="3"/>
  <c r="Q345" i="3"/>
  <c r="P345" i="3"/>
  <c r="O345" i="3"/>
  <c r="N345" i="3"/>
  <c r="M345" i="3"/>
  <c r="K345" i="3"/>
  <c r="J345" i="3"/>
  <c r="I345" i="3"/>
  <c r="H345" i="3"/>
  <c r="G345" i="3"/>
  <c r="F345" i="3"/>
  <c r="E345" i="3"/>
  <c r="U343" i="3"/>
  <c r="S343" i="3"/>
  <c r="R343" i="3"/>
  <c r="N343" i="3"/>
  <c r="M343" i="3"/>
  <c r="L343" i="3"/>
  <c r="G343" i="3"/>
  <c r="F343" i="3"/>
  <c r="E343" i="3"/>
  <c r="U342" i="3"/>
  <c r="T342" i="3"/>
  <c r="S342" i="3"/>
  <c r="N342" i="3"/>
  <c r="M342" i="3"/>
  <c r="L342" i="3"/>
  <c r="G342" i="3"/>
  <c r="F342" i="3"/>
  <c r="E342" i="3"/>
  <c r="U340" i="3"/>
  <c r="S340" i="3"/>
  <c r="N340" i="3"/>
  <c r="M340" i="3"/>
  <c r="L340" i="3"/>
  <c r="G340" i="3"/>
  <c r="F340" i="3"/>
  <c r="E340" i="3"/>
  <c r="U339" i="3"/>
  <c r="S339" i="3"/>
  <c r="N339" i="3"/>
  <c r="M339" i="3"/>
  <c r="K339" i="3"/>
  <c r="I339" i="3"/>
  <c r="H339" i="3"/>
  <c r="G339" i="3"/>
  <c r="F339" i="3"/>
  <c r="E339" i="3"/>
  <c r="U338" i="3"/>
  <c r="S338" i="3"/>
  <c r="N338" i="3"/>
  <c r="M338" i="3"/>
  <c r="K338" i="3"/>
  <c r="I338" i="3"/>
  <c r="H338" i="3"/>
  <c r="G338" i="3"/>
  <c r="F338" i="3"/>
  <c r="E338" i="3"/>
  <c r="Q337" i="3"/>
  <c r="P337" i="3"/>
  <c r="O337" i="3"/>
  <c r="N337" i="3"/>
  <c r="M337" i="3"/>
  <c r="K337" i="3"/>
  <c r="J337" i="3"/>
  <c r="I337" i="3"/>
  <c r="H337" i="3"/>
  <c r="G337" i="3"/>
  <c r="F337" i="3"/>
  <c r="E337" i="3"/>
  <c r="Q336" i="3"/>
  <c r="P336" i="3"/>
  <c r="O336" i="3"/>
  <c r="N336" i="3"/>
  <c r="M336" i="3"/>
  <c r="K336" i="3"/>
  <c r="J336" i="3"/>
  <c r="I336" i="3"/>
  <c r="H336" i="3"/>
  <c r="G336" i="3"/>
  <c r="F336" i="3"/>
  <c r="E336" i="3"/>
  <c r="U334" i="3"/>
  <c r="S334" i="3"/>
  <c r="R334" i="3"/>
  <c r="N334" i="3"/>
  <c r="M334" i="3"/>
  <c r="L334" i="3"/>
  <c r="G334" i="3"/>
  <c r="F334" i="3"/>
  <c r="E334" i="3"/>
  <c r="U333" i="3"/>
  <c r="T333" i="3"/>
  <c r="S333" i="3"/>
  <c r="N333" i="3"/>
  <c r="M333" i="3"/>
  <c r="L333" i="3"/>
  <c r="G333" i="3"/>
  <c r="F333" i="3"/>
  <c r="E333" i="3"/>
  <c r="U331" i="3"/>
  <c r="S331" i="3"/>
  <c r="N331" i="3"/>
  <c r="M331" i="3"/>
  <c r="L331" i="3"/>
  <c r="G331" i="3"/>
  <c r="F331" i="3"/>
  <c r="E331" i="3"/>
  <c r="U330" i="3"/>
  <c r="S330" i="3"/>
  <c r="N330" i="3"/>
  <c r="M330" i="3"/>
  <c r="K330" i="3"/>
  <c r="I330" i="3"/>
  <c r="H330" i="3"/>
  <c r="G330" i="3"/>
  <c r="F330" i="3"/>
  <c r="E330" i="3"/>
  <c r="U329" i="3"/>
  <c r="S329" i="3"/>
  <c r="N329" i="3"/>
  <c r="M329" i="3"/>
  <c r="K329" i="3"/>
  <c r="I329" i="3"/>
  <c r="H329" i="3"/>
  <c r="G329" i="3"/>
  <c r="F329" i="3"/>
  <c r="E329" i="3"/>
  <c r="Q328" i="3"/>
  <c r="P328" i="3"/>
  <c r="O328" i="3"/>
  <c r="N328" i="3"/>
  <c r="M328" i="3"/>
  <c r="K328" i="3"/>
  <c r="J328" i="3"/>
  <c r="I328" i="3"/>
  <c r="H328" i="3"/>
  <c r="G328" i="3"/>
  <c r="F328" i="3"/>
  <c r="E328" i="3"/>
  <c r="Q327" i="3"/>
  <c r="P327" i="3"/>
  <c r="O327" i="3"/>
  <c r="N327" i="3"/>
  <c r="M327" i="3"/>
  <c r="K327" i="3"/>
  <c r="J327" i="3"/>
  <c r="I327" i="3"/>
  <c r="H327" i="3"/>
  <c r="G327" i="3"/>
  <c r="F327" i="3"/>
  <c r="E327" i="3"/>
  <c r="U325" i="3"/>
  <c r="S325" i="3"/>
  <c r="R325" i="3"/>
  <c r="N325" i="3"/>
  <c r="M325" i="3"/>
  <c r="L325" i="3"/>
  <c r="G325" i="3"/>
  <c r="F325" i="3"/>
  <c r="E325" i="3"/>
  <c r="U324" i="3"/>
  <c r="T324" i="3"/>
  <c r="S324" i="3"/>
  <c r="N324" i="3"/>
  <c r="M324" i="3"/>
  <c r="L324" i="3"/>
  <c r="G324" i="3"/>
  <c r="F324" i="3"/>
  <c r="E324" i="3"/>
  <c r="U322" i="3"/>
  <c r="S322" i="3"/>
  <c r="N322" i="3"/>
  <c r="M322" i="3"/>
  <c r="L322" i="3"/>
  <c r="G322" i="3"/>
  <c r="F322" i="3"/>
  <c r="E322" i="3"/>
  <c r="U321" i="3"/>
  <c r="S321" i="3"/>
  <c r="N321" i="3"/>
  <c r="M321" i="3"/>
  <c r="K321" i="3"/>
  <c r="I321" i="3"/>
  <c r="H321" i="3"/>
  <c r="G321" i="3"/>
  <c r="F321" i="3"/>
  <c r="E321" i="3"/>
  <c r="U320" i="3"/>
  <c r="S320" i="3"/>
  <c r="N320" i="3"/>
  <c r="M320" i="3"/>
  <c r="K320" i="3"/>
  <c r="I320" i="3"/>
  <c r="H320" i="3"/>
  <c r="G320" i="3"/>
  <c r="F320" i="3"/>
  <c r="E320" i="3"/>
  <c r="Q319" i="3"/>
  <c r="P319" i="3"/>
  <c r="O319" i="3"/>
  <c r="N319" i="3"/>
  <c r="M319" i="3"/>
  <c r="K319" i="3"/>
  <c r="J319" i="3"/>
  <c r="I319" i="3"/>
  <c r="H319" i="3"/>
  <c r="G319" i="3"/>
  <c r="F319" i="3"/>
  <c r="E319" i="3"/>
  <c r="Q318" i="3"/>
  <c r="P318" i="3"/>
  <c r="O318" i="3"/>
  <c r="N318" i="3"/>
  <c r="M318" i="3"/>
  <c r="K318" i="3"/>
  <c r="J318" i="3"/>
  <c r="I318" i="3"/>
  <c r="H318" i="3"/>
  <c r="G318" i="3"/>
  <c r="F318" i="3"/>
  <c r="E318" i="3"/>
  <c r="U316" i="3"/>
  <c r="S316" i="3"/>
  <c r="R316" i="3"/>
  <c r="N316" i="3"/>
  <c r="M316" i="3"/>
  <c r="L316" i="3"/>
  <c r="G316" i="3"/>
  <c r="F316" i="3"/>
  <c r="E316" i="3"/>
  <c r="U315" i="3"/>
  <c r="T315" i="3"/>
  <c r="S315" i="3"/>
  <c r="N315" i="3"/>
  <c r="M315" i="3"/>
  <c r="L315" i="3"/>
  <c r="G315" i="3"/>
  <c r="F315" i="3"/>
  <c r="E315" i="3"/>
  <c r="U313" i="3"/>
  <c r="S313" i="3"/>
  <c r="N313" i="3"/>
  <c r="M313" i="3"/>
  <c r="L313" i="3"/>
  <c r="G313" i="3"/>
  <c r="F313" i="3"/>
  <c r="E313" i="3"/>
  <c r="U312" i="3"/>
  <c r="S312" i="3"/>
  <c r="N312" i="3"/>
  <c r="M312" i="3"/>
  <c r="K312" i="3"/>
  <c r="I312" i="3"/>
  <c r="H312" i="3"/>
  <c r="G312" i="3"/>
  <c r="F312" i="3"/>
  <c r="E312" i="3"/>
  <c r="U311" i="3"/>
  <c r="S311" i="3"/>
  <c r="N311" i="3"/>
  <c r="M311" i="3"/>
  <c r="K311" i="3"/>
  <c r="I311" i="3"/>
  <c r="H311" i="3"/>
  <c r="G311" i="3"/>
  <c r="F311" i="3"/>
  <c r="E311" i="3"/>
  <c r="Q310" i="3"/>
  <c r="P310" i="3"/>
  <c r="O310" i="3"/>
  <c r="N310" i="3"/>
  <c r="M310" i="3"/>
  <c r="K310" i="3"/>
  <c r="J310" i="3"/>
  <c r="I310" i="3"/>
  <c r="H310" i="3"/>
  <c r="G310" i="3"/>
  <c r="F310" i="3"/>
  <c r="E310" i="3"/>
  <c r="Q309" i="3"/>
  <c r="P309" i="3"/>
  <c r="O309" i="3"/>
  <c r="N309" i="3"/>
  <c r="M309" i="3"/>
  <c r="K309" i="3"/>
  <c r="J309" i="3"/>
  <c r="I309" i="3"/>
  <c r="H309" i="3"/>
  <c r="G309" i="3"/>
  <c r="F309" i="3"/>
  <c r="E309" i="3"/>
  <c r="U306" i="3"/>
  <c r="T306" i="3"/>
  <c r="S306" i="3"/>
  <c r="N306" i="3"/>
  <c r="M306" i="3"/>
  <c r="L306" i="3"/>
  <c r="G306" i="3"/>
  <c r="F306" i="3"/>
  <c r="E306" i="3"/>
  <c r="U304" i="3"/>
  <c r="S304" i="3"/>
  <c r="N304" i="3"/>
  <c r="M304" i="3"/>
  <c r="L304" i="3"/>
  <c r="G304" i="3"/>
  <c r="F304" i="3"/>
  <c r="E304" i="3"/>
  <c r="U303" i="3"/>
  <c r="S303" i="3"/>
  <c r="N303" i="3"/>
  <c r="M303" i="3"/>
  <c r="K303" i="3"/>
  <c r="I303" i="3"/>
  <c r="H303" i="3"/>
  <c r="G303" i="3"/>
  <c r="F303" i="3"/>
  <c r="E303" i="3"/>
  <c r="U302" i="3"/>
  <c r="S302" i="3"/>
  <c r="N302" i="3"/>
  <c r="M302" i="3"/>
  <c r="K302" i="3"/>
  <c r="I302" i="3"/>
  <c r="H302" i="3"/>
  <c r="G302" i="3"/>
  <c r="F302" i="3"/>
  <c r="E302" i="3"/>
  <c r="Q301" i="3"/>
  <c r="P301" i="3"/>
  <c r="O301" i="3"/>
  <c r="N301" i="3"/>
  <c r="M301" i="3"/>
  <c r="K301" i="3"/>
  <c r="J301" i="3"/>
  <c r="I301" i="3"/>
  <c r="H301" i="3"/>
  <c r="G301" i="3"/>
  <c r="F301" i="3"/>
  <c r="E301" i="3"/>
  <c r="Q300" i="3"/>
  <c r="P300" i="3"/>
  <c r="O300" i="3"/>
  <c r="N300" i="3"/>
  <c r="M300" i="3"/>
  <c r="K300" i="3"/>
  <c r="J300" i="3"/>
  <c r="I300" i="3"/>
  <c r="H300" i="3"/>
  <c r="G300" i="3"/>
  <c r="F300" i="3"/>
  <c r="E300" i="3"/>
  <c r="U298" i="3"/>
  <c r="S298" i="3"/>
  <c r="R298" i="3"/>
  <c r="N298" i="3"/>
  <c r="M298" i="3"/>
  <c r="L298" i="3"/>
  <c r="G298" i="3"/>
  <c r="F298" i="3"/>
  <c r="E298" i="3"/>
  <c r="U297" i="3"/>
  <c r="T297" i="3"/>
  <c r="S297" i="3"/>
  <c r="N297" i="3"/>
  <c r="M297" i="3"/>
  <c r="L297" i="3"/>
  <c r="G297" i="3"/>
  <c r="F297" i="3"/>
  <c r="E297" i="3"/>
  <c r="U295" i="3"/>
  <c r="S295" i="3"/>
  <c r="N295" i="3"/>
  <c r="M295" i="3"/>
  <c r="L295" i="3"/>
  <c r="G295" i="3"/>
  <c r="F295" i="3"/>
  <c r="E295" i="3"/>
  <c r="U294" i="3"/>
  <c r="S294" i="3"/>
  <c r="N294" i="3"/>
  <c r="M294" i="3"/>
  <c r="K294" i="3"/>
  <c r="I294" i="3"/>
  <c r="H294" i="3"/>
  <c r="G294" i="3"/>
  <c r="F294" i="3"/>
  <c r="E294" i="3"/>
  <c r="U293" i="3"/>
  <c r="S293" i="3"/>
  <c r="N293" i="3"/>
  <c r="M293" i="3"/>
  <c r="K293" i="3"/>
  <c r="I293" i="3"/>
  <c r="H293" i="3"/>
  <c r="G293" i="3"/>
  <c r="F293" i="3"/>
  <c r="E293" i="3"/>
  <c r="Q292" i="3"/>
  <c r="P292" i="3"/>
  <c r="O292" i="3"/>
  <c r="N292" i="3"/>
  <c r="M292" i="3"/>
  <c r="K292" i="3"/>
  <c r="J292" i="3"/>
  <c r="I292" i="3"/>
  <c r="H292" i="3"/>
  <c r="G292" i="3"/>
  <c r="F292" i="3"/>
  <c r="E292" i="3"/>
  <c r="Q291" i="3"/>
  <c r="P291" i="3"/>
  <c r="O291" i="3"/>
  <c r="N291" i="3"/>
  <c r="M291" i="3"/>
  <c r="K291" i="3"/>
  <c r="J291" i="3"/>
  <c r="I291" i="3"/>
  <c r="H291" i="3"/>
  <c r="G291" i="3"/>
  <c r="F291" i="3"/>
  <c r="E291" i="3"/>
  <c r="U289" i="3"/>
  <c r="S289" i="3"/>
  <c r="R289" i="3"/>
  <c r="N289" i="3"/>
  <c r="M289" i="3"/>
  <c r="L289" i="3"/>
  <c r="G289" i="3"/>
  <c r="F289" i="3"/>
  <c r="E289" i="3"/>
  <c r="U288" i="3"/>
  <c r="T288" i="3"/>
  <c r="S288" i="3"/>
  <c r="N288" i="3"/>
  <c r="M288" i="3"/>
  <c r="L288" i="3"/>
  <c r="G288" i="3"/>
  <c r="F288" i="3"/>
  <c r="E288" i="3"/>
  <c r="U286" i="3"/>
  <c r="S286" i="3"/>
  <c r="N286" i="3"/>
  <c r="M286" i="3"/>
  <c r="L286" i="3"/>
  <c r="G286" i="3"/>
  <c r="F286" i="3"/>
  <c r="E286" i="3"/>
  <c r="U285" i="3"/>
  <c r="S285" i="3"/>
  <c r="N285" i="3"/>
  <c r="M285" i="3"/>
  <c r="K285" i="3"/>
  <c r="I285" i="3"/>
  <c r="H285" i="3"/>
  <c r="G285" i="3"/>
  <c r="F285" i="3"/>
  <c r="E285" i="3"/>
  <c r="U284" i="3"/>
  <c r="S284" i="3"/>
  <c r="N284" i="3"/>
  <c r="M284" i="3"/>
  <c r="K284" i="3"/>
  <c r="I284" i="3"/>
  <c r="H284" i="3"/>
  <c r="G284" i="3"/>
  <c r="F284" i="3"/>
  <c r="E284" i="3"/>
  <c r="Q283" i="3"/>
  <c r="P283" i="3"/>
  <c r="O283" i="3"/>
  <c r="N283" i="3"/>
  <c r="M283" i="3"/>
  <c r="K283" i="3"/>
  <c r="J283" i="3"/>
  <c r="I283" i="3"/>
  <c r="H283" i="3"/>
  <c r="G283" i="3"/>
  <c r="F283" i="3"/>
  <c r="E283" i="3"/>
  <c r="Q282" i="3"/>
  <c r="P282" i="3"/>
  <c r="O282" i="3"/>
  <c r="N282" i="3"/>
  <c r="M282" i="3"/>
  <c r="K282" i="3"/>
  <c r="J282" i="3"/>
  <c r="I282" i="3"/>
  <c r="H282" i="3"/>
  <c r="G282" i="3"/>
  <c r="F282" i="3"/>
  <c r="E282" i="3"/>
  <c r="U280" i="3"/>
  <c r="S280" i="3"/>
  <c r="R280" i="3"/>
  <c r="N280" i="3"/>
  <c r="M280" i="3"/>
  <c r="L280" i="3"/>
  <c r="G280" i="3"/>
  <c r="F280" i="3"/>
  <c r="E280" i="3"/>
  <c r="U279" i="3"/>
  <c r="T279" i="3"/>
  <c r="S279" i="3"/>
  <c r="N279" i="3"/>
  <c r="M279" i="3"/>
  <c r="L279" i="3"/>
  <c r="G279" i="3"/>
  <c r="F279" i="3"/>
  <c r="E279" i="3"/>
  <c r="U277" i="3"/>
  <c r="S277" i="3"/>
  <c r="N277" i="3"/>
  <c r="M277" i="3"/>
  <c r="L277" i="3"/>
  <c r="G277" i="3"/>
  <c r="F277" i="3"/>
  <c r="E277" i="3"/>
  <c r="U276" i="3"/>
  <c r="S276" i="3"/>
  <c r="N276" i="3"/>
  <c r="M276" i="3"/>
  <c r="K276" i="3"/>
  <c r="I276" i="3"/>
  <c r="H276" i="3"/>
  <c r="G276" i="3"/>
  <c r="F276" i="3"/>
  <c r="E276" i="3"/>
  <c r="U275" i="3"/>
  <c r="S275" i="3"/>
  <c r="N275" i="3"/>
  <c r="M275" i="3"/>
  <c r="K275" i="3"/>
  <c r="I275" i="3"/>
  <c r="H275" i="3"/>
  <c r="G275" i="3"/>
  <c r="F275" i="3"/>
  <c r="E275" i="3"/>
  <c r="Q274" i="3"/>
  <c r="P274" i="3"/>
  <c r="O274" i="3"/>
  <c r="N274" i="3"/>
  <c r="M274" i="3"/>
  <c r="K274" i="3"/>
  <c r="J274" i="3"/>
  <c r="I274" i="3"/>
  <c r="H274" i="3"/>
  <c r="G274" i="3"/>
  <c r="F274" i="3"/>
  <c r="E274" i="3"/>
  <c r="Q273" i="3"/>
  <c r="P273" i="3"/>
  <c r="O273" i="3"/>
  <c r="N273" i="3"/>
  <c r="M273" i="3"/>
  <c r="K273" i="3"/>
  <c r="J273" i="3"/>
  <c r="I273" i="3"/>
  <c r="H273" i="3"/>
  <c r="G273" i="3"/>
  <c r="F273" i="3"/>
  <c r="E273" i="3"/>
  <c r="U271" i="3"/>
  <c r="S271" i="3"/>
  <c r="R271" i="3"/>
  <c r="N271" i="3"/>
  <c r="M271" i="3"/>
  <c r="L271" i="3"/>
  <c r="G271" i="3"/>
  <c r="F271" i="3"/>
  <c r="E271" i="3"/>
  <c r="U270" i="3"/>
  <c r="T270" i="3"/>
  <c r="S270" i="3"/>
  <c r="N270" i="3"/>
  <c r="M270" i="3"/>
  <c r="L270" i="3"/>
  <c r="G270" i="3"/>
  <c r="F270" i="3"/>
  <c r="E270" i="3"/>
  <c r="U268" i="3"/>
  <c r="S268" i="3"/>
  <c r="N268" i="3"/>
  <c r="M268" i="3"/>
  <c r="L268" i="3"/>
  <c r="G268" i="3"/>
  <c r="F268" i="3"/>
  <c r="E268" i="3"/>
  <c r="U267" i="3"/>
  <c r="S267" i="3"/>
  <c r="N267" i="3"/>
  <c r="M267" i="3"/>
  <c r="K267" i="3"/>
  <c r="I267" i="3"/>
  <c r="H267" i="3"/>
  <c r="G267" i="3"/>
  <c r="F267" i="3"/>
  <c r="E267" i="3"/>
  <c r="U266" i="3"/>
  <c r="S266" i="3"/>
  <c r="N266" i="3"/>
  <c r="M266" i="3"/>
  <c r="K266" i="3"/>
  <c r="I266" i="3"/>
  <c r="H266" i="3"/>
  <c r="G266" i="3"/>
  <c r="F266" i="3"/>
  <c r="E266" i="3"/>
  <c r="Q265" i="3"/>
  <c r="P265" i="3"/>
  <c r="O265" i="3"/>
  <c r="N265" i="3"/>
  <c r="M265" i="3"/>
  <c r="K265" i="3"/>
  <c r="J265" i="3"/>
  <c r="I265" i="3"/>
  <c r="H265" i="3"/>
  <c r="G265" i="3"/>
  <c r="F265" i="3"/>
  <c r="E265" i="3"/>
  <c r="Q264" i="3"/>
  <c r="P264" i="3"/>
  <c r="O264" i="3"/>
  <c r="N264" i="3"/>
  <c r="M264" i="3"/>
  <c r="K264" i="3"/>
  <c r="J264" i="3"/>
  <c r="I264" i="3"/>
  <c r="H264" i="3"/>
  <c r="G264" i="3"/>
  <c r="F264" i="3"/>
  <c r="E264" i="3"/>
  <c r="U262" i="3"/>
  <c r="S262" i="3"/>
  <c r="R262" i="3"/>
  <c r="N262" i="3"/>
  <c r="M262" i="3"/>
  <c r="L262" i="3"/>
  <c r="G262" i="3"/>
  <c r="F262" i="3"/>
  <c r="E262" i="3"/>
  <c r="U261" i="3"/>
  <c r="T261" i="3"/>
  <c r="S261" i="3"/>
  <c r="N261" i="3"/>
  <c r="M261" i="3"/>
  <c r="L261" i="3"/>
  <c r="G261" i="3"/>
  <c r="F261" i="3"/>
  <c r="E261" i="3"/>
  <c r="U259" i="3"/>
  <c r="S259" i="3"/>
  <c r="N259" i="3"/>
  <c r="M259" i="3"/>
  <c r="L259" i="3"/>
  <c r="G259" i="3"/>
  <c r="F259" i="3"/>
  <c r="E259" i="3"/>
  <c r="U258" i="3"/>
  <c r="S258" i="3"/>
  <c r="N258" i="3"/>
  <c r="M258" i="3"/>
  <c r="K258" i="3"/>
  <c r="I258" i="3"/>
  <c r="H258" i="3"/>
  <c r="G258" i="3"/>
  <c r="F258" i="3"/>
  <c r="E258" i="3"/>
  <c r="U257" i="3"/>
  <c r="S257" i="3"/>
  <c r="N257" i="3"/>
  <c r="M257" i="3"/>
  <c r="K257" i="3"/>
  <c r="I257" i="3"/>
  <c r="H257" i="3"/>
  <c r="G257" i="3"/>
  <c r="F257" i="3"/>
  <c r="E257" i="3"/>
  <c r="Q256" i="3"/>
  <c r="P256" i="3"/>
  <c r="O256" i="3"/>
  <c r="N256" i="3"/>
  <c r="M256" i="3"/>
  <c r="K256" i="3"/>
  <c r="J256" i="3"/>
  <c r="I256" i="3"/>
  <c r="H256" i="3"/>
  <c r="G256" i="3"/>
  <c r="F256" i="3"/>
  <c r="E256" i="3"/>
  <c r="Q255" i="3"/>
  <c r="P255" i="3"/>
  <c r="O255" i="3"/>
  <c r="N255" i="3"/>
  <c r="M255" i="3"/>
  <c r="K255" i="3"/>
  <c r="J255" i="3"/>
  <c r="I255" i="3"/>
  <c r="H255" i="3"/>
  <c r="G255" i="3"/>
  <c r="F255" i="3"/>
  <c r="E255" i="3"/>
  <c r="U253" i="3"/>
  <c r="S253" i="3"/>
  <c r="R253" i="3"/>
  <c r="N253" i="3"/>
  <c r="M253" i="3"/>
  <c r="L253" i="3"/>
  <c r="G253" i="3"/>
  <c r="F253" i="3"/>
  <c r="E253" i="3"/>
  <c r="U252" i="3"/>
  <c r="T252" i="3"/>
  <c r="S252" i="3"/>
  <c r="N252" i="3"/>
  <c r="M252" i="3"/>
  <c r="L252" i="3"/>
  <c r="G252" i="3"/>
  <c r="F252" i="3"/>
  <c r="E252" i="3"/>
  <c r="U250" i="3"/>
  <c r="S250" i="3"/>
  <c r="N250" i="3"/>
  <c r="M250" i="3"/>
  <c r="L250" i="3"/>
  <c r="G250" i="3"/>
  <c r="F250" i="3"/>
  <c r="E250" i="3"/>
  <c r="U249" i="3"/>
  <c r="S249" i="3"/>
  <c r="N249" i="3"/>
  <c r="M249" i="3"/>
  <c r="K249" i="3"/>
  <c r="I249" i="3"/>
  <c r="H249" i="3"/>
  <c r="G249" i="3"/>
  <c r="F249" i="3"/>
  <c r="E249" i="3"/>
  <c r="U248" i="3"/>
  <c r="S248" i="3"/>
  <c r="N248" i="3"/>
  <c r="M248" i="3"/>
  <c r="K248" i="3"/>
  <c r="I248" i="3"/>
  <c r="H248" i="3"/>
  <c r="G248" i="3"/>
  <c r="F248" i="3"/>
  <c r="E248" i="3"/>
  <c r="Q247" i="3"/>
  <c r="P247" i="3"/>
  <c r="O247" i="3"/>
  <c r="N247" i="3"/>
  <c r="M247" i="3"/>
  <c r="K247" i="3"/>
  <c r="J247" i="3"/>
  <c r="I247" i="3"/>
  <c r="H247" i="3"/>
  <c r="G247" i="3"/>
  <c r="F247" i="3"/>
  <c r="E247" i="3"/>
  <c r="Q246" i="3"/>
  <c r="P246" i="3"/>
  <c r="O246" i="3"/>
  <c r="N246" i="3"/>
  <c r="M246" i="3"/>
  <c r="K246" i="3"/>
  <c r="J246" i="3"/>
  <c r="I246" i="3"/>
  <c r="H246" i="3"/>
  <c r="G246" i="3"/>
  <c r="F246" i="3"/>
  <c r="E246" i="3"/>
  <c r="U136" i="9"/>
  <c r="S136" i="9"/>
  <c r="R136" i="9"/>
  <c r="N136" i="9"/>
  <c r="M136" i="9"/>
  <c r="L136" i="9"/>
  <c r="G136" i="9"/>
  <c r="F136" i="9"/>
  <c r="E136" i="9"/>
  <c r="U135" i="9"/>
  <c r="T135" i="9"/>
  <c r="T137" i="9" s="1"/>
  <c r="S135" i="9"/>
  <c r="R135" i="9"/>
  <c r="N135" i="9"/>
  <c r="M135" i="9"/>
  <c r="L135" i="9"/>
  <c r="G135" i="9"/>
  <c r="F135" i="9"/>
  <c r="E135" i="9"/>
  <c r="S133" i="9"/>
  <c r="N133" i="9"/>
  <c r="M133" i="9"/>
  <c r="L133" i="9"/>
  <c r="G133" i="9"/>
  <c r="G134" i="9" s="1"/>
  <c r="F133" i="9"/>
  <c r="F134" i="9" s="1"/>
  <c r="E133" i="9"/>
  <c r="U132" i="9"/>
  <c r="S132" i="9"/>
  <c r="N132" i="9"/>
  <c r="M132" i="9"/>
  <c r="K132" i="9"/>
  <c r="I132" i="9"/>
  <c r="H132" i="9"/>
  <c r="G132" i="9"/>
  <c r="F132" i="9"/>
  <c r="E132" i="9"/>
  <c r="U131" i="9"/>
  <c r="U134" i="9" s="1"/>
  <c r="U137" i="9" s="1"/>
  <c r="S131" i="9"/>
  <c r="N131" i="9"/>
  <c r="M131" i="9"/>
  <c r="K131" i="9"/>
  <c r="I131" i="9"/>
  <c r="H131" i="9"/>
  <c r="G131" i="9"/>
  <c r="F131" i="9"/>
  <c r="E131" i="9"/>
  <c r="Q130" i="9"/>
  <c r="P130" i="9"/>
  <c r="O130" i="9"/>
  <c r="N130" i="9"/>
  <c r="M130" i="9"/>
  <c r="K130" i="9"/>
  <c r="J130" i="9"/>
  <c r="I130" i="9"/>
  <c r="H130" i="9"/>
  <c r="G130" i="9"/>
  <c r="F130" i="9"/>
  <c r="E130" i="9"/>
  <c r="Q129" i="9"/>
  <c r="P129" i="9"/>
  <c r="P137" i="9" s="1"/>
  <c r="O129" i="9"/>
  <c r="O137" i="9" s="1"/>
  <c r="N129" i="9"/>
  <c r="M129" i="9"/>
  <c r="K129" i="9"/>
  <c r="J129" i="9"/>
  <c r="I129" i="9"/>
  <c r="H129" i="9"/>
  <c r="G129" i="9"/>
  <c r="F129" i="9"/>
  <c r="E129" i="9"/>
  <c r="U127" i="9"/>
  <c r="S127" i="9"/>
  <c r="R127" i="9"/>
  <c r="N127" i="9"/>
  <c r="M127" i="9"/>
  <c r="L127" i="9"/>
  <c r="G127" i="9"/>
  <c r="F127" i="9"/>
  <c r="E127" i="9"/>
  <c r="U126" i="9"/>
  <c r="T126" i="9"/>
  <c r="T128" i="9" s="1"/>
  <c r="S126" i="9"/>
  <c r="R126" i="9"/>
  <c r="N126" i="9"/>
  <c r="M126" i="9"/>
  <c r="L126" i="9"/>
  <c r="G126" i="9"/>
  <c r="F126" i="9"/>
  <c r="E126" i="9"/>
  <c r="S124" i="9"/>
  <c r="R124" i="9"/>
  <c r="N124" i="9"/>
  <c r="M124" i="9"/>
  <c r="L124" i="9"/>
  <c r="L125" i="9" s="1"/>
  <c r="G124" i="9"/>
  <c r="F124" i="9"/>
  <c r="F125" i="9" s="1"/>
  <c r="E124" i="9"/>
  <c r="U123" i="9"/>
  <c r="S123" i="9"/>
  <c r="S125" i="9" s="1"/>
  <c r="N123" i="9"/>
  <c r="M123" i="9"/>
  <c r="K123" i="9"/>
  <c r="I123" i="9"/>
  <c r="H123" i="9"/>
  <c r="G123" i="9"/>
  <c r="F123" i="9"/>
  <c r="E123" i="9"/>
  <c r="U122" i="9"/>
  <c r="U125" i="9" s="1"/>
  <c r="S122" i="9"/>
  <c r="R122" i="9"/>
  <c r="N122" i="9"/>
  <c r="M122" i="9"/>
  <c r="K122" i="9"/>
  <c r="I122" i="9"/>
  <c r="H122" i="9"/>
  <c r="G122" i="9"/>
  <c r="F122" i="9"/>
  <c r="E122" i="9"/>
  <c r="Q121" i="9"/>
  <c r="P121" i="9"/>
  <c r="O121" i="9"/>
  <c r="N121" i="9"/>
  <c r="M121" i="9"/>
  <c r="K121" i="9"/>
  <c r="J121" i="9"/>
  <c r="I121" i="9"/>
  <c r="H121" i="9"/>
  <c r="G121" i="9"/>
  <c r="F121" i="9"/>
  <c r="E121" i="9"/>
  <c r="Q120" i="9"/>
  <c r="Q128" i="9" s="1"/>
  <c r="P120" i="9"/>
  <c r="P128" i="9" s="1"/>
  <c r="O120" i="9"/>
  <c r="N120" i="9"/>
  <c r="N125" i="9" s="1"/>
  <c r="M120" i="9"/>
  <c r="K120" i="9"/>
  <c r="J120" i="9"/>
  <c r="I120" i="9"/>
  <c r="H120" i="9"/>
  <c r="G120" i="9"/>
  <c r="G125" i="9" s="1"/>
  <c r="F120" i="9"/>
  <c r="E120" i="9"/>
  <c r="E125" i="9" s="1"/>
  <c r="U118" i="9"/>
  <c r="S118" i="9"/>
  <c r="R118" i="9"/>
  <c r="N118" i="9"/>
  <c r="M118" i="9"/>
  <c r="L118" i="9"/>
  <c r="G118" i="9"/>
  <c r="F118" i="9"/>
  <c r="E118" i="9"/>
  <c r="U117" i="9"/>
  <c r="T117" i="9"/>
  <c r="T119" i="9" s="1"/>
  <c r="S117" i="9"/>
  <c r="N117" i="9"/>
  <c r="M117" i="9"/>
  <c r="L117" i="9"/>
  <c r="G117" i="9"/>
  <c r="F117" i="9"/>
  <c r="E117" i="9"/>
  <c r="S115" i="9"/>
  <c r="N115" i="9"/>
  <c r="M115" i="9"/>
  <c r="L115" i="9"/>
  <c r="L116" i="9" s="1"/>
  <c r="G115" i="9"/>
  <c r="F115" i="9"/>
  <c r="E115" i="9"/>
  <c r="U114" i="9"/>
  <c r="S114" i="9"/>
  <c r="N114" i="9"/>
  <c r="M114" i="9"/>
  <c r="K114" i="9"/>
  <c r="I114" i="9"/>
  <c r="H114" i="9"/>
  <c r="G114" i="9"/>
  <c r="F114" i="9"/>
  <c r="E114" i="9"/>
  <c r="U113" i="9"/>
  <c r="S113" i="9"/>
  <c r="N113" i="9"/>
  <c r="M113" i="9"/>
  <c r="K113" i="9"/>
  <c r="I113" i="9"/>
  <c r="H113" i="9"/>
  <c r="G113" i="9"/>
  <c r="F113" i="9"/>
  <c r="E113" i="9"/>
  <c r="Q112" i="9"/>
  <c r="P112" i="9"/>
  <c r="O112" i="9"/>
  <c r="N112" i="9"/>
  <c r="M112" i="9"/>
  <c r="K112" i="9"/>
  <c r="J112" i="9"/>
  <c r="I112" i="9"/>
  <c r="H112" i="9"/>
  <c r="G112" i="9"/>
  <c r="F112" i="9"/>
  <c r="E112" i="9"/>
  <c r="Q111" i="9"/>
  <c r="Q119" i="9" s="1"/>
  <c r="P111" i="9"/>
  <c r="O111" i="9"/>
  <c r="O119" i="9" s="1"/>
  <c r="N111" i="9"/>
  <c r="M111" i="9"/>
  <c r="K111" i="9"/>
  <c r="J111" i="9"/>
  <c r="J119" i="9" s="1"/>
  <c r="I111" i="9"/>
  <c r="H111" i="9"/>
  <c r="G111" i="9"/>
  <c r="F111" i="9"/>
  <c r="F116" i="9" s="1"/>
  <c r="E111" i="9"/>
  <c r="E116" i="9" s="1"/>
  <c r="U109" i="9"/>
  <c r="S109" i="9"/>
  <c r="R109" i="9"/>
  <c r="N109" i="9"/>
  <c r="M109" i="9"/>
  <c r="L109" i="9"/>
  <c r="G109" i="9"/>
  <c r="F109" i="9"/>
  <c r="E109" i="9"/>
  <c r="U108" i="9"/>
  <c r="T108" i="9"/>
  <c r="S108" i="9"/>
  <c r="R108" i="9"/>
  <c r="N108" i="9"/>
  <c r="M108" i="9"/>
  <c r="L108" i="9"/>
  <c r="G108" i="9"/>
  <c r="F108" i="9"/>
  <c r="E108" i="9"/>
  <c r="S106" i="9"/>
  <c r="S107" i="9" s="1"/>
  <c r="R106" i="9"/>
  <c r="N106" i="9"/>
  <c r="M106" i="9"/>
  <c r="L106" i="9"/>
  <c r="L107" i="9" s="1"/>
  <c r="G106" i="9"/>
  <c r="F106" i="9"/>
  <c r="E106" i="9"/>
  <c r="U105" i="9"/>
  <c r="S105" i="9"/>
  <c r="N105" i="9"/>
  <c r="M105" i="9"/>
  <c r="M107" i="9" s="1"/>
  <c r="M110" i="9" s="1"/>
  <c r="K105" i="9"/>
  <c r="I105" i="9"/>
  <c r="H105" i="9"/>
  <c r="G105" i="9"/>
  <c r="F105" i="9"/>
  <c r="E105" i="9"/>
  <c r="U104" i="9"/>
  <c r="U107" i="9" s="1"/>
  <c r="U110" i="9" s="1"/>
  <c r="S104" i="9"/>
  <c r="N104" i="9"/>
  <c r="M104" i="9"/>
  <c r="K104" i="9"/>
  <c r="I104" i="9"/>
  <c r="H104" i="9"/>
  <c r="G104" i="9"/>
  <c r="F104" i="9"/>
  <c r="E104" i="9"/>
  <c r="Q103" i="9"/>
  <c r="P103" i="9"/>
  <c r="O103" i="9"/>
  <c r="N103" i="9"/>
  <c r="M103" i="9"/>
  <c r="K103" i="9"/>
  <c r="J103" i="9"/>
  <c r="I103" i="9"/>
  <c r="H103" i="9"/>
  <c r="G103" i="9"/>
  <c r="F103" i="9"/>
  <c r="E103" i="9"/>
  <c r="Q102" i="9"/>
  <c r="Q110" i="9" s="1"/>
  <c r="P102" i="9"/>
  <c r="P110" i="9" s="1"/>
  <c r="O102" i="9"/>
  <c r="N102" i="9"/>
  <c r="M102" i="9"/>
  <c r="K102" i="9"/>
  <c r="J102" i="9"/>
  <c r="J110" i="9" s="1"/>
  <c r="I102" i="9"/>
  <c r="H102" i="9"/>
  <c r="G102" i="9"/>
  <c r="G107" i="9" s="1"/>
  <c r="F102" i="9"/>
  <c r="E102" i="9"/>
  <c r="U100" i="9"/>
  <c r="S100" i="9"/>
  <c r="R100" i="9"/>
  <c r="N100" i="9"/>
  <c r="M100" i="9"/>
  <c r="L100" i="9"/>
  <c r="G100" i="9"/>
  <c r="F100" i="9"/>
  <c r="E100" i="9"/>
  <c r="U99" i="9"/>
  <c r="T99" i="9"/>
  <c r="T101" i="9" s="1"/>
  <c r="S99" i="9"/>
  <c r="N99" i="9"/>
  <c r="M99" i="9"/>
  <c r="L99" i="9"/>
  <c r="G99" i="9"/>
  <c r="F99" i="9"/>
  <c r="E99" i="9"/>
  <c r="S97" i="9"/>
  <c r="R97" i="9"/>
  <c r="N97" i="9"/>
  <c r="M97" i="9"/>
  <c r="L97" i="9"/>
  <c r="L98" i="9" s="1"/>
  <c r="G97" i="9"/>
  <c r="F97" i="9"/>
  <c r="E97" i="9"/>
  <c r="U96" i="9"/>
  <c r="S96" i="9"/>
  <c r="N96" i="9"/>
  <c r="M96" i="9"/>
  <c r="K96" i="9"/>
  <c r="I96" i="9"/>
  <c r="H96" i="9"/>
  <c r="G96" i="9"/>
  <c r="F96" i="9"/>
  <c r="E96" i="9"/>
  <c r="U95" i="9"/>
  <c r="S95" i="9"/>
  <c r="N95" i="9"/>
  <c r="M95" i="9"/>
  <c r="K95" i="9"/>
  <c r="I95" i="9"/>
  <c r="H95" i="9"/>
  <c r="G95" i="9"/>
  <c r="F95" i="9"/>
  <c r="E95" i="9"/>
  <c r="Q94" i="9"/>
  <c r="P94" i="9"/>
  <c r="O94" i="9"/>
  <c r="N94" i="9"/>
  <c r="M94" i="9"/>
  <c r="K94" i="9"/>
  <c r="J94" i="9"/>
  <c r="I94" i="9"/>
  <c r="H94" i="9"/>
  <c r="G94" i="9"/>
  <c r="F94" i="9"/>
  <c r="E94" i="9"/>
  <c r="Q93" i="9"/>
  <c r="Q101" i="9" s="1"/>
  <c r="P93" i="9"/>
  <c r="O93" i="9"/>
  <c r="N93" i="9"/>
  <c r="M93" i="9"/>
  <c r="K93" i="9"/>
  <c r="J93" i="9"/>
  <c r="I93" i="9"/>
  <c r="H93" i="9"/>
  <c r="G93" i="9"/>
  <c r="F93" i="9"/>
  <c r="F98" i="9" s="1"/>
  <c r="E93" i="9"/>
  <c r="U91" i="9"/>
  <c r="S91" i="9"/>
  <c r="R91" i="9"/>
  <c r="N91" i="9"/>
  <c r="M91" i="9"/>
  <c r="L91" i="9"/>
  <c r="G91" i="9"/>
  <c r="F91" i="9"/>
  <c r="E91" i="9"/>
  <c r="U90" i="9"/>
  <c r="T90" i="9"/>
  <c r="S90" i="9"/>
  <c r="N90" i="9"/>
  <c r="M90" i="9"/>
  <c r="L90" i="9"/>
  <c r="G90" i="9"/>
  <c r="F90" i="9"/>
  <c r="E90" i="9"/>
  <c r="S88" i="9"/>
  <c r="N88" i="9"/>
  <c r="M88" i="9"/>
  <c r="L88" i="9"/>
  <c r="G88" i="9"/>
  <c r="F88" i="9"/>
  <c r="E88" i="9"/>
  <c r="U87" i="9"/>
  <c r="S87" i="9"/>
  <c r="S89" i="9" s="1"/>
  <c r="N87" i="9"/>
  <c r="M87" i="9"/>
  <c r="K87" i="9"/>
  <c r="I87" i="9"/>
  <c r="H87" i="9"/>
  <c r="G87" i="9"/>
  <c r="F87" i="9"/>
  <c r="E87" i="9"/>
  <c r="U86" i="9"/>
  <c r="S86" i="9"/>
  <c r="N86" i="9"/>
  <c r="M86" i="9"/>
  <c r="K86" i="9"/>
  <c r="I86" i="9"/>
  <c r="H86" i="9"/>
  <c r="G86" i="9"/>
  <c r="F86" i="9"/>
  <c r="E86" i="9"/>
  <c r="Q85" i="9"/>
  <c r="P85" i="9"/>
  <c r="O85" i="9"/>
  <c r="N85" i="9"/>
  <c r="M85" i="9"/>
  <c r="K85" i="9"/>
  <c r="J85" i="9"/>
  <c r="I85" i="9"/>
  <c r="H85" i="9"/>
  <c r="G85" i="9"/>
  <c r="F85" i="9"/>
  <c r="E85" i="9"/>
  <c r="Q84" i="9"/>
  <c r="Q92" i="9" s="1"/>
  <c r="P84" i="9"/>
  <c r="O84" i="9"/>
  <c r="N84" i="9"/>
  <c r="M84" i="9"/>
  <c r="M89" i="9" s="1"/>
  <c r="M92" i="9" s="1"/>
  <c r="K84" i="9"/>
  <c r="J84" i="9"/>
  <c r="J92" i="9" s="1"/>
  <c r="I84" i="9"/>
  <c r="H84" i="9"/>
  <c r="G84" i="9"/>
  <c r="G89" i="9" s="1"/>
  <c r="F84" i="9"/>
  <c r="E84" i="9"/>
  <c r="E89" i="9" s="1"/>
  <c r="U82" i="9"/>
  <c r="S82" i="9"/>
  <c r="R82" i="9"/>
  <c r="N82" i="9"/>
  <c r="M82" i="9"/>
  <c r="L82" i="9"/>
  <c r="G82" i="9"/>
  <c r="F82" i="9"/>
  <c r="E82" i="9"/>
  <c r="U81" i="9"/>
  <c r="T81" i="9"/>
  <c r="S81" i="9"/>
  <c r="N81" i="9"/>
  <c r="M81" i="9"/>
  <c r="L81" i="9"/>
  <c r="G81" i="9"/>
  <c r="F81" i="9"/>
  <c r="E81" i="9"/>
  <c r="S79" i="9"/>
  <c r="R79" i="9"/>
  <c r="N79" i="9"/>
  <c r="M79" i="9"/>
  <c r="L79" i="9"/>
  <c r="G79" i="9"/>
  <c r="F79" i="9"/>
  <c r="E79" i="9"/>
  <c r="U78" i="9"/>
  <c r="S78" i="9"/>
  <c r="R78" i="9"/>
  <c r="N78" i="9"/>
  <c r="M78" i="9"/>
  <c r="K78" i="9"/>
  <c r="I78" i="9"/>
  <c r="H78" i="9"/>
  <c r="G78" i="9"/>
  <c r="F78" i="9"/>
  <c r="E78" i="9"/>
  <c r="U77" i="9"/>
  <c r="S77" i="9"/>
  <c r="R77" i="9"/>
  <c r="N77" i="9"/>
  <c r="M77" i="9"/>
  <c r="K77" i="9"/>
  <c r="I77" i="9"/>
  <c r="H77" i="9"/>
  <c r="G77" i="9"/>
  <c r="F77" i="9"/>
  <c r="E77" i="9"/>
  <c r="Q76" i="9"/>
  <c r="P76" i="9"/>
  <c r="O76" i="9"/>
  <c r="N76" i="9"/>
  <c r="M76" i="9"/>
  <c r="K76" i="9"/>
  <c r="J76" i="9"/>
  <c r="I76" i="9"/>
  <c r="H76" i="9"/>
  <c r="G76" i="9"/>
  <c r="F76" i="9"/>
  <c r="E76" i="9"/>
  <c r="Q75" i="9"/>
  <c r="P75" i="9"/>
  <c r="O75" i="9"/>
  <c r="N75" i="9"/>
  <c r="M75" i="9"/>
  <c r="K75" i="9"/>
  <c r="J75" i="9"/>
  <c r="J83" i="9" s="1"/>
  <c r="I75" i="9"/>
  <c r="H75" i="9"/>
  <c r="G75" i="9"/>
  <c r="F75" i="9"/>
  <c r="F80" i="9" s="1"/>
  <c r="E75" i="9"/>
  <c r="U73" i="9"/>
  <c r="S73" i="9"/>
  <c r="R73" i="9"/>
  <c r="N73" i="9"/>
  <c r="M73" i="9"/>
  <c r="L73" i="9"/>
  <c r="G73" i="9"/>
  <c r="F73" i="9"/>
  <c r="E73" i="9"/>
  <c r="U72" i="9"/>
  <c r="T72" i="9"/>
  <c r="S72" i="9"/>
  <c r="N72" i="9"/>
  <c r="M72" i="9"/>
  <c r="L72" i="9"/>
  <c r="G72" i="9"/>
  <c r="F72" i="9"/>
  <c r="E72" i="9"/>
  <c r="S70" i="9"/>
  <c r="R70" i="9"/>
  <c r="N70" i="9"/>
  <c r="M70" i="9"/>
  <c r="L70" i="9"/>
  <c r="G70" i="9"/>
  <c r="F70" i="9"/>
  <c r="F71" i="9" s="1"/>
  <c r="E70" i="9"/>
  <c r="U69" i="9"/>
  <c r="S69" i="9"/>
  <c r="R69" i="9"/>
  <c r="N69" i="9"/>
  <c r="M69" i="9"/>
  <c r="K69" i="9"/>
  <c r="I69" i="9"/>
  <c r="H69" i="9"/>
  <c r="G69" i="9"/>
  <c r="F69" i="9"/>
  <c r="E69" i="9"/>
  <c r="U68" i="9"/>
  <c r="U71" i="9" s="1"/>
  <c r="U74" i="9" s="1"/>
  <c r="S68" i="9"/>
  <c r="S71" i="9" s="1"/>
  <c r="R68" i="9"/>
  <c r="R71" i="9" s="1"/>
  <c r="N68" i="9"/>
  <c r="M68" i="9"/>
  <c r="K68" i="9"/>
  <c r="I68" i="9"/>
  <c r="H68" i="9"/>
  <c r="G68" i="9"/>
  <c r="F68" i="9"/>
  <c r="E68" i="9"/>
  <c r="Q67" i="9"/>
  <c r="P67" i="9"/>
  <c r="O67" i="9"/>
  <c r="N67" i="9"/>
  <c r="M67" i="9"/>
  <c r="K67" i="9"/>
  <c r="J67" i="9"/>
  <c r="I67" i="9"/>
  <c r="H67" i="9"/>
  <c r="G67" i="9"/>
  <c r="F67" i="9"/>
  <c r="E67" i="9"/>
  <c r="Q66" i="9"/>
  <c r="Q74" i="9" s="1"/>
  <c r="P66" i="9"/>
  <c r="O66" i="9"/>
  <c r="O74" i="9" s="1"/>
  <c r="N66" i="9"/>
  <c r="M66" i="9"/>
  <c r="K66" i="9"/>
  <c r="J66" i="9"/>
  <c r="J74" i="9" s="1"/>
  <c r="I66" i="9"/>
  <c r="H66" i="9"/>
  <c r="G66" i="9"/>
  <c r="F66" i="9"/>
  <c r="E66" i="9"/>
  <c r="U64" i="9"/>
  <c r="S64" i="9"/>
  <c r="R64" i="9"/>
  <c r="N64" i="9"/>
  <c r="M64" i="9"/>
  <c r="L64" i="9"/>
  <c r="G64" i="9"/>
  <c r="F64" i="9"/>
  <c r="E64" i="9"/>
  <c r="U63" i="9"/>
  <c r="T63" i="9"/>
  <c r="T65" i="9" s="1"/>
  <c r="S63" i="9"/>
  <c r="N63" i="9"/>
  <c r="M63" i="9"/>
  <c r="L63" i="9"/>
  <c r="G63" i="9"/>
  <c r="F63" i="9"/>
  <c r="E63" i="9"/>
  <c r="S61" i="9"/>
  <c r="S62" i="9" s="1"/>
  <c r="N61" i="9"/>
  <c r="M61" i="9"/>
  <c r="L61" i="9"/>
  <c r="G61" i="9"/>
  <c r="F61" i="9"/>
  <c r="F62" i="9" s="1"/>
  <c r="E61" i="9"/>
  <c r="U60" i="9"/>
  <c r="S60" i="9"/>
  <c r="N60" i="9"/>
  <c r="M60" i="9"/>
  <c r="K60" i="9"/>
  <c r="I60" i="9"/>
  <c r="H60" i="9"/>
  <c r="G60" i="9"/>
  <c r="F60" i="9"/>
  <c r="E60" i="9"/>
  <c r="U59" i="9"/>
  <c r="S59" i="9"/>
  <c r="N59" i="9"/>
  <c r="M59" i="9"/>
  <c r="K59" i="9"/>
  <c r="I59" i="9"/>
  <c r="H59" i="9"/>
  <c r="G59" i="9"/>
  <c r="F59" i="9"/>
  <c r="E59" i="9"/>
  <c r="Q58" i="9"/>
  <c r="P58" i="9"/>
  <c r="O58" i="9"/>
  <c r="N58" i="9"/>
  <c r="M58" i="9"/>
  <c r="K58" i="9"/>
  <c r="J58" i="9"/>
  <c r="I58" i="9"/>
  <c r="H58" i="9"/>
  <c r="G58" i="9"/>
  <c r="F58" i="9"/>
  <c r="E58" i="9"/>
  <c r="Q57" i="9"/>
  <c r="Q65" i="9" s="1"/>
  <c r="P57" i="9"/>
  <c r="P65" i="9" s="1"/>
  <c r="O57" i="9"/>
  <c r="O65" i="9" s="1"/>
  <c r="N57" i="9"/>
  <c r="M57" i="9"/>
  <c r="K57" i="9"/>
  <c r="J57" i="9"/>
  <c r="J65" i="9" s="1"/>
  <c r="I57" i="9"/>
  <c r="H57" i="9"/>
  <c r="H65" i="9" s="1"/>
  <c r="G57" i="9"/>
  <c r="F57" i="9"/>
  <c r="E57" i="9"/>
  <c r="U55" i="9"/>
  <c r="S55" i="9"/>
  <c r="R55" i="9"/>
  <c r="N55" i="9"/>
  <c r="M55" i="9"/>
  <c r="L55" i="9"/>
  <c r="G55" i="9"/>
  <c r="F55" i="9"/>
  <c r="E55" i="9"/>
  <c r="U54" i="9"/>
  <c r="T54" i="9"/>
  <c r="S54" i="9"/>
  <c r="N54" i="9"/>
  <c r="M54" i="9"/>
  <c r="L54" i="9"/>
  <c r="G54" i="9"/>
  <c r="F54" i="9"/>
  <c r="E54" i="9"/>
  <c r="S52" i="9"/>
  <c r="N52" i="9"/>
  <c r="M52" i="9"/>
  <c r="L52" i="9"/>
  <c r="G52" i="9"/>
  <c r="G53" i="9" s="1"/>
  <c r="F52" i="9"/>
  <c r="F53" i="9" s="1"/>
  <c r="E52" i="9"/>
  <c r="U51" i="9"/>
  <c r="S51" i="9"/>
  <c r="R51" i="9"/>
  <c r="N51" i="9"/>
  <c r="M51" i="9"/>
  <c r="K51" i="9"/>
  <c r="I51" i="9"/>
  <c r="H51" i="9"/>
  <c r="G51" i="9"/>
  <c r="F51" i="9"/>
  <c r="E51" i="9"/>
  <c r="U50" i="9"/>
  <c r="S50" i="9"/>
  <c r="S53" i="9" s="1"/>
  <c r="R50" i="9"/>
  <c r="R53" i="9" s="1"/>
  <c r="N50" i="9"/>
  <c r="M50" i="9"/>
  <c r="K50" i="9"/>
  <c r="I50" i="9"/>
  <c r="H50" i="9"/>
  <c r="G50" i="9"/>
  <c r="F50" i="9"/>
  <c r="E50" i="9"/>
  <c r="Q49" i="9"/>
  <c r="P49" i="9"/>
  <c r="O49" i="9"/>
  <c r="N49" i="9"/>
  <c r="M49" i="9"/>
  <c r="K49" i="9"/>
  <c r="J49" i="9"/>
  <c r="I49" i="9"/>
  <c r="H49" i="9"/>
  <c r="G49" i="9"/>
  <c r="F49" i="9"/>
  <c r="E49" i="9"/>
  <c r="Q48" i="9"/>
  <c r="Q56" i="9" s="1"/>
  <c r="P48" i="9"/>
  <c r="P56" i="9" s="1"/>
  <c r="O48" i="9"/>
  <c r="O56" i="9" s="1"/>
  <c r="N48" i="9"/>
  <c r="N53" i="9" s="1"/>
  <c r="M48" i="9"/>
  <c r="K48" i="9"/>
  <c r="J48" i="9"/>
  <c r="I48" i="9"/>
  <c r="H48" i="9"/>
  <c r="H56" i="9" s="1"/>
  <c r="G48" i="9"/>
  <c r="F48" i="9"/>
  <c r="E48" i="9"/>
  <c r="U46" i="9"/>
  <c r="S46" i="9"/>
  <c r="R46" i="9"/>
  <c r="N46" i="9"/>
  <c r="M46" i="9"/>
  <c r="L46" i="9"/>
  <c r="G46" i="9"/>
  <c r="F46" i="9"/>
  <c r="E46" i="9"/>
  <c r="U45" i="9"/>
  <c r="T45" i="9"/>
  <c r="S45" i="9"/>
  <c r="R45" i="9"/>
  <c r="N45" i="9"/>
  <c r="M45" i="9"/>
  <c r="L45" i="9"/>
  <c r="G45" i="9"/>
  <c r="F45" i="9"/>
  <c r="E45" i="9"/>
  <c r="S43" i="9"/>
  <c r="N43" i="9"/>
  <c r="M43" i="9"/>
  <c r="L43" i="9"/>
  <c r="G43" i="9"/>
  <c r="F43" i="9"/>
  <c r="E43" i="9"/>
  <c r="E44" i="9" s="1"/>
  <c r="U42" i="9"/>
  <c r="S42" i="9"/>
  <c r="R42" i="9"/>
  <c r="N42" i="9"/>
  <c r="M42" i="9"/>
  <c r="K42" i="9"/>
  <c r="I42" i="9"/>
  <c r="H42" i="9"/>
  <c r="G42" i="9"/>
  <c r="F42" i="9"/>
  <c r="E42" i="9"/>
  <c r="U41" i="9"/>
  <c r="S41" i="9"/>
  <c r="S44" i="9" s="1"/>
  <c r="R41" i="9"/>
  <c r="N41" i="9"/>
  <c r="M41" i="9"/>
  <c r="K41" i="9"/>
  <c r="I41" i="9"/>
  <c r="H41" i="9"/>
  <c r="G41" i="9"/>
  <c r="F41" i="9"/>
  <c r="E41" i="9"/>
  <c r="Q40" i="9"/>
  <c r="P40" i="9"/>
  <c r="O40" i="9"/>
  <c r="N40" i="9"/>
  <c r="M40" i="9"/>
  <c r="K40" i="9"/>
  <c r="J40" i="9"/>
  <c r="I40" i="9"/>
  <c r="H40" i="9"/>
  <c r="G40" i="9"/>
  <c r="F40" i="9"/>
  <c r="E40" i="9"/>
  <c r="Q39" i="9"/>
  <c r="Q47" i="9" s="1"/>
  <c r="P39" i="9"/>
  <c r="P47" i="9" s="1"/>
  <c r="O39" i="9"/>
  <c r="O47" i="9" s="1"/>
  <c r="N39" i="9"/>
  <c r="N44" i="9" s="1"/>
  <c r="M39" i="9"/>
  <c r="M44" i="9" s="1"/>
  <c r="M47" i="9" s="1"/>
  <c r="K39" i="9"/>
  <c r="J39" i="9"/>
  <c r="I39" i="9"/>
  <c r="H39" i="9"/>
  <c r="G39" i="9"/>
  <c r="F39" i="9"/>
  <c r="E39" i="9"/>
  <c r="U37" i="9"/>
  <c r="S37" i="9"/>
  <c r="R37" i="9"/>
  <c r="N37" i="9"/>
  <c r="M37" i="9"/>
  <c r="L37" i="9"/>
  <c r="G37" i="9"/>
  <c r="F37" i="9"/>
  <c r="E37" i="9"/>
  <c r="U36" i="9"/>
  <c r="T36" i="9"/>
  <c r="T38" i="9" s="1"/>
  <c r="S36" i="9"/>
  <c r="N36" i="9"/>
  <c r="M36" i="9"/>
  <c r="L36" i="9"/>
  <c r="G36" i="9"/>
  <c r="F36" i="9"/>
  <c r="E36" i="9"/>
  <c r="S34" i="9"/>
  <c r="N34" i="9"/>
  <c r="M34" i="9"/>
  <c r="L34" i="9"/>
  <c r="L35" i="9" s="1"/>
  <c r="G34" i="9"/>
  <c r="F34" i="9"/>
  <c r="F35" i="9" s="1"/>
  <c r="E34" i="9"/>
  <c r="U33" i="9"/>
  <c r="S33" i="9"/>
  <c r="N33" i="9"/>
  <c r="M33" i="9"/>
  <c r="K33" i="9"/>
  <c r="I33" i="9"/>
  <c r="I38" i="9" s="1"/>
  <c r="H33" i="9"/>
  <c r="H38" i="9" s="1"/>
  <c r="G33" i="9"/>
  <c r="F33" i="9"/>
  <c r="E33" i="9"/>
  <c r="U32" i="9"/>
  <c r="U35" i="9" s="1"/>
  <c r="U38" i="9" s="1"/>
  <c r="S32" i="9"/>
  <c r="S35" i="9" s="1"/>
  <c r="R32" i="9"/>
  <c r="N32" i="9"/>
  <c r="M32" i="9"/>
  <c r="M35" i="9" s="1"/>
  <c r="M38" i="9" s="1"/>
  <c r="K32" i="9"/>
  <c r="I32" i="9"/>
  <c r="H32" i="9"/>
  <c r="G32" i="9"/>
  <c r="F32" i="9"/>
  <c r="E32" i="9"/>
  <c r="Q31" i="9"/>
  <c r="P31" i="9"/>
  <c r="O31" i="9"/>
  <c r="N31" i="9"/>
  <c r="M31" i="9"/>
  <c r="K31" i="9"/>
  <c r="J31" i="9"/>
  <c r="I31" i="9"/>
  <c r="H31" i="9"/>
  <c r="G31" i="9"/>
  <c r="F31" i="9"/>
  <c r="E31" i="9"/>
  <c r="Q30" i="9"/>
  <c r="Q38" i="9" s="1"/>
  <c r="P30" i="9"/>
  <c r="P38" i="9" s="1"/>
  <c r="O30" i="9"/>
  <c r="O38" i="9" s="1"/>
  <c r="N30" i="9"/>
  <c r="M30" i="9"/>
  <c r="K30" i="9"/>
  <c r="K38" i="9" s="1"/>
  <c r="J30" i="9"/>
  <c r="I30" i="9"/>
  <c r="H30" i="9"/>
  <c r="G30" i="9"/>
  <c r="G35" i="9" s="1"/>
  <c r="G38" i="9" s="1"/>
  <c r="F30" i="9"/>
  <c r="E30" i="9"/>
  <c r="U28" i="9"/>
  <c r="S28" i="9"/>
  <c r="R28" i="9"/>
  <c r="N28" i="9"/>
  <c r="M28" i="9"/>
  <c r="L28" i="9"/>
  <c r="G28" i="9"/>
  <c r="F28" i="9"/>
  <c r="E28" i="9"/>
  <c r="U27" i="9"/>
  <c r="T27" i="9"/>
  <c r="S27" i="9"/>
  <c r="R27" i="9"/>
  <c r="N27" i="9"/>
  <c r="M27" i="9"/>
  <c r="L27" i="9"/>
  <c r="G27" i="9"/>
  <c r="F27" i="9"/>
  <c r="E27" i="9"/>
  <c r="S25" i="9"/>
  <c r="N25" i="9"/>
  <c r="M25" i="9"/>
  <c r="L25" i="9"/>
  <c r="L26" i="9" s="1"/>
  <c r="G25" i="9"/>
  <c r="F25" i="9"/>
  <c r="E25" i="9"/>
  <c r="U24" i="9"/>
  <c r="S24" i="9"/>
  <c r="N24" i="9"/>
  <c r="M24" i="9"/>
  <c r="K24" i="9"/>
  <c r="I24" i="9"/>
  <c r="I29" i="9" s="1"/>
  <c r="H24" i="9"/>
  <c r="G24" i="9"/>
  <c r="F24" i="9"/>
  <c r="E24" i="9"/>
  <c r="U23" i="9"/>
  <c r="U26" i="9" s="1"/>
  <c r="U29" i="9" s="1"/>
  <c r="S23" i="9"/>
  <c r="S26" i="9" s="1"/>
  <c r="S29" i="9" s="1"/>
  <c r="N23" i="9"/>
  <c r="M23" i="9"/>
  <c r="K23" i="9"/>
  <c r="I23" i="9"/>
  <c r="H23" i="9"/>
  <c r="G23" i="9"/>
  <c r="F23" i="9"/>
  <c r="E23" i="9"/>
  <c r="Q22" i="9"/>
  <c r="P22" i="9"/>
  <c r="O22" i="9"/>
  <c r="N22" i="9"/>
  <c r="M22" i="9"/>
  <c r="K22" i="9"/>
  <c r="J22" i="9"/>
  <c r="I22" i="9"/>
  <c r="H22" i="9"/>
  <c r="G22" i="9"/>
  <c r="F22" i="9"/>
  <c r="E22" i="9"/>
  <c r="Q21" i="9"/>
  <c r="Q29" i="9" s="1"/>
  <c r="P21" i="9"/>
  <c r="P29" i="9" s="1"/>
  <c r="O21" i="9"/>
  <c r="O29" i="9" s="1"/>
  <c r="N21" i="9"/>
  <c r="M21" i="9"/>
  <c r="K21" i="9"/>
  <c r="J21" i="9"/>
  <c r="I21" i="9"/>
  <c r="H21" i="9"/>
  <c r="G21" i="9"/>
  <c r="F21" i="9"/>
  <c r="E21" i="9"/>
  <c r="E26" i="9" s="1"/>
  <c r="E29" i="9" s="1"/>
  <c r="L134" i="9"/>
  <c r="N134" i="9"/>
  <c r="U116" i="9"/>
  <c r="S116" i="9"/>
  <c r="N116" i="9"/>
  <c r="U98" i="9"/>
  <c r="S98" i="9"/>
  <c r="G98" i="9"/>
  <c r="U89" i="9"/>
  <c r="L89" i="9"/>
  <c r="U80" i="9"/>
  <c r="L80" i="9"/>
  <c r="S80" i="9"/>
  <c r="Q83" i="9"/>
  <c r="G80" i="9"/>
  <c r="L71" i="9"/>
  <c r="G71" i="9"/>
  <c r="L62" i="9"/>
  <c r="U62" i="9"/>
  <c r="U65" i="9" s="1"/>
  <c r="G62" i="9"/>
  <c r="U53" i="9"/>
  <c r="U56" i="9" s="1"/>
  <c r="L53" i="9"/>
  <c r="L44" i="9"/>
  <c r="G44" i="9"/>
  <c r="N26" i="9"/>
  <c r="G26" i="9"/>
  <c r="F26" i="9"/>
  <c r="S18" i="9"/>
  <c r="J38" i="9"/>
  <c r="T29" i="9"/>
  <c r="K29" i="9"/>
  <c r="J29" i="9"/>
  <c r="S19" i="9"/>
  <c r="R18" i="9"/>
  <c r="S16" i="9"/>
  <c r="S15" i="9"/>
  <c r="S14" i="9"/>
  <c r="U15" i="9"/>
  <c r="U14" i="9"/>
  <c r="R19" i="9"/>
  <c r="U19" i="9"/>
  <c r="U18" i="9"/>
  <c r="T18" i="9"/>
  <c r="N19" i="9"/>
  <c r="M19" i="9"/>
  <c r="L19" i="9"/>
  <c r="G19" i="9"/>
  <c r="F19" i="9"/>
  <c r="E19" i="9"/>
  <c r="P101" i="9"/>
  <c r="O101" i="9"/>
  <c r="J101" i="9"/>
  <c r="T92" i="9"/>
  <c r="T74" i="9"/>
  <c r="T56" i="9"/>
  <c r="N18" i="9"/>
  <c r="M18" i="9"/>
  <c r="L18" i="9"/>
  <c r="G18" i="9"/>
  <c r="F18" i="9"/>
  <c r="E18" i="9"/>
  <c r="N16" i="9"/>
  <c r="M16" i="9"/>
  <c r="L16" i="9"/>
  <c r="G16" i="9"/>
  <c r="F16" i="9"/>
  <c r="E16" i="9"/>
  <c r="N15" i="9"/>
  <c r="M15" i="9"/>
  <c r="M17" i="9" s="1"/>
  <c r="M20" i="9" s="1"/>
  <c r="K15" i="9"/>
  <c r="I15" i="9"/>
  <c r="H15" i="9"/>
  <c r="G15" i="9"/>
  <c r="F15" i="9"/>
  <c r="E15" i="9"/>
  <c r="N14" i="9"/>
  <c r="M14" i="9"/>
  <c r="K14" i="9"/>
  <c r="I14" i="9"/>
  <c r="H14" i="9"/>
  <c r="G14" i="9"/>
  <c r="F14" i="9"/>
  <c r="E14" i="9"/>
  <c r="Q13" i="9"/>
  <c r="P13" i="9"/>
  <c r="O13" i="9"/>
  <c r="N13" i="9"/>
  <c r="M13" i="9"/>
  <c r="K13" i="9"/>
  <c r="J13" i="9"/>
  <c r="I13" i="9"/>
  <c r="H13" i="9"/>
  <c r="G13" i="9"/>
  <c r="F13" i="9"/>
  <c r="E13" i="9"/>
  <c r="Q12" i="9"/>
  <c r="Q20" i="9" s="1"/>
  <c r="P12" i="9"/>
  <c r="P20" i="9" s="1"/>
  <c r="O12" i="9"/>
  <c r="N12" i="9"/>
  <c r="M12" i="9"/>
  <c r="K12" i="9"/>
  <c r="J12" i="9"/>
  <c r="J20" i="9" s="1"/>
  <c r="I12" i="9"/>
  <c r="H12" i="9"/>
  <c r="G12" i="9"/>
  <c r="F12" i="9"/>
  <c r="E12" i="9"/>
  <c r="J137" i="9"/>
  <c r="O128" i="9"/>
  <c r="J128" i="9"/>
  <c r="P119" i="9"/>
  <c r="T110" i="9"/>
  <c r="O110" i="9"/>
  <c r="P92" i="9"/>
  <c r="O92" i="9"/>
  <c r="T83" i="9"/>
  <c r="P83" i="9"/>
  <c r="O83" i="9"/>
  <c r="P74" i="9"/>
  <c r="J56" i="9"/>
  <c r="T47" i="9"/>
  <c r="J47" i="9"/>
  <c r="T20" i="9"/>
  <c r="L17" i="9"/>
  <c r="S17" i="9"/>
  <c r="S20" i="9" s="1"/>
  <c r="O20" i="9"/>
  <c r="BS6" i="5"/>
  <c r="R23" i="9" s="1"/>
  <c r="BT6" i="5"/>
  <c r="R24" i="9" s="1"/>
  <c r="R26" i="9" s="1"/>
  <c r="R29" i="9" s="1"/>
  <c r="BU6" i="5"/>
  <c r="R25" i="9" s="1"/>
  <c r="BV6" i="5"/>
  <c r="BS7" i="5"/>
  <c r="BT7" i="5"/>
  <c r="R33" i="9" s="1"/>
  <c r="BU7" i="5"/>
  <c r="R34" i="9" s="1"/>
  <c r="BV7" i="5"/>
  <c r="R36" i="9" s="1"/>
  <c r="BS8" i="5"/>
  <c r="BT8" i="5"/>
  <c r="BU8" i="5"/>
  <c r="R43" i="9" s="1"/>
  <c r="BV8" i="5"/>
  <c r="BS9" i="5"/>
  <c r="BT9" i="5"/>
  <c r="BU9" i="5"/>
  <c r="R52" i="9" s="1"/>
  <c r="BV9" i="5"/>
  <c r="R54" i="9" s="1"/>
  <c r="BS10" i="5"/>
  <c r="R59" i="9" s="1"/>
  <c r="BT10" i="5"/>
  <c r="R60" i="9" s="1"/>
  <c r="BU10" i="5"/>
  <c r="R61" i="9" s="1"/>
  <c r="BV10" i="5"/>
  <c r="R63" i="9" s="1"/>
  <c r="BS11" i="5"/>
  <c r="BT11" i="5"/>
  <c r="BU11" i="5"/>
  <c r="BV11" i="5"/>
  <c r="R72" i="9" s="1"/>
  <c r="BS12" i="5"/>
  <c r="BT12" i="5"/>
  <c r="BU12" i="5"/>
  <c r="BV12" i="5"/>
  <c r="R81" i="9" s="1"/>
  <c r="BS13" i="5"/>
  <c r="R86" i="9" s="1"/>
  <c r="BT13" i="5"/>
  <c r="R87" i="9" s="1"/>
  <c r="BU13" i="5"/>
  <c r="R88" i="9" s="1"/>
  <c r="BV13" i="5"/>
  <c r="R90" i="9" s="1"/>
  <c r="BS14" i="5"/>
  <c r="R95" i="9" s="1"/>
  <c r="BT14" i="5"/>
  <c r="R96" i="9" s="1"/>
  <c r="BU14" i="5"/>
  <c r="BV14" i="5"/>
  <c r="R99" i="9" s="1"/>
  <c r="BS15" i="5"/>
  <c r="R104" i="9" s="1"/>
  <c r="BT15" i="5"/>
  <c r="R105" i="9" s="1"/>
  <c r="R107" i="9" s="1"/>
  <c r="R110" i="9" s="1"/>
  <c r="BU15" i="5"/>
  <c r="BV15" i="5"/>
  <c r="BS16" i="5"/>
  <c r="R113" i="9" s="1"/>
  <c r="BT16" i="5"/>
  <c r="R114" i="9" s="1"/>
  <c r="BU16" i="5"/>
  <c r="R115" i="9" s="1"/>
  <c r="BV16" i="5"/>
  <c r="R117" i="9" s="1"/>
  <c r="BS17" i="5"/>
  <c r="BT17" i="5"/>
  <c r="R123" i="9" s="1"/>
  <c r="R125" i="9" s="1"/>
  <c r="BU17" i="5"/>
  <c r="BV17" i="5"/>
  <c r="BS18" i="5"/>
  <c r="R131" i="9" s="1"/>
  <c r="BT18" i="5"/>
  <c r="R132" i="9" s="1"/>
  <c r="R134" i="9" s="1"/>
  <c r="R137" i="9" s="1"/>
  <c r="BU18" i="5"/>
  <c r="R133" i="9" s="1"/>
  <c r="BV18" i="5"/>
  <c r="BU5" i="5"/>
  <c r="R16" i="9" s="1"/>
  <c r="BT5" i="5"/>
  <c r="R15" i="9" s="1"/>
  <c r="BS5" i="5"/>
  <c r="R14" i="9" s="1"/>
  <c r="R17" i="9" s="1"/>
  <c r="R62" i="9" l="1"/>
  <c r="R65" i="9" s="1"/>
  <c r="R98" i="9"/>
  <c r="R101" i="9" s="1"/>
  <c r="R89" i="9"/>
  <c r="R35" i="9"/>
  <c r="R38" i="9" s="1"/>
  <c r="R74" i="9"/>
  <c r="R116" i="9"/>
  <c r="R119" i="9" s="1"/>
  <c r="R44" i="9"/>
  <c r="R47" i="9" s="1"/>
  <c r="H101" i="9"/>
  <c r="M71" i="9"/>
  <c r="M74" i="9" s="1"/>
  <c r="G116" i="9"/>
  <c r="H29" i="9"/>
  <c r="E62" i="9"/>
  <c r="E65" i="9" s="1"/>
  <c r="M98" i="9"/>
  <c r="E71" i="9"/>
  <c r="N98" i="9"/>
  <c r="N107" i="9"/>
  <c r="H92" i="9"/>
  <c r="U44" i="9"/>
  <c r="U47" i="9" s="1"/>
  <c r="H128" i="9"/>
  <c r="E80" i="9"/>
  <c r="E83" i="9" s="1"/>
  <c r="M116" i="9"/>
  <c r="M119" i="9" s="1"/>
  <c r="M62" i="9"/>
  <c r="M65" i="9" s="1"/>
  <c r="Q137" i="9"/>
  <c r="U101" i="9"/>
  <c r="E35" i="9"/>
  <c r="E38" i="9" s="1"/>
  <c r="H20" i="9"/>
  <c r="U83" i="9"/>
  <c r="M80" i="9"/>
  <c r="M83" i="9" s="1"/>
  <c r="U119" i="9"/>
  <c r="E53" i="9"/>
  <c r="F44" i="9"/>
  <c r="H137" i="9"/>
  <c r="F89" i="9"/>
  <c r="F92" i="9" s="1"/>
  <c r="M125" i="9"/>
  <c r="M128" i="9" s="1"/>
  <c r="E134" i="9"/>
  <c r="E137" i="9" s="1"/>
  <c r="N80" i="9"/>
  <c r="N83" i="9" s="1"/>
  <c r="M26" i="9"/>
  <c r="M29" i="9" s="1"/>
  <c r="M53" i="9"/>
  <c r="M56" i="9" s="1"/>
  <c r="N62" i="9"/>
  <c r="N71" i="9"/>
  <c r="R80" i="9"/>
  <c r="R83" i="9" s="1"/>
  <c r="N89" i="9"/>
  <c r="U92" i="9"/>
  <c r="M134" i="9"/>
  <c r="N35" i="9"/>
  <c r="N38" i="9" s="1"/>
  <c r="E98" i="9"/>
  <c r="E101" i="9" s="1"/>
  <c r="E107" i="9"/>
  <c r="E110" i="9" s="1"/>
  <c r="F107" i="9"/>
  <c r="F110" i="9" s="1"/>
  <c r="S134" i="9"/>
  <c r="S17" i="11"/>
  <c r="S20" i="11" s="1"/>
  <c r="L20" i="11"/>
  <c r="F26" i="11"/>
  <c r="F29" i="11" s="1"/>
  <c r="M35" i="11"/>
  <c r="M38" i="11" s="1"/>
  <c r="F44" i="11"/>
  <c r="F47" i="11" s="1"/>
  <c r="K47" i="11"/>
  <c r="S44" i="11"/>
  <c r="S47" i="11" s="1"/>
  <c r="G44" i="11"/>
  <c r="G47" i="11" s="1"/>
  <c r="L47" i="11"/>
  <c r="G53" i="11"/>
  <c r="G56" i="11" s="1"/>
  <c r="K56" i="11"/>
  <c r="G62" i="11"/>
  <c r="G65" i="11" s="1"/>
  <c r="K65" i="11"/>
  <c r="E71" i="11"/>
  <c r="E74" i="11" s="1"/>
  <c r="I74" i="11"/>
  <c r="N71" i="11"/>
  <c r="N74" i="11" s="1"/>
  <c r="U80" i="11"/>
  <c r="U83" i="11" s="1"/>
  <c r="H92" i="11"/>
  <c r="M89" i="11"/>
  <c r="M92" i="11" s="1"/>
  <c r="H101" i="11"/>
  <c r="M98" i="11"/>
  <c r="M101" i="11" s="1"/>
  <c r="E98" i="11"/>
  <c r="E101" i="11" s="1"/>
  <c r="I101" i="11"/>
  <c r="F107" i="11"/>
  <c r="F110" i="11" s="1"/>
  <c r="H119" i="11"/>
  <c r="G278" i="11"/>
  <c r="G281" i="11" s="1"/>
  <c r="N299" i="11"/>
  <c r="N344" i="11"/>
  <c r="F344" i="11"/>
  <c r="G17" i="11"/>
  <c r="G20" i="11" s="1"/>
  <c r="K20" i="11"/>
  <c r="G26" i="11"/>
  <c r="G29" i="11" s="1"/>
  <c r="K29" i="11"/>
  <c r="E35" i="11"/>
  <c r="E38" i="11" s="1"/>
  <c r="N35" i="11"/>
  <c r="N38" i="11" s="1"/>
  <c r="M53" i="11"/>
  <c r="M56" i="11" s="1"/>
  <c r="M62" i="11"/>
  <c r="M65" i="11" s="1"/>
  <c r="F71" i="11"/>
  <c r="F74" i="11" s="1"/>
  <c r="M80" i="11"/>
  <c r="M83" i="11" s="1"/>
  <c r="E89" i="11"/>
  <c r="E92" i="11" s="1"/>
  <c r="N89" i="11"/>
  <c r="N92" i="11" s="1"/>
  <c r="N98" i="11"/>
  <c r="N101" i="11" s="1"/>
  <c r="G107" i="11"/>
  <c r="G110" i="11" s="1"/>
  <c r="K110" i="11"/>
  <c r="U110" i="11"/>
  <c r="E116" i="11"/>
  <c r="E119" i="11" s="1"/>
  <c r="N116" i="11"/>
  <c r="N119" i="11" s="1"/>
  <c r="U263" i="11"/>
  <c r="L344" i="11"/>
  <c r="H20" i="11"/>
  <c r="M17" i="11"/>
  <c r="M20" i="11" s="1"/>
  <c r="H29" i="11"/>
  <c r="M26" i="11"/>
  <c r="M29" i="11" s="1"/>
  <c r="E26" i="11"/>
  <c r="E29" i="11" s="1"/>
  <c r="I29" i="11"/>
  <c r="F35" i="11"/>
  <c r="F38" i="11" s="1"/>
  <c r="H47" i="11"/>
  <c r="M44" i="11"/>
  <c r="M47" i="11" s="1"/>
  <c r="E53" i="11"/>
  <c r="E56" i="11" s="1"/>
  <c r="I56" i="11"/>
  <c r="N53" i="11"/>
  <c r="N56" i="11" s="1"/>
  <c r="F53" i="11"/>
  <c r="F56" i="11" s="1"/>
  <c r="N62" i="11"/>
  <c r="N65" i="11" s="1"/>
  <c r="G71" i="11"/>
  <c r="G74" i="11" s="1"/>
  <c r="K74" i="11"/>
  <c r="U71" i="11"/>
  <c r="U74" i="11" s="1"/>
  <c r="H74" i="11"/>
  <c r="E80" i="11"/>
  <c r="E83" i="11" s="1"/>
  <c r="I83" i="11"/>
  <c r="N80" i="11"/>
  <c r="N83" i="11" s="1"/>
  <c r="S89" i="11"/>
  <c r="S92" i="11" s="1"/>
  <c r="F98" i="11"/>
  <c r="F101" i="11" s="1"/>
  <c r="M107" i="11"/>
  <c r="M110" i="11" s="1"/>
  <c r="F119" i="11"/>
  <c r="K119" i="11"/>
  <c r="S119" i="11"/>
  <c r="G116" i="11"/>
  <c r="G119" i="11" s="1"/>
  <c r="L119" i="11"/>
  <c r="H128" i="11"/>
  <c r="M125" i="11"/>
  <c r="M128" i="11" s="1"/>
  <c r="U245" i="11"/>
  <c r="M260" i="11"/>
  <c r="M263" i="11" s="1"/>
  <c r="L272" i="11"/>
  <c r="M116" i="11"/>
  <c r="M119" i="11" s="1"/>
  <c r="E125" i="11"/>
  <c r="E128" i="11" s="1"/>
  <c r="I128" i="11"/>
  <c r="N125" i="11"/>
  <c r="N128" i="11" s="1"/>
  <c r="F125" i="11"/>
  <c r="F128" i="11" s="1"/>
  <c r="N134" i="11"/>
  <c r="N137" i="11" s="1"/>
  <c r="G143" i="11"/>
  <c r="G146" i="11" s="1"/>
  <c r="K146" i="11"/>
  <c r="U143" i="11"/>
  <c r="U146" i="11" s="1"/>
  <c r="H146" i="11"/>
  <c r="E152" i="11"/>
  <c r="E155" i="11" s="1"/>
  <c r="I155" i="11"/>
  <c r="N152" i="11"/>
  <c r="N155" i="11" s="1"/>
  <c r="I173" i="11"/>
  <c r="L182" i="11"/>
  <c r="K191" i="11"/>
  <c r="M197" i="11"/>
  <c r="M200" i="11" s="1"/>
  <c r="I209" i="11"/>
  <c r="N206" i="11"/>
  <c r="N209" i="11" s="1"/>
  <c r="E215" i="11"/>
  <c r="E218" i="11" s="1"/>
  <c r="I218" i="11"/>
  <c r="N215" i="11"/>
  <c r="N218" i="11" s="1"/>
  <c r="F215" i="11"/>
  <c r="F218" i="11" s="1"/>
  <c r="K227" i="11"/>
  <c r="S224" i="11"/>
  <c r="S227" i="11" s="1"/>
  <c r="G224" i="11"/>
  <c r="G227" i="11" s="1"/>
  <c r="L227" i="11"/>
  <c r="G233" i="11"/>
  <c r="G236" i="11" s="1"/>
  <c r="K236" i="11"/>
  <c r="U233" i="11"/>
  <c r="U236" i="11" s="1"/>
  <c r="H245" i="11"/>
  <c r="M242" i="11"/>
  <c r="M245" i="11" s="1"/>
  <c r="E242" i="11"/>
  <c r="E245" i="11" s="1"/>
  <c r="I245" i="11"/>
  <c r="E251" i="11"/>
  <c r="E254" i="11" s="1"/>
  <c r="I254" i="11"/>
  <c r="N251" i="11"/>
  <c r="N254" i="11" s="1"/>
  <c r="H263" i="11"/>
  <c r="E260" i="11"/>
  <c r="E263" i="11" s="1"/>
  <c r="U278" i="11"/>
  <c r="U281" i="11" s="1"/>
  <c r="E287" i="11"/>
  <c r="E290" i="11" s="1"/>
  <c r="I290" i="11"/>
  <c r="F296" i="11"/>
  <c r="F299" i="11" s="1"/>
  <c r="K299" i="11"/>
  <c r="S296" i="11"/>
  <c r="S299" i="11" s="1"/>
  <c r="G296" i="11"/>
  <c r="G299" i="11" s="1"/>
  <c r="L299" i="11"/>
  <c r="I308" i="11"/>
  <c r="F305" i="11"/>
  <c r="F308" i="11" s="1"/>
  <c r="F314" i="11"/>
  <c r="F317" i="11" s="1"/>
  <c r="K317" i="11"/>
  <c r="S314" i="11"/>
  <c r="S317" i="11" s="1"/>
  <c r="G314" i="11"/>
  <c r="G317" i="11" s="1"/>
  <c r="L317" i="11"/>
  <c r="F332" i="11"/>
  <c r="F335" i="11" s="1"/>
  <c r="K335" i="11"/>
  <c r="S332" i="11"/>
  <c r="S335" i="11" s="1"/>
  <c r="G332" i="11"/>
  <c r="G335" i="11" s="1"/>
  <c r="L335" i="11"/>
  <c r="G350" i="11"/>
  <c r="G353" i="11" s="1"/>
  <c r="K353" i="11"/>
  <c r="U350" i="11"/>
  <c r="U353" i="11" s="1"/>
  <c r="N359" i="11"/>
  <c r="N362" i="11" s="1"/>
  <c r="S128" i="11"/>
  <c r="L128" i="11"/>
  <c r="F134" i="11"/>
  <c r="F137" i="11" s="1"/>
  <c r="M143" i="11"/>
  <c r="M146" i="11" s="1"/>
  <c r="F152" i="11"/>
  <c r="F155" i="11" s="1"/>
  <c r="K155" i="11"/>
  <c r="S155" i="11"/>
  <c r="G152" i="11"/>
  <c r="G155" i="11" s="1"/>
  <c r="U152" i="11"/>
  <c r="U155" i="11" s="1"/>
  <c r="L155" i="11"/>
  <c r="G161" i="11"/>
  <c r="G164" i="11" s="1"/>
  <c r="K164" i="11"/>
  <c r="S173" i="11"/>
  <c r="L173" i="11"/>
  <c r="U182" i="11"/>
  <c r="M188" i="11"/>
  <c r="M191" i="11" s="1"/>
  <c r="E188" i="11"/>
  <c r="E191" i="11" s="1"/>
  <c r="I191" i="11"/>
  <c r="E197" i="11"/>
  <c r="E200" i="11" s="1"/>
  <c r="N197" i="11"/>
  <c r="N200" i="11" s="1"/>
  <c r="F197" i="11"/>
  <c r="F200" i="11" s="1"/>
  <c r="F206" i="11"/>
  <c r="F209" i="11" s="1"/>
  <c r="K209" i="11"/>
  <c r="S209" i="11"/>
  <c r="G206" i="11"/>
  <c r="G209" i="11" s="1"/>
  <c r="L209" i="11"/>
  <c r="L218" i="11"/>
  <c r="M233" i="11"/>
  <c r="M236" i="11" s="1"/>
  <c r="N242" i="11"/>
  <c r="N245" i="11" s="1"/>
  <c r="S254" i="11"/>
  <c r="L254" i="11"/>
  <c r="N260" i="11"/>
  <c r="N263" i="11" s="1"/>
  <c r="G269" i="11"/>
  <c r="G272" i="11" s="1"/>
  <c r="K272" i="11"/>
  <c r="M278" i="11"/>
  <c r="M281" i="11" s="1"/>
  <c r="E281" i="11"/>
  <c r="S290" i="11"/>
  <c r="H326" i="11"/>
  <c r="G341" i="11"/>
  <c r="K344" i="11"/>
  <c r="M350" i="11"/>
  <c r="F359" i="11"/>
  <c r="K362" i="11"/>
  <c r="N146" i="11"/>
  <c r="L164" i="11"/>
  <c r="G173" i="11"/>
  <c r="M227" i="11"/>
  <c r="E224" i="11"/>
  <c r="E227" i="11" s="1"/>
  <c r="I227" i="11"/>
  <c r="E236" i="11"/>
  <c r="F233" i="11"/>
  <c r="F236" i="11" s="1"/>
  <c r="F245" i="11"/>
  <c r="K245" i="11"/>
  <c r="U251" i="11"/>
  <c r="U254" i="11" s="1"/>
  <c r="H254" i="11"/>
  <c r="F263" i="11"/>
  <c r="K263" i="11"/>
  <c r="S260" i="11"/>
  <c r="S263" i="11" s="1"/>
  <c r="G260" i="11"/>
  <c r="G263" i="11" s="1"/>
  <c r="L263" i="11"/>
  <c r="M269" i="11"/>
  <c r="M272" i="11" s="1"/>
  <c r="N278" i="11"/>
  <c r="N281" i="11" s="1"/>
  <c r="G287" i="11"/>
  <c r="G290" i="11" s="1"/>
  <c r="K290" i="11"/>
  <c r="U287" i="11"/>
  <c r="U290" i="11" s="1"/>
  <c r="H290" i="11"/>
  <c r="H299" i="11"/>
  <c r="E296" i="11"/>
  <c r="E299" i="11" s="1"/>
  <c r="I299" i="11"/>
  <c r="G305" i="11"/>
  <c r="G308" i="11" s="1"/>
  <c r="K308" i="11"/>
  <c r="U305" i="11"/>
  <c r="U308" i="11" s="1"/>
  <c r="H308" i="11"/>
  <c r="H317" i="11"/>
  <c r="E314" i="11"/>
  <c r="E317" i="11" s="1"/>
  <c r="I317" i="11"/>
  <c r="M326" i="11"/>
  <c r="M335" i="11"/>
  <c r="E332" i="11"/>
  <c r="E335" i="11" s="1"/>
  <c r="S362" i="11"/>
  <c r="N170" i="11"/>
  <c r="N173" i="11" s="1"/>
  <c r="S179" i="11"/>
  <c r="S182" i="11" s="1"/>
  <c r="N188" i="11"/>
  <c r="N191" i="11" s="1"/>
  <c r="U200" i="11"/>
  <c r="U206" i="11"/>
  <c r="U209" i="11" s="1"/>
  <c r="S215" i="11"/>
  <c r="S218" i="11" s="1"/>
  <c r="N224" i="11"/>
  <c r="N227" i="11" s="1"/>
  <c r="L245" i="11"/>
  <c r="M290" i="11"/>
  <c r="M305" i="11"/>
  <c r="M308" i="11" s="1"/>
  <c r="U314" i="11"/>
  <c r="U317" i="11" s="1"/>
  <c r="F170" i="11"/>
  <c r="F173" i="11" s="1"/>
  <c r="G179" i="11"/>
  <c r="G182" i="11" s="1"/>
  <c r="K182" i="11"/>
  <c r="F188" i="11"/>
  <c r="F191" i="11" s="1"/>
  <c r="M206" i="11"/>
  <c r="M209" i="11" s="1"/>
  <c r="G215" i="11"/>
  <c r="G218" i="11" s="1"/>
  <c r="K218" i="11"/>
  <c r="F224" i="11"/>
  <c r="F227" i="11" s="1"/>
  <c r="L281" i="11"/>
  <c r="E305" i="11"/>
  <c r="E308" i="11" s="1"/>
  <c r="N305" i="11"/>
  <c r="N308" i="11" s="1"/>
  <c r="M314" i="11"/>
  <c r="M317" i="11" s="1"/>
  <c r="G323" i="11"/>
  <c r="G326" i="11" s="1"/>
  <c r="K326" i="11"/>
  <c r="N332" i="11"/>
  <c r="N335" i="11" s="1"/>
  <c r="G344" i="11"/>
  <c r="U344" i="11"/>
  <c r="H344" i="11"/>
  <c r="M353" i="11"/>
  <c r="E350" i="11"/>
  <c r="E353" i="11" s="1"/>
  <c r="I353" i="11"/>
  <c r="F362" i="11"/>
  <c r="U362" i="11"/>
  <c r="L362" i="11"/>
  <c r="F137" i="9"/>
  <c r="N137" i="9"/>
  <c r="S128" i="9"/>
  <c r="S110" i="9"/>
  <c r="N110" i="9"/>
  <c r="F101" i="9"/>
  <c r="N101" i="9"/>
  <c r="S92" i="9"/>
  <c r="N74" i="9"/>
  <c r="S74" i="9"/>
  <c r="N65" i="9"/>
  <c r="F65" i="9"/>
  <c r="S56" i="9"/>
  <c r="F38" i="9"/>
  <c r="S38" i="9"/>
  <c r="L38" i="9"/>
  <c r="F29" i="9"/>
  <c r="G29" i="9"/>
  <c r="L29" i="9"/>
  <c r="N29" i="9"/>
  <c r="U17" i="9"/>
  <c r="U20" i="9" s="1"/>
  <c r="L56" i="9"/>
  <c r="U128" i="9"/>
  <c r="E17" i="9"/>
  <c r="E20" i="9" s="1"/>
  <c r="I20" i="9"/>
  <c r="N17" i="9"/>
  <c r="N20" i="9" s="1"/>
  <c r="R20" i="9"/>
  <c r="F17" i="9"/>
  <c r="F20" i="9" s="1"/>
  <c r="E47" i="9"/>
  <c r="I47" i="9"/>
  <c r="N47" i="9"/>
  <c r="E56" i="9"/>
  <c r="I56" i="9"/>
  <c r="N56" i="9"/>
  <c r="R56" i="9"/>
  <c r="F56" i="9"/>
  <c r="S65" i="9"/>
  <c r="L65" i="9"/>
  <c r="F74" i="9"/>
  <c r="I83" i="9"/>
  <c r="E92" i="9"/>
  <c r="I92" i="9"/>
  <c r="N92" i="9"/>
  <c r="R92" i="9"/>
  <c r="S101" i="9"/>
  <c r="L101" i="9"/>
  <c r="E119" i="9"/>
  <c r="I119" i="9"/>
  <c r="N119" i="9"/>
  <c r="E128" i="9"/>
  <c r="I128" i="9"/>
  <c r="N128" i="9"/>
  <c r="R128" i="9"/>
  <c r="F128" i="9"/>
  <c r="S137" i="9"/>
  <c r="L137" i="9"/>
  <c r="K20" i="9"/>
  <c r="G17" i="9"/>
  <c r="G20" i="9" s="1"/>
  <c r="L20" i="9"/>
  <c r="F47" i="9"/>
  <c r="K47" i="9"/>
  <c r="S47" i="9"/>
  <c r="G47" i="9"/>
  <c r="L47" i="9"/>
  <c r="K56" i="9"/>
  <c r="G56" i="9"/>
  <c r="G65" i="9"/>
  <c r="K65" i="9"/>
  <c r="G74" i="9"/>
  <c r="K74" i="9"/>
  <c r="H74" i="9"/>
  <c r="F83" i="9"/>
  <c r="K83" i="9"/>
  <c r="S83" i="9"/>
  <c r="G83" i="9"/>
  <c r="L83" i="9"/>
  <c r="K92" i="9"/>
  <c r="G92" i="9"/>
  <c r="L92" i="9"/>
  <c r="G101" i="9"/>
  <c r="K101" i="9"/>
  <c r="G110" i="9"/>
  <c r="K110" i="9"/>
  <c r="H110" i="9"/>
  <c r="F119" i="9"/>
  <c r="K119" i="9"/>
  <c r="S119" i="9"/>
  <c r="G119" i="9"/>
  <c r="L119" i="9"/>
  <c r="K128" i="9"/>
  <c r="G128" i="9"/>
  <c r="L128" i="9"/>
  <c r="G137" i="9"/>
  <c r="K137" i="9"/>
  <c r="H47" i="9"/>
  <c r="I65" i="9"/>
  <c r="E74" i="9"/>
  <c r="I74" i="9"/>
  <c r="L74" i="9"/>
  <c r="H83" i="9"/>
  <c r="M101" i="9"/>
  <c r="I101" i="9"/>
  <c r="I110" i="9"/>
  <c r="L110" i="9"/>
  <c r="H119" i="9"/>
  <c r="M137" i="9"/>
  <c r="I137" i="9"/>
  <c r="V29" i="9" l="1"/>
  <c r="V38" i="9"/>
  <c r="V110" i="9"/>
  <c r="V137" i="9"/>
  <c r="V92" i="9"/>
  <c r="V20" i="9"/>
  <c r="V119" i="9"/>
  <c r="V101" i="9"/>
  <c r="V128" i="9"/>
  <c r="V74" i="9"/>
  <c r="V47" i="9"/>
  <c r="V83" i="9"/>
  <c r="V56" i="9"/>
  <c r="V65" i="9"/>
  <c r="EJ43" i="7" l="1"/>
  <c r="EI43" i="7"/>
  <c r="EH43" i="7"/>
  <c r="EG43" i="7"/>
  <c r="FA43" i="7" s="1"/>
  <c r="EE43" i="7"/>
  <c r="ED43" i="7"/>
  <c r="EC43" i="7"/>
  <c r="EF43" i="7" s="1"/>
  <c r="EZ43" i="7" s="1"/>
  <c r="EA43" i="7"/>
  <c r="DW43" i="7"/>
  <c r="DX43" i="7" s="1"/>
  <c r="EX43" i="7" s="1"/>
  <c r="DU43" i="7"/>
  <c r="DV43" i="7" s="1"/>
  <c r="EW43" i="7" s="1"/>
  <c r="DS43" i="7"/>
  <c r="DT43" i="7" s="1"/>
  <c r="EV43" i="7" s="1"/>
  <c r="DQ43" i="7"/>
  <c r="DP43" i="7"/>
  <c r="DO43" i="7"/>
  <c r="DM43" i="7"/>
  <c r="DL43" i="7"/>
  <c r="DK43" i="7"/>
  <c r="DI43" i="7"/>
  <c r="DH43" i="7"/>
  <c r="DG43" i="7"/>
  <c r="DE43" i="7"/>
  <c r="DF43" i="7" s="1"/>
  <c r="ER43" i="7" s="1"/>
  <c r="DC43" i="7"/>
  <c r="DD43" i="7" s="1"/>
  <c r="EQ43" i="7" s="1"/>
  <c r="DA43" i="7"/>
  <c r="DB43" i="7" s="1"/>
  <c r="EP43" i="7" s="1"/>
  <c r="CY43" i="7"/>
  <c r="CZ43" i="7" s="1"/>
  <c r="EO43" i="7" s="1"/>
  <c r="CW43" i="7"/>
  <c r="CV43" i="7"/>
  <c r="CU43" i="7"/>
  <c r="CS43" i="7"/>
  <c r="CR43" i="7"/>
  <c r="CQ43" i="7"/>
  <c r="CO43" i="7"/>
  <c r="CN43" i="7"/>
  <c r="CM43" i="7"/>
  <c r="BT43" i="7"/>
  <c r="BS43" i="7"/>
  <c r="R358" i="11" s="1"/>
  <c r="BR43" i="7"/>
  <c r="R357" i="11" s="1"/>
  <c r="BQ43" i="7"/>
  <c r="R356" i="11" s="1"/>
  <c r="EJ42" i="7"/>
  <c r="EI42" i="7"/>
  <c r="EH42" i="7"/>
  <c r="EG42" i="7"/>
  <c r="FA42" i="7" s="1"/>
  <c r="EE42" i="7"/>
  <c r="ED42" i="7"/>
  <c r="EC42" i="7"/>
  <c r="EF42" i="7" s="1"/>
  <c r="EZ42" i="7" s="1"/>
  <c r="EA42" i="7"/>
  <c r="DW42" i="7"/>
  <c r="DX42" i="7" s="1"/>
  <c r="EX42" i="7" s="1"/>
  <c r="DU42" i="7"/>
  <c r="DV42" i="7" s="1"/>
  <c r="EW42" i="7" s="1"/>
  <c r="DS42" i="7"/>
  <c r="DT42" i="7" s="1"/>
  <c r="EV42" i="7" s="1"/>
  <c r="DQ42" i="7"/>
  <c r="DP42" i="7"/>
  <c r="DO42" i="7"/>
  <c r="DM42" i="7"/>
  <c r="DL42" i="7"/>
  <c r="DK42" i="7"/>
  <c r="DI42" i="7"/>
  <c r="DH42" i="7"/>
  <c r="DG42" i="7"/>
  <c r="DE42" i="7"/>
  <c r="DF42" i="7" s="1"/>
  <c r="ER42" i="7" s="1"/>
  <c r="DC42" i="7"/>
  <c r="DD42" i="7" s="1"/>
  <c r="EQ42" i="7" s="1"/>
  <c r="DA42" i="7"/>
  <c r="DB42" i="7" s="1"/>
  <c r="EP42" i="7" s="1"/>
  <c r="CY42" i="7"/>
  <c r="CZ42" i="7" s="1"/>
  <c r="EO42" i="7" s="1"/>
  <c r="CW42" i="7"/>
  <c r="CV42" i="7"/>
  <c r="CU42" i="7"/>
  <c r="CS42" i="7"/>
  <c r="CR42" i="7"/>
  <c r="CQ42" i="7"/>
  <c r="CT42" i="7" s="1"/>
  <c r="EM42" i="7" s="1"/>
  <c r="CO42" i="7"/>
  <c r="CN42" i="7"/>
  <c r="CM42" i="7"/>
  <c r="BT42" i="7"/>
  <c r="BS42" i="7"/>
  <c r="R349" i="11" s="1"/>
  <c r="BR42" i="7"/>
  <c r="R348" i="11" s="1"/>
  <c r="BQ42" i="7"/>
  <c r="R347" i="11" s="1"/>
  <c r="EJ41" i="7"/>
  <c r="EI41" i="7"/>
  <c r="EH41" i="7"/>
  <c r="EG41" i="7"/>
  <c r="FA41" i="7" s="1"/>
  <c r="EE41" i="7"/>
  <c r="ED41" i="7"/>
  <c r="EC41" i="7"/>
  <c r="EA41" i="7"/>
  <c r="DW41" i="7"/>
  <c r="DX41" i="7" s="1"/>
  <c r="EX41" i="7" s="1"/>
  <c r="DU41" i="7"/>
  <c r="DV41" i="7" s="1"/>
  <c r="EW41" i="7" s="1"/>
  <c r="DT41" i="7"/>
  <c r="EV41" i="7" s="1"/>
  <c r="DS41" i="7"/>
  <c r="DQ41" i="7"/>
  <c r="DP41" i="7"/>
  <c r="DO41" i="7"/>
  <c r="DM41" i="7"/>
  <c r="DL41" i="7"/>
  <c r="DK41" i="7"/>
  <c r="DI41" i="7"/>
  <c r="DH41" i="7"/>
  <c r="DG41" i="7"/>
  <c r="DE41" i="7"/>
  <c r="DF41" i="7" s="1"/>
  <c r="ER41" i="7" s="1"/>
  <c r="DD41" i="7"/>
  <c r="EQ41" i="7" s="1"/>
  <c r="DC41" i="7"/>
  <c r="DA41" i="7"/>
  <c r="DB41" i="7" s="1"/>
  <c r="EP41" i="7" s="1"/>
  <c r="CY41" i="7"/>
  <c r="CZ41" i="7" s="1"/>
  <c r="EO41" i="7" s="1"/>
  <c r="CW41" i="7"/>
  <c r="CV41" i="7"/>
  <c r="CU41" i="7"/>
  <c r="CS41" i="7"/>
  <c r="CR41" i="7"/>
  <c r="CQ41" i="7"/>
  <c r="CO41" i="7"/>
  <c r="CN41" i="7"/>
  <c r="CM41" i="7"/>
  <c r="BT41" i="7"/>
  <c r="BS41" i="7"/>
  <c r="R340" i="11" s="1"/>
  <c r="BR41" i="7"/>
  <c r="R339" i="11" s="1"/>
  <c r="BQ41" i="7"/>
  <c r="R338" i="11" s="1"/>
  <c r="EJ40" i="7"/>
  <c r="EI40" i="7"/>
  <c r="EH40" i="7"/>
  <c r="EG40" i="7"/>
  <c r="FA40" i="7" s="1"/>
  <c r="EE40" i="7"/>
  <c r="ED40" i="7"/>
  <c r="EC40" i="7"/>
  <c r="EA40" i="7"/>
  <c r="DW40" i="7"/>
  <c r="DX40" i="7" s="1"/>
  <c r="EX40" i="7" s="1"/>
  <c r="DU40" i="7"/>
  <c r="DV40" i="7" s="1"/>
  <c r="EW40" i="7" s="1"/>
  <c r="DS40" i="7"/>
  <c r="DT40" i="7" s="1"/>
  <c r="EV40" i="7" s="1"/>
  <c r="DQ40" i="7"/>
  <c r="DP40" i="7"/>
  <c r="DO40" i="7"/>
  <c r="DM40" i="7"/>
  <c r="DL40" i="7"/>
  <c r="DK40" i="7"/>
  <c r="DI40" i="7"/>
  <c r="DH40" i="7"/>
  <c r="DG40" i="7"/>
  <c r="DE40" i="7"/>
  <c r="DF40" i="7" s="1"/>
  <c r="ER40" i="7" s="1"/>
  <c r="DC40" i="7"/>
  <c r="DD40" i="7" s="1"/>
  <c r="EQ40" i="7" s="1"/>
  <c r="DA40" i="7"/>
  <c r="DB40" i="7" s="1"/>
  <c r="EP40" i="7" s="1"/>
  <c r="CY40" i="7"/>
  <c r="CZ40" i="7" s="1"/>
  <c r="EO40" i="7" s="1"/>
  <c r="CW40" i="7"/>
  <c r="CV40" i="7"/>
  <c r="CU40" i="7"/>
  <c r="CS40" i="7"/>
  <c r="CR40" i="7"/>
  <c r="CQ40" i="7"/>
  <c r="CT40" i="7" s="1"/>
  <c r="EM40" i="7" s="1"/>
  <c r="CO40" i="7"/>
  <c r="CN40" i="7"/>
  <c r="CM40" i="7"/>
  <c r="BT40" i="7"/>
  <c r="BS40" i="7"/>
  <c r="R331" i="11" s="1"/>
  <c r="BR40" i="7"/>
  <c r="R330" i="11" s="1"/>
  <c r="BQ40" i="7"/>
  <c r="R329" i="11" s="1"/>
  <c r="R332" i="11" s="1"/>
  <c r="EJ39" i="7"/>
  <c r="EI39" i="7"/>
  <c r="EH39" i="7"/>
  <c r="EG39" i="7"/>
  <c r="FA39" i="7" s="1"/>
  <c r="EE39" i="7"/>
  <c r="ED39" i="7"/>
  <c r="EC39" i="7"/>
  <c r="EA39" i="7"/>
  <c r="DW39" i="7"/>
  <c r="DX39" i="7" s="1"/>
  <c r="EX39" i="7" s="1"/>
  <c r="DU39" i="7"/>
  <c r="DV39" i="7" s="1"/>
  <c r="EW39" i="7" s="1"/>
  <c r="DS39" i="7"/>
  <c r="DT39" i="7" s="1"/>
  <c r="EV39" i="7" s="1"/>
  <c r="DQ39" i="7"/>
  <c r="DP39" i="7"/>
  <c r="DO39" i="7"/>
  <c r="DM39" i="7"/>
  <c r="DL39" i="7"/>
  <c r="DK39" i="7"/>
  <c r="DI39" i="7"/>
  <c r="DH39" i="7"/>
  <c r="DG39" i="7"/>
  <c r="DE39" i="7"/>
  <c r="DF39" i="7" s="1"/>
  <c r="ER39" i="7" s="1"/>
  <c r="DC39" i="7"/>
  <c r="DD39" i="7" s="1"/>
  <c r="EQ39" i="7" s="1"/>
  <c r="DA39" i="7"/>
  <c r="DB39" i="7" s="1"/>
  <c r="EP39" i="7" s="1"/>
  <c r="CY39" i="7"/>
  <c r="CZ39" i="7" s="1"/>
  <c r="EO39" i="7" s="1"/>
  <c r="CW39" i="7"/>
  <c r="CV39" i="7"/>
  <c r="CU39" i="7"/>
  <c r="CS39" i="7"/>
  <c r="CR39" i="7"/>
  <c r="CQ39" i="7"/>
  <c r="CO39" i="7"/>
  <c r="CN39" i="7"/>
  <c r="CM39" i="7"/>
  <c r="BT39" i="7"/>
  <c r="BS39" i="7"/>
  <c r="R322" i="11" s="1"/>
  <c r="BR39" i="7"/>
  <c r="R321" i="11" s="1"/>
  <c r="BQ39" i="7"/>
  <c r="EJ38" i="7"/>
  <c r="EI38" i="7"/>
  <c r="EH38" i="7"/>
  <c r="EG38" i="7"/>
  <c r="FA38" i="7" s="1"/>
  <c r="EE38" i="7"/>
  <c r="ED38" i="7"/>
  <c r="EC38" i="7"/>
  <c r="EA38" i="7"/>
  <c r="DW38" i="7"/>
  <c r="DX38" i="7" s="1"/>
  <c r="EX38" i="7" s="1"/>
  <c r="DU38" i="7"/>
  <c r="DV38" i="7" s="1"/>
  <c r="EW38" i="7" s="1"/>
  <c r="DS38" i="7"/>
  <c r="DT38" i="7" s="1"/>
  <c r="EV38" i="7" s="1"/>
  <c r="DQ38" i="7"/>
  <c r="DP38" i="7"/>
  <c r="DO38" i="7"/>
  <c r="DM38" i="7"/>
  <c r="DL38" i="7"/>
  <c r="DK38" i="7"/>
  <c r="DI38" i="7"/>
  <c r="DH38" i="7"/>
  <c r="DG38" i="7"/>
  <c r="DE38" i="7"/>
  <c r="DF38" i="7" s="1"/>
  <c r="ER38" i="7" s="1"/>
  <c r="DC38" i="7"/>
  <c r="DD38" i="7" s="1"/>
  <c r="EQ38" i="7" s="1"/>
  <c r="DA38" i="7"/>
  <c r="DB38" i="7" s="1"/>
  <c r="EP38" i="7" s="1"/>
  <c r="CY38" i="7"/>
  <c r="CZ38" i="7" s="1"/>
  <c r="EO38" i="7" s="1"/>
  <c r="CW38" i="7"/>
  <c r="CV38" i="7"/>
  <c r="CU38" i="7"/>
  <c r="CS38" i="7"/>
  <c r="CR38" i="7"/>
  <c r="CQ38" i="7"/>
  <c r="CO38" i="7"/>
  <c r="CN38" i="7"/>
  <c r="CM38" i="7"/>
  <c r="BT38" i="7"/>
  <c r="BS38" i="7"/>
  <c r="R313" i="11" s="1"/>
  <c r="BR38" i="7"/>
  <c r="R312" i="11" s="1"/>
  <c r="BQ38" i="7"/>
  <c r="R311" i="11" s="1"/>
  <c r="R314" i="11" s="1"/>
  <c r="EJ37" i="7"/>
  <c r="EI37" i="7"/>
  <c r="EH37" i="7"/>
  <c r="EG37" i="7"/>
  <c r="FA37" i="7" s="1"/>
  <c r="EE37" i="7"/>
  <c r="ED37" i="7"/>
  <c r="EC37" i="7"/>
  <c r="EA37" i="7"/>
  <c r="DW37" i="7"/>
  <c r="DX37" i="7" s="1"/>
  <c r="EX37" i="7" s="1"/>
  <c r="DU37" i="7"/>
  <c r="DV37" i="7" s="1"/>
  <c r="EW37" i="7" s="1"/>
  <c r="DS37" i="7"/>
  <c r="DT37" i="7" s="1"/>
  <c r="EV37" i="7" s="1"/>
  <c r="DQ37" i="7"/>
  <c r="DP37" i="7"/>
  <c r="DO37" i="7"/>
  <c r="DM37" i="7"/>
  <c r="DL37" i="7"/>
  <c r="DK37" i="7"/>
  <c r="DI37" i="7"/>
  <c r="DH37" i="7"/>
  <c r="DG37" i="7"/>
  <c r="DE37" i="7"/>
  <c r="DF37" i="7" s="1"/>
  <c r="ER37" i="7" s="1"/>
  <c r="DC37" i="7"/>
  <c r="DD37" i="7" s="1"/>
  <c r="EQ37" i="7" s="1"/>
  <c r="DA37" i="7"/>
  <c r="DB37" i="7" s="1"/>
  <c r="EP37" i="7" s="1"/>
  <c r="CY37" i="7"/>
  <c r="CZ37" i="7" s="1"/>
  <c r="EO37" i="7" s="1"/>
  <c r="CW37" i="7"/>
  <c r="CV37" i="7"/>
  <c r="CU37" i="7"/>
  <c r="CS37" i="7"/>
  <c r="CR37" i="7"/>
  <c r="CQ37" i="7"/>
  <c r="CO37" i="7"/>
  <c r="CN37" i="7"/>
  <c r="CM37" i="7"/>
  <c r="BT37" i="7"/>
  <c r="BS37" i="7"/>
  <c r="R304" i="11" s="1"/>
  <c r="BR37" i="7"/>
  <c r="R303" i="11" s="1"/>
  <c r="BQ37" i="7"/>
  <c r="R302" i="11" s="1"/>
  <c r="R305" i="11" s="1"/>
  <c r="EJ36" i="7"/>
  <c r="EI36" i="7"/>
  <c r="EH36" i="7"/>
  <c r="EG36" i="7"/>
  <c r="FA36" i="7" s="1"/>
  <c r="EE36" i="7"/>
  <c r="ED36" i="7"/>
  <c r="EC36" i="7"/>
  <c r="EA36" i="7"/>
  <c r="DW36" i="7"/>
  <c r="DX36" i="7" s="1"/>
  <c r="EX36" i="7" s="1"/>
  <c r="DU36" i="7"/>
  <c r="DV36" i="7" s="1"/>
  <c r="EW36" i="7" s="1"/>
  <c r="DS36" i="7"/>
  <c r="DT36" i="7" s="1"/>
  <c r="EV36" i="7" s="1"/>
  <c r="DQ36" i="7"/>
  <c r="DP36" i="7"/>
  <c r="DO36" i="7"/>
  <c r="DM36" i="7"/>
  <c r="DL36" i="7"/>
  <c r="DK36" i="7"/>
  <c r="DI36" i="7"/>
  <c r="DH36" i="7"/>
  <c r="DG36" i="7"/>
  <c r="DE36" i="7"/>
  <c r="DF36" i="7" s="1"/>
  <c r="ER36" i="7" s="1"/>
  <c r="DC36" i="7"/>
  <c r="DD36" i="7" s="1"/>
  <c r="EQ36" i="7" s="1"/>
  <c r="DA36" i="7"/>
  <c r="DB36" i="7" s="1"/>
  <c r="EP36" i="7" s="1"/>
  <c r="CY36" i="7"/>
  <c r="CZ36" i="7" s="1"/>
  <c r="EO36" i="7" s="1"/>
  <c r="CW36" i="7"/>
  <c r="CV36" i="7"/>
  <c r="CU36" i="7"/>
  <c r="CS36" i="7"/>
  <c r="CR36" i="7"/>
  <c r="CQ36" i="7"/>
  <c r="CO36" i="7"/>
  <c r="CN36" i="7"/>
  <c r="CM36" i="7"/>
  <c r="BT36" i="7"/>
  <c r="BS36" i="7"/>
  <c r="R295" i="11" s="1"/>
  <c r="BR36" i="7"/>
  <c r="R294" i="11" s="1"/>
  <c r="BQ36" i="7"/>
  <c r="R293" i="11" s="1"/>
  <c r="R296" i="11" s="1"/>
  <c r="EJ35" i="7"/>
  <c r="EI35" i="7"/>
  <c r="EH35" i="7"/>
  <c r="EG35" i="7"/>
  <c r="FA35" i="7" s="1"/>
  <c r="EE35" i="7"/>
  <c r="ED35" i="7"/>
  <c r="EC35" i="7"/>
  <c r="EA35" i="7"/>
  <c r="DW35" i="7"/>
  <c r="DX35" i="7" s="1"/>
  <c r="EX35" i="7" s="1"/>
  <c r="DU35" i="7"/>
  <c r="DV35" i="7" s="1"/>
  <c r="EW35" i="7" s="1"/>
  <c r="DS35" i="7"/>
  <c r="DT35" i="7" s="1"/>
  <c r="EV35" i="7" s="1"/>
  <c r="DQ35" i="7"/>
  <c r="DP35" i="7"/>
  <c r="DO35" i="7"/>
  <c r="DM35" i="7"/>
  <c r="DL35" i="7"/>
  <c r="DK35" i="7"/>
  <c r="DI35" i="7"/>
  <c r="DH35" i="7"/>
  <c r="DG35" i="7"/>
  <c r="DE35" i="7"/>
  <c r="DF35" i="7" s="1"/>
  <c r="ER35" i="7" s="1"/>
  <c r="DC35" i="7"/>
  <c r="DD35" i="7" s="1"/>
  <c r="EQ35" i="7" s="1"/>
  <c r="DA35" i="7"/>
  <c r="DB35" i="7" s="1"/>
  <c r="EP35" i="7" s="1"/>
  <c r="CY35" i="7"/>
  <c r="CZ35" i="7" s="1"/>
  <c r="EO35" i="7" s="1"/>
  <c r="CW35" i="7"/>
  <c r="CV35" i="7"/>
  <c r="CU35" i="7"/>
  <c r="CS35" i="7"/>
  <c r="CR35" i="7"/>
  <c r="CQ35" i="7"/>
  <c r="CO35" i="7"/>
  <c r="CN35" i="7"/>
  <c r="CM35" i="7"/>
  <c r="BT35" i="7"/>
  <c r="BS35" i="7"/>
  <c r="R286" i="11" s="1"/>
  <c r="BR35" i="7"/>
  <c r="R285" i="11" s="1"/>
  <c r="BQ35" i="7"/>
  <c r="EJ34" i="7"/>
  <c r="EI34" i="7"/>
  <c r="EH34" i="7"/>
  <c r="EG34" i="7"/>
  <c r="FA34" i="7" s="1"/>
  <c r="EE34" i="7"/>
  <c r="ED34" i="7"/>
  <c r="EC34" i="7"/>
  <c r="EA34" i="7"/>
  <c r="DW34" i="7"/>
  <c r="DX34" i="7" s="1"/>
  <c r="EX34" i="7" s="1"/>
  <c r="DU34" i="7"/>
  <c r="DV34" i="7" s="1"/>
  <c r="EW34" i="7" s="1"/>
  <c r="DS34" i="7"/>
  <c r="DT34" i="7" s="1"/>
  <c r="EV34" i="7" s="1"/>
  <c r="DQ34" i="7"/>
  <c r="DP34" i="7"/>
  <c r="DO34" i="7"/>
  <c r="DM34" i="7"/>
  <c r="DL34" i="7"/>
  <c r="DK34" i="7"/>
  <c r="DI34" i="7"/>
  <c r="DH34" i="7"/>
  <c r="DG34" i="7"/>
  <c r="DE34" i="7"/>
  <c r="DF34" i="7" s="1"/>
  <c r="ER34" i="7" s="1"/>
  <c r="DC34" i="7"/>
  <c r="DD34" i="7" s="1"/>
  <c r="EQ34" i="7" s="1"/>
  <c r="DA34" i="7"/>
  <c r="DB34" i="7" s="1"/>
  <c r="EP34" i="7" s="1"/>
  <c r="CY34" i="7"/>
  <c r="CZ34" i="7" s="1"/>
  <c r="EO34" i="7" s="1"/>
  <c r="CW34" i="7"/>
  <c r="CV34" i="7"/>
  <c r="CU34" i="7"/>
  <c r="CS34" i="7"/>
  <c r="CR34" i="7"/>
  <c r="CQ34" i="7"/>
  <c r="CO34" i="7"/>
  <c r="CN34" i="7"/>
  <c r="CM34" i="7"/>
  <c r="BT34" i="7"/>
  <c r="BS34" i="7"/>
  <c r="R277" i="11" s="1"/>
  <c r="BR34" i="7"/>
  <c r="R276" i="11" s="1"/>
  <c r="BQ34" i="7"/>
  <c r="R275" i="11" s="1"/>
  <c r="R278" i="11" s="1"/>
  <c r="EJ33" i="7"/>
  <c r="EI33" i="7"/>
  <c r="EH33" i="7"/>
  <c r="EG33" i="7"/>
  <c r="FA33" i="7" s="1"/>
  <c r="EE33" i="7"/>
  <c r="ED33" i="7"/>
  <c r="EC33" i="7"/>
  <c r="EA33" i="7"/>
  <c r="DW33" i="7"/>
  <c r="DX33" i="7" s="1"/>
  <c r="EX33" i="7" s="1"/>
  <c r="DU33" i="7"/>
  <c r="DV33" i="7" s="1"/>
  <c r="EW33" i="7" s="1"/>
  <c r="DS33" i="7"/>
  <c r="DT33" i="7" s="1"/>
  <c r="EV33" i="7" s="1"/>
  <c r="DQ33" i="7"/>
  <c r="DP33" i="7"/>
  <c r="DO33" i="7"/>
  <c r="DM33" i="7"/>
  <c r="DL33" i="7"/>
  <c r="DK33" i="7"/>
  <c r="DI33" i="7"/>
  <c r="DH33" i="7"/>
  <c r="DG33" i="7"/>
  <c r="DE33" i="7"/>
  <c r="DF33" i="7" s="1"/>
  <c r="ER33" i="7" s="1"/>
  <c r="DC33" i="7"/>
  <c r="DD33" i="7" s="1"/>
  <c r="EQ33" i="7" s="1"/>
  <c r="DA33" i="7"/>
  <c r="DB33" i="7" s="1"/>
  <c r="EP33" i="7" s="1"/>
  <c r="CY33" i="7"/>
  <c r="CZ33" i="7" s="1"/>
  <c r="EO33" i="7" s="1"/>
  <c r="CW33" i="7"/>
  <c r="CV33" i="7"/>
  <c r="CU33" i="7"/>
  <c r="CS33" i="7"/>
  <c r="CR33" i="7"/>
  <c r="CQ33" i="7"/>
  <c r="CO33" i="7"/>
  <c r="CN33" i="7"/>
  <c r="CM33" i="7"/>
  <c r="BT33" i="7"/>
  <c r="BS33" i="7"/>
  <c r="R268" i="11" s="1"/>
  <c r="BR33" i="7"/>
  <c r="R267" i="11" s="1"/>
  <c r="BQ33" i="7"/>
  <c r="R266" i="11" s="1"/>
  <c r="EJ32" i="7"/>
  <c r="EI32" i="7"/>
  <c r="EH32" i="7"/>
  <c r="EG32" i="7"/>
  <c r="FA32" i="7" s="1"/>
  <c r="EE32" i="7"/>
  <c r="ED32" i="7"/>
  <c r="EC32" i="7"/>
  <c r="EA32" i="7"/>
  <c r="DW32" i="7"/>
  <c r="DX32" i="7" s="1"/>
  <c r="EX32" i="7" s="1"/>
  <c r="DU32" i="7"/>
  <c r="DV32" i="7" s="1"/>
  <c r="EW32" i="7" s="1"/>
  <c r="DS32" i="7"/>
  <c r="DT32" i="7" s="1"/>
  <c r="EV32" i="7" s="1"/>
  <c r="DQ32" i="7"/>
  <c r="DP32" i="7"/>
  <c r="DO32" i="7"/>
  <c r="DM32" i="7"/>
  <c r="DL32" i="7"/>
  <c r="DK32" i="7"/>
  <c r="DI32" i="7"/>
  <c r="DH32" i="7"/>
  <c r="DG32" i="7"/>
  <c r="DE32" i="7"/>
  <c r="DF32" i="7" s="1"/>
  <c r="ER32" i="7" s="1"/>
  <c r="DC32" i="7"/>
  <c r="DD32" i="7" s="1"/>
  <c r="EQ32" i="7" s="1"/>
  <c r="DA32" i="7"/>
  <c r="DB32" i="7" s="1"/>
  <c r="EP32" i="7" s="1"/>
  <c r="CY32" i="7"/>
  <c r="CZ32" i="7" s="1"/>
  <c r="EO32" i="7" s="1"/>
  <c r="CW32" i="7"/>
  <c r="CV32" i="7"/>
  <c r="CU32" i="7"/>
  <c r="CX32" i="7" s="1"/>
  <c r="EN32" i="7" s="1"/>
  <c r="CS32" i="7"/>
  <c r="CR32" i="7"/>
  <c r="CQ32" i="7"/>
  <c r="CO32" i="7"/>
  <c r="CN32" i="7"/>
  <c r="CM32" i="7"/>
  <c r="BT32" i="7"/>
  <c r="BS32" i="7"/>
  <c r="R259" i="11" s="1"/>
  <c r="BR32" i="7"/>
  <c r="R258" i="11" s="1"/>
  <c r="BQ32" i="7"/>
  <c r="R257" i="11" s="1"/>
  <c r="EJ31" i="7"/>
  <c r="EI31" i="7"/>
  <c r="EH31" i="7"/>
  <c r="EG31" i="7"/>
  <c r="FA31" i="7" s="1"/>
  <c r="EE31" i="7"/>
  <c r="ED31" i="7"/>
  <c r="EC31" i="7"/>
  <c r="EA31" i="7"/>
  <c r="DW31" i="7"/>
  <c r="DX31" i="7" s="1"/>
  <c r="EX31" i="7" s="1"/>
  <c r="DU31" i="7"/>
  <c r="DV31" i="7" s="1"/>
  <c r="EW31" i="7" s="1"/>
  <c r="DS31" i="7"/>
  <c r="DT31" i="7" s="1"/>
  <c r="EV31" i="7" s="1"/>
  <c r="DQ31" i="7"/>
  <c r="DP31" i="7"/>
  <c r="DO31" i="7"/>
  <c r="DM31" i="7"/>
  <c r="DL31" i="7"/>
  <c r="DK31" i="7"/>
  <c r="DI31" i="7"/>
  <c r="DH31" i="7"/>
  <c r="DG31" i="7"/>
  <c r="DE31" i="7"/>
  <c r="DF31" i="7" s="1"/>
  <c r="ER31" i="7" s="1"/>
  <c r="DC31" i="7"/>
  <c r="DD31" i="7" s="1"/>
  <c r="EQ31" i="7" s="1"/>
  <c r="DA31" i="7"/>
  <c r="DB31" i="7" s="1"/>
  <c r="EP31" i="7" s="1"/>
  <c r="CY31" i="7"/>
  <c r="CZ31" i="7" s="1"/>
  <c r="EO31" i="7" s="1"/>
  <c r="CW31" i="7"/>
  <c r="CV31" i="7"/>
  <c r="CU31" i="7"/>
  <c r="CS31" i="7"/>
  <c r="CR31" i="7"/>
  <c r="CQ31" i="7"/>
  <c r="CO31" i="7"/>
  <c r="CN31" i="7"/>
  <c r="CM31" i="7"/>
  <c r="CP31" i="7" s="1"/>
  <c r="EL31" i="7" s="1"/>
  <c r="BT31" i="7"/>
  <c r="BS31" i="7"/>
  <c r="R250" i="11" s="1"/>
  <c r="BR31" i="7"/>
  <c r="R249" i="11" s="1"/>
  <c r="BQ31" i="7"/>
  <c r="EJ30" i="7"/>
  <c r="EI30" i="7"/>
  <c r="EH30" i="7"/>
  <c r="EG30" i="7"/>
  <c r="FA30" i="7" s="1"/>
  <c r="EE30" i="7"/>
  <c r="ED30" i="7"/>
  <c r="EC30" i="7"/>
  <c r="EA30" i="7"/>
  <c r="DW30" i="7"/>
  <c r="DX30" i="7" s="1"/>
  <c r="EX30" i="7" s="1"/>
  <c r="DU30" i="7"/>
  <c r="DV30" i="7" s="1"/>
  <c r="EW30" i="7" s="1"/>
  <c r="DS30" i="7"/>
  <c r="DT30" i="7" s="1"/>
  <c r="EV30" i="7" s="1"/>
  <c r="DQ30" i="7"/>
  <c r="DP30" i="7"/>
  <c r="DO30" i="7"/>
  <c r="DM30" i="7"/>
  <c r="DL30" i="7"/>
  <c r="DK30" i="7"/>
  <c r="DI30" i="7"/>
  <c r="DH30" i="7"/>
  <c r="DG30" i="7"/>
  <c r="DE30" i="7"/>
  <c r="DF30" i="7" s="1"/>
  <c r="ER30" i="7" s="1"/>
  <c r="DC30" i="7"/>
  <c r="DD30" i="7" s="1"/>
  <c r="EQ30" i="7" s="1"/>
  <c r="DA30" i="7"/>
  <c r="DB30" i="7" s="1"/>
  <c r="EP30" i="7" s="1"/>
  <c r="CY30" i="7"/>
  <c r="CZ30" i="7" s="1"/>
  <c r="EO30" i="7" s="1"/>
  <c r="CW30" i="7"/>
  <c r="CV30" i="7"/>
  <c r="CU30" i="7"/>
  <c r="CS30" i="7"/>
  <c r="CR30" i="7"/>
  <c r="CQ30" i="7"/>
  <c r="CO30" i="7"/>
  <c r="CN30" i="7"/>
  <c r="CM30" i="7"/>
  <c r="BT30" i="7"/>
  <c r="BS30" i="7"/>
  <c r="R241" i="11" s="1"/>
  <c r="BR30" i="7"/>
  <c r="R240" i="11" s="1"/>
  <c r="BQ30" i="7"/>
  <c r="R239" i="11" s="1"/>
  <c r="R242" i="11" s="1"/>
  <c r="EJ29" i="7"/>
  <c r="EI29" i="7"/>
  <c r="EH29" i="7"/>
  <c r="EK29" i="7" s="1"/>
  <c r="FB29" i="7" s="1"/>
  <c r="EG29" i="7"/>
  <c r="FA29" i="7" s="1"/>
  <c r="EE29" i="7"/>
  <c r="ED29" i="7"/>
  <c r="EC29" i="7"/>
  <c r="EA29" i="7"/>
  <c r="DW29" i="7"/>
  <c r="DX29" i="7" s="1"/>
  <c r="EX29" i="7" s="1"/>
  <c r="DU29" i="7"/>
  <c r="DV29" i="7" s="1"/>
  <c r="EW29" i="7" s="1"/>
  <c r="DS29" i="7"/>
  <c r="DT29" i="7" s="1"/>
  <c r="EV29" i="7" s="1"/>
  <c r="DQ29" i="7"/>
  <c r="DP29" i="7"/>
  <c r="DO29" i="7"/>
  <c r="DM29" i="7"/>
  <c r="DL29" i="7"/>
  <c r="DK29" i="7"/>
  <c r="DI29" i="7"/>
  <c r="DH29" i="7"/>
  <c r="DG29" i="7"/>
  <c r="DE29" i="7"/>
  <c r="DF29" i="7" s="1"/>
  <c r="ER29" i="7" s="1"/>
  <c r="DC29" i="7"/>
  <c r="DD29" i="7" s="1"/>
  <c r="EQ29" i="7" s="1"/>
  <c r="DA29" i="7"/>
  <c r="DB29" i="7" s="1"/>
  <c r="EP29" i="7" s="1"/>
  <c r="CY29" i="7"/>
  <c r="CZ29" i="7" s="1"/>
  <c r="EO29" i="7" s="1"/>
  <c r="CW29" i="7"/>
  <c r="CV29" i="7"/>
  <c r="CU29" i="7"/>
  <c r="CS29" i="7"/>
  <c r="CR29" i="7"/>
  <c r="CQ29" i="7"/>
  <c r="CO29" i="7"/>
  <c r="CN29" i="7"/>
  <c r="CM29" i="7"/>
  <c r="BT29" i="7"/>
  <c r="BS29" i="7"/>
  <c r="R232" i="11" s="1"/>
  <c r="BR29" i="7"/>
  <c r="R231" i="11" s="1"/>
  <c r="BQ29" i="7"/>
  <c r="R230" i="11" s="1"/>
  <c r="EJ28" i="7"/>
  <c r="EI28" i="7"/>
  <c r="EH28" i="7"/>
  <c r="EG28" i="7"/>
  <c r="FA28" i="7" s="1"/>
  <c r="EE28" i="7"/>
  <c r="ED28" i="7"/>
  <c r="EC28" i="7"/>
  <c r="EA28" i="7"/>
  <c r="DW28" i="7"/>
  <c r="DX28" i="7" s="1"/>
  <c r="EX28" i="7" s="1"/>
  <c r="DU28" i="7"/>
  <c r="DV28" i="7" s="1"/>
  <c r="EW28" i="7" s="1"/>
  <c r="DS28" i="7"/>
  <c r="DT28" i="7" s="1"/>
  <c r="EV28" i="7" s="1"/>
  <c r="DQ28" i="7"/>
  <c r="DP28" i="7"/>
  <c r="DO28" i="7"/>
  <c r="DR28" i="7" s="1"/>
  <c r="EU28" i="7" s="1"/>
  <c r="DM28" i="7"/>
  <c r="DL28" i="7"/>
  <c r="DK28" i="7"/>
  <c r="DI28" i="7"/>
  <c r="DH28" i="7"/>
  <c r="DG28" i="7"/>
  <c r="DE28" i="7"/>
  <c r="DF28" i="7" s="1"/>
  <c r="ER28" i="7" s="1"/>
  <c r="DC28" i="7"/>
  <c r="DD28" i="7" s="1"/>
  <c r="EQ28" i="7" s="1"/>
  <c r="DB28" i="7"/>
  <c r="EP28" i="7" s="1"/>
  <c r="DA28" i="7"/>
  <c r="CY28" i="7"/>
  <c r="CZ28" i="7" s="1"/>
  <c r="EO28" i="7" s="1"/>
  <c r="CW28" i="7"/>
  <c r="CV28" i="7"/>
  <c r="CU28" i="7"/>
  <c r="CS28" i="7"/>
  <c r="CR28" i="7"/>
  <c r="CQ28" i="7"/>
  <c r="CT28" i="7" s="1"/>
  <c r="EM28" i="7" s="1"/>
  <c r="CO28" i="7"/>
  <c r="CN28" i="7"/>
  <c r="CM28" i="7"/>
  <c r="BT28" i="7"/>
  <c r="BS28" i="7"/>
  <c r="R223" i="11" s="1"/>
  <c r="BR28" i="7"/>
  <c r="R222" i="11" s="1"/>
  <c r="BQ28" i="7"/>
  <c r="EJ27" i="7"/>
  <c r="EI27" i="7"/>
  <c r="EH27" i="7"/>
  <c r="EG27" i="7"/>
  <c r="FA27" i="7" s="1"/>
  <c r="EE27" i="7"/>
  <c r="ED27" i="7"/>
  <c r="EC27" i="7"/>
  <c r="EA27" i="7"/>
  <c r="DX27" i="7"/>
  <c r="EX27" i="7" s="1"/>
  <c r="DW27" i="7"/>
  <c r="DU27" i="7"/>
  <c r="DV27" i="7" s="1"/>
  <c r="EW27" i="7" s="1"/>
  <c r="DS27" i="7"/>
  <c r="DT27" i="7" s="1"/>
  <c r="EV27" i="7" s="1"/>
  <c r="DQ27" i="7"/>
  <c r="DP27" i="7"/>
  <c r="DO27" i="7"/>
  <c r="DM27" i="7"/>
  <c r="DL27" i="7"/>
  <c r="DK27" i="7"/>
  <c r="DI27" i="7"/>
  <c r="DH27" i="7"/>
  <c r="DG27" i="7"/>
  <c r="DE27" i="7"/>
  <c r="DF27" i="7" s="1"/>
  <c r="ER27" i="7" s="1"/>
  <c r="DC27" i="7"/>
  <c r="DD27" i="7" s="1"/>
  <c r="EQ27" i="7" s="1"/>
  <c r="DA27" i="7"/>
  <c r="DB27" i="7" s="1"/>
  <c r="EP27" i="7" s="1"/>
  <c r="CY27" i="7"/>
  <c r="CZ27" i="7" s="1"/>
  <c r="EO27" i="7" s="1"/>
  <c r="CW27" i="7"/>
  <c r="CV27" i="7"/>
  <c r="CU27" i="7"/>
  <c r="CS27" i="7"/>
  <c r="CR27" i="7"/>
  <c r="CQ27" i="7"/>
  <c r="CO27" i="7"/>
  <c r="CN27" i="7"/>
  <c r="CM27" i="7"/>
  <c r="BT27" i="7"/>
  <c r="BS27" i="7"/>
  <c r="R214" i="11" s="1"/>
  <c r="BR27" i="7"/>
  <c r="R213" i="11" s="1"/>
  <c r="BQ27" i="7"/>
  <c r="R212" i="11" s="1"/>
  <c r="R215" i="11" s="1"/>
  <c r="EJ26" i="7"/>
  <c r="EI26" i="7"/>
  <c r="EH26" i="7"/>
  <c r="EG26" i="7"/>
  <c r="FA26" i="7" s="1"/>
  <c r="EE26" i="7"/>
  <c r="ED26" i="7"/>
  <c r="EC26" i="7"/>
  <c r="EA26" i="7"/>
  <c r="DW26" i="7"/>
  <c r="DX26" i="7" s="1"/>
  <c r="EX26" i="7" s="1"/>
  <c r="DU26" i="7"/>
  <c r="DV26" i="7" s="1"/>
  <c r="EW26" i="7" s="1"/>
  <c r="DS26" i="7"/>
  <c r="DT26" i="7" s="1"/>
  <c r="EV26" i="7" s="1"/>
  <c r="DQ26" i="7"/>
  <c r="DP26" i="7"/>
  <c r="DO26" i="7"/>
  <c r="DM26" i="7"/>
  <c r="DL26" i="7"/>
  <c r="DK26" i="7"/>
  <c r="DI26" i="7"/>
  <c r="DH26" i="7"/>
  <c r="DG26" i="7"/>
  <c r="DE26" i="7"/>
  <c r="DF26" i="7" s="1"/>
  <c r="ER26" i="7" s="1"/>
  <c r="DC26" i="7"/>
  <c r="DD26" i="7" s="1"/>
  <c r="EQ26" i="7" s="1"/>
  <c r="DA26" i="7"/>
  <c r="DB26" i="7" s="1"/>
  <c r="EP26" i="7" s="1"/>
  <c r="CY26" i="7"/>
  <c r="CZ26" i="7" s="1"/>
  <c r="EO26" i="7" s="1"/>
  <c r="CW26" i="7"/>
  <c r="CV26" i="7"/>
  <c r="CU26" i="7"/>
  <c r="CS26" i="7"/>
  <c r="CR26" i="7"/>
  <c r="CQ26" i="7"/>
  <c r="CO26" i="7"/>
  <c r="CN26" i="7"/>
  <c r="CM26" i="7"/>
  <c r="BT26" i="7"/>
  <c r="BS26" i="7"/>
  <c r="R205" i="11" s="1"/>
  <c r="BR26" i="7"/>
  <c r="R204" i="11" s="1"/>
  <c r="BQ26" i="7"/>
  <c r="R203" i="11" s="1"/>
  <c r="R206" i="11" s="1"/>
  <c r="EJ25" i="7"/>
  <c r="EI25" i="7"/>
  <c r="EH25" i="7"/>
  <c r="EG25" i="7"/>
  <c r="FA25" i="7" s="1"/>
  <c r="EE25" i="7"/>
  <c r="ED25" i="7"/>
  <c r="EC25" i="7"/>
  <c r="EA25" i="7"/>
  <c r="DW25" i="7"/>
  <c r="DX25" i="7" s="1"/>
  <c r="EX25" i="7" s="1"/>
  <c r="DU25" i="7"/>
  <c r="DV25" i="7" s="1"/>
  <c r="EW25" i="7" s="1"/>
  <c r="DS25" i="7"/>
  <c r="DT25" i="7" s="1"/>
  <c r="EV25" i="7" s="1"/>
  <c r="DQ25" i="7"/>
  <c r="DP25" i="7"/>
  <c r="DO25" i="7"/>
  <c r="DM25" i="7"/>
  <c r="DL25" i="7"/>
  <c r="DK25" i="7"/>
  <c r="DI25" i="7"/>
  <c r="DH25" i="7"/>
  <c r="DG25" i="7"/>
  <c r="DE25" i="7"/>
  <c r="DF25" i="7" s="1"/>
  <c r="ER25" i="7" s="1"/>
  <c r="DC25" i="7"/>
  <c r="DD25" i="7" s="1"/>
  <c r="EQ25" i="7" s="1"/>
  <c r="DA25" i="7"/>
  <c r="DB25" i="7" s="1"/>
  <c r="EP25" i="7" s="1"/>
  <c r="CY25" i="7"/>
  <c r="CZ25" i="7" s="1"/>
  <c r="EO25" i="7" s="1"/>
  <c r="CW25" i="7"/>
  <c r="CV25" i="7"/>
  <c r="CU25" i="7"/>
  <c r="CS25" i="7"/>
  <c r="CR25" i="7"/>
  <c r="CQ25" i="7"/>
  <c r="CO25" i="7"/>
  <c r="CN25" i="7"/>
  <c r="CM25" i="7"/>
  <c r="CP25" i="7" s="1"/>
  <c r="EL25" i="7" s="1"/>
  <c r="BT25" i="7"/>
  <c r="BS25" i="7"/>
  <c r="R196" i="11" s="1"/>
  <c r="BR25" i="7"/>
  <c r="R195" i="11" s="1"/>
  <c r="BQ25" i="7"/>
  <c r="EJ24" i="7"/>
  <c r="EI24" i="7"/>
  <c r="EH24" i="7"/>
  <c r="EG24" i="7"/>
  <c r="FA24" i="7" s="1"/>
  <c r="EE24" i="7"/>
  <c r="ED24" i="7"/>
  <c r="EC24" i="7"/>
  <c r="EA24" i="7"/>
  <c r="DW24" i="7"/>
  <c r="DX24" i="7" s="1"/>
  <c r="EX24" i="7" s="1"/>
  <c r="DU24" i="7"/>
  <c r="DV24" i="7" s="1"/>
  <c r="EW24" i="7" s="1"/>
  <c r="DS24" i="7"/>
  <c r="DT24" i="7" s="1"/>
  <c r="EV24" i="7" s="1"/>
  <c r="DQ24" i="7"/>
  <c r="DP24" i="7"/>
  <c r="DO24" i="7"/>
  <c r="DM24" i="7"/>
  <c r="DL24" i="7"/>
  <c r="DK24" i="7"/>
  <c r="DI24" i="7"/>
  <c r="DH24" i="7"/>
  <c r="DG24" i="7"/>
  <c r="DE24" i="7"/>
  <c r="DF24" i="7" s="1"/>
  <c r="ER24" i="7" s="1"/>
  <c r="DC24" i="7"/>
  <c r="DD24" i="7" s="1"/>
  <c r="EQ24" i="7" s="1"/>
  <c r="DA24" i="7"/>
  <c r="DB24" i="7" s="1"/>
  <c r="EP24" i="7" s="1"/>
  <c r="CY24" i="7"/>
  <c r="CZ24" i="7" s="1"/>
  <c r="EO24" i="7" s="1"/>
  <c r="CW24" i="7"/>
  <c r="CV24" i="7"/>
  <c r="CU24" i="7"/>
  <c r="CS24" i="7"/>
  <c r="CR24" i="7"/>
  <c r="CQ24" i="7"/>
  <c r="CO24" i="7"/>
  <c r="CN24" i="7"/>
  <c r="CM24" i="7"/>
  <c r="BT24" i="7"/>
  <c r="BS24" i="7"/>
  <c r="R187" i="11" s="1"/>
  <c r="BR24" i="7"/>
  <c r="R186" i="11" s="1"/>
  <c r="BQ24" i="7"/>
  <c r="R185" i="11" s="1"/>
  <c r="R188" i="11" s="1"/>
  <c r="EJ23" i="7"/>
  <c r="EI23" i="7"/>
  <c r="EH23" i="7"/>
  <c r="EG23" i="7"/>
  <c r="FA23" i="7" s="1"/>
  <c r="EE23" i="7"/>
  <c r="ED23" i="7"/>
  <c r="EC23" i="7"/>
  <c r="EA23" i="7"/>
  <c r="DW23" i="7"/>
  <c r="DX23" i="7" s="1"/>
  <c r="EX23" i="7" s="1"/>
  <c r="DU23" i="7"/>
  <c r="DV23" i="7" s="1"/>
  <c r="EW23" i="7" s="1"/>
  <c r="DS23" i="7"/>
  <c r="DT23" i="7" s="1"/>
  <c r="EV23" i="7" s="1"/>
  <c r="DQ23" i="7"/>
  <c r="DP23" i="7"/>
  <c r="DO23" i="7"/>
  <c r="DM23" i="7"/>
  <c r="DL23" i="7"/>
  <c r="DK23" i="7"/>
  <c r="DI23" i="7"/>
  <c r="DH23" i="7"/>
  <c r="DG23" i="7"/>
  <c r="DE23" i="7"/>
  <c r="DF23" i="7" s="1"/>
  <c r="ER23" i="7" s="1"/>
  <c r="DC23" i="7"/>
  <c r="DD23" i="7" s="1"/>
  <c r="EQ23" i="7" s="1"/>
  <c r="DA23" i="7"/>
  <c r="DB23" i="7" s="1"/>
  <c r="EP23" i="7" s="1"/>
  <c r="CY23" i="7"/>
  <c r="CZ23" i="7" s="1"/>
  <c r="EO23" i="7" s="1"/>
  <c r="CW23" i="7"/>
  <c r="CV23" i="7"/>
  <c r="CU23" i="7"/>
  <c r="CS23" i="7"/>
  <c r="CR23" i="7"/>
  <c r="CQ23" i="7"/>
  <c r="CO23" i="7"/>
  <c r="CN23" i="7"/>
  <c r="CM23" i="7"/>
  <c r="BT23" i="7"/>
  <c r="BS23" i="7"/>
  <c r="R178" i="11" s="1"/>
  <c r="BR23" i="7"/>
  <c r="R177" i="11" s="1"/>
  <c r="BQ23" i="7"/>
  <c r="R176" i="11" s="1"/>
  <c r="EJ22" i="7"/>
  <c r="EI22" i="7"/>
  <c r="EH22" i="7"/>
  <c r="EG22" i="7"/>
  <c r="FA22" i="7" s="1"/>
  <c r="EE22" i="7"/>
  <c r="ED22" i="7"/>
  <c r="EC22" i="7"/>
  <c r="EA22" i="7"/>
  <c r="DW22" i="7"/>
  <c r="DX22" i="7" s="1"/>
  <c r="EX22" i="7" s="1"/>
  <c r="DU22" i="7"/>
  <c r="DV22" i="7" s="1"/>
  <c r="EW22" i="7" s="1"/>
  <c r="DS22" i="7"/>
  <c r="DT22" i="7" s="1"/>
  <c r="EV22" i="7" s="1"/>
  <c r="DQ22" i="7"/>
  <c r="DP22" i="7"/>
  <c r="DO22" i="7"/>
  <c r="DM22" i="7"/>
  <c r="DL22" i="7"/>
  <c r="DK22" i="7"/>
  <c r="DI22" i="7"/>
  <c r="DH22" i="7"/>
  <c r="DG22" i="7"/>
  <c r="DE22" i="7"/>
  <c r="DF22" i="7" s="1"/>
  <c r="ER22" i="7" s="1"/>
  <c r="DC22" i="7"/>
  <c r="DD22" i="7" s="1"/>
  <c r="EQ22" i="7" s="1"/>
  <c r="DA22" i="7"/>
  <c r="DB22" i="7" s="1"/>
  <c r="EP22" i="7" s="1"/>
  <c r="CY22" i="7"/>
  <c r="CZ22" i="7" s="1"/>
  <c r="EO22" i="7" s="1"/>
  <c r="CW22" i="7"/>
  <c r="CV22" i="7"/>
  <c r="CU22" i="7"/>
  <c r="CS22" i="7"/>
  <c r="CR22" i="7"/>
  <c r="CQ22" i="7"/>
  <c r="CO22" i="7"/>
  <c r="CN22" i="7"/>
  <c r="CM22" i="7"/>
  <c r="BT22" i="7"/>
  <c r="BS22" i="7"/>
  <c r="R169" i="11" s="1"/>
  <c r="BR22" i="7"/>
  <c r="R168" i="11" s="1"/>
  <c r="BQ22" i="7"/>
  <c r="R167" i="11" s="1"/>
  <c r="EJ21" i="7"/>
  <c r="EI21" i="7"/>
  <c r="EH21" i="7"/>
  <c r="EG21" i="7"/>
  <c r="FA21" i="7" s="1"/>
  <c r="EE21" i="7"/>
  <c r="ED21" i="7"/>
  <c r="EC21" i="7"/>
  <c r="EA21" i="7"/>
  <c r="DW21" i="7"/>
  <c r="DX21" i="7" s="1"/>
  <c r="EX21" i="7" s="1"/>
  <c r="DU21" i="7"/>
  <c r="DV21" i="7" s="1"/>
  <c r="EW21" i="7" s="1"/>
  <c r="DS21" i="7"/>
  <c r="DT21" i="7" s="1"/>
  <c r="EV21" i="7" s="1"/>
  <c r="DQ21" i="7"/>
  <c r="DP21" i="7"/>
  <c r="DO21" i="7"/>
  <c r="DM21" i="7"/>
  <c r="DL21" i="7"/>
  <c r="DK21" i="7"/>
  <c r="DI21" i="7"/>
  <c r="DH21" i="7"/>
  <c r="DG21" i="7"/>
  <c r="DE21" i="7"/>
  <c r="DF21" i="7" s="1"/>
  <c r="ER21" i="7" s="1"/>
  <c r="DC21" i="7"/>
  <c r="DD21" i="7" s="1"/>
  <c r="EQ21" i="7" s="1"/>
  <c r="DA21" i="7"/>
  <c r="DB21" i="7" s="1"/>
  <c r="EP21" i="7" s="1"/>
  <c r="CY21" i="7"/>
  <c r="CZ21" i="7" s="1"/>
  <c r="EO21" i="7" s="1"/>
  <c r="CW21" i="7"/>
  <c r="CV21" i="7"/>
  <c r="CU21" i="7"/>
  <c r="CS21" i="7"/>
  <c r="CR21" i="7"/>
  <c r="CQ21" i="7"/>
  <c r="CO21" i="7"/>
  <c r="CN21" i="7"/>
  <c r="CM21" i="7"/>
  <c r="BT21" i="7"/>
  <c r="BS21" i="7"/>
  <c r="R160" i="11" s="1"/>
  <c r="BR21" i="7"/>
  <c r="R159" i="11" s="1"/>
  <c r="BQ21" i="7"/>
  <c r="R158" i="11" s="1"/>
  <c r="EJ20" i="7"/>
  <c r="EI20" i="7"/>
  <c r="EH20" i="7"/>
  <c r="EG20" i="7"/>
  <c r="FA20" i="7" s="1"/>
  <c r="EE20" i="7"/>
  <c r="ED20" i="7"/>
  <c r="EC20" i="7"/>
  <c r="EA20" i="7"/>
  <c r="DW20" i="7"/>
  <c r="DX20" i="7" s="1"/>
  <c r="EX20" i="7" s="1"/>
  <c r="DU20" i="7"/>
  <c r="DV20" i="7" s="1"/>
  <c r="EW20" i="7" s="1"/>
  <c r="DS20" i="7"/>
  <c r="DT20" i="7" s="1"/>
  <c r="EV20" i="7" s="1"/>
  <c r="DQ20" i="7"/>
  <c r="DP20" i="7"/>
  <c r="DO20" i="7"/>
  <c r="DM20" i="7"/>
  <c r="DL20" i="7"/>
  <c r="DK20" i="7"/>
  <c r="DI20" i="7"/>
  <c r="DH20" i="7"/>
  <c r="DG20" i="7"/>
  <c r="DE20" i="7"/>
  <c r="DF20" i="7" s="1"/>
  <c r="ER20" i="7" s="1"/>
  <c r="DC20" i="7"/>
  <c r="DD20" i="7" s="1"/>
  <c r="EQ20" i="7" s="1"/>
  <c r="DA20" i="7"/>
  <c r="DB20" i="7" s="1"/>
  <c r="EP20" i="7" s="1"/>
  <c r="CY20" i="7"/>
  <c r="CZ20" i="7" s="1"/>
  <c r="EO20" i="7" s="1"/>
  <c r="CW20" i="7"/>
  <c r="CV20" i="7"/>
  <c r="CU20" i="7"/>
  <c r="CS20" i="7"/>
  <c r="CR20" i="7"/>
  <c r="CQ20" i="7"/>
  <c r="CO20" i="7"/>
  <c r="CN20" i="7"/>
  <c r="CM20" i="7"/>
  <c r="BT20" i="7"/>
  <c r="BS20" i="7"/>
  <c r="R151" i="11" s="1"/>
  <c r="BR20" i="7"/>
  <c r="R150" i="11" s="1"/>
  <c r="BQ20" i="7"/>
  <c r="R149" i="11" s="1"/>
  <c r="R152" i="11" s="1"/>
  <c r="EJ19" i="7"/>
  <c r="EI19" i="7"/>
  <c r="EH19" i="7"/>
  <c r="EG19" i="7"/>
  <c r="FA19" i="7" s="1"/>
  <c r="EE19" i="7"/>
  <c r="ED19" i="7"/>
  <c r="EC19" i="7"/>
  <c r="EA19" i="7"/>
  <c r="DW19" i="7"/>
  <c r="DX19" i="7" s="1"/>
  <c r="EX19" i="7" s="1"/>
  <c r="DU19" i="7"/>
  <c r="DV19" i="7" s="1"/>
  <c r="EW19" i="7" s="1"/>
  <c r="DS19" i="7"/>
  <c r="DT19" i="7" s="1"/>
  <c r="EV19" i="7" s="1"/>
  <c r="DQ19" i="7"/>
  <c r="DP19" i="7"/>
  <c r="DO19" i="7"/>
  <c r="DM19" i="7"/>
  <c r="DL19" i="7"/>
  <c r="DK19" i="7"/>
  <c r="DI19" i="7"/>
  <c r="DH19" i="7"/>
  <c r="DG19" i="7"/>
  <c r="DE19" i="7"/>
  <c r="DF19" i="7" s="1"/>
  <c r="ER19" i="7" s="1"/>
  <c r="DC19" i="7"/>
  <c r="DD19" i="7" s="1"/>
  <c r="EQ19" i="7" s="1"/>
  <c r="DA19" i="7"/>
  <c r="DB19" i="7" s="1"/>
  <c r="EP19" i="7" s="1"/>
  <c r="CY19" i="7"/>
  <c r="CZ19" i="7" s="1"/>
  <c r="EO19" i="7" s="1"/>
  <c r="CW19" i="7"/>
  <c r="CV19" i="7"/>
  <c r="CU19" i="7"/>
  <c r="CS19" i="7"/>
  <c r="CR19" i="7"/>
  <c r="CQ19" i="7"/>
  <c r="CO19" i="7"/>
  <c r="CN19" i="7"/>
  <c r="CM19" i="7"/>
  <c r="BT19" i="7"/>
  <c r="BS19" i="7"/>
  <c r="R142" i="11" s="1"/>
  <c r="BR19" i="7"/>
  <c r="R141" i="11" s="1"/>
  <c r="BQ19" i="7"/>
  <c r="R140" i="11" s="1"/>
  <c r="EJ18" i="7"/>
  <c r="EI18" i="7"/>
  <c r="EH18" i="7"/>
  <c r="EG18" i="7"/>
  <c r="FA18" i="7" s="1"/>
  <c r="EE18" i="7"/>
  <c r="ED18" i="7"/>
  <c r="EC18" i="7"/>
  <c r="EA18" i="7"/>
  <c r="DW18" i="7"/>
  <c r="DX18" i="7" s="1"/>
  <c r="EX18" i="7" s="1"/>
  <c r="DU18" i="7"/>
  <c r="DV18" i="7" s="1"/>
  <c r="EW18" i="7" s="1"/>
  <c r="DS18" i="7"/>
  <c r="DT18" i="7" s="1"/>
  <c r="EV18" i="7" s="1"/>
  <c r="DQ18" i="7"/>
  <c r="DP18" i="7"/>
  <c r="DO18" i="7"/>
  <c r="DM18" i="7"/>
  <c r="DL18" i="7"/>
  <c r="DK18" i="7"/>
  <c r="DI18" i="7"/>
  <c r="DH18" i="7"/>
  <c r="DG18" i="7"/>
  <c r="DE18" i="7"/>
  <c r="DF18" i="7" s="1"/>
  <c r="ER18" i="7" s="1"/>
  <c r="DC18" i="7"/>
  <c r="DD18" i="7" s="1"/>
  <c r="EQ18" i="7" s="1"/>
  <c r="DA18" i="7"/>
  <c r="DB18" i="7" s="1"/>
  <c r="EP18" i="7" s="1"/>
  <c r="CY18" i="7"/>
  <c r="CZ18" i="7" s="1"/>
  <c r="EO18" i="7" s="1"/>
  <c r="CW18" i="7"/>
  <c r="CV18" i="7"/>
  <c r="CU18" i="7"/>
  <c r="CS18" i="7"/>
  <c r="CR18" i="7"/>
  <c r="CQ18" i="7"/>
  <c r="CO18" i="7"/>
  <c r="CN18" i="7"/>
  <c r="CM18" i="7"/>
  <c r="BT18" i="7"/>
  <c r="BS18" i="7"/>
  <c r="R133" i="11" s="1"/>
  <c r="BR18" i="7"/>
  <c r="R132" i="11" s="1"/>
  <c r="BQ18" i="7"/>
  <c r="R131" i="11" s="1"/>
  <c r="R134" i="11" s="1"/>
  <c r="EJ17" i="7"/>
  <c r="EI17" i="7"/>
  <c r="EH17" i="7"/>
  <c r="EG17" i="7"/>
  <c r="FA17" i="7" s="1"/>
  <c r="EE17" i="7"/>
  <c r="ED17" i="7"/>
  <c r="EC17" i="7"/>
  <c r="EA17" i="7"/>
  <c r="DW17" i="7"/>
  <c r="DX17" i="7" s="1"/>
  <c r="EX17" i="7" s="1"/>
  <c r="DU17" i="7"/>
  <c r="DV17" i="7" s="1"/>
  <c r="EW17" i="7" s="1"/>
  <c r="DS17" i="7"/>
  <c r="DT17" i="7" s="1"/>
  <c r="EV17" i="7" s="1"/>
  <c r="DQ17" i="7"/>
  <c r="DP17" i="7"/>
  <c r="DO17" i="7"/>
  <c r="DM17" i="7"/>
  <c r="DL17" i="7"/>
  <c r="DK17" i="7"/>
  <c r="DI17" i="7"/>
  <c r="DH17" i="7"/>
  <c r="DG17" i="7"/>
  <c r="DE17" i="7"/>
  <c r="DF17" i="7" s="1"/>
  <c r="ER17" i="7" s="1"/>
  <c r="DC17" i="7"/>
  <c r="DD17" i="7" s="1"/>
  <c r="EQ17" i="7" s="1"/>
  <c r="DA17" i="7"/>
  <c r="DB17" i="7" s="1"/>
  <c r="EP17" i="7" s="1"/>
  <c r="CY17" i="7"/>
  <c r="CZ17" i="7" s="1"/>
  <c r="EO17" i="7" s="1"/>
  <c r="CW17" i="7"/>
  <c r="CV17" i="7"/>
  <c r="CU17" i="7"/>
  <c r="CS17" i="7"/>
  <c r="CR17" i="7"/>
  <c r="CQ17" i="7"/>
  <c r="CO17" i="7"/>
  <c r="CN17" i="7"/>
  <c r="CM17" i="7"/>
  <c r="BT17" i="7"/>
  <c r="BS17" i="7"/>
  <c r="R124" i="11" s="1"/>
  <c r="BR17" i="7"/>
  <c r="R123" i="11" s="1"/>
  <c r="BQ17" i="7"/>
  <c r="R122" i="11" s="1"/>
  <c r="R125" i="11" s="1"/>
  <c r="EJ16" i="7"/>
  <c r="EI16" i="7"/>
  <c r="EH16" i="7"/>
  <c r="EG16" i="7"/>
  <c r="FA16" i="7" s="1"/>
  <c r="EE16" i="7"/>
  <c r="ED16" i="7"/>
  <c r="EC16" i="7"/>
  <c r="EA16" i="7"/>
  <c r="DW16" i="7"/>
  <c r="DX16" i="7" s="1"/>
  <c r="EX16" i="7" s="1"/>
  <c r="DU16" i="7"/>
  <c r="DV16" i="7" s="1"/>
  <c r="EW16" i="7" s="1"/>
  <c r="DS16" i="7"/>
  <c r="DT16" i="7" s="1"/>
  <c r="EV16" i="7" s="1"/>
  <c r="DQ16" i="7"/>
  <c r="DP16" i="7"/>
  <c r="DO16" i="7"/>
  <c r="DM16" i="7"/>
  <c r="DL16" i="7"/>
  <c r="DK16" i="7"/>
  <c r="DI16" i="7"/>
  <c r="DH16" i="7"/>
  <c r="DG16" i="7"/>
  <c r="DE16" i="7"/>
  <c r="DF16" i="7" s="1"/>
  <c r="ER16" i="7" s="1"/>
  <c r="DC16" i="7"/>
  <c r="DD16" i="7" s="1"/>
  <c r="EQ16" i="7" s="1"/>
  <c r="DA16" i="7"/>
  <c r="DB16" i="7" s="1"/>
  <c r="EP16" i="7" s="1"/>
  <c r="CY16" i="7"/>
  <c r="CZ16" i="7" s="1"/>
  <c r="EO16" i="7" s="1"/>
  <c r="CW16" i="7"/>
  <c r="CV16" i="7"/>
  <c r="CU16" i="7"/>
  <c r="CS16" i="7"/>
  <c r="CR16" i="7"/>
  <c r="CQ16" i="7"/>
  <c r="CO16" i="7"/>
  <c r="CN16" i="7"/>
  <c r="CM16" i="7"/>
  <c r="BT16" i="7"/>
  <c r="BS16" i="7"/>
  <c r="R115" i="11" s="1"/>
  <c r="BR16" i="7"/>
  <c r="R114" i="11" s="1"/>
  <c r="BQ16" i="7"/>
  <c r="R113" i="11" s="1"/>
  <c r="R116" i="11" s="1"/>
  <c r="EJ15" i="7"/>
  <c r="EI15" i="7"/>
  <c r="EH15" i="7"/>
  <c r="EG15" i="7"/>
  <c r="FA15" i="7" s="1"/>
  <c r="EE15" i="7"/>
  <c r="ED15" i="7"/>
  <c r="EC15" i="7"/>
  <c r="EA15" i="7"/>
  <c r="DW15" i="7"/>
  <c r="DX15" i="7" s="1"/>
  <c r="EX15" i="7" s="1"/>
  <c r="DU15" i="7"/>
  <c r="DV15" i="7" s="1"/>
  <c r="EW15" i="7" s="1"/>
  <c r="DS15" i="7"/>
  <c r="DT15" i="7" s="1"/>
  <c r="EV15" i="7" s="1"/>
  <c r="DQ15" i="7"/>
  <c r="DP15" i="7"/>
  <c r="DO15" i="7"/>
  <c r="DM15" i="7"/>
  <c r="DL15" i="7"/>
  <c r="DK15" i="7"/>
  <c r="DI15" i="7"/>
  <c r="DH15" i="7"/>
  <c r="DG15" i="7"/>
  <c r="DE15" i="7"/>
  <c r="DF15" i="7" s="1"/>
  <c r="ER15" i="7" s="1"/>
  <c r="DC15" i="7"/>
  <c r="DD15" i="7" s="1"/>
  <c r="EQ15" i="7" s="1"/>
  <c r="DA15" i="7"/>
  <c r="DB15" i="7" s="1"/>
  <c r="EP15" i="7" s="1"/>
  <c r="CY15" i="7"/>
  <c r="CZ15" i="7" s="1"/>
  <c r="EO15" i="7" s="1"/>
  <c r="CW15" i="7"/>
  <c r="CV15" i="7"/>
  <c r="CU15" i="7"/>
  <c r="CS15" i="7"/>
  <c r="CR15" i="7"/>
  <c r="CQ15" i="7"/>
  <c r="CO15" i="7"/>
  <c r="CN15" i="7"/>
  <c r="CM15" i="7"/>
  <c r="BT15" i="7"/>
  <c r="BS15" i="7"/>
  <c r="R106" i="11" s="1"/>
  <c r="BR15" i="7"/>
  <c r="R105" i="11" s="1"/>
  <c r="BQ15" i="7"/>
  <c r="R104" i="11" s="1"/>
  <c r="R107" i="11" s="1"/>
  <c r="EJ14" i="7"/>
  <c r="EI14" i="7"/>
  <c r="EH14" i="7"/>
  <c r="EG14" i="7"/>
  <c r="FA14" i="7" s="1"/>
  <c r="EE14" i="7"/>
  <c r="ED14" i="7"/>
  <c r="EC14" i="7"/>
  <c r="EF14" i="7" s="1"/>
  <c r="EZ14" i="7" s="1"/>
  <c r="EA14" i="7"/>
  <c r="DW14" i="7"/>
  <c r="DX14" i="7" s="1"/>
  <c r="EX14" i="7" s="1"/>
  <c r="DU14" i="7"/>
  <c r="DV14" i="7" s="1"/>
  <c r="EW14" i="7" s="1"/>
  <c r="DS14" i="7"/>
  <c r="DT14" i="7" s="1"/>
  <c r="EV14" i="7" s="1"/>
  <c r="DQ14" i="7"/>
  <c r="DP14" i="7"/>
  <c r="DO14" i="7"/>
  <c r="DM14" i="7"/>
  <c r="DL14" i="7"/>
  <c r="DK14" i="7"/>
  <c r="DI14" i="7"/>
  <c r="DH14" i="7"/>
  <c r="DG14" i="7"/>
  <c r="DE14" i="7"/>
  <c r="DF14" i="7" s="1"/>
  <c r="ER14" i="7" s="1"/>
  <c r="DC14" i="7"/>
  <c r="DD14" i="7" s="1"/>
  <c r="EQ14" i="7" s="1"/>
  <c r="DA14" i="7"/>
  <c r="DB14" i="7" s="1"/>
  <c r="EP14" i="7" s="1"/>
  <c r="CY14" i="7"/>
  <c r="CZ14" i="7" s="1"/>
  <c r="EO14" i="7" s="1"/>
  <c r="CW14" i="7"/>
  <c r="CV14" i="7"/>
  <c r="CU14" i="7"/>
  <c r="CS14" i="7"/>
  <c r="CR14" i="7"/>
  <c r="CQ14" i="7"/>
  <c r="CO14" i="7"/>
  <c r="CN14" i="7"/>
  <c r="CM14" i="7"/>
  <c r="BT14" i="7"/>
  <c r="BS14" i="7"/>
  <c r="R97" i="11" s="1"/>
  <c r="BR14" i="7"/>
  <c r="R96" i="11" s="1"/>
  <c r="BQ14" i="7"/>
  <c r="R95" i="11" s="1"/>
  <c r="R98" i="11" s="1"/>
  <c r="EJ13" i="7"/>
  <c r="EI13" i="7"/>
  <c r="EH13" i="7"/>
  <c r="EG13" i="7"/>
  <c r="FA13" i="7" s="1"/>
  <c r="EE13" i="7"/>
  <c r="ED13" i="7"/>
  <c r="EC13" i="7"/>
  <c r="EA13" i="7"/>
  <c r="DW13" i="7"/>
  <c r="DX13" i="7" s="1"/>
  <c r="EX13" i="7" s="1"/>
  <c r="DU13" i="7"/>
  <c r="DV13" i="7" s="1"/>
  <c r="EW13" i="7" s="1"/>
  <c r="DS13" i="7"/>
  <c r="DT13" i="7" s="1"/>
  <c r="EV13" i="7" s="1"/>
  <c r="DQ13" i="7"/>
  <c r="DP13" i="7"/>
  <c r="DO13" i="7"/>
  <c r="DM13" i="7"/>
  <c r="DL13" i="7"/>
  <c r="DK13" i="7"/>
  <c r="DI13" i="7"/>
  <c r="DH13" i="7"/>
  <c r="DG13" i="7"/>
  <c r="DE13" i="7"/>
  <c r="DF13" i="7" s="1"/>
  <c r="ER13" i="7" s="1"/>
  <c r="DC13" i="7"/>
  <c r="DD13" i="7" s="1"/>
  <c r="EQ13" i="7" s="1"/>
  <c r="DA13" i="7"/>
  <c r="DB13" i="7" s="1"/>
  <c r="EP13" i="7" s="1"/>
  <c r="CY13" i="7"/>
  <c r="CZ13" i="7" s="1"/>
  <c r="EO13" i="7" s="1"/>
  <c r="CW13" i="7"/>
  <c r="CV13" i="7"/>
  <c r="CU13" i="7"/>
  <c r="CS13" i="7"/>
  <c r="CR13" i="7"/>
  <c r="CQ13" i="7"/>
  <c r="CO13" i="7"/>
  <c r="CN13" i="7"/>
  <c r="CM13" i="7"/>
  <c r="CP13" i="7" s="1"/>
  <c r="EL13" i="7" s="1"/>
  <c r="BT13" i="7"/>
  <c r="BS13" i="7"/>
  <c r="R88" i="11" s="1"/>
  <c r="BR13" i="7"/>
  <c r="R87" i="11" s="1"/>
  <c r="BQ13" i="7"/>
  <c r="EJ12" i="7"/>
  <c r="EI12" i="7"/>
  <c r="EH12" i="7"/>
  <c r="EG12" i="7"/>
  <c r="FA12" i="7" s="1"/>
  <c r="EE12" i="7"/>
  <c r="ED12" i="7"/>
  <c r="EC12" i="7"/>
  <c r="EA12" i="7"/>
  <c r="DW12" i="7"/>
  <c r="DX12" i="7" s="1"/>
  <c r="EX12" i="7" s="1"/>
  <c r="DU12" i="7"/>
  <c r="DV12" i="7" s="1"/>
  <c r="EW12" i="7" s="1"/>
  <c r="DS12" i="7"/>
  <c r="DT12" i="7" s="1"/>
  <c r="EV12" i="7" s="1"/>
  <c r="DQ12" i="7"/>
  <c r="DP12" i="7"/>
  <c r="DO12" i="7"/>
  <c r="DM12" i="7"/>
  <c r="DL12" i="7"/>
  <c r="DK12" i="7"/>
  <c r="DI12" i="7"/>
  <c r="DH12" i="7"/>
  <c r="DG12" i="7"/>
  <c r="DE12" i="7"/>
  <c r="DF12" i="7" s="1"/>
  <c r="ER12" i="7" s="1"/>
  <c r="DC12" i="7"/>
  <c r="DD12" i="7" s="1"/>
  <c r="EQ12" i="7" s="1"/>
  <c r="DA12" i="7"/>
  <c r="DB12" i="7" s="1"/>
  <c r="EP12" i="7" s="1"/>
  <c r="CY12" i="7"/>
  <c r="CZ12" i="7" s="1"/>
  <c r="EO12" i="7" s="1"/>
  <c r="CW12" i="7"/>
  <c r="CV12" i="7"/>
  <c r="CU12" i="7"/>
  <c r="CS12" i="7"/>
  <c r="CR12" i="7"/>
  <c r="CQ12" i="7"/>
  <c r="CO12" i="7"/>
  <c r="CN12" i="7"/>
  <c r="CM12" i="7"/>
  <c r="BT12" i="7"/>
  <c r="BS12" i="7"/>
  <c r="R79" i="11" s="1"/>
  <c r="BR12" i="7"/>
  <c r="R78" i="11" s="1"/>
  <c r="BQ12" i="7"/>
  <c r="R77" i="11" s="1"/>
  <c r="EJ11" i="7"/>
  <c r="EI11" i="7"/>
  <c r="EH11" i="7"/>
  <c r="EG11" i="7"/>
  <c r="FA11" i="7" s="1"/>
  <c r="EE11" i="7"/>
  <c r="ED11" i="7"/>
  <c r="EC11" i="7"/>
  <c r="EA11" i="7"/>
  <c r="DW11" i="7"/>
  <c r="DX11" i="7" s="1"/>
  <c r="EX11" i="7" s="1"/>
  <c r="DU11" i="7"/>
  <c r="DV11" i="7" s="1"/>
  <c r="EW11" i="7" s="1"/>
  <c r="DT11" i="7"/>
  <c r="EV11" i="7" s="1"/>
  <c r="DS11" i="7"/>
  <c r="DQ11" i="7"/>
  <c r="DP11" i="7"/>
  <c r="DO11" i="7"/>
  <c r="DM11" i="7"/>
  <c r="DL11" i="7"/>
  <c r="DK11" i="7"/>
  <c r="DN11" i="7" s="1"/>
  <c r="ET11" i="7" s="1"/>
  <c r="DI11" i="7"/>
  <c r="DH11" i="7"/>
  <c r="DG11" i="7"/>
  <c r="DE11" i="7"/>
  <c r="DF11" i="7" s="1"/>
  <c r="ER11" i="7" s="1"/>
  <c r="DD11" i="7"/>
  <c r="EQ11" i="7" s="1"/>
  <c r="DC11" i="7"/>
  <c r="DA11" i="7"/>
  <c r="DB11" i="7" s="1"/>
  <c r="EP11" i="7" s="1"/>
  <c r="CY11" i="7"/>
  <c r="CZ11" i="7" s="1"/>
  <c r="EO11" i="7" s="1"/>
  <c r="CW11" i="7"/>
  <c r="CV11" i="7"/>
  <c r="CU11" i="7"/>
  <c r="CS11" i="7"/>
  <c r="CR11" i="7"/>
  <c r="CQ11" i="7"/>
  <c r="CO11" i="7"/>
  <c r="CN11" i="7"/>
  <c r="CM11" i="7"/>
  <c r="BT11" i="7"/>
  <c r="BS11" i="7"/>
  <c r="R70" i="11" s="1"/>
  <c r="BR11" i="7"/>
  <c r="R69" i="11" s="1"/>
  <c r="BQ11" i="7"/>
  <c r="R68" i="11" s="1"/>
  <c r="R71" i="11" s="1"/>
  <c r="EJ10" i="7"/>
  <c r="EI10" i="7"/>
  <c r="EH10" i="7"/>
  <c r="EK10" i="7" s="1"/>
  <c r="FB10" i="7" s="1"/>
  <c r="EG10" i="7"/>
  <c r="FA10" i="7" s="1"/>
  <c r="EE10" i="7"/>
  <c r="ED10" i="7"/>
  <c r="EC10" i="7"/>
  <c r="EA10" i="7"/>
  <c r="DW10" i="7"/>
  <c r="DX10" i="7" s="1"/>
  <c r="EX10" i="7" s="1"/>
  <c r="DU10" i="7"/>
  <c r="DV10" i="7" s="1"/>
  <c r="EW10" i="7" s="1"/>
  <c r="DS10" i="7"/>
  <c r="DT10" i="7" s="1"/>
  <c r="EV10" i="7" s="1"/>
  <c r="DQ10" i="7"/>
  <c r="DP10" i="7"/>
  <c r="DO10" i="7"/>
  <c r="DM10" i="7"/>
  <c r="DL10" i="7"/>
  <c r="DK10" i="7"/>
  <c r="DI10" i="7"/>
  <c r="DH10" i="7"/>
  <c r="DG10" i="7"/>
  <c r="DE10" i="7"/>
  <c r="DF10" i="7" s="1"/>
  <c r="ER10" i="7" s="1"/>
  <c r="DC10" i="7"/>
  <c r="DD10" i="7" s="1"/>
  <c r="EQ10" i="7" s="1"/>
  <c r="DA10" i="7"/>
  <c r="DB10" i="7" s="1"/>
  <c r="EP10" i="7" s="1"/>
  <c r="CY10" i="7"/>
  <c r="CZ10" i="7" s="1"/>
  <c r="EO10" i="7" s="1"/>
  <c r="CW10" i="7"/>
  <c r="CV10" i="7"/>
  <c r="CU10" i="7"/>
  <c r="CS10" i="7"/>
  <c r="CR10" i="7"/>
  <c r="CQ10" i="7"/>
  <c r="CO10" i="7"/>
  <c r="CN10" i="7"/>
  <c r="CM10" i="7"/>
  <c r="BT10" i="7"/>
  <c r="BS10" i="7"/>
  <c r="R61" i="11" s="1"/>
  <c r="BR10" i="7"/>
  <c r="R60" i="11" s="1"/>
  <c r="BQ10" i="7"/>
  <c r="R59" i="11" s="1"/>
  <c r="EJ9" i="7"/>
  <c r="EI9" i="7"/>
  <c r="EH9" i="7"/>
  <c r="EG9" i="7"/>
  <c r="FA9" i="7" s="1"/>
  <c r="EE9" i="7"/>
  <c r="ED9" i="7"/>
  <c r="EC9" i="7"/>
  <c r="EA9" i="7"/>
  <c r="DW9" i="7"/>
  <c r="DX9" i="7" s="1"/>
  <c r="EX9" i="7" s="1"/>
  <c r="DU9" i="7"/>
  <c r="DV9" i="7" s="1"/>
  <c r="EW9" i="7" s="1"/>
  <c r="DS9" i="7"/>
  <c r="DT9" i="7" s="1"/>
  <c r="EV9" i="7" s="1"/>
  <c r="DQ9" i="7"/>
  <c r="DP9" i="7"/>
  <c r="DO9" i="7"/>
  <c r="DM9" i="7"/>
  <c r="DL9" i="7"/>
  <c r="DK9" i="7"/>
  <c r="DI9" i="7"/>
  <c r="DH9" i="7"/>
  <c r="DG9" i="7"/>
  <c r="DE9" i="7"/>
  <c r="DF9" i="7" s="1"/>
  <c r="ER9" i="7" s="1"/>
  <c r="DC9" i="7"/>
  <c r="DD9" i="7" s="1"/>
  <c r="EQ9" i="7" s="1"/>
  <c r="DA9" i="7"/>
  <c r="DB9" i="7" s="1"/>
  <c r="EP9" i="7" s="1"/>
  <c r="CY9" i="7"/>
  <c r="CZ9" i="7" s="1"/>
  <c r="EO9" i="7" s="1"/>
  <c r="CW9" i="7"/>
  <c r="CV9" i="7"/>
  <c r="CU9" i="7"/>
  <c r="CS9" i="7"/>
  <c r="CR9" i="7"/>
  <c r="CQ9" i="7"/>
  <c r="CO9" i="7"/>
  <c r="CP9" i="7" s="1"/>
  <c r="EL9" i="7" s="1"/>
  <c r="CN9" i="7"/>
  <c r="CM9" i="7"/>
  <c r="BT9" i="7"/>
  <c r="BS9" i="7"/>
  <c r="R52" i="11" s="1"/>
  <c r="BR9" i="7"/>
  <c r="R51" i="11" s="1"/>
  <c r="BQ9" i="7"/>
  <c r="R50" i="11" s="1"/>
  <c r="R53" i="11" s="1"/>
  <c r="EJ8" i="7"/>
  <c r="EI8" i="7"/>
  <c r="EH8" i="7"/>
  <c r="EG8" i="7"/>
  <c r="FA8" i="7" s="1"/>
  <c r="EE8" i="7"/>
  <c r="ED8" i="7"/>
  <c r="EC8" i="7"/>
  <c r="EA8" i="7"/>
  <c r="DW8" i="7"/>
  <c r="DX8" i="7" s="1"/>
  <c r="EX8" i="7" s="1"/>
  <c r="DU8" i="7"/>
  <c r="DV8" i="7" s="1"/>
  <c r="EW8" i="7" s="1"/>
  <c r="DS8" i="7"/>
  <c r="DT8" i="7" s="1"/>
  <c r="EV8" i="7" s="1"/>
  <c r="DQ8" i="7"/>
  <c r="DP8" i="7"/>
  <c r="DO8" i="7"/>
  <c r="DM8" i="7"/>
  <c r="DL8" i="7"/>
  <c r="DK8" i="7"/>
  <c r="DI8" i="7"/>
  <c r="DH8" i="7"/>
  <c r="DG8" i="7"/>
  <c r="DE8" i="7"/>
  <c r="DF8" i="7" s="1"/>
  <c r="ER8" i="7" s="1"/>
  <c r="DC8" i="7"/>
  <c r="DD8" i="7" s="1"/>
  <c r="EQ8" i="7" s="1"/>
  <c r="DA8" i="7"/>
  <c r="DB8" i="7" s="1"/>
  <c r="EP8" i="7" s="1"/>
  <c r="CY8" i="7"/>
  <c r="CZ8" i="7" s="1"/>
  <c r="EO8" i="7" s="1"/>
  <c r="CW8" i="7"/>
  <c r="CV8" i="7"/>
  <c r="CU8" i="7"/>
  <c r="CS8" i="7"/>
  <c r="CR8" i="7"/>
  <c r="CQ8" i="7"/>
  <c r="CO8" i="7"/>
  <c r="CN8" i="7"/>
  <c r="CM8" i="7"/>
  <c r="CP8" i="7" s="1"/>
  <c r="EL8" i="7" s="1"/>
  <c r="BT8" i="7"/>
  <c r="BS8" i="7"/>
  <c r="R43" i="11" s="1"/>
  <c r="BR8" i="7"/>
  <c r="R42" i="11" s="1"/>
  <c r="BQ8" i="7"/>
  <c r="EJ7" i="7"/>
  <c r="EI7" i="7"/>
  <c r="EH7" i="7"/>
  <c r="EG7" i="7"/>
  <c r="FA7" i="7" s="1"/>
  <c r="EE7" i="7"/>
  <c r="ED7" i="7"/>
  <c r="EC7" i="7"/>
  <c r="EA7" i="7"/>
  <c r="DW7" i="7"/>
  <c r="DX7" i="7" s="1"/>
  <c r="EX7" i="7" s="1"/>
  <c r="DU7" i="7"/>
  <c r="DV7" i="7" s="1"/>
  <c r="EW7" i="7" s="1"/>
  <c r="DS7" i="7"/>
  <c r="DT7" i="7" s="1"/>
  <c r="EV7" i="7" s="1"/>
  <c r="DQ7" i="7"/>
  <c r="DP7" i="7"/>
  <c r="DO7" i="7"/>
  <c r="DM7" i="7"/>
  <c r="DL7" i="7"/>
  <c r="DK7" i="7"/>
  <c r="DI7" i="7"/>
  <c r="DH7" i="7"/>
  <c r="DG7" i="7"/>
  <c r="DE7" i="7"/>
  <c r="DF7" i="7" s="1"/>
  <c r="ER7" i="7" s="1"/>
  <c r="DC7" i="7"/>
  <c r="DD7" i="7" s="1"/>
  <c r="EQ7" i="7" s="1"/>
  <c r="DA7" i="7"/>
  <c r="DB7" i="7" s="1"/>
  <c r="EP7" i="7" s="1"/>
  <c r="CY7" i="7"/>
  <c r="CZ7" i="7" s="1"/>
  <c r="EO7" i="7" s="1"/>
  <c r="CW7" i="7"/>
  <c r="CV7" i="7"/>
  <c r="CU7" i="7"/>
  <c r="CS7" i="7"/>
  <c r="CR7" i="7"/>
  <c r="CQ7" i="7"/>
  <c r="CO7" i="7"/>
  <c r="CN7" i="7"/>
  <c r="CM7" i="7"/>
  <c r="BT7" i="7"/>
  <c r="BS7" i="7"/>
  <c r="R34" i="11" s="1"/>
  <c r="BR7" i="7"/>
  <c r="R33" i="11" s="1"/>
  <c r="BQ7" i="7"/>
  <c r="R32" i="11" s="1"/>
  <c r="EJ6" i="7"/>
  <c r="EI6" i="7"/>
  <c r="EH6" i="7"/>
  <c r="EG6" i="7"/>
  <c r="FA6" i="7" s="1"/>
  <c r="EE6" i="7"/>
  <c r="ED6" i="7"/>
  <c r="EC6" i="7"/>
  <c r="EF6" i="7" s="1"/>
  <c r="EZ6" i="7" s="1"/>
  <c r="EA6" i="7"/>
  <c r="DW6" i="7"/>
  <c r="DX6" i="7" s="1"/>
  <c r="EX6" i="7" s="1"/>
  <c r="DU6" i="7"/>
  <c r="DV6" i="7" s="1"/>
  <c r="EW6" i="7" s="1"/>
  <c r="DS6" i="7"/>
  <c r="DT6" i="7" s="1"/>
  <c r="EV6" i="7" s="1"/>
  <c r="DQ6" i="7"/>
  <c r="DP6" i="7"/>
  <c r="DO6" i="7"/>
  <c r="DM6" i="7"/>
  <c r="DL6" i="7"/>
  <c r="DK6" i="7"/>
  <c r="DI6" i="7"/>
  <c r="DH6" i="7"/>
  <c r="DG6" i="7"/>
  <c r="DE6" i="7"/>
  <c r="DF6" i="7" s="1"/>
  <c r="ER6" i="7" s="1"/>
  <c r="DC6" i="7"/>
  <c r="DD6" i="7" s="1"/>
  <c r="EQ6" i="7" s="1"/>
  <c r="DA6" i="7"/>
  <c r="DB6" i="7" s="1"/>
  <c r="EP6" i="7" s="1"/>
  <c r="CY6" i="7"/>
  <c r="CZ6" i="7" s="1"/>
  <c r="EO6" i="7" s="1"/>
  <c r="CW6" i="7"/>
  <c r="CV6" i="7"/>
  <c r="CU6" i="7"/>
  <c r="CS6" i="7"/>
  <c r="CR6" i="7"/>
  <c r="CQ6" i="7"/>
  <c r="CO6" i="7"/>
  <c r="CN6" i="7"/>
  <c r="CM6" i="7"/>
  <c r="BT6" i="7"/>
  <c r="BS6" i="7"/>
  <c r="R25" i="11" s="1"/>
  <c r="BR6" i="7"/>
  <c r="R24" i="11" s="1"/>
  <c r="BQ6" i="7"/>
  <c r="R23" i="11" s="1"/>
  <c r="EJ5" i="7"/>
  <c r="EI5" i="7"/>
  <c r="EH5" i="7"/>
  <c r="EG5" i="7"/>
  <c r="FA5" i="7" s="1"/>
  <c r="EE5" i="7"/>
  <c r="ED5" i="7"/>
  <c r="EC5" i="7"/>
  <c r="EA5" i="7"/>
  <c r="DW5" i="7"/>
  <c r="DX5" i="7" s="1"/>
  <c r="EX5" i="7" s="1"/>
  <c r="DU5" i="7"/>
  <c r="DV5" i="7" s="1"/>
  <c r="EW5" i="7" s="1"/>
  <c r="DS5" i="7"/>
  <c r="DT5" i="7" s="1"/>
  <c r="EV5" i="7" s="1"/>
  <c r="DQ5" i="7"/>
  <c r="DP5" i="7"/>
  <c r="DO5" i="7"/>
  <c r="DM5" i="7"/>
  <c r="DL5" i="7"/>
  <c r="DK5" i="7"/>
  <c r="DI5" i="7"/>
  <c r="DH5" i="7"/>
  <c r="DG5" i="7"/>
  <c r="DE5" i="7"/>
  <c r="DF5" i="7" s="1"/>
  <c r="ER5" i="7" s="1"/>
  <c r="DC5" i="7"/>
  <c r="DD5" i="7" s="1"/>
  <c r="EQ5" i="7" s="1"/>
  <c r="DA5" i="7"/>
  <c r="DB5" i="7" s="1"/>
  <c r="EP5" i="7" s="1"/>
  <c r="CY5" i="7"/>
  <c r="CZ5" i="7" s="1"/>
  <c r="EO5" i="7" s="1"/>
  <c r="CW5" i="7"/>
  <c r="CV5" i="7"/>
  <c r="CU5" i="7"/>
  <c r="CS5" i="7"/>
  <c r="CR5" i="7"/>
  <c r="CQ5" i="7"/>
  <c r="CO5" i="7"/>
  <c r="CN5" i="7"/>
  <c r="CM5" i="7"/>
  <c r="BT5" i="7"/>
  <c r="BS5" i="7"/>
  <c r="R16" i="11" s="1"/>
  <c r="BR5" i="7"/>
  <c r="R15" i="11" s="1"/>
  <c r="BQ5" i="7"/>
  <c r="R14" i="11" s="1"/>
  <c r="EH1" i="7"/>
  <c r="EC1" i="7"/>
  <c r="DW1" i="7"/>
  <c r="DU1" i="7"/>
  <c r="DS1" i="7"/>
  <c r="DO1" i="7"/>
  <c r="DK1" i="7"/>
  <c r="DG1" i="7"/>
  <c r="DE1" i="7"/>
  <c r="DC1" i="7"/>
  <c r="DA1" i="7"/>
  <c r="CY1" i="7"/>
  <c r="CU1" i="7"/>
  <c r="CQ1" i="7"/>
  <c r="CM1" i="7"/>
  <c r="EN44" i="6"/>
  <c r="EM44" i="6"/>
  <c r="EL44" i="6"/>
  <c r="EK44" i="6"/>
  <c r="FE44" i="6" s="1"/>
  <c r="EI44" i="6"/>
  <c r="EH44" i="6"/>
  <c r="EG44" i="6"/>
  <c r="EE44" i="6"/>
  <c r="EA44" i="6"/>
  <c r="EB44" i="6" s="1"/>
  <c r="FB44" i="6" s="1"/>
  <c r="DY44" i="6"/>
  <c r="DZ44" i="6" s="1"/>
  <c r="FA44" i="6" s="1"/>
  <c r="DW44" i="6"/>
  <c r="DX44" i="6" s="1"/>
  <c r="EZ44" i="6" s="1"/>
  <c r="DU44" i="6"/>
  <c r="DT44" i="6"/>
  <c r="DS44" i="6"/>
  <c r="DQ44" i="6"/>
  <c r="DP44" i="6"/>
  <c r="DO44" i="6"/>
  <c r="DM44" i="6"/>
  <c r="DL44" i="6"/>
  <c r="DK44" i="6"/>
  <c r="DI44" i="6"/>
  <c r="DJ44" i="6" s="1"/>
  <c r="EV44" i="6" s="1"/>
  <c r="DG44" i="6"/>
  <c r="DH44" i="6" s="1"/>
  <c r="EU44" i="6" s="1"/>
  <c r="DE44" i="6"/>
  <c r="DF44" i="6" s="1"/>
  <c r="ET44" i="6" s="1"/>
  <c r="DC44" i="6"/>
  <c r="DD44" i="6" s="1"/>
  <c r="ES44" i="6" s="1"/>
  <c r="DA44" i="6"/>
  <c r="CZ44" i="6"/>
  <c r="CY44" i="6"/>
  <c r="CW44" i="6"/>
  <c r="CV44" i="6"/>
  <c r="CU44" i="6"/>
  <c r="CS44" i="6"/>
  <c r="CR44" i="6"/>
  <c r="CQ44" i="6"/>
  <c r="ED44" i="6"/>
  <c r="EN43" i="6"/>
  <c r="EM43" i="6"/>
  <c r="EL43" i="6"/>
  <c r="EK43" i="6"/>
  <c r="FE43" i="6" s="1"/>
  <c r="EI43" i="6"/>
  <c r="EH43" i="6"/>
  <c r="EG43" i="6"/>
  <c r="EE43" i="6"/>
  <c r="EA43" i="6"/>
  <c r="EB43" i="6" s="1"/>
  <c r="FB43" i="6" s="1"/>
  <c r="DY43" i="6"/>
  <c r="DZ43" i="6" s="1"/>
  <c r="FA43" i="6" s="1"/>
  <c r="DW43" i="6"/>
  <c r="DX43" i="6" s="1"/>
  <c r="EZ43" i="6" s="1"/>
  <c r="DU43" i="6"/>
  <c r="DT43" i="6"/>
  <c r="DS43" i="6"/>
  <c r="DQ43" i="6"/>
  <c r="DP43" i="6"/>
  <c r="DO43" i="6"/>
  <c r="DM43" i="6"/>
  <c r="DL43" i="6"/>
  <c r="DK43" i="6"/>
  <c r="DI43" i="6"/>
  <c r="DJ43" i="6" s="1"/>
  <c r="EV43" i="6" s="1"/>
  <c r="DG43" i="6"/>
  <c r="DH43" i="6" s="1"/>
  <c r="EU43" i="6" s="1"/>
  <c r="DE43" i="6"/>
  <c r="DF43" i="6" s="1"/>
  <c r="ET43" i="6" s="1"/>
  <c r="DC43" i="6"/>
  <c r="DD43" i="6" s="1"/>
  <c r="ES43" i="6" s="1"/>
  <c r="DA43" i="6"/>
  <c r="CZ43" i="6"/>
  <c r="CY43" i="6"/>
  <c r="CW43" i="6"/>
  <c r="CV43" i="6"/>
  <c r="CU43" i="6"/>
  <c r="CS43" i="6"/>
  <c r="CR43" i="6"/>
  <c r="CQ43" i="6"/>
  <c r="ED43" i="6"/>
  <c r="EN42" i="6"/>
  <c r="EM42" i="6"/>
  <c r="EL42" i="6"/>
  <c r="EK42" i="6"/>
  <c r="FE42" i="6" s="1"/>
  <c r="EI42" i="6"/>
  <c r="EH42" i="6"/>
  <c r="EG42" i="6"/>
  <c r="EE42" i="6"/>
  <c r="EA42" i="6"/>
  <c r="EB42" i="6" s="1"/>
  <c r="FB42" i="6" s="1"/>
  <c r="DY42" i="6"/>
  <c r="DZ42" i="6" s="1"/>
  <c r="FA42" i="6" s="1"/>
  <c r="DW42" i="6"/>
  <c r="DX42" i="6" s="1"/>
  <c r="EZ42" i="6" s="1"/>
  <c r="DU42" i="6"/>
  <c r="DT42" i="6"/>
  <c r="DS42" i="6"/>
  <c r="DQ42" i="6"/>
  <c r="DP42" i="6"/>
  <c r="DO42" i="6"/>
  <c r="DM42" i="6"/>
  <c r="DL42" i="6"/>
  <c r="DK42" i="6"/>
  <c r="DI42" i="6"/>
  <c r="DJ42" i="6" s="1"/>
  <c r="EV42" i="6" s="1"/>
  <c r="DG42" i="6"/>
  <c r="DH42" i="6" s="1"/>
  <c r="EU42" i="6" s="1"/>
  <c r="DE42" i="6"/>
  <c r="DF42" i="6" s="1"/>
  <c r="ET42" i="6" s="1"/>
  <c r="DC42" i="6"/>
  <c r="DD42" i="6" s="1"/>
  <c r="ES42" i="6" s="1"/>
  <c r="DA42" i="6"/>
  <c r="CZ42" i="6"/>
  <c r="CY42" i="6"/>
  <c r="CW42" i="6"/>
  <c r="CV42" i="6"/>
  <c r="CU42" i="6"/>
  <c r="CS42" i="6"/>
  <c r="CR42" i="6"/>
  <c r="CQ42" i="6"/>
  <c r="ED42" i="6"/>
  <c r="EN41" i="6"/>
  <c r="EM41" i="6"/>
  <c r="EL41" i="6"/>
  <c r="EK41" i="6"/>
  <c r="FE41" i="6" s="1"/>
  <c r="EI41" i="6"/>
  <c r="EH41" i="6"/>
  <c r="EG41" i="6"/>
  <c r="EE41" i="6"/>
  <c r="EA41" i="6"/>
  <c r="EB41" i="6" s="1"/>
  <c r="FB41" i="6" s="1"/>
  <c r="DY41" i="6"/>
  <c r="DZ41" i="6" s="1"/>
  <c r="FA41" i="6" s="1"/>
  <c r="DW41" i="6"/>
  <c r="DX41" i="6" s="1"/>
  <c r="EZ41" i="6" s="1"/>
  <c r="DU41" i="6"/>
  <c r="DT41" i="6"/>
  <c r="DS41" i="6"/>
  <c r="DQ41" i="6"/>
  <c r="DP41" i="6"/>
  <c r="DO41" i="6"/>
  <c r="DM41" i="6"/>
  <c r="DL41" i="6"/>
  <c r="DK41" i="6"/>
  <c r="DI41" i="6"/>
  <c r="DJ41" i="6" s="1"/>
  <c r="EV41" i="6" s="1"/>
  <c r="DG41" i="6"/>
  <c r="DH41" i="6" s="1"/>
  <c r="EU41" i="6" s="1"/>
  <c r="DE41" i="6"/>
  <c r="DF41" i="6" s="1"/>
  <c r="ET41" i="6" s="1"/>
  <c r="DC41" i="6"/>
  <c r="DD41" i="6" s="1"/>
  <c r="ES41" i="6" s="1"/>
  <c r="DA41" i="6"/>
  <c r="CZ41" i="6"/>
  <c r="CY41" i="6"/>
  <c r="CW41" i="6"/>
  <c r="CV41" i="6"/>
  <c r="CU41" i="6"/>
  <c r="CS41" i="6"/>
  <c r="CR41" i="6"/>
  <c r="CQ41" i="6"/>
  <c r="ED41" i="6"/>
  <c r="EN40" i="6"/>
  <c r="EM40" i="6"/>
  <c r="EL40" i="6"/>
  <c r="EK40" i="6"/>
  <c r="FE40" i="6" s="1"/>
  <c r="EI40" i="6"/>
  <c r="EH40" i="6"/>
  <c r="EG40" i="6"/>
  <c r="EE40" i="6"/>
  <c r="EA40" i="6"/>
  <c r="EB40" i="6" s="1"/>
  <c r="FB40" i="6" s="1"/>
  <c r="DY40" i="6"/>
  <c r="DZ40" i="6" s="1"/>
  <c r="FA40" i="6" s="1"/>
  <c r="DW40" i="6"/>
  <c r="DX40" i="6" s="1"/>
  <c r="EZ40" i="6" s="1"/>
  <c r="DU40" i="6"/>
  <c r="DT40" i="6"/>
  <c r="DS40" i="6"/>
  <c r="DQ40" i="6"/>
  <c r="DP40" i="6"/>
  <c r="DO40" i="6"/>
  <c r="DM40" i="6"/>
  <c r="DL40" i="6"/>
  <c r="DK40" i="6"/>
  <c r="DI40" i="6"/>
  <c r="DJ40" i="6" s="1"/>
  <c r="EV40" i="6" s="1"/>
  <c r="DG40" i="6"/>
  <c r="DH40" i="6" s="1"/>
  <c r="EU40" i="6" s="1"/>
  <c r="DE40" i="6"/>
  <c r="DF40" i="6" s="1"/>
  <c r="ET40" i="6" s="1"/>
  <c r="DC40" i="6"/>
  <c r="DD40" i="6" s="1"/>
  <c r="ES40" i="6" s="1"/>
  <c r="DA40" i="6"/>
  <c r="CZ40" i="6"/>
  <c r="CY40" i="6"/>
  <c r="CW40" i="6"/>
  <c r="CV40" i="6"/>
  <c r="CU40" i="6"/>
  <c r="CS40" i="6"/>
  <c r="CR40" i="6"/>
  <c r="CQ40" i="6"/>
  <c r="ED40" i="6"/>
  <c r="EN39" i="6"/>
  <c r="EM39" i="6"/>
  <c r="EL39" i="6"/>
  <c r="EK39" i="6"/>
  <c r="FE39" i="6" s="1"/>
  <c r="EI39" i="6"/>
  <c r="EH39" i="6"/>
  <c r="EG39" i="6"/>
  <c r="EE39" i="6"/>
  <c r="EA39" i="6"/>
  <c r="EB39" i="6" s="1"/>
  <c r="FB39" i="6" s="1"/>
  <c r="DY39" i="6"/>
  <c r="DZ39" i="6" s="1"/>
  <c r="FA39" i="6" s="1"/>
  <c r="DW39" i="6"/>
  <c r="DX39" i="6" s="1"/>
  <c r="EZ39" i="6" s="1"/>
  <c r="DU39" i="6"/>
  <c r="DT39" i="6"/>
  <c r="DS39" i="6"/>
  <c r="DQ39" i="6"/>
  <c r="DP39" i="6"/>
  <c r="DO39" i="6"/>
  <c r="DM39" i="6"/>
  <c r="DL39" i="6"/>
  <c r="DK39" i="6"/>
  <c r="DI39" i="6"/>
  <c r="DJ39" i="6" s="1"/>
  <c r="EV39" i="6" s="1"/>
  <c r="DG39" i="6"/>
  <c r="DH39" i="6" s="1"/>
  <c r="EU39" i="6" s="1"/>
  <c r="DE39" i="6"/>
  <c r="DF39" i="6" s="1"/>
  <c r="ET39" i="6" s="1"/>
  <c r="DC39" i="6"/>
  <c r="DD39" i="6" s="1"/>
  <c r="ES39" i="6" s="1"/>
  <c r="DA39" i="6"/>
  <c r="CZ39" i="6"/>
  <c r="CY39" i="6"/>
  <c r="CW39" i="6"/>
  <c r="CV39" i="6"/>
  <c r="CU39" i="6"/>
  <c r="CS39" i="6"/>
  <c r="CR39" i="6"/>
  <c r="CQ39" i="6"/>
  <c r="ED39" i="6"/>
  <c r="EN38" i="6"/>
  <c r="EM38" i="6"/>
  <c r="EL38" i="6"/>
  <c r="EK38" i="6"/>
  <c r="FE38" i="6" s="1"/>
  <c r="EI38" i="6"/>
  <c r="EH38" i="6"/>
  <c r="EG38" i="6"/>
  <c r="EE38" i="6"/>
  <c r="EA38" i="6"/>
  <c r="EB38" i="6" s="1"/>
  <c r="FB38" i="6" s="1"/>
  <c r="DY38" i="6"/>
  <c r="DZ38" i="6" s="1"/>
  <c r="FA38" i="6" s="1"/>
  <c r="DW38" i="6"/>
  <c r="DX38" i="6" s="1"/>
  <c r="EZ38" i="6" s="1"/>
  <c r="DU38" i="6"/>
  <c r="DT38" i="6"/>
  <c r="DS38" i="6"/>
  <c r="DQ38" i="6"/>
  <c r="DP38" i="6"/>
  <c r="DO38" i="6"/>
  <c r="DM38" i="6"/>
  <c r="DL38" i="6"/>
  <c r="DK38" i="6"/>
  <c r="DI38" i="6"/>
  <c r="DJ38" i="6" s="1"/>
  <c r="EV38" i="6" s="1"/>
  <c r="DG38" i="6"/>
  <c r="DH38" i="6" s="1"/>
  <c r="EU38" i="6" s="1"/>
  <c r="DE38" i="6"/>
  <c r="DF38" i="6" s="1"/>
  <c r="ET38" i="6" s="1"/>
  <c r="DC38" i="6"/>
  <c r="DD38" i="6" s="1"/>
  <c r="ES38" i="6" s="1"/>
  <c r="DA38" i="6"/>
  <c r="CZ38" i="6"/>
  <c r="CY38" i="6"/>
  <c r="CW38" i="6"/>
  <c r="CV38" i="6"/>
  <c r="CU38" i="6"/>
  <c r="CS38" i="6"/>
  <c r="CR38" i="6"/>
  <c r="CQ38" i="6"/>
  <c r="ED38" i="6"/>
  <c r="EN37" i="6"/>
  <c r="EM37" i="6"/>
  <c r="EL37" i="6"/>
  <c r="EO37" i="6" s="1"/>
  <c r="FF37" i="6" s="1"/>
  <c r="EK37" i="6"/>
  <c r="FE37" i="6" s="1"/>
  <c r="EI37" i="6"/>
  <c r="EH37" i="6"/>
  <c r="EG37" i="6"/>
  <c r="EE37" i="6"/>
  <c r="EA37" i="6"/>
  <c r="EB37" i="6" s="1"/>
  <c r="FB37" i="6" s="1"/>
  <c r="DY37" i="6"/>
  <c r="DZ37" i="6" s="1"/>
  <c r="FA37" i="6" s="1"/>
  <c r="DW37" i="6"/>
  <c r="DX37" i="6" s="1"/>
  <c r="EZ37" i="6" s="1"/>
  <c r="DU37" i="6"/>
  <c r="DT37" i="6"/>
  <c r="DS37" i="6"/>
  <c r="DQ37" i="6"/>
  <c r="DP37" i="6"/>
  <c r="DO37" i="6"/>
  <c r="DM37" i="6"/>
  <c r="DL37" i="6"/>
  <c r="DK37" i="6"/>
  <c r="DI37" i="6"/>
  <c r="DJ37" i="6" s="1"/>
  <c r="EV37" i="6" s="1"/>
  <c r="DG37" i="6"/>
  <c r="DH37" i="6" s="1"/>
  <c r="EU37" i="6" s="1"/>
  <c r="DE37" i="6"/>
  <c r="DF37" i="6" s="1"/>
  <c r="ET37" i="6" s="1"/>
  <c r="DC37" i="6"/>
  <c r="DD37" i="6" s="1"/>
  <c r="ES37" i="6" s="1"/>
  <c r="DA37" i="6"/>
  <c r="CZ37" i="6"/>
  <c r="CY37" i="6"/>
  <c r="CW37" i="6"/>
  <c r="CV37" i="6"/>
  <c r="CU37" i="6"/>
  <c r="CS37" i="6"/>
  <c r="CR37" i="6"/>
  <c r="CQ37" i="6"/>
  <c r="ED37" i="6"/>
  <c r="EN36" i="6"/>
  <c r="EM36" i="6"/>
  <c r="EL36" i="6"/>
  <c r="EK36" i="6"/>
  <c r="FE36" i="6" s="1"/>
  <c r="EI36" i="6"/>
  <c r="EH36" i="6"/>
  <c r="EG36" i="6"/>
  <c r="EE36" i="6"/>
  <c r="EA36" i="6"/>
  <c r="EB36" i="6" s="1"/>
  <c r="FB36" i="6" s="1"/>
  <c r="DY36" i="6"/>
  <c r="DZ36" i="6" s="1"/>
  <c r="FA36" i="6" s="1"/>
  <c r="DW36" i="6"/>
  <c r="DX36" i="6" s="1"/>
  <c r="EZ36" i="6" s="1"/>
  <c r="DU36" i="6"/>
  <c r="DT36" i="6"/>
  <c r="DS36" i="6"/>
  <c r="DQ36" i="6"/>
  <c r="DP36" i="6"/>
  <c r="DO36" i="6"/>
  <c r="DM36" i="6"/>
  <c r="DL36" i="6"/>
  <c r="DK36" i="6"/>
  <c r="DI36" i="6"/>
  <c r="DJ36" i="6" s="1"/>
  <c r="EV36" i="6" s="1"/>
  <c r="DG36" i="6"/>
  <c r="DH36" i="6" s="1"/>
  <c r="EU36" i="6" s="1"/>
  <c r="DE36" i="6"/>
  <c r="DF36" i="6" s="1"/>
  <c r="ET36" i="6" s="1"/>
  <c r="DC36" i="6"/>
  <c r="DD36" i="6" s="1"/>
  <c r="ES36" i="6" s="1"/>
  <c r="DA36" i="6"/>
  <c r="CZ36" i="6"/>
  <c r="CY36" i="6"/>
  <c r="CW36" i="6"/>
  <c r="CV36" i="6"/>
  <c r="CU36" i="6"/>
  <c r="CS36" i="6"/>
  <c r="CR36" i="6"/>
  <c r="CQ36" i="6"/>
  <c r="ED36" i="6"/>
  <c r="EN35" i="6"/>
  <c r="EM35" i="6"/>
  <c r="EL35" i="6"/>
  <c r="EK35" i="6"/>
  <c r="FE35" i="6" s="1"/>
  <c r="EI35" i="6"/>
  <c r="EH35" i="6"/>
  <c r="EG35" i="6"/>
  <c r="EE35" i="6"/>
  <c r="EA35" i="6"/>
  <c r="EB35" i="6" s="1"/>
  <c r="FB35" i="6" s="1"/>
  <c r="DY35" i="6"/>
  <c r="DZ35" i="6" s="1"/>
  <c r="FA35" i="6" s="1"/>
  <c r="DW35" i="6"/>
  <c r="DX35" i="6" s="1"/>
  <c r="EZ35" i="6" s="1"/>
  <c r="DU35" i="6"/>
  <c r="DT35" i="6"/>
  <c r="DS35" i="6"/>
  <c r="DQ35" i="6"/>
  <c r="DP35" i="6"/>
  <c r="DO35" i="6"/>
  <c r="DM35" i="6"/>
  <c r="DL35" i="6"/>
  <c r="DK35" i="6"/>
  <c r="DI35" i="6"/>
  <c r="DJ35" i="6" s="1"/>
  <c r="EV35" i="6" s="1"/>
  <c r="DG35" i="6"/>
  <c r="DH35" i="6" s="1"/>
  <c r="EU35" i="6" s="1"/>
  <c r="DE35" i="6"/>
  <c r="DF35" i="6" s="1"/>
  <c r="ET35" i="6" s="1"/>
  <c r="DC35" i="6"/>
  <c r="DD35" i="6" s="1"/>
  <c r="ES35" i="6" s="1"/>
  <c r="DA35" i="6"/>
  <c r="CZ35" i="6"/>
  <c r="CY35" i="6"/>
  <c r="CW35" i="6"/>
  <c r="CV35" i="6"/>
  <c r="CU35" i="6"/>
  <c r="CS35" i="6"/>
  <c r="CR35" i="6"/>
  <c r="CQ35" i="6"/>
  <c r="ED35" i="6"/>
  <c r="EN34" i="6"/>
  <c r="EM34" i="6"/>
  <c r="EL34" i="6"/>
  <c r="EK34" i="6"/>
  <c r="FE34" i="6" s="1"/>
  <c r="EI34" i="6"/>
  <c r="EH34" i="6"/>
  <c r="EG34" i="6"/>
  <c r="EE34" i="6"/>
  <c r="EA34" i="6"/>
  <c r="EB34" i="6" s="1"/>
  <c r="FB34" i="6" s="1"/>
  <c r="DY34" i="6"/>
  <c r="DZ34" i="6" s="1"/>
  <c r="FA34" i="6" s="1"/>
  <c r="DW34" i="6"/>
  <c r="DX34" i="6" s="1"/>
  <c r="EZ34" i="6" s="1"/>
  <c r="DU34" i="6"/>
  <c r="DT34" i="6"/>
  <c r="DS34" i="6"/>
  <c r="DQ34" i="6"/>
  <c r="DP34" i="6"/>
  <c r="DO34" i="6"/>
  <c r="DM34" i="6"/>
  <c r="DL34" i="6"/>
  <c r="DK34" i="6"/>
  <c r="DI34" i="6"/>
  <c r="DJ34" i="6" s="1"/>
  <c r="EV34" i="6" s="1"/>
  <c r="DG34" i="6"/>
  <c r="DH34" i="6" s="1"/>
  <c r="EU34" i="6" s="1"/>
  <c r="DE34" i="6"/>
  <c r="DF34" i="6" s="1"/>
  <c r="ET34" i="6" s="1"/>
  <c r="DC34" i="6"/>
  <c r="DD34" i="6" s="1"/>
  <c r="ES34" i="6" s="1"/>
  <c r="DA34" i="6"/>
  <c r="CZ34" i="6"/>
  <c r="CY34" i="6"/>
  <c r="CW34" i="6"/>
  <c r="CV34" i="6"/>
  <c r="CU34" i="6"/>
  <c r="CS34" i="6"/>
  <c r="CR34" i="6"/>
  <c r="CQ34" i="6"/>
  <c r="ED34" i="6"/>
  <c r="EN33" i="6"/>
  <c r="EM33" i="6"/>
  <c r="EL33" i="6"/>
  <c r="EK33" i="6"/>
  <c r="FE33" i="6" s="1"/>
  <c r="EI33" i="6"/>
  <c r="EH33" i="6"/>
  <c r="EG33" i="6"/>
  <c r="EE33" i="6"/>
  <c r="EA33" i="6"/>
  <c r="EB33" i="6" s="1"/>
  <c r="FB33" i="6" s="1"/>
  <c r="DY33" i="6"/>
  <c r="DZ33" i="6" s="1"/>
  <c r="FA33" i="6" s="1"/>
  <c r="DW33" i="6"/>
  <c r="DX33" i="6" s="1"/>
  <c r="EZ33" i="6" s="1"/>
  <c r="DU33" i="6"/>
  <c r="DT33" i="6"/>
  <c r="DS33" i="6"/>
  <c r="DQ33" i="6"/>
  <c r="DP33" i="6"/>
  <c r="DO33" i="6"/>
  <c r="DM33" i="6"/>
  <c r="DL33" i="6"/>
  <c r="DK33" i="6"/>
  <c r="DI33" i="6"/>
  <c r="DJ33" i="6" s="1"/>
  <c r="EV33" i="6" s="1"/>
  <c r="DG33" i="6"/>
  <c r="DH33" i="6" s="1"/>
  <c r="EU33" i="6" s="1"/>
  <c r="DE33" i="6"/>
  <c r="DF33" i="6" s="1"/>
  <c r="ET33" i="6" s="1"/>
  <c r="DC33" i="6"/>
  <c r="DD33" i="6" s="1"/>
  <c r="ES33" i="6" s="1"/>
  <c r="DA33" i="6"/>
  <c r="CZ33" i="6"/>
  <c r="CY33" i="6"/>
  <c r="CW33" i="6"/>
  <c r="CV33" i="6"/>
  <c r="CU33" i="6"/>
  <c r="CS33" i="6"/>
  <c r="CR33" i="6"/>
  <c r="CQ33" i="6"/>
  <c r="ED33" i="6"/>
  <c r="EN32" i="6"/>
  <c r="EM32" i="6"/>
  <c r="EL32" i="6"/>
  <c r="EK32" i="6"/>
  <c r="FE32" i="6" s="1"/>
  <c r="EI32" i="6"/>
  <c r="EH32" i="6"/>
  <c r="EG32" i="6"/>
  <c r="EE32" i="6"/>
  <c r="EA32" i="6"/>
  <c r="EB32" i="6" s="1"/>
  <c r="FB32" i="6" s="1"/>
  <c r="DY32" i="6"/>
  <c r="DZ32" i="6" s="1"/>
  <c r="FA32" i="6" s="1"/>
  <c r="DW32" i="6"/>
  <c r="DX32" i="6" s="1"/>
  <c r="EZ32" i="6" s="1"/>
  <c r="DU32" i="6"/>
  <c r="DT32" i="6"/>
  <c r="DS32" i="6"/>
  <c r="DQ32" i="6"/>
  <c r="DP32" i="6"/>
  <c r="DO32" i="6"/>
  <c r="DM32" i="6"/>
  <c r="DL32" i="6"/>
  <c r="DK32" i="6"/>
  <c r="DI32" i="6"/>
  <c r="DJ32" i="6" s="1"/>
  <c r="EV32" i="6" s="1"/>
  <c r="DG32" i="6"/>
  <c r="DH32" i="6" s="1"/>
  <c r="EU32" i="6" s="1"/>
  <c r="DE32" i="6"/>
  <c r="DF32" i="6" s="1"/>
  <c r="ET32" i="6" s="1"/>
  <c r="DC32" i="6"/>
  <c r="DD32" i="6" s="1"/>
  <c r="ES32" i="6" s="1"/>
  <c r="DA32" i="6"/>
  <c r="CZ32" i="6"/>
  <c r="CY32" i="6"/>
  <c r="CW32" i="6"/>
  <c r="CV32" i="6"/>
  <c r="CU32" i="6"/>
  <c r="CS32" i="6"/>
  <c r="CR32" i="6"/>
  <c r="CQ32" i="6"/>
  <c r="ED32" i="6"/>
  <c r="EN31" i="6"/>
  <c r="EM31" i="6"/>
  <c r="EL31" i="6"/>
  <c r="EK31" i="6"/>
  <c r="FE31" i="6" s="1"/>
  <c r="EI31" i="6"/>
  <c r="EH31" i="6"/>
  <c r="EG31" i="6"/>
  <c r="EE31" i="6"/>
  <c r="EA31" i="6"/>
  <c r="EB31" i="6" s="1"/>
  <c r="FB31" i="6" s="1"/>
  <c r="DY31" i="6"/>
  <c r="DZ31" i="6" s="1"/>
  <c r="FA31" i="6" s="1"/>
  <c r="DW31" i="6"/>
  <c r="DX31" i="6" s="1"/>
  <c r="EZ31" i="6" s="1"/>
  <c r="DU31" i="6"/>
  <c r="DT31" i="6"/>
  <c r="DS31" i="6"/>
  <c r="DQ31" i="6"/>
  <c r="DP31" i="6"/>
  <c r="DO31" i="6"/>
  <c r="DM31" i="6"/>
  <c r="DL31" i="6"/>
  <c r="DK31" i="6"/>
  <c r="DI31" i="6"/>
  <c r="DJ31" i="6" s="1"/>
  <c r="EV31" i="6" s="1"/>
  <c r="DG31" i="6"/>
  <c r="DH31" i="6" s="1"/>
  <c r="EU31" i="6" s="1"/>
  <c r="DE31" i="6"/>
  <c r="DF31" i="6" s="1"/>
  <c r="ET31" i="6" s="1"/>
  <c r="DC31" i="6"/>
  <c r="DD31" i="6" s="1"/>
  <c r="ES31" i="6" s="1"/>
  <c r="DA31" i="6"/>
  <c r="CZ31" i="6"/>
  <c r="CY31" i="6"/>
  <c r="CW31" i="6"/>
  <c r="CV31" i="6"/>
  <c r="CU31" i="6"/>
  <c r="CS31" i="6"/>
  <c r="CR31" i="6"/>
  <c r="CQ31" i="6"/>
  <c r="ED31" i="6"/>
  <c r="EN30" i="6"/>
  <c r="EM30" i="6"/>
  <c r="EL30" i="6"/>
  <c r="EK30" i="6"/>
  <c r="FE30" i="6" s="1"/>
  <c r="EI30" i="6"/>
  <c r="EH30" i="6"/>
  <c r="EG30" i="6"/>
  <c r="EE30" i="6"/>
  <c r="EA30" i="6"/>
  <c r="EB30" i="6" s="1"/>
  <c r="FB30" i="6" s="1"/>
  <c r="DY30" i="6"/>
  <c r="DZ30" i="6" s="1"/>
  <c r="FA30" i="6" s="1"/>
  <c r="DW30" i="6"/>
  <c r="DX30" i="6" s="1"/>
  <c r="EZ30" i="6" s="1"/>
  <c r="DU30" i="6"/>
  <c r="DT30" i="6"/>
  <c r="DS30" i="6"/>
  <c r="DQ30" i="6"/>
  <c r="DP30" i="6"/>
  <c r="DO30" i="6"/>
  <c r="DM30" i="6"/>
  <c r="DL30" i="6"/>
  <c r="DK30" i="6"/>
  <c r="DI30" i="6"/>
  <c r="DJ30" i="6" s="1"/>
  <c r="EV30" i="6" s="1"/>
  <c r="DG30" i="6"/>
  <c r="DH30" i="6" s="1"/>
  <c r="EU30" i="6" s="1"/>
  <c r="DE30" i="6"/>
  <c r="DF30" i="6" s="1"/>
  <c r="ET30" i="6" s="1"/>
  <c r="DC30" i="6"/>
  <c r="DD30" i="6" s="1"/>
  <c r="ES30" i="6" s="1"/>
  <c r="DA30" i="6"/>
  <c r="CZ30" i="6"/>
  <c r="CY30" i="6"/>
  <c r="CW30" i="6"/>
  <c r="CV30" i="6"/>
  <c r="CU30" i="6"/>
  <c r="CS30" i="6"/>
  <c r="CR30" i="6"/>
  <c r="CQ30" i="6"/>
  <c r="ED30" i="6"/>
  <c r="EN29" i="6"/>
  <c r="EM29" i="6"/>
  <c r="EL29" i="6"/>
  <c r="EK29" i="6"/>
  <c r="FE29" i="6" s="1"/>
  <c r="EI29" i="6"/>
  <c r="EH29" i="6"/>
  <c r="EG29" i="6"/>
  <c r="EJ29" i="6" s="1"/>
  <c r="FD29" i="6" s="1"/>
  <c r="EE29" i="6"/>
  <c r="EA29" i="6"/>
  <c r="EB29" i="6" s="1"/>
  <c r="FB29" i="6" s="1"/>
  <c r="DY29" i="6"/>
  <c r="DZ29" i="6" s="1"/>
  <c r="FA29" i="6" s="1"/>
  <c r="DW29" i="6"/>
  <c r="DX29" i="6" s="1"/>
  <c r="EZ29" i="6" s="1"/>
  <c r="DU29" i="6"/>
  <c r="DT29" i="6"/>
  <c r="DS29" i="6"/>
  <c r="DQ29" i="6"/>
  <c r="DP29" i="6"/>
  <c r="DO29" i="6"/>
  <c r="DM29" i="6"/>
  <c r="DL29" i="6"/>
  <c r="DK29" i="6"/>
  <c r="DI29" i="6"/>
  <c r="DJ29" i="6" s="1"/>
  <c r="EV29" i="6" s="1"/>
  <c r="DG29" i="6"/>
  <c r="DH29" i="6" s="1"/>
  <c r="EU29" i="6" s="1"/>
  <c r="DE29" i="6"/>
  <c r="DF29" i="6" s="1"/>
  <c r="ET29" i="6" s="1"/>
  <c r="DC29" i="6"/>
  <c r="DD29" i="6" s="1"/>
  <c r="ES29" i="6" s="1"/>
  <c r="DA29" i="6"/>
  <c r="CZ29" i="6"/>
  <c r="CY29" i="6"/>
  <c r="CW29" i="6"/>
  <c r="CV29" i="6"/>
  <c r="CU29" i="6"/>
  <c r="CS29" i="6"/>
  <c r="CR29" i="6"/>
  <c r="CQ29" i="6"/>
  <c r="ED29" i="6"/>
  <c r="EN28" i="6"/>
  <c r="EM28" i="6"/>
  <c r="EL28" i="6"/>
  <c r="EK28" i="6"/>
  <c r="FE28" i="6" s="1"/>
  <c r="EI28" i="6"/>
  <c r="EH28" i="6"/>
  <c r="EG28" i="6"/>
  <c r="EE28" i="6"/>
  <c r="EA28" i="6"/>
  <c r="EB28" i="6" s="1"/>
  <c r="FB28" i="6" s="1"/>
  <c r="DY28" i="6"/>
  <c r="DZ28" i="6" s="1"/>
  <c r="FA28" i="6" s="1"/>
  <c r="DW28" i="6"/>
  <c r="DX28" i="6" s="1"/>
  <c r="EZ28" i="6" s="1"/>
  <c r="DU28" i="6"/>
  <c r="DT28" i="6"/>
  <c r="DS28" i="6"/>
  <c r="DV28" i="6" s="1"/>
  <c r="EY28" i="6" s="1"/>
  <c r="DQ28" i="6"/>
  <c r="DP28" i="6"/>
  <c r="DO28" i="6"/>
  <c r="DM28" i="6"/>
  <c r="DL28" i="6"/>
  <c r="DK28" i="6"/>
  <c r="DI28" i="6"/>
  <c r="DJ28" i="6" s="1"/>
  <c r="EV28" i="6" s="1"/>
  <c r="DG28" i="6"/>
  <c r="DH28" i="6" s="1"/>
  <c r="EU28" i="6" s="1"/>
  <c r="DE28" i="6"/>
  <c r="DF28" i="6" s="1"/>
  <c r="ET28" i="6" s="1"/>
  <c r="DC28" i="6"/>
  <c r="DD28" i="6" s="1"/>
  <c r="ES28" i="6" s="1"/>
  <c r="DA28" i="6"/>
  <c r="CZ28" i="6"/>
  <c r="CY28" i="6"/>
  <c r="CW28" i="6"/>
  <c r="CV28" i="6"/>
  <c r="CU28" i="6"/>
  <c r="CS28" i="6"/>
  <c r="CR28" i="6"/>
  <c r="CQ28" i="6"/>
  <c r="ED28" i="6"/>
  <c r="EN27" i="6"/>
  <c r="EM27" i="6"/>
  <c r="EL27" i="6"/>
  <c r="EK27" i="6"/>
  <c r="FE27" i="6" s="1"/>
  <c r="EI27" i="6"/>
  <c r="EH27" i="6"/>
  <c r="EG27" i="6"/>
  <c r="EE27" i="6"/>
  <c r="EA27" i="6"/>
  <c r="EB27" i="6" s="1"/>
  <c r="FB27" i="6" s="1"/>
  <c r="DY27" i="6"/>
  <c r="DZ27" i="6" s="1"/>
  <c r="FA27" i="6" s="1"/>
  <c r="DW27" i="6"/>
  <c r="DX27" i="6" s="1"/>
  <c r="EZ27" i="6" s="1"/>
  <c r="DU27" i="6"/>
  <c r="DT27" i="6"/>
  <c r="DS27" i="6"/>
  <c r="DQ27" i="6"/>
  <c r="DP27" i="6"/>
  <c r="DO27" i="6"/>
  <c r="DM27" i="6"/>
  <c r="DL27" i="6"/>
  <c r="DK27" i="6"/>
  <c r="DI27" i="6"/>
  <c r="DJ27" i="6" s="1"/>
  <c r="EV27" i="6" s="1"/>
  <c r="DG27" i="6"/>
  <c r="DH27" i="6" s="1"/>
  <c r="EU27" i="6" s="1"/>
  <c r="DE27" i="6"/>
  <c r="DF27" i="6" s="1"/>
  <c r="ET27" i="6" s="1"/>
  <c r="DC27" i="6"/>
  <c r="DD27" i="6" s="1"/>
  <c r="ES27" i="6" s="1"/>
  <c r="DA27" i="6"/>
  <c r="CZ27" i="6"/>
  <c r="CY27" i="6"/>
  <c r="CW27" i="6"/>
  <c r="CV27" i="6"/>
  <c r="CU27" i="6"/>
  <c r="CS27" i="6"/>
  <c r="CR27" i="6"/>
  <c r="CQ27" i="6"/>
  <c r="ED27" i="6"/>
  <c r="EN26" i="6"/>
  <c r="EM26" i="6"/>
  <c r="EL26" i="6"/>
  <c r="EO26" i="6" s="1"/>
  <c r="FF26" i="6" s="1"/>
  <c r="EK26" i="6"/>
  <c r="FE26" i="6" s="1"/>
  <c r="EI26" i="6"/>
  <c r="EH26" i="6"/>
  <c r="EG26" i="6"/>
  <c r="EE26" i="6"/>
  <c r="EA26" i="6"/>
  <c r="EB26" i="6" s="1"/>
  <c r="FB26" i="6" s="1"/>
  <c r="DY26" i="6"/>
  <c r="DZ26" i="6" s="1"/>
  <c r="FA26" i="6" s="1"/>
  <c r="DW26" i="6"/>
  <c r="DX26" i="6" s="1"/>
  <c r="EZ26" i="6" s="1"/>
  <c r="DU26" i="6"/>
  <c r="DT26" i="6"/>
  <c r="DS26" i="6"/>
  <c r="DQ26" i="6"/>
  <c r="DP26" i="6"/>
  <c r="DO26" i="6"/>
  <c r="DM26" i="6"/>
  <c r="DL26" i="6"/>
  <c r="DK26" i="6"/>
  <c r="DI26" i="6"/>
  <c r="DJ26" i="6" s="1"/>
  <c r="EV26" i="6" s="1"/>
  <c r="DG26" i="6"/>
  <c r="DH26" i="6" s="1"/>
  <c r="EU26" i="6" s="1"/>
  <c r="DE26" i="6"/>
  <c r="DF26" i="6" s="1"/>
  <c r="ET26" i="6" s="1"/>
  <c r="DC26" i="6"/>
  <c r="DD26" i="6" s="1"/>
  <c r="ES26" i="6" s="1"/>
  <c r="DA26" i="6"/>
  <c r="CZ26" i="6"/>
  <c r="CY26" i="6"/>
  <c r="CW26" i="6"/>
  <c r="CV26" i="6"/>
  <c r="CU26" i="6"/>
  <c r="CS26" i="6"/>
  <c r="CR26" i="6"/>
  <c r="CQ26" i="6"/>
  <c r="ED26" i="6"/>
  <c r="EN25" i="6"/>
  <c r="EM25" i="6"/>
  <c r="EL25" i="6"/>
  <c r="EK25" i="6"/>
  <c r="FE25" i="6" s="1"/>
  <c r="EI25" i="6"/>
  <c r="EH25" i="6"/>
  <c r="EG25" i="6"/>
  <c r="EE25" i="6"/>
  <c r="EA25" i="6"/>
  <c r="EB25" i="6" s="1"/>
  <c r="FB25" i="6" s="1"/>
  <c r="DY25" i="6"/>
  <c r="DZ25" i="6" s="1"/>
  <c r="FA25" i="6" s="1"/>
  <c r="DW25" i="6"/>
  <c r="DX25" i="6" s="1"/>
  <c r="EZ25" i="6" s="1"/>
  <c r="DU25" i="6"/>
  <c r="DT25" i="6"/>
  <c r="DS25" i="6"/>
  <c r="DV25" i="6" s="1"/>
  <c r="EY25" i="6" s="1"/>
  <c r="DQ25" i="6"/>
  <c r="DP25" i="6"/>
  <c r="DO25" i="6"/>
  <c r="DM25" i="6"/>
  <c r="DL25" i="6"/>
  <c r="DK25" i="6"/>
  <c r="DI25" i="6"/>
  <c r="DJ25" i="6" s="1"/>
  <c r="EV25" i="6" s="1"/>
  <c r="DG25" i="6"/>
  <c r="DH25" i="6" s="1"/>
  <c r="EU25" i="6" s="1"/>
  <c r="DE25" i="6"/>
  <c r="DF25" i="6" s="1"/>
  <c r="ET25" i="6" s="1"/>
  <c r="DC25" i="6"/>
  <c r="DD25" i="6" s="1"/>
  <c r="ES25" i="6" s="1"/>
  <c r="DA25" i="6"/>
  <c r="CZ25" i="6"/>
  <c r="CY25" i="6"/>
  <c r="CW25" i="6"/>
  <c r="CV25" i="6"/>
  <c r="CU25" i="6"/>
  <c r="CS25" i="6"/>
  <c r="CR25" i="6"/>
  <c r="CQ25" i="6"/>
  <c r="ED25" i="6"/>
  <c r="EN24" i="6"/>
  <c r="EM24" i="6"/>
  <c r="EL24" i="6"/>
  <c r="EK24" i="6"/>
  <c r="FE24" i="6" s="1"/>
  <c r="EI24" i="6"/>
  <c r="EH24" i="6"/>
  <c r="EG24" i="6"/>
  <c r="EE24" i="6"/>
  <c r="EA24" i="6"/>
  <c r="EB24" i="6" s="1"/>
  <c r="FB24" i="6" s="1"/>
  <c r="DY24" i="6"/>
  <c r="DZ24" i="6" s="1"/>
  <c r="FA24" i="6" s="1"/>
  <c r="DW24" i="6"/>
  <c r="DX24" i="6" s="1"/>
  <c r="EZ24" i="6" s="1"/>
  <c r="DU24" i="6"/>
  <c r="DT24" i="6"/>
  <c r="DS24" i="6"/>
  <c r="DQ24" i="6"/>
  <c r="DP24" i="6"/>
  <c r="DO24" i="6"/>
  <c r="DM24" i="6"/>
  <c r="DL24" i="6"/>
  <c r="DK24" i="6"/>
  <c r="DI24" i="6"/>
  <c r="DJ24" i="6" s="1"/>
  <c r="EV24" i="6" s="1"/>
  <c r="DG24" i="6"/>
  <c r="DH24" i="6" s="1"/>
  <c r="EU24" i="6" s="1"/>
  <c r="DE24" i="6"/>
  <c r="DF24" i="6" s="1"/>
  <c r="ET24" i="6" s="1"/>
  <c r="DC24" i="6"/>
  <c r="DD24" i="6" s="1"/>
  <c r="ES24" i="6" s="1"/>
  <c r="DA24" i="6"/>
  <c r="CZ24" i="6"/>
  <c r="CY24" i="6"/>
  <c r="CW24" i="6"/>
  <c r="CV24" i="6"/>
  <c r="CU24" i="6"/>
  <c r="CS24" i="6"/>
  <c r="CR24" i="6"/>
  <c r="CQ24" i="6"/>
  <c r="ED24" i="6"/>
  <c r="EN23" i="6"/>
  <c r="EM23" i="6"/>
  <c r="EL23" i="6"/>
  <c r="EK23" i="6"/>
  <c r="FE23" i="6" s="1"/>
  <c r="EI23" i="6"/>
  <c r="EH23" i="6"/>
  <c r="EG23" i="6"/>
  <c r="EE23" i="6"/>
  <c r="EA23" i="6"/>
  <c r="EB23" i="6" s="1"/>
  <c r="FB23" i="6" s="1"/>
  <c r="DY23" i="6"/>
  <c r="DZ23" i="6" s="1"/>
  <c r="FA23" i="6" s="1"/>
  <c r="DW23" i="6"/>
  <c r="DX23" i="6" s="1"/>
  <c r="EZ23" i="6" s="1"/>
  <c r="DU23" i="6"/>
  <c r="DT23" i="6"/>
  <c r="DS23" i="6"/>
  <c r="DQ23" i="6"/>
  <c r="DP23" i="6"/>
  <c r="DO23" i="6"/>
  <c r="DM23" i="6"/>
  <c r="DL23" i="6"/>
  <c r="DK23" i="6"/>
  <c r="DI23" i="6"/>
  <c r="DJ23" i="6" s="1"/>
  <c r="EV23" i="6" s="1"/>
  <c r="DG23" i="6"/>
  <c r="DH23" i="6" s="1"/>
  <c r="EU23" i="6" s="1"/>
  <c r="DE23" i="6"/>
  <c r="DF23" i="6" s="1"/>
  <c r="ET23" i="6" s="1"/>
  <c r="DC23" i="6"/>
  <c r="DD23" i="6" s="1"/>
  <c r="ES23" i="6" s="1"/>
  <c r="DA23" i="6"/>
  <c r="CZ23" i="6"/>
  <c r="CY23" i="6"/>
  <c r="CW23" i="6"/>
  <c r="CV23" i="6"/>
  <c r="CU23" i="6"/>
  <c r="CS23" i="6"/>
  <c r="CR23" i="6"/>
  <c r="CQ23" i="6"/>
  <c r="ED23" i="6"/>
  <c r="EN22" i="6"/>
  <c r="EM22" i="6"/>
  <c r="EL22" i="6"/>
  <c r="EK22" i="6"/>
  <c r="FE22" i="6" s="1"/>
  <c r="EI22" i="6"/>
  <c r="EH22" i="6"/>
  <c r="EG22" i="6"/>
  <c r="EE22" i="6"/>
  <c r="EA22" i="6"/>
  <c r="EB22" i="6" s="1"/>
  <c r="FB22" i="6" s="1"/>
  <c r="DY22" i="6"/>
  <c r="DZ22" i="6" s="1"/>
  <c r="FA22" i="6" s="1"/>
  <c r="DW22" i="6"/>
  <c r="DX22" i="6" s="1"/>
  <c r="EZ22" i="6" s="1"/>
  <c r="DU22" i="6"/>
  <c r="DT22" i="6"/>
  <c r="DS22" i="6"/>
  <c r="DQ22" i="6"/>
  <c r="DP22" i="6"/>
  <c r="DO22" i="6"/>
  <c r="DM22" i="6"/>
  <c r="DL22" i="6"/>
  <c r="DK22" i="6"/>
  <c r="DI22" i="6"/>
  <c r="DJ22" i="6" s="1"/>
  <c r="EV22" i="6" s="1"/>
  <c r="DG22" i="6"/>
  <c r="DH22" i="6" s="1"/>
  <c r="EU22" i="6" s="1"/>
  <c r="DE22" i="6"/>
  <c r="DF22" i="6" s="1"/>
  <c r="ET22" i="6" s="1"/>
  <c r="DC22" i="6"/>
  <c r="DD22" i="6" s="1"/>
  <c r="ES22" i="6" s="1"/>
  <c r="DA22" i="6"/>
  <c r="CZ22" i="6"/>
  <c r="CY22" i="6"/>
  <c r="CW22" i="6"/>
  <c r="CV22" i="6"/>
  <c r="CU22" i="6"/>
  <c r="CS22" i="6"/>
  <c r="CR22" i="6"/>
  <c r="CQ22" i="6"/>
  <c r="ED22" i="6"/>
  <c r="EN21" i="6"/>
  <c r="EM21" i="6"/>
  <c r="EL21" i="6"/>
  <c r="EK21" i="6"/>
  <c r="FE21" i="6" s="1"/>
  <c r="EI21" i="6"/>
  <c r="EH21" i="6"/>
  <c r="EG21" i="6"/>
  <c r="EE21" i="6"/>
  <c r="EA21" i="6"/>
  <c r="EB21" i="6" s="1"/>
  <c r="FB21" i="6" s="1"/>
  <c r="DY21" i="6"/>
  <c r="DZ21" i="6" s="1"/>
  <c r="FA21" i="6" s="1"/>
  <c r="DW21" i="6"/>
  <c r="DX21" i="6" s="1"/>
  <c r="EZ21" i="6" s="1"/>
  <c r="DU21" i="6"/>
  <c r="DT21" i="6"/>
  <c r="DS21" i="6"/>
  <c r="DQ21" i="6"/>
  <c r="DP21" i="6"/>
  <c r="DO21" i="6"/>
  <c r="DM21" i="6"/>
  <c r="DL21" i="6"/>
  <c r="DK21" i="6"/>
  <c r="DI21" i="6"/>
  <c r="DJ21" i="6" s="1"/>
  <c r="EV21" i="6" s="1"/>
  <c r="DG21" i="6"/>
  <c r="DH21" i="6" s="1"/>
  <c r="EU21" i="6" s="1"/>
  <c r="DE21" i="6"/>
  <c r="DF21" i="6" s="1"/>
  <c r="ET21" i="6" s="1"/>
  <c r="DC21" i="6"/>
  <c r="DD21" i="6" s="1"/>
  <c r="ES21" i="6" s="1"/>
  <c r="DA21" i="6"/>
  <c r="CZ21" i="6"/>
  <c r="CY21" i="6"/>
  <c r="CW21" i="6"/>
  <c r="CX21" i="6" s="1"/>
  <c r="EQ21" i="6" s="1"/>
  <c r="CV21" i="6"/>
  <c r="CU21" i="6"/>
  <c r="CS21" i="6"/>
  <c r="CR21" i="6"/>
  <c r="CQ21" i="6"/>
  <c r="ED21" i="6"/>
  <c r="EN20" i="6"/>
  <c r="EM20" i="6"/>
  <c r="EL20" i="6"/>
  <c r="EK20" i="6"/>
  <c r="FE20" i="6" s="1"/>
  <c r="EI20" i="6"/>
  <c r="EH20" i="6"/>
  <c r="EG20" i="6"/>
  <c r="EE20" i="6"/>
  <c r="EA20" i="6"/>
  <c r="EB20" i="6" s="1"/>
  <c r="FB20" i="6" s="1"/>
  <c r="DY20" i="6"/>
  <c r="DZ20" i="6" s="1"/>
  <c r="FA20" i="6" s="1"/>
  <c r="DW20" i="6"/>
  <c r="DX20" i="6" s="1"/>
  <c r="EZ20" i="6" s="1"/>
  <c r="DU20" i="6"/>
  <c r="DT20" i="6"/>
  <c r="DS20" i="6"/>
  <c r="DQ20" i="6"/>
  <c r="DP20" i="6"/>
  <c r="DO20" i="6"/>
  <c r="DM20" i="6"/>
  <c r="DL20" i="6"/>
  <c r="DK20" i="6"/>
  <c r="DI20" i="6"/>
  <c r="DJ20" i="6" s="1"/>
  <c r="EV20" i="6" s="1"/>
  <c r="DG20" i="6"/>
  <c r="DH20" i="6" s="1"/>
  <c r="EU20" i="6" s="1"/>
  <c r="DE20" i="6"/>
  <c r="DF20" i="6" s="1"/>
  <c r="ET20" i="6" s="1"/>
  <c r="DC20" i="6"/>
  <c r="DD20" i="6" s="1"/>
  <c r="ES20" i="6" s="1"/>
  <c r="DA20" i="6"/>
  <c r="CZ20" i="6"/>
  <c r="CY20" i="6"/>
  <c r="CW20" i="6"/>
  <c r="CV20" i="6"/>
  <c r="CU20" i="6"/>
  <c r="CS20" i="6"/>
  <c r="CR20" i="6"/>
  <c r="CQ20" i="6"/>
  <c r="ED20" i="6"/>
  <c r="EC20" i="6"/>
  <c r="EN19" i="6"/>
  <c r="EM19" i="6"/>
  <c r="EL19" i="6"/>
  <c r="EK19" i="6"/>
  <c r="FE19" i="6" s="1"/>
  <c r="EI19" i="6"/>
  <c r="EH19" i="6"/>
  <c r="EG19" i="6"/>
  <c r="EE19" i="6"/>
  <c r="EA19" i="6"/>
  <c r="EB19" i="6" s="1"/>
  <c r="FB19" i="6" s="1"/>
  <c r="DY19" i="6"/>
  <c r="DZ19" i="6" s="1"/>
  <c r="FA19" i="6" s="1"/>
  <c r="DW19" i="6"/>
  <c r="DX19" i="6" s="1"/>
  <c r="EZ19" i="6" s="1"/>
  <c r="DU19" i="6"/>
  <c r="DT19" i="6"/>
  <c r="DS19" i="6"/>
  <c r="DQ19" i="6"/>
  <c r="DP19" i="6"/>
  <c r="DO19" i="6"/>
  <c r="DM19" i="6"/>
  <c r="DL19" i="6"/>
  <c r="DK19" i="6"/>
  <c r="DI19" i="6"/>
  <c r="DJ19" i="6" s="1"/>
  <c r="EV19" i="6" s="1"/>
  <c r="DG19" i="6"/>
  <c r="DH19" i="6" s="1"/>
  <c r="EU19" i="6" s="1"/>
  <c r="DE19" i="6"/>
  <c r="DF19" i="6" s="1"/>
  <c r="ET19" i="6" s="1"/>
  <c r="DC19" i="6"/>
  <c r="DD19" i="6" s="1"/>
  <c r="ES19" i="6" s="1"/>
  <c r="DA19" i="6"/>
  <c r="CZ19" i="6"/>
  <c r="CY19" i="6"/>
  <c r="CW19" i="6"/>
  <c r="CV19" i="6"/>
  <c r="CU19" i="6"/>
  <c r="CS19" i="6"/>
  <c r="CR19" i="6"/>
  <c r="CQ19" i="6"/>
  <c r="ED19" i="6"/>
  <c r="EN18" i="6"/>
  <c r="EM18" i="6"/>
  <c r="EL18" i="6"/>
  <c r="EO18" i="6" s="1"/>
  <c r="FF18" i="6" s="1"/>
  <c r="EK18" i="6"/>
  <c r="FE18" i="6" s="1"/>
  <c r="EI18" i="6"/>
  <c r="EH18" i="6"/>
  <c r="EG18" i="6"/>
  <c r="EE18" i="6"/>
  <c r="EA18" i="6"/>
  <c r="EB18" i="6" s="1"/>
  <c r="FB18" i="6" s="1"/>
  <c r="DY18" i="6"/>
  <c r="DZ18" i="6" s="1"/>
  <c r="FA18" i="6" s="1"/>
  <c r="DW18" i="6"/>
  <c r="DX18" i="6" s="1"/>
  <c r="EZ18" i="6" s="1"/>
  <c r="DU18" i="6"/>
  <c r="DT18" i="6"/>
  <c r="DS18" i="6"/>
  <c r="DQ18" i="6"/>
  <c r="DP18" i="6"/>
  <c r="DO18" i="6"/>
  <c r="DM18" i="6"/>
  <c r="DL18" i="6"/>
  <c r="DK18" i="6"/>
  <c r="DI18" i="6"/>
  <c r="DJ18" i="6" s="1"/>
  <c r="EV18" i="6" s="1"/>
  <c r="DG18" i="6"/>
  <c r="DH18" i="6" s="1"/>
  <c r="EU18" i="6" s="1"/>
  <c r="DE18" i="6"/>
  <c r="DF18" i="6" s="1"/>
  <c r="ET18" i="6" s="1"/>
  <c r="DC18" i="6"/>
  <c r="DD18" i="6" s="1"/>
  <c r="ES18" i="6" s="1"/>
  <c r="DA18" i="6"/>
  <c r="CZ18" i="6"/>
  <c r="CY18" i="6"/>
  <c r="CW18" i="6"/>
  <c r="CV18" i="6"/>
  <c r="CU18" i="6"/>
  <c r="CS18" i="6"/>
  <c r="CR18" i="6"/>
  <c r="CQ18" i="6"/>
  <c r="ED18" i="6"/>
  <c r="EN17" i="6"/>
  <c r="EM17" i="6"/>
  <c r="EL17" i="6"/>
  <c r="EK17" i="6"/>
  <c r="FE17" i="6" s="1"/>
  <c r="EI17" i="6"/>
  <c r="EH17" i="6"/>
  <c r="EG17" i="6"/>
  <c r="EE17" i="6"/>
  <c r="EA17" i="6"/>
  <c r="EB17" i="6" s="1"/>
  <c r="FB17" i="6" s="1"/>
  <c r="DY17" i="6"/>
  <c r="DZ17" i="6" s="1"/>
  <c r="FA17" i="6" s="1"/>
  <c r="DW17" i="6"/>
  <c r="DX17" i="6" s="1"/>
  <c r="EZ17" i="6" s="1"/>
  <c r="DU17" i="6"/>
  <c r="DT17" i="6"/>
  <c r="DS17" i="6"/>
  <c r="DQ17" i="6"/>
  <c r="DP17" i="6"/>
  <c r="DO17" i="6"/>
  <c r="DM17" i="6"/>
  <c r="DL17" i="6"/>
  <c r="DK17" i="6"/>
  <c r="DI17" i="6"/>
  <c r="DJ17" i="6" s="1"/>
  <c r="EV17" i="6" s="1"/>
  <c r="DG17" i="6"/>
  <c r="DH17" i="6" s="1"/>
  <c r="EU17" i="6" s="1"/>
  <c r="DE17" i="6"/>
  <c r="DF17" i="6" s="1"/>
  <c r="ET17" i="6" s="1"/>
  <c r="DC17" i="6"/>
  <c r="DD17" i="6" s="1"/>
  <c r="ES17" i="6" s="1"/>
  <c r="DA17" i="6"/>
  <c r="CZ17" i="6"/>
  <c r="CY17" i="6"/>
  <c r="CW17" i="6"/>
  <c r="CV17" i="6"/>
  <c r="CU17" i="6"/>
  <c r="CS17" i="6"/>
  <c r="CR17" i="6"/>
  <c r="CQ17" i="6"/>
  <c r="ED17" i="6"/>
  <c r="EN16" i="6"/>
  <c r="EM16" i="6"/>
  <c r="EL16" i="6"/>
  <c r="EK16" i="6"/>
  <c r="FE16" i="6" s="1"/>
  <c r="EI16" i="6"/>
  <c r="EH16" i="6"/>
  <c r="EG16" i="6"/>
  <c r="EE16" i="6"/>
  <c r="EA16" i="6"/>
  <c r="EB16" i="6" s="1"/>
  <c r="FB16" i="6" s="1"/>
  <c r="DY16" i="6"/>
  <c r="DZ16" i="6" s="1"/>
  <c r="FA16" i="6" s="1"/>
  <c r="DW16" i="6"/>
  <c r="DX16" i="6" s="1"/>
  <c r="EZ16" i="6" s="1"/>
  <c r="DU16" i="6"/>
  <c r="DT16" i="6"/>
  <c r="DS16" i="6"/>
  <c r="DQ16" i="6"/>
  <c r="DP16" i="6"/>
  <c r="DO16" i="6"/>
  <c r="DM16" i="6"/>
  <c r="DL16" i="6"/>
  <c r="DK16" i="6"/>
  <c r="DI16" i="6"/>
  <c r="DJ16" i="6" s="1"/>
  <c r="EV16" i="6" s="1"/>
  <c r="DG16" i="6"/>
  <c r="DH16" i="6" s="1"/>
  <c r="EU16" i="6" s="1"/>
  <c r="DE16" i="6"/>
  <c r="DF16" i="6" s="1"/>
  <c r="ET16" i="6" s="1"/>
  <c r="DC16" i="6"/>
  <c r="DD16" i="6" s="1"/>
  <c r="ES16" i="6" s="1"/>
  <c r="DA16" i="6"/>
  <c r="CZ16" i="6"/>
  <c r="CY16" i="6"/>
  <c r="CW16" i="6"/>
  <c r="CV16" i="6"/>
  <c r="CU16" i="6"/>
  <c r="CS16" i="6"/>
  <c r="CR16" i="6"/>
  <c r="CQ16" i="6"/>
  <c r="ED16" i="6"/>
  <c r="EN15" i="6"/>
  <c r="EM15" i="6"/>
  <c r="EL15" i="6"/>
  <c r="EK15" i="6"/>
  <c r="FE15" i="6" s="1"/>
  <c r="EI15" i="6"/>
  <c r="EH15" i="6"/>
  <c r="EG15" i="6"/>
  <c r="EE15" i="6"/>
  <c r="EA15" i="6"/>
  <c r="EB15" i="6" s="1"/>
  <c r="FB15" i="6" s="1"/>
  <c r="DY15" i="6"/>
  <c r="DZ15" i="6" s="1"/>
  <c r="FA15" i="6" s="1"/>
  <c r="DW15" i="6"/>
  <c r="DX15" i="6" s="1"/>
  <c r="EZ15" i="6" s="1"/>
  <c r="DU15" i="6"/>
  <c r="DT15" i="6"/>
  <c r="DS15" i="6"/>
  <c r="DQ15" i="6"/>
  <c r="DP15" i="6"/>
  <c r="DO15" i="6"/>
  <c r="DM15" i="6"/>
  <c r="DL15" i="6"/>
  <c r="DK15" i="6"/>
  <c r="DI15" i="6"/>
  <c r="DJ15" i="6" s="1"/>
  <c r="EV15" i="6" s="1"/>
  <c r="DG15" i="6"/>
  <c r="DH15" i="6" s="1"/>
  <c r="EU15" i="6" s="1"/>
  <c r="DE15" i="6"/>
  <c r="DF15" i="6" s="1"/>
  <c r="ET15" i="6" s="1"/>
  <c r="DC15" i="6"/>
  <c r="DD15" i="6" s="1"/>
  <c r="ES15" i="6" s="1"/>
  <c r="DA15" i="6"/>
  <c r="CZ15" i="6"/>
  <c r="CY15" i="6"/>
  <c r="CW15" i="6"/>
  <c r="CV15" i="6"/>
  <c r="CU15" i="6"/>
  <c r="CS15" i="6"/>
  <c r="CR15" i="6"/>
  <c r="CQ15" i="6"/>
  <c r="ED15" i="6"/>
  <c r="EN14" i="6"/>
  <c r="EM14" i="6"/>
  <c r="EL14" i="6"/>
  <c r="EK14" i="6"/>
  <c r="FE14" i="6" s="1"/>
  <c r="EI14" i="6"/>
  <c r="EH14" i="6"/>
  <c r="EG14" i="6"/>
  <c r="EE14" i="6"/>
  <c r="EA14" i="6"/>
  <c r="EB14" i="6" s="1"/>
  <c r="FB14" i="6" s="1"/>
  <c r="DY14" i="6"/>
  <c r="DZ14" i="6" s="1"/>
  <c r="FA14" i="6" s="1"/>
  <c r="DW14" i="6"/>
  <c r="DX14" i="6" s="1"/>
  <c r="EZ14" i="6" s="1"/>
  <c r="DU14" i="6"/>
  <c r="DT14" i="6"/>
  <c r="DS14" i="6"/>
  <c r="DQ14" i="6"/>
  <c r="DP14" i="6"/>
  <c r="DO14" i="6"/>
  <c r="DM14" i="6"/>
  <c r="DL14" i="6"/>
  <c r="DK14" i="6"/>
  <c r="DI14" i="6"/>
  <c r="DJ14" i="6" s="1"/>
  <c r="EV14" i="6" s="1"/>
  <c r="DG14" i="6"/>
  <c r="DH14" i="6" s="1"/>
  <c r="EU14" i="6" s="1"/>
  <c r="DE14" i="6"/>
  <c r="DF14" i="6" s="1"/>
  <c r="ET14" i="6" s="1"/>
  <c r="DC14" i="6"/>
  <c r="DD14" i="6" s="1"/>
  <c r="ES14" i="6" s="1"/>
  <c r="DA14" i="6"/>
  <c r="CZ14" i="6"/>
  <c r="CY14" i="6"/>
  <c r="CW14" i="6"/>
  <c r="CV14" i="6"/>
  <c r="CU14" i="6"/>
  <c r="CS14" i="6"/>
  <c r="CR14" i="6"/>
  <c r="CQ14" i="6"/>
  <c r="ED14" i="6"/>
  <c r="EN13" i="6"/>
  <c r="EM13" i="6"/>
  <c r="EL13" i="6"/>
  <c r="EK13" i="6"/>
  <c r="FE13" i="6" s="1"/>
  <c r="EI13" i="6"/>
  <c r="EH13" i="6"/>
  <c r="EG13" i="6"/>
  <c r="EE13" i="6"/>
  <c r="EA13" i="6"/>
  <c r="EB13" i="6" s="1"/>
  <c r="FB13" i="6" s="1"/>
  <c r="DY13" i="6"/>
  <c r="DZ13" i="6" s="1"/>
  <c r="FA13" i="6" s="1"/>
  <c r="DW13" i="6"/>
  <c r="DX13" i="6" s="1"/>
  <c r="EZ13" i="6" s="1"/>
  <c r="DU13" i="6"/>
  <c r="DT13" i="6"/>
  <c r="DS13" i="6"/>
  <c r="DQ13" i="6"/>
  <c r="DP13" i="6"/>
  <c r="DO13" i="6"/>
  <c r="DM13" i="6"/>
  <c r="DL13" i="6"/>
  <c r="DK13" i="6"/>
  <c r="DI13" i="6"/>
  <c r="DJ13" i="6" s="1"/>
  <c r="EV13" i="6" s="1"/>
  <c r="DG13" i="6"/>
  <c r="DH13" i="6" s="1"/>
  <c r="EU13" i="6" s="1"/>
  <c r="DE13" i="6"/>
  <c r="DF13" i="6" s="1"/>
  <c r="ET13" i="6" s="1"/>
  <c r="DC13" i="6"/>
  <c r="DD13" i="6" s="1"/>
  <c r="ES13" i="6" s="1"/>
  <c r="DA13" i="6"/>
  <c r="CZ13" i="6"/>
  <c r="CY13" i="6"/>
  <c r="CW13" i="6"/>
  <c r="CV13" i="6"/>
  <c r="CU13" i="6"/>
  <c r="CS13" i="6"/>
  <c r="CR13" i="6"/>
  <c r="CQ13" i="6"/>
  <c r="ED13" i="6"/>
  <c r="EN12" i="6"/>
  <c r="EM12" i="6"/>
  <c r="EL12" i="6"/>
  <c r="EK12" i="6"/>
  <c r="FE12" i="6" s="1"/>
  <c r="EI12" i="6"/>
  <c r="EH12" i="6"/>
  <c r="EG12" i="6"/>
  <c r="EE12" i="6"/>
  <c r="EA12" i="6"/>
  <c r="EB12" i="6" s="1"/>
  <c r="FB12" i="6" s="1"/>
  <c r="DY12" i="6"/>
  <c r="DZ12" i="6" s="1"/>
  <c r="FA12" i="6" s="1"/>
  <c r="DW12" i="6"/>
  <c r="DX12" i="6" s="1"/>
  <c r="EZ12" i="6" s="1"/>
  <c r="DU12" i="6"/>
  <c r="DT12" i="6"/>
  <c r="DS12" i="6"/>
  <c r="DQ12" i="6"/>
  <c r="DP12" i="6"/>
  <c r="DO12" i="6"/>
  <c r="DM12" i="6"/>
  <c r="DL12" i="6"/>
  <c r="DK12" i="6"/>
  <c r="DI12" i="6"/>
  <c r="DJ12" i="6" s="1"/>
  <c r="EV12" i="6" s="1"/>
  <c r="DG12" i="6"/>
  <c r="DH12" i="6" s="1"/>
  <c r="EU12" i="6" s="1"/>
  <c r="DE12" i="6"/>
  <c r="DF12" i="6" s="1"/>
  <c r="ET12" i="6" s="1"/>
  <c r="DC12" i="6"/>
  <c r="DD12" i="6" s="1"/>
  <c r="ES12" i="6" s="1"/>
  <c r="DA12" i="6"/>
  <c r="CZ12" i="6"/>
  <c r="CY12" i="6"/>
  <c r="CW12" i="6"/>
  <c r="CV12" i="6"/>
  <c r="CU12" i="6"/>
  <c r="CS12" i="6"/>
  <c r="CR12" i="6"/>
  <c r="CQ12" i="6"/>
  <c r="ED12" i="6"/>
  <c r="EN11" i="6"/>
  <c r="EM11" i="6"/>
  <c r="EL11" i="6"/>
  <c r="EK11" i="6"/>
  <c r="FE11" i="6" s="1"/>
  <c r="EI11" i="6"/>
  <c r="EH11" i="6"/>
  <c r="EG11" i="6"/>
  <c r="EE11" i="6"/>
  <c r="EA11" i="6"/>
  <c r="EB11" i="6" s="1"/>
  <c r="FB11" i="6" s="1"/>
  <c r="DY11" i="6"/>
  <c r="DZ11" i="6" s="1"/>
  <c r="FA11" i="6" s="1"/>
  <c r="DW11" i="6"/>
  <c r="DX11" i="6" s="1"/>
  <c r="EZ11" i="6" s="1"/>
  <c r="DU11" i="6"/>
  <c r="DT11" i="6"/>
  <c r="DS11" i="6"/>
  <c r="DQ11" i="6"/>
  <c r="DP11" i="6"/>
  <c r="DO11" i="6"/>
  <c r="DM11" i="6"/>
  <c r="DL11" i="6"/>
  <c r="DK11" i="6"/>
  <c r="DI11" i="6"/>
  <c r="DJ11" i="6" s="1"/>
  <c r="EV11" i="6" s="1"/>
  <c r="DG11" i="6"/>
  <c r="DH11" i="6" s="1"/>
  <c r="EU11" i="6" s="1"/>
  <c r="DE11" i="6"/>
  <c r="DF11" i="6" s="1"/>
  <c r="ET11" i="6" s="1"/>
  <c r="DC11" i="6"/>
  <c r="DD11" i="6" s="1"/>
  <c r="ES11" i="6" s="1"/>
  <c r="DA11" i="6"/>
  <c r="CZ11" i="6"/>
  <c r="CY11" i="6"/>
  <c r="CW11" i="6"/>
  <c r="CV11" i="6"/>
  <c r="CU11" i="6"/>
  <c r="CS11" i="6"/>
  <c r="CR11" i="6"/>
  <c r="CQ11" i="6"/>
  <c r="ED11" i="6"/>
  <c r="EN10" i="6"/>
  <c r="EM10" i="6"/>
  <c r="EL10" i="6"/>
  <c r="EK10" i="6"/>
  <c r="FE10" i="6" s="1"/>
  <c r="EI10" i="6"/>
  <c r="EH10" i="6"/>
  <c r="EG10" i="6"/>
  <c r="EE10" i="6"/>
  <c r="EA10" i="6"/>
  <c r="EB10" i="6" s="1"/>
  <c r="FB10" i="6" s="1"/>
  <c r="DY10" i="6"/>
  <c r="DZ10" i="6" s="1"/>
  <c r="FA10" i="6" s="1"/>
  <c r="DW10" i="6"/>
  <c r="DX10" i="6" s="1"/>
  <c r="EZ10" i="6" s="1"/>
  <c r="DU10" i="6"/>
  <c r="DT10" i="6"/>
  <c r="DS10" i="6"/>
  <c r="DQ10" i="6"/>
  <c r="DP10" i="6"/>
  <c r="DO10" i="6"/>
  <c r="DM10" i="6"/>
  <c r="DL10" i="6"/>
  <c r="DK10" i="6"/>
  <c r="DI10" i="6"/>
  <c r="DJ10" i="6" s="1"/>
  <c r="EV10" i="6" s="1"/>
  <c r="DG10" i="6"/>
  <c r="DH10" i="6" s="1"/>
  <c r="EU10" i="6" s="1"/>
  <c r="DE10" i="6"/>
  <c r="DF10" i="6" s="1"/>
  <c r="ET10" i="6" s="1"/>
  <c r="DC10" i="6"/>
  <c r="DD10" i="6" s="1"/>
  <c r="ES10" i="6" s="1"/>
  <c r="DA10" i="6"/>
  <c r="CZ10" i="6"/>
  <c r="CY10" i="6"/>
  <c r="CW10" i="6"/>
  <c r="CV10" i="6"/>
  <c r="CU10" i="6"/>
  <c r="CS10" i="6"/>
  <c r="CR10" i="6"/>
  <c r="CQ10" i="6"/>
  <c r="ED10" i="6"/>
  <c r="EN9" i="6"/>
  <c r="EM9" i="6"/>
  <c r="EL9" i="6"/>
  <c r="EK9" i="6"/>
  <c r="FE9" i="6" s="1"/>
  <c r="EI9" i="6"/>
  <c r="EH9" i="6"/>
  <c r="EG9" i="6"/>
  <c r="EE9" i="6"/>
  <c r="EA9" i="6"/>
  <c r="EB9" i="6" s="1"/>
  <c r="FB9" i="6" s="1"/>
  <c r="DY9" i="6"/>
  <c r="DZ9" i="6" s="1"/>
  <c r="FA9" i="6" s="1"/>
  <c r="DW9" i="6"/>
  <c r="DX9" i="6" s="1"/>
  <c r="EZ9" i="6" s="1"/>
  <c r="DU9" i="6"/>
  <c r="DT9" i="6"/>
  <c r="DS9" i="6"/>
  <c r="DQ9" i="6"/>
  <c r="DP9" i="6"/>
  <c r="DO9" i="6"/>
  <c r="DM9" i="6"/>
  <c r="DL9" i="6"/>
  <c r="DK9" i="6"/>
  <c r="DI9" i="6"/>
  <c r="DJ9" i="6" s="1"/>
  <c r="EV9" i="6" s="1"/>
  <c r="DG9" i="6"/>
  <c r="DH9" i="6" s="1"/>
  <c r="EU9" i="6" s="1"/>
  <c r="DE9" i="6"/>
  <c r="DF9" i="6" s="1"/>
  <c r="ET9" i="6" s="1"/>
  <c r="DC9" i="6"/>
  <c r="DD9" i="6" s="1"/>
  <c r="ES9" i="6" s="1"/>
  <c r="DA9" i="6"/>
  <c r="CZ9" i="6"/>
  <c r="CY9" i="6"/>
  <c r="CW9" i="6"/>
  <c r="CV9" i="6"/>
  <c r="CU9" i="6"/>
  <c r="CS9" i="6"/>
  <c r="CR9" i="6"/>
  <c r="CQ9" i="6"/>
  <c r="ED9" i="6"/>
  <c r="EN8" i="6"/>
  <c r="EM8" i="6"/>
  <c r="EL8" i="6"/>
  <c r="EK8" i="6"/>
  <c r="FE8" i="6" s="1"/>
  <c r="EI8" i="6"/>
  <c r="EH8" i="6"/>
  <c r="EG8" i="6"/>
  <c r="EE8" i="6"/>
  <c r="EA8" i="6"/>
  <c r="EB8" i="6" s="1"/>
  <c r="FB8" i="6" s="1"/>
  <c r="DY8" i="6"/>
  <c r="DZ8" i="6" s="1"/>
  <c r="FA8" i="6" s="1"/>
  <c r="DW8" i="6"/>
  <c r="DX8" i="6" s="1"/>
  <c r="EZ8" i="6" s="1"/>
  <c r="DU8" i="6"/>
  <c r="DT8" i="6"/>
  <c r="DS8" i="6"/>
  <c r="DQ8" i="6"/>
  <c r="DP8" i="6"/>
  <c r="DO8" i="6"/>
  <c r="DM8" i="6"/>
  <c r="DL8" i="6"/>
  <c r="DK8" i="6"/>
  <c r="DI8" i="6"/>
  <c r="DJ8" i="6" s="1"/>
  <c r="EV8" i="6" s="1"/>
  <c r="DG8" i="6"/>
  <c r="DH8" i="6" s="1"/>
  <c r="EU8" i="6" s="1"/>
  <c r="DE8" i="6"/>
  <c r="DF8" i="6" s="1"/>
  <c r="ET8" i="6" s="1"/>
  <c r="DC8" i="6"/>
  <c r="DD8" i="6" s="1"/>
  <c r="ES8" i="6" s="1"/>
  <c r="DA8" i="6"/>
  <c r="CZ8" i="6"/>
  <c r="CY8" i="6"/>
  <c r="CW8" i="6"/>
  <c r="CV8" i="6"/>
  <c r="CU8" i="6"/>
  <c r="CS8" i="6"/>
  <c r="CR8" i="6"/>
  <c r="CQ8" i="6"/>
  <c r="ED8" i="6"/>
  <c r="EN7" i="6"/>
  <c r="EM7" i="6"/>
  <c r="EL7" i="6"/>
  <c r="EK7" i="6"/>
  <c r="FE7" i="6" s="1"/>
  <c r="EI7" i="6"/>
  <c r="EH7" i="6"/>
  <c r="EG7" i="6"/>
  <c r="EE7" i="6"/>
  <c r="EA7" i="6"/>
  <c r="EB7" i="6" s="1"/>
  <c r="FB7" i="6" s="1"/>
  <c r="DY7" i="6"/>
  <c r="DZ7" i="6" s="1"/>
  <c r="FA7" i="6" s="1"/>
  <c r="DW7" i="6"/>
  <c r="DX7" i="6" s="1"/>
  <c r="EZ7" i="6" s="1"/>
  <c r="DU7" i="6"/>
  <c r="DT7" i="6"/>
  <c r="DS7" i="6"/>
  <c r="DQ7" i="6"/>
  <c r="DP7" i="6"/>
  <c r="DO7" i="6"/>
  <c r="DM7" i="6"/>
  <c r="DL7" i="6"/>
  <c r="DK7" i="6"/>
  <c r="DI7" i="6"/>
  <c r="DJ7" i="6" s="1"/>
  <c r="EV7" i="6" s="1"/>
  <c r="DG7" i="6"/>
  <c r="DH7" i="6" s="1"/>
  <c r="EU7" i="6" s="1"/>
  <c r="DE7" i="6"/>
  <c r="DF7" i="6" s="1"/>
  <c r="ET7" i="6" s="1"/>
  <c r="DC7" i="6"/>
  <c r="DD7" i="6" s="1"/>
  <c r="ES7" i="6" s="1"/>
  <c r="DA7" i="6"/>
  <c r="CZ7" i="6"/>
  <c r="CY7" i="6"/>
  <c r="CW7" i="6"/>
  <c r="CV7" i="6"/>
  <c r="CU7" i="6"/>
  <c r="CS7" i="6"/>
  <c r="CR7" i="6"/>
  <c r="CQ7" i="6"/>
  <c r="ED7" i="6"/>
  <c r="EN6" i="6"/>
  <c r="EM6" i="6"/>
  <c r="EL6" i="6"/>
  <c r="EK6" i="6"/>
  <c r="FE6" i="6" s="1"/>
  <c r="EI6" i="6"/>
  <c r="EH6" i="6"/>
  <c r="EG6" i="6"/>
  <c r="EE6" i="6"/>
  <c r="EA6" i="6"/>
  <c r="EB6" i="6" s="1"/>
  <c r="FB6" i="6" s="1"/>
  <c r="DY6" i="6"/>
  <c r="DZ6" i="6" s="1"/>
  <c r="FA6" i="6" s="1"/>
  <c r="DW6" i="6"/>
  <c r="DX6" i="6" s="1"/>
  <c r="EZ6" i="6" s="1"/>
  <c r="DU6" i="6"/>
  <c r="DT6" i="6"/>
  <c r="DS6" i="6"/>
  <c r="DQ6" i="6"/>
  <c r="DP6" i="6"/>
  <c r="DO6" i="6"/>
  <c r="DM6" i="6"/>
  <c r="DL6" i="6"/>
  <c r="DK6" i="6"/>
  <c r="DI6" i="6"/>
  <c r="DJ6" i="6" s="1"/>
  <c r="EV6" i="6" s="1"/>
  <c r="DG6" i="6"/>
  <c r="DH6" i="6" s="1"/>
  <c r="EU6" i="6" s="1"/>
  <c r="DE6" i="6"/>
  <c r="DF6" i="6" s="1"/>
  <c r="ET6" i="6" s="1"/>
  <c r="DC6" i="6"/>
  <c r="DD6" i="6" s="1"/>
  <c r="ES6" i="6" s="1"/>
  <c r="DA6" i="6"/>
  <c r="CZ6" i="6"/>
  <c r="CY6" i="6"/>
  <c r="CW6" i="6"/>
  <c r="CV6" i="6"/>
  <c r="CU6" i="6"/>
  <c r="CS6" i="6"/>
  <c r="CR6" i="6"/>
  <c r="CQ6" i="6"/>
  <c r="ED6" i="6"/>
  <c r="EN5" i="6"/>
  <c r="EM5" i="6"/>
  <c r="EL5" i="6"/>
  <c r="EK5" i="6"/>
  <c r="FE5" i="6" s="1"/>
  <c r="EI5" i="6"/>
  <c r="EH5" i="6"/>
  <c r="EG5" i="6"/>
  <c r="EE5" i="6"/>
  <c r="EA5" i="6"/>
  <c r="EB5" i="6" s="1"/>
  <c r="FB5" i="6" s="1"/>
  <c r="DY5" i="6"/>
  <c r="DZ5" i="6" s="1"/>
  <c r="FA5" i="6" s="1"/>
  <c r="DW5" i="6"/>
  <c r="DX5" i="6" s="1"/>
  <c r="EZ5" i="6" s="1"/>
  <c r="DU5" i="6"/>
  <c r="DT5" i="6"/>
  <c r="DS5" i="6"/>
  <c r="DQ5" i="6"/>
  <c r="DP5" i="6"/>
  <c r="DO5" i="6"/>
  <c r="DM5" i="6"/>
  <c r="DL5" i="6"/>
  <c r="DK5" i="6"/>
  <c r="DI5" i="6"/>
  <c r="DJ5" i="6" s="1"/>
  <c r="EV5" i="6" s="1"/>
  <c r="DG5" i="6"/>
  <c r="DH5" i="6" s="1"/>
  <c r="EU5" i="6" s="1"/>
  <c r="DE5" i="6"/>
  <c r="DF5" i="6" s="1"/>
  <c r="ET5" i="6" s="1"/>
  <c r="DC5" i="6"/>
  <c r="DD5" i="6" s="1"/>
  <c r="ES5" i="6" s="1"/>
  <c r="DA5" i="6"/>
  <c r="CZ5" i="6"/>
  <c r="CY5" i="6"/>
  <c r="CW5" i="6"/>
  <c r="CV5" i="6"/>
  <c r="CU5" i="6"/>
  <c r="CS5" i="6"/>
  <c r="CR5" i="6"/>
  <c r="CQ5" i="6"/>
  <c r="ED5" i="6"/>
  <c r="EL1" i="6"/>
  <c r="EG1" i="6"/>
  <c r="EA1" i="6"/>
  <c r="DY1" i="6"/>
  <c r="DW1" i="6"/>
  <c r="DS1" i="6"/>
  <c r="DO1" i="6"/>
  <c r="DK1" i="6"/>
  <c r="DI1" i="6"/>
  <c r="DG1" i="6"/>
  <c r="DE1" i="6"/>
  <c r="DC1" i="6"/>
  <c r="CY1" i="6"/>
  <c r="CU1" i="6"/>
  <c r="CQ1" i="6"/>
  <c r="EL18" i="5"/>
  <c r="EK18" i="5"/>
  <c r="EJ18" i="5"/>
  <c r="EM18" i="5" s="1"/>
  <c r="FD18" i="5" s="1"/>
  <c r="EI18" i="5"/>
  <c r="FC18" i="5" s="1"/>
  <c r="EG18" i="5"/>
  <c r="EF18" i="5"/>
  <c r="EE18" i="5"/>
  <c r="EC18" i="5"/>
  <c r="DY18" i="5"/>
  <c r="DZ18" i="5" s="1"/>
  <c r="EZ18" i="5" s="1"/>
  <c r="DW18" i="5"/>
  <c r="DX18" i="5" s="1"/>
  <c r="EY18" i="5" s="1"/>
  <c r="DU18" i="5"/>
  <c r="DV18" i="5" s="1"/>
  <c r="EX18" i="5" s="1"/>
  <c r="DS18" i="5"/>
  <c r="DR18" i="5"/>
  <c r="DQ18" i="5"/>
  <c r="DO18" i="5"/>
  <c r="DN18" i="5"/>
  <c r="DM18" i="5"/>
  <c r="DK18" i="5"/>
  <c r="DJ18" i="5"/>
  <c r="DI18" i="5"/>
  <c r="DG18" i="5"/>
  <c r="DH18" i="5" s="1"/>
  <c r="ET18" i="5" s="1"/>
  <c r="DE18" i="5"/>
  <c r="DF18" i="5" s="1"/>
  <c r="ES18" i="5" s="1"/>
  <c r="DC18" i="5"/>
  <c r="DD18" i="5" s="1"/>
  <c r="ER18" i="5" s="1"/>
  <c r="DA18" i="5"/>
  <c r="DB18" i="5" s="1"/>
  <c r="EQ18" i="5" s="1"/>
  <c r="CY18" i="5"/>
  <c r="CX18" i="5"/>
  <c r="CW18" i="5"/>
  <c r="CU18" i="5"/>
  <c r="CT18" i="5"/>
  <c r="CS18" i="5"/>
  <c r="CQ18" i="5"/>
  <c r="CP18" i="5"/>
  <c r="CO18" i="5"/>
  <c r="EB18" i="5"/>
  <c r="EL17" i="5"/>
  <c r="EK17" i="5"/>
  <c r="EJ17" i="5"/>
  <c r="EI17" i="5"/>
  <c r="FC17" i="5" s="1"/>
  <c r="EG17" i="5"/>
  <c r="EF17" i="5"/>
  <c r="EE17" i="5"/>
  <c r="EC17" i="5"/>
  <c r="DY17" i="5"/>
  <c r="DZ17" i="5" s="1"/>
  <c r="EZ17" i="5" s="1"/>
  <c r="DW17" i="5"/>
  <c r="DX17" i="5" s="1"/>
  <c r="EY17" i="5" s="1"/>
  <c r="DU17" i="5"/>
  <c r="DV17" i="5" s="1"/>
  <c r="EX17" i="5" s="1"/>
  <c r="DS17" i="5"/>
  <c r="DR17" i="5"/>
  <c r="DQ17" i="5"/>
  <c r="DO17" i="5"/>
  <c r="DN17" i="5"/>
  <c r="DM17" i="5"/>
  <c r="DK17" i="5"/>
  <c r="DJ17" i="5"/>
  <c r="DI17" i="5"/>
  <c r="DG17" i="5"/>
  <c r="DH17" i="5" s="1"/>
  <c r="ET17" i="5" s="1"/>
  <c r="DE17" i="5"/>
  <c r="DF17" i="5" s="1"/>
  <c r="ES17" i="5" s="1"/>
  <c r="DC17" i="5"/>
  <c r="DD17" i="5" s="1"/>
  <c r="ER17" i="5" s="1"/>
  <c r="DA17" i="5"/>
  <c r="DB17" i="5" s="1"/>
  <c r="EQ17" i="5" s="1"/>
  <c r="CY17" i="5"/>
  <c r="CX17" i="5"/>
  <c r="CW17" i="5"/>
  <c r="CU17" i="5"/>
  <c r="CT17" i="5"/>
  <c r="CS17" i="5"/>
  <c r="CQ17" i="5"/>
  <c r="CP17" i="5"/>
  <c r="CO17" i="5"/>
  <c r="EB17" i="5"/>
  <c r="EL16" i="5"/>
  <c r="EK16" i="5"/>
  <c r="EJ16" i="5"/>
  <c r="EI16" i="5"/>
  <c r="FC16" i="5" s="1"/>
  <c r="EG16" i="5"/>
  <c r="EF16" i="5"/>
  <c r="EE16" i="5"/>
  <c r="EC16" i="5"/>
  <c r="DY16" i="5"/>
  <c r="DZ16" i="5" s="1"/>
  <c r="EZ16" i="5" s="1"/>
  <c r="DW16" i="5"/>
  <c r="DX16" i="5" s="1"/>
  <c r="EY16" i="5" s="1"/>
  <c r="DU16" i="5"/>
  <c r="DV16" i="5" s="1"/>
  <c r="EX16" i="5" s="1"/>
  <c r="DS16" i="5"/>
  <c r="DR16" i="5"/>
  <c r="DQ16" i="5"/>
  <c r="DO16" i="5"/>
  <c r="DN16" i="5"/>
  <c r="DM16" i="5"/>
  <c r="DK16" i="5"/>
  <c r="DJ16" i="5"/>
  <c r="DI16" i="5"/>
  <c r="DG16" i="5"/>
  <c r="DH16" i="5" s="1"/>
  <c r="ET16" i="5" s="1"/>
  <c r="DE16" i="5"/>
  <c r="DF16" i="5" s="1"/>
  <c r="ES16" i="5" s="1"/>
  <c r="DC16" i="5"/>
  <c r="DD16" i="5" s="1"/>
  <c r="ER16" i="5" s="1"/>
  <c r="DA16" i="5"/>
  <c r="DB16" i="5" s="1"/>
  <c r="EQ16" i="5" s="1"/>
  <c r="CY16" i="5"/>
  <c r="CX16" i="5"/>
  <c r="CW16" i="5"/>
  <c r="CU16" i="5"/>
  <c r="CT16" i="5"/>
  <c r="CS16" i="5"/>
  <c r="CQ16" i="5"/>
  <c r="CP16" i="5"/>
  <c r="CO16" i="5"/>
  <c r="EB16" i="5"/>
  <c r="EL15" i="5"/>
  <c r="EK15" i="5"/>
  <c r="EJ15" i="5"/>
  <c r="EI15" i="5"/>
  <c r="FC15" i="5" s="1"/>
  <c r="EG15" i="5"/>
  <c r="EF15" i="5"/>
  <c r="EE15" i="5"/>
  <c r="EC15" i="5"/>
  <c r="DY15" i="5"/>
  <c r="DZ15" i="5" s="1"/>
  <c r="EZ15" i="5" s="1"/>
  <c r="DW15" i="5"/>
  <c r="DX15" i="5" s="1"/>
  <c r="EY15" i="5" s="1"/>
  <c r="DU15" i="5"/>
  <c r="DV15" i="5" s="1"/>
  <c r="EX15" i="5" s="1"/>
  <c r="DS15" i="5"/>
  <c r="DR15" i="5"/>
  <c r="DQ15" i="5"/>
  <c r="DO15" i="5"/>
  <c r="DN15" i="5"/>
  <c r="DM15" i="5"/>
  <c r="DK15" i="5"/>
  <c r="DJ15" i="5"/>
  <c r="DI15" i="5"/>
  <c r="DG15" i="5"/>
  <c r="DH15" i="5" s="1"/>
  <c r="ET15" i="5" s="1"/>
  <c r="DE15" i="5"/>
  <c r="DF15" i="5" s="1"/>
  <c r="ES15" i="5" s="1"/>
  <c r="DC15" i="5"/>
  <c r="DD15" i="5" s="1"/>
  <c r="ER15" i="5" s="1"/>
  <c r="DA15" i="5"/>
  <c r="DB15" i="5" s="1"/>
  <c r="EQ15" i="5" s="1"/>
  <c r="CY15" i="5"/>
  <c r="CX15" i="5"/>
  <c r="CW15" i="5"/>
  <c r="CU15" i="5"/>
  <c r="CT15" i="5"/>
  <c r="CS15" i="5"/>
  <c r="CQ15" i="5"/>
  <c r="CP15" i="5"/>
  <c r="CO15" i="5"/>
  <c r="EB15" i="5"/>
  <c r="EL14" i="5"/>
  <c r="EK14" i="5"/>
  <c r="EJ14" i="5"/>
  <c r="EI14" i="5"/>
  <c r="FC14" i="5" s="1"/>
  <c r="EG14" i="5"/>
  <c r="EF14" i="5"/>
  <c r="EE14" i="5"/>
  <c r="EC14" i="5"/>
  <c r="DY14" i="5"/>
  <c r="DZ14" i="5" s="1"/>
  <c r="EZ14" i="5" s="1"/>
  <c r="DW14" i="5"/>
  <c r="DX14" i="5" s="1"/>
  <c r="EY14" i="5" s="1"/>
  <c r="DU14" i="5"/>
  <c r="DV14" i="5" s="1"/>
  <c r="EX14" i="5" s="1"/>
  <c r="DS14" i="5"/>
  <c r="DR14" i="5"/>
  <c r="DQ14" i="5"/>
  <c r="DO14" i="5"/>
  <c r="DN14" i="5"/>
  <c r="DM14" i="5"/>
  <c r="DK14" i="5"/>
  <c r="DJ14" i="5"/>
  <c r="DI14" i="5"/>
  <c r="DG14" i="5"/>
  <c r="DH14" i="5" s="1"/>
  <c r="ET14" i="5" s="1"/>
  <c r="DE14" i="5"/>
  <c r="DF14" i="5" s="1"/>
  <c r="ES14" i="5" s="1"/>
  <c r="DC14" i="5"/>
  <c r="DD14" i="5" s="1"/>
  <c r="ER14" i="5" s="1"/>
  <c r="DA14" i="5"/>
  <c r="DB14" i="5" s="1"/>
  <c r="EQ14" i="5" s="1"/>
  <c r="CY14" i="5"/>
  <c r="CX14" i="5"/>
  <c r="CW14" i="5"/>
  <c r="CZ14" i="5" s="1"/>
  <c r="EP14" i="5" s="1"/>
  <c r="CU14" i="5"/>
  <c r="CT14" i="5"/>
  <c r="CS14" i="5"/>
  <c r="CQ14" i="5"/>
  <c r="CP14" i="5"/>
  <c r="CO14" i="5"/>
  <c r="EB14" i="5"/>
  <c r="EL13" i="5"/>
  <c r="EK13" i="5"/>
  <c r="EJ13" i="5"/>
  <c r="EI13" i="5"/>
  <c r="FC13" i="5" s="1"/>
  <c r="EG13" i="5"/>
  <c r="EF13" i="5"/>
  <c r="EE13" i="5"/>
  <c r="EC13" i="5"/>
  <c r="DY13" i="5"/>
  <c r="DZ13" i="5" s="1"/>
  <c r="EZ13" i="5" s="1"/>
  <c r="DW13" i="5"/>
  <c r="DX13" i="5" s="1"/>
  <c r="EY13" i="5" s="1"/>
  <c r="DU13" i="5"/>
  <c r="DV13" i="5" s="1"/>
  <c r="EX13" i="5" s="1"/>
  <c r="DS13" i="5"/>
  <c r="DR13" i="5"/>
  <c r="DQ13" i="5"/>
  <c r="DO13" i="5"/>
  <c r="DN13" i="5"/>
  <c r="DM13" i="5"/>
  <c r="DK13" i="5"/>
  <c r="DJ13" i="5"/>
  <c r="DI13" i="5"/>
  <c r="DG13" i="5"/>
  <c r="DH13" i="5" s="1"/>
  <c r="ET13" i="5" s="1"/>
  <c r="DE13" i="5"/>
  <c r="DF13" i="5" s="1"/>
  <c r="ES13" i="5" s="1"/>
  <c r="DC13" i="5"/>
  <c r="DD13" i="5" s="1"/>
  <c r="ER13" i="5" s="1"/>
  <c r="DA13" i="5"/>
  <c r="DB13" i="5" s="1"/>
  <c r="EQ13" i="5" s="1"/>
  <c r="CY13" i="5"/>
  <c r="CX13" i="5"/>
  <c r="CW13" i="5"/>
  <c r="CU13" i="5"/>
  <c r="CT13" i="5"/>
  <c r="CS13" i="5"/>
  <c r="CQ13" i="5"/>
  <c r="CP13" i="5"/>
  <c r="CO13" i="5"/>
  <c r="EB13" i="5"/>
  <c r="EA13" i="5"/>
  <c r="EL12" i="5"/>
  <c r="EK12" i="5"/>
  <c r="EJ12" i="5"/>
  <c r="EI12" i="5"/>
  <c r="FC12" i="5" s="1"/>
  <c r="EG12" i="5"/>
  <c r="EF12" i="5"/>
  <c r="EE12" i="5"/>
  <c r="EC12" i="5"/>
  <c r="DY12" i="5"/>
  <c r="DZ12" i="5" s="1"/>
  <c r="EZ12" i="5" s="1"/>
  <c r="DX12" i="5"/>
  <c r="EY12" i="5" s="1"/>
  <c r="DW12" i="5"/>
  <c r="DU12" i="5"/>
  <c r="DV12" i="5" s="1"/>
  <c r="EX12" i="5" s="1"/>
  <c r="DS12" i="5"/>
  <c r="DR12" i="5"/>
  <c r="DQ12" i="5"/>
  <c r="DO12" i="5"/>
  <c r="DN12" i="5"/>
  <c r="DM12" i="5"/>
  <c r="DK12" i="5"/>
  <c r="DJ12" i="5"/>
  <c r="DI12" i="5"/>
  <c r="DG12" i="5"/>
  <c r="DH12" i="5" s="1"/>
  <c r="ET12" i="5" s="1"/>
  <c r="DE12" i="5"/>
  <c r="DF12" i="5" s="1"/>
  <c r="ES12" i="5" s="1"/>
  <c r="DC12" i="5"/>
  <c r="DD12" i="5" s="1"/>
  <c r="ER12" i="5" s="1"/>
  <c r="DA12" i="5"/>
  <c r="DB12" i="5" s="1"/>
  <c r="EQ12" i="5" s="1"/>
  <c r="CY12" i="5"/>
  <c r="CX12" i="5"/>
  <c r="CW12" i="5"/>
  <c r="CU12" i="5"/>
  <c r="CT12" i="5"/>
  <c r="CS12" i="5"/>
  <c r="CQ12" i="5"/>
  <c r="CP12" i="5"/>
  <c r="CO12" i="5"/>
  <c r="EB12" i="5"/>
  <c r="EL11" i="5"/>
  <c r="EK11" i="5"/>
  <c r="EJ11" i="5"/>
  <c r="EI11" i="5"/>
  <c r="FC11" i="5" s="1"/>
  <c r="EG11" i="5"/>
  <c r="EF11" i="5"/>
  <c r="EE11" i="5"/>
  <c r="EC11" i="5"/>
  <c r="DY11" i="5"/>
  <c r="DZ11" i="5" s="1"/>
  <c r="EZ11" i="5" s="1"/>
  <c r="DW11" i="5"/>
  <c r="DX11" i="5" s="1"/>
  <c r="EY11" i="5" s="1"/>
  <c r="DU11" i="5"/>
  <c r="DV11" i="5" s="1"/>
  <c r="EX11" i="5" s="1"/>
  <c r="DS11" i="5"/>
  <c r="DR11" i="5"/>
  <c r="DQ11" i="5"/>
  <c r="DO11" i="5"/>
  <c r="DN11" i="5"/>
  <c r="DM11" i="5"/>
  <c r="DK11" i="5"/>
  <c r="DJ11" i="5"/>
  <c r="DI11" i="5"/>
  <c r="DG11" i="5"/>
  <c r="DH11" i="5" s="1"/>
  <c r="ET11" i="5" s="1"/>
  <c r="DE11" i="5"/>
  <c r="DF11" i="5" s="1"/>
  <c r="ES11" i="5" s="1"/>
  <c r="DC11" i="5"/>
  <c r="DD11" i="5" s="1"/>
  <c r="ER11" i="5" s="1"/>
  <c r="DA11" i="5"/>
  <c r="DB11" i="5" s="1"/>
  <c r="EQ11" i="5" s="1"/>
  <c r="CY11" i="5"/>
  <c r="CX11" i="5"/>
  <c r="CW11" i="5"/>
  <c r="CU11" i="5"/>
  <c r="CT11" i="5"/>
  <c r="CS11" i="5"/>
  <c r="CQ11" i="5"/>
  <c r="CP11" i="5"/>
  <c r="CO11" i="5"/>
  <c r="EB11" i="5"/>
  <c r="EL10" i="5"/>
  <c r="EK10" i="5"/>
  <c r="EJ10" i="5"/>
  <c r="EI10" i="5"/>
  <c r="FC10" i="5" s="1"/>
  <c r="EG10" i="5"/>
  <c r="EF10" i="5"/>
  <c r="EE10" i="5"/>
  <c r="EC10" i="5"/>
  <c r="DY10" i="5"/>
  <c r="DZ10" i="5" s="1"/>
  <c r="EZ10" i="5" s="1"/>
  <c r="DW10" i="5"/>
  <c r="DX10" i="5" s="1"/>
  <c r="EY10" i="5" s="1"/>
  <c r="DU10" i="5"/>
  <c r="DV10" i="5" s="1"/>
  <c r="EX10" i="5" s="1"/>
  <c r="DS10" i="5"/>
  <c r="DR10" i="5"/>
  <c r="DQ10" i="5"/>
  <c r="DO10" i="5"/>
  <c r="DN10" i="5"/>
  <c r="DM10" i="5"/>
  <c r="DK10" i="5"/>
  <c r="DJ10" i="5"/>
  <c r="DI10" i="5"/>
  <c r="DG10" i="5"/>
  <c r="DH10" i="5" s="1"/>
  <c r="ET10" i="5" s="1"/>
  <c r="DE10" i="5"/>
  <c r="DF10" i="5" s="1"/>
  <c r="ES10" i="5" s="1"/>
  <c r="DC10" i="5"/>
  <c r="DD10" i="5" s="1"/>
  <c r="ER10" i="5" s="1"/>
  <c r="DA10" i="5"/>
  <c r="DB10" i="5" s="1"/>
  <c r="EQ10" i="5" s="1"/>
  <c r="CY10" i="5"/>
  <c r="CX10" i="5"/>
  <c r="CW10" i="5"/>
  <c r="CU10" i="5"/>
  <c r="CT10" i="5"/>
  <c r="CS10" i="5"/>
  <c r="CQ10" i="5"/>
  <c r="CP10" i="5"/>
  <c r="CO10" i="5"/>
  <c r="EB10" i="5"/>
  <c r="EL9" i="5"/>
  <c r="EK9" i="5"/>
  <c r="EJ9" i="5"/>
  <c r="EI9" i="5"/>
  <c r="FC9" i="5" s="1"/>
  <c r="EG9" i="5"/>
  <c r="EF9" i="5"/>
  <c r="EE9" i="5"/>
  <c r="EC9" i="5"/>
  <c r="DY9" i="5"/>
  <c r="DZ9" i="5" s="1"/>
  <c r="EZ9" i="5" s="1"/>
  <c r="DW9" i="5"/>
  <c r="DX9" i="5" s="1"/>
  <c r="EY9" i="5" s="1"/>
  <c r="DU9" i="5"/>
  <c r="DV9" i="5" s="1"/>
  <c r="EX9" i="5" s="1"/>
  <c r="DS9" i="5"/>
  <c r="DR9" i="5"/>
  <c r="DQ9" i="5"/>
  <c r="DO9" i="5"/>
  <c r="DN9" i="5"/>
  <c r="DM9" i="5"/>
  <c r="DK9" i="5"/>
  <c r="DJ9" i="5"/>
  <c r="DI9" i="5"/>
  <c r="DG9" i="5"/>
  <c r="DH9" i="5" s="1"/>
  <c r="ET9" i="5" s="1"/>
  <c r="DE9" i="5"/>
  <c r="DF9" i="5" s="1"/>
  <c r="ES9" i="5" s="1"/>
  <c r="DC9" i="5"/>
  <c r="DD9" i="5" s="1"/>
  <c r="ER9" i="5" s="1"/>
  <c r="DA9" i="5"/>
  <c r="DB9" i="5" s="1"/>
  <c r="EQ9" i="5" s="1"/>
  <c r="CY9" i="5"/>
  <c r="CX9" i="5"/>
  <c r="CW9" i="5"/>
  <c r="CU9" i="5"/>
  <c r="CT9" i="5"/>
  <c r="CS9" i="5"/>
  <c r="CQ9" i="5"/>
  <c r="CP9" i="5"/>
  <c r="CO9" i="5"/>
  <c r="EB9" i="5"/>
  <c r="EL8" i="5"/>
  <c r="EK8" i="5"/>
  <c r="EJ8" i="5"/>
  <c r="EI8" i="5"/>
  <c r="FC8" i="5" s="1"/>
  <c r="EG8" i="5"/>
  <c r="EF8" i="5"/>
  <c r="EE8" i="5"/>
  <c r="EC8" i="5"/>
  <c r="DY8" i="5"/>
  <c r="DZ8" i="5" s="1"/>
  <c r="EZ8" i="5" s="1"/>
  <c r="DW8" i="5"/>
  <c r="DX8" i="5" s="1"/>
  <c r="EY8" i="5" s="1"/>
  <c r="DU8" i="5"/>
  <c r="DV8" i="5" s="1"/>
  <c r="EX8" i="5" s="1"/>
  <c r="DS8" i="5"/>
  <c r="DR8" i="5"/>
  <c r="DQ8" i="5"/>
  <c r="DO8" i="5"/>
  <c r="DN8" i="5"/>
  <c r="DM8" i="5"/>
  <c r="DK8" i="5"/>
  <c r="DJ8" i="5"/>
  <c r="DI8" i="5"/>
  <c r="DG8" i="5"/>
  <c r="DH8" i="5" s="1"/>
  <c r="ET8" i="5" s="1"/>
  <c r="DE8" i="5"/>
  <c r="DF8" i="5" s="1"/>
  <c r="ES8" i="5" s="1"/>
  <c r="DC8" i="5"/>
  <c r="DD8" i="5" s="1"/>
  <c r="ER8" i="5" s="1"/>
  <c r="DA8" i="5"/>
  <c r="DB8" i="5" s="1"/>
  <c r="EQ8" i="5" s="1"/>
  <c r="CY8" i="5"/>
  <c r="CX8" i="5"/>
  <c r="CW8" i="5"/>
  <c r="CU8" i="5"/>
  <c r="CT8" i="5"/>
  <c r="CS8" i="5"/>
  <c r="CQ8" i="5"/>
  <c r="CP8" i="5"/>
  <c r="CO8" i="5"/>
  <c r="EB8" i="5"/>
  <c r="EL7" i="5"/>
  <c r="EK7" i="5"/>
  <c r="EJ7" i="5"/>
  <c r="EI7" i="5"/>
  <c r="FC7" i="5" s="1"/>
  <c r="EG7" i="5"/>
  <c r="EF7" i="5"/>
  <c r="EE7" i="5"/>
  <c r="EC7" i="5"/>
  <c r="DY7" i="5"/>
  <c r="DZ7" i="5" s="1"/>
  <c r="EZ7" i="5" s="1"/>
  <c r="DW7" i="5"/>
  <c r="DX7" i="5" s="1"/>
  <c r="EY7" i="5" s="1"/>
  <c r="DU7" i="5"/>
  <c r="DV7" i="5" s="1"/>
  <c r="EX7" i="5" s="1"/>
  <c r="DS7" i="5"/>
  <c r="DR7" i="5"/>
  <c r="DQ7" i="5"/>
  <c r="DO7" i="5"/>
  <c r="DN7" i="5"/>
  <c r="DM7" i="5"/>
  <c r="DK7" i="5"/>
  <c r="DJ7" i="5"/>
  <c r="DI7" i="5"/>
  <c r="DG7" i="5"/>
  <c r="DH7" i="5" s="1"/>
  <c r="ET7" i="5" s="1"/>
  <c r="DE7" i="5"/>
  <c r="DF7" i="5" s="1"/>
  <c r="ES7" i="5" s="1"/>
  <c r="DC7" i="5"/>
  <c r="DD7" i="5" s="1"/>
  <c r="ER7" i="5" s="1"/>
  <c r="DA7" i="5"/>
  <c r="DB7" i="5" s="1"/>
  <c r="EQ7" i="5" s="1"/>
  <c r="CY7" i="5"/>
  <c r="CX7" i="5"/>
  <c r="CW7" i="5"/>
  <c r="CU7" i="5"/>
  <c r="CT7" i="5"/>
  <c r="CS7" i="5"/>
  <c r="CQ7" i="5"/>
  <c r="CP7" i="5"/>
  <c r="CO7" i="5"/>
  <c r="EB7" i="5"/>
  <c r="EL6" i="5"/>
  <c r="EK6" i="5"/>
  <c r="EJ6" i="5"/>
  <c r="EI6" i="5"/>
  <c r="FC6" i="5" s="1"/>
  <c r="EG6" i="5"/>
  <c r="EF6" i="5"/>
  <c r="EE6" i="5"/>
  <c r="EC6" i="5"/>
  <c r="DY6" i="5"/>
  <c r="DZ6" i="5" s="1"/>
  <c r="EZ6" i="5" s="1"/>
  <c r="DW6" i="5"/>
  <c r="DX6" i="5" s="1"/>
  <c r="EY6" i="5" s="1"/>
  <c r="DU6" i="5"/>
  <c r="DV6" i="5" s="1"/>
  <c r="EX6" i="5" s="1"/>
  <c r="DS6" i="5"/>
  <c r="DR6" i="5"/>
  <c r="DQ6" i="5"/>
  <c r="DO6" i="5"/>
  <c r="DN6" i="5"/>
  <c r="DM6" i="5"/>
  <c r="DK6" i="5"/>
  <c r="DJ6" i="5"/>
  <c r="DI6" i="5"/>
  <c r="DG6" i="5"/>
  <c r="DH6" i="5" s="1"/>
  <c r="ET6" i="5" s="1"/>
  <c r="DE6" i="5"/>
  <c r="DF6" i="5" s="1"/>
  <c r="ES6" i="5" s="1"/>
  <c r="DC6" i="5"/>
  <c r="DD6" i="5" s="1"/>
  <c r="ER6" i="5" s="1"/>
  <c r="DA6" i="5"/>
  <c r="DB6" i="5" s="1"/>
  <c r="EQ6" i="5" s="1"/>
  <c r="CY6" i="5"/>
  <c r="CX6" i="5"/>
  <c r="CW6" i="5"/>
  <c r="CU6" i="5"/>
  <c r="CT6" i="5"/>
  <c r="CS6" i="5"/>
  <c r="CQ6" i="5"/>
  <c r="CP6" i="5"/>
  <c r="CO6" i="5"/>
  <c r="EB6" i="5"/>
  <c r="EL5" i="5"/>
  <c r="EK5" i="5"/>
  <c r="EJ5" i="5"/>
  <c r="EI5" i="5"/>
  <c r="FC5" i="5" s="1"/>
  <c r="EG5" i="5"/>
  <c r="EF5" i="5"/>
  <c r="EE5" i="5"/>
  <c r="EC5" i="5"/>
  <c r="DY5" i="5"/>
  <c r="DZ5" i="5" s="1"/>
  <c r="EZ5" i="5" s="1"/>
  <c r="DW5" i="5"/>
  <c r="DX5" i="5" s="1"/>
  <c r="EY5" i="5" s="1"/>
  <c r="DU5" i="5"/>
  <c r="DV5" i="5" s="1"/>
  <c r="EX5" i="5" s="1"/>
  <c r="DS5" i="5"/>
  <c r="DR5" i="5"/>
  <c r="DQ5" i="5"/>
  <c r="DO5" i="5"/>
  <c r="DN5" i="5"/>
  <c r="DM5" i="5"/>
  <c r="DK5" i="5"/>
  <c r="DJ5" i="5"/>
  <c r="DI5" i="5"/>
  <c r="DG5" i="5"/>
  <c r="DH5" i="5" s="1"/>
  <c r="ET5" i="5" s="1"/>
  <c r="DE5" i="5"/>
  <c r="DF5" i="5" s="1"/>
  <c r="ES5" i="5" s="1"/>
  <c r="DC5" i="5"/>
  <c r="DD5" i="5" s="1"/>
  <c r="ER5" i="5" s="1"/>
  <c r="DA5" i="5"/>
  <c r="DB5" i="5" s="1"/>
  <c r="EQ5" i="5" s="1"/>
  <c r="CY5" i="5"/>
  <c r="CX5" i="5"/>
  <c r="CW5" i="5"/>
  <c r="CU5" i="5"/>
  <c r="CT5" i="5"/>
  <c r="CS5" i="5"/>
  <c r="CQ5" i="5"/>
  <c r="CP5" i="5"/>
  <c r="CO5" i="5"/>
  <c r="CR5" i="5" s="1"/>
  <c r="EN5" i="5" s="1"/>
  <c r="EB5" i="5"/>
  <c r="EA5" i="5"/>
  <c r="EJ1" i="5"/>
  <c r="EE1" i="5"/>
  <c r="DY1" i="5"/>
  <c r="DW1" i="5"/>
  <c r="DU1" i="5"/>
  <c r="DQ1" i="5"/>
  <c r="DM1" i="5"/>
  <c r="DI1" i="5"/>
  <c r="DG1" i="5"/>
  <c r="DE1" i="5"/>
  <c r="DC1" i="5"/>
  <c r="DA1" i="5"/>
  <c r="CW1" i="5"/>
  <c r="CS1" i="5"/>
  <c r="CO1" i="5"/>
  <c r="U244" i="3"/>
  <c r="S244" i="3"/>
  <c r="R244" i="3"/>
  <c r="N244" i="3"/>
  <c r="M244" i="3"/>
  <c r="L244" i="3"/>
  <c r="G244" i="3"/>
  <c r="F244" i="3"/>
  <c r="E244" i="3"/>
  <c r="U243" i="3"/>
  <c r="T243" i="3"/>
  <c r="S243" i="3"/>
  <c r="N243" i="3"/>
  <c r="M243" i="3"/>
  <c r="L243" i="3"/>
  <c r="G243" i="3"/>
  <c r="F243" i="3"/>
  <c r="E243" i="3"/>
  <c r="U241" i="3"/>
  <c r="S241" i="3"/>
  <c r="N241" i="3"/>
  <c r="M241" i="3"/>
  <c r="L241" i="3"/>
  <c r="G241" i="3"/>
  <c r="F241" i="3"/>
  <c r="E241" i="3"/>
  <c r="U240" i="3"/>
  <c r="S240" i="3"/>
  <c r="N240" i="3"/>
  <c r="M240" i="3"/>
  <c r="K240" i="3"/>
  <c r="I240" i="3"/>
  <c r="H240" i="3"/>
  <c r="G240" i="3"/>
  <c r="F240" i="3"/>
  <c r="E240" i="3"/>
  <c r="U239" i="3"/>
  <c r="S239" i="3"/>
  <c r="N239" i="3"/>
  <c r="M239" i="3"/>
  <c r="K239" i="3"/>
  <c r="I239" i="3"/>
  <c r="H239" i="3"/>
  <c r="G239" i="3"/>
  <c r="F239" i="3"/>
  <c r="E239" i="3"/>
  <c r="Q238" i="3"/>
  <c r="P238" i="3"/>
  <c r="O238" i="3"/>
  <c r="N238" i="3"/>
  <c r="M238" i="3"/>
  <c r="K238" i="3"/>
  <c r="J238" i="3"/>
  <c r="I238" i="3"/>
  <c r="H238" i="3"/>
  <c r="G238" i="3"/>
  <c r="F238" i="3"/>
  <c r="E238" i="3"/>
  <c r="Q237" i="3"/>
  <c r="P237" i="3"/>
  <c r="O237" i="3"/>
  <c r="N237" i="3"/>
  <c r="M237" i="3"/>
  <c r="K237" i="3"/>
  <c r="J237" i="3"/>
  <c r="I237" i="3"/>
  <c r="H237" i="3"/>
  <c r="G237" i="3"/>
  <c r="F237" i="3"/>
  <c r="E237" i="3"/>
  <c r="U235" i="3"/>
  <c r="S235" i="3"/>
  <c r="R235" i="3"/>
  <c r="N235" i="3"/>
  <c r="M235" i="3"/>
  <c r="L235" i="3"/>
  <c r="G235" i="3"/>
  <c r="F235" i="3"/>
  <c r="E235" i="3"/>
  <c r="U234" i="3"/>
  <c r="T234" i="3"/>
  <c r="S234" i="3"/>
  <c r="N234" i="3"/>
  <c r="M234" i="3"/>
  <c r="L234" i="3"/>
  <c r="G234" i="3"/>
  <c r="F234" i="3"/>
  <c r="E234" i="3"/>
  <c r="U232" i="3"/>
  <c r="S232" i="3"/>
  <c r="N232" i="3"/>
  <c r="M232" i="3"/>
  <c r="L232" i="3"/>
  <c r="G232" i="3"/>
  <c r="F232" i="3"/>
  <c r="E232" i="3"/>
  <c r="U231" i="3"/>
  <c r="S231" i="3"/>
  <c r="N231" i="3"/>
  <c r="M231" i="3"/>
  <c r="K231" i="3"/>
  <c r="I231" i="3"/>
  <c r="H231" i="3"/>
  <c r="G231" i="3"/>
  <c r="F231" i="3"/>
  <c r="E231" i="3"/>
  <c r="U230" i="3"/>
  <c r="S230" i="3"/>
  <c r="N230" i="3"/>
  <c r="M230" i="3"/>
  <c r="K230" i="3"/>
  <c r="I230" i="3"/>
  <c r="H230" i="3"/>
  <c r="G230" i="3"/>
  <c r="F230" i="3"/>
  <c r="E230" i="3"/>
  <c r="Q229" i="3"/>
  <c r="P229" i="3"/>
  <c r="O229" i="3"/>
  <c r="N229" i="3"/>
  <c r="M229" i="3"/>
  <c r="K229" i="3"/>
  <c r="J229" i="3"/>
  <c r="I229" i="3"/>
  <c r="H229" i="3"/>
  <c r="G229" i="3"/>
  <c r="F229" i="3"/>
  <c r="E229" i="3"/>
  <c r="Q228" i="3"/>
  <c r="P228" i="3"/>
  <c r="O228" i="3"/>
  <c r="N228" i="3"/>
  <c r="M228" i="3"/>
  <c r="K228" i="3"/>
  <c r="J228" i="3"/>
  <c r="I228" i="3"/>
  <c r="H228" i="3"/>
  <c r="G228" i="3"/>
  <c r="F228" i="3"/>
  <c r="E228" i="3"/>
  <c r="U225" i="3"/>
  <c r="T225" i="3"/>
  <c r="S225" i="3"/>
  <c r="N225" i="3"/>
  <c r="M225" i="3"/>
  <c r="L225" i="3"/>
  <c r="G225" i="3"/>
  <c r="F225" i="3"/>
  <c r="E225" i="3"/>
  <c r="U223" i="3"/>
  <c r="S223" i="3"/>
  <c r="N223" i="3"/>
  <c r="M223" i="3"/>
  <c r="L223" i="3"/>
  <c r="G223" i="3"/>
  <c r="F223" i="3"/>
  <c r="E223" i="3"/>
  <c r="U222" i="3"/>
  <c r="S222" i="3"/>
  <c r="N222" i="3"/>
  <c r="M222" i="3"/>
  <c r="K222" i="3"/>
  <c r="I222" i="3"/>
  <c r="H222" i="3"/>
  <c r="G222" i="3"/>
  <c r="F222" i="3"/>
  <c r="E222" i="3"/>
  <c r="U221" i="3"/>
  <c r="S221" i="3"/>
  <c r="N221" i="3"/>
  <c r="M221" i="3"/>
  <c r="K221" i="3"/>
  <c r="I221" i="3"/>
  <c r="H221" i="3"/>
  <c r="G221" i="3"/>
  <c r="F221" i="3"/>
  <c r="E221" i="3"/>
  <c r="Q220" i="3"/>
  <c r="P220" i="3"/>
  <c r="O220" i="3"/>
  <c r="N220" i="3"/>
  <c r="M220" i="3"/>
  <c r="K220" i="3"/>
  <c r="J220" i="3"/>
  <c r="I220" i="3"/>
  <c r="H220" i="3"/>
  <c r="G220" i="3"/>
  <c r="F220" i="3"/>
  <c r="E220" i="3"/>
  <c r="Q219" i="3"/>
  <c r="P219" i="3"/>
  <c r="O219" i="3"/>
  <c r="N219" i="3"/>
  <c r="M219" i="3"/>
  <c r="K219" i="3"/>
  <c r="J219" i="3"/>
  <c r="I219" i="3"/>
  <c r="H219" i="3"/>
  <c r="G219" i="3"/>
  <c r="F219" i="3"/>
  <c r="E219" i="3"/>
  <c r="U217" i="3"/>
  <c r="S217" i="3"/>
  <c r="R217" i="3"/>
  <c r="N217" i="3"/>
  <c r="M217" i="3"/>
  <c r="L217" i="3"/>
  <c r="G217" i="3"/>
  <c r="F217" i="3"/>
  <c r="E217" i="3"/>
  <c r="U216" i="3"/>
  <c r="T216" i="3"/>
  <c r="S216" i="3"/>
  <c r="N216" i="3"/>
  <c r="M216" i="3"/>
  <c r="L216" i="3"/>
  <c r="G216" i="3"/>
  <c r="F216" i="3"/>
  <c r="E216" i="3"/>
  <c r="U214" i="3"/>
  <c r="S214" i="3"/>
  <c r="N214" i="3"/>
  <c r="M214" i="3"/>
  <c r="L214" i="3"/>
  <c r="G214" i="3"/>
  <c r="F214" i="3"/>
  <c r="E214" i="3"/>
  <c r="U213" i="3"/>
  <c r="S213" i="3"/>
  <c r="N213" i="3"/>
  <c r="M213" i="3"/>
  <c r="K213" i="3"/>
  <c r="I213" i="3"/>
  <c r="H213" i="3"/>
  <c r="G213" i="3"/>
  <c r="F213" i="3"/>
  <c r="E213" i="3"/>
  <c r="U212" i="3"/>
  <c r="S212" i="3"/>
  <c r="N212" i="3"/>
  <c r="M212" i="3"/>
  <c r="K212" i="3"/>
  <c r="I212" i="3"/>
  <c r="H212" i="3"/>
  <c r="G212" i="3"/>
  <c r="F212" i="3"/>
  <c r="E212" i="3"/>
  <c r="Q211" i="3"/>
  <c r="P211" i="3"/>
  <c r="O211" i="3"/>
  <c r="N211" i="3"/>
  <c r="M211" i="3"/>
  <c r="K211" i="3"/>
  <c r="J211" i="3"/>
  <c r="I211" i="3"/>
  <c r="H211" i="3"/>
  <c r="G211" i="3"/>
  <c r="F211" i="3"/>
  <c r="E211" i="3"/>
  <c r="Q210" i="3"/>
  <c r="P210" i="3"/>
  <c r="O210" i="3"/>
  <c r="N210" i="3"/>
  <c r="M210" i="3"/>
  <c r="K210" i="3"/>
  <c r="J210" i="3"/>
  <c r="I210" i="3"/>
  <c r="H210" i="3"/>
  <c r="G210" i="3"/>
  <c r="F210" i="3"/>
  <c r="E210" i="3"/>
  <c r="U208" i="3"/>
  <c r="S208" i="3"/>
  <c r="R208" i="3"/>
  <c r="N208" i="3"/>
  <c r="M208" i="3"/>
  <c r="L208" i="3"/>
  <c r="G208" i="3"/>
  <c r="F208" i="3"/>
  <c r="E208" i="3"/>
  <c r="U207" i="3"/>
  <c r="T207" i="3"/>
  <c r="S207" i="3"/>
  <c r="N207" i="3"/>
  <c r="M207" i="3"/>
  <c r="L207" i="3"/>
  <c r="G207" i="3"/>
  <c r="F207" i="3"/>
  <c r="E207" i="3"/>
  <c r="U205" i="3"/>
  <c r="S205" i="3"/>
  <c r="N205" i="3"/>
  <c r="M205" i="3"/>
  <c r="L205" i="3"/>
  <c r="G205" i="3"/>
  <c r="F205" i="3"/>
  <c r="E205" i="3"/>
  <c r="U204" i="3"/>
  <c r="S204" i="3"/>
  <c r="N204" i="3"/>
  <c r="M204" i="3"/>
  <c r="K204" i="3"/>
  <c r="I204" i="3"/>
  <c r="H204" i="3"/>
  <c r="G204" i="3"/>
  <c r="F204" i="3"/>
  <c r="E204" i="3"/>
  <c r="U203" i="3"/>
  <c r="S203" i="3"/>
  <c r="N203" i="3"/>
  <c r="M203" i="3"/>
  <c r="K203" i="3"/>
  <c r="I203" i="3"/>
  <c r="H203" i="3"/>
  <c r="G203" i="3"/>
  <c r="F203" i="3"/>
  <c r="E203" i="3"/>
  <c r="Q202" i="3"/>
  <c r="P202" i="3"/>
  <c r="O202" i="3"/>
  <c r="N202" i="3"/>
  <c r="M202" i="3"/>
  <c r="K202" i="3"/>
  <c r="J202" i="3"/>
  <c r="I202" i="3"/>
  <c r="H202" i="3"/>
  <c r="G202" i="3"/>
  <c r="F202" i="3"/>
  <c r="E202" i="3"/>
  <c r="Q201" i="3"/>
  <c r="P201" i="3"/>
  <c r="O201" i="3"/>
  <c r="N201" i="3"/>
  <c r="M201" i="3"/>
  <c r="K201" i="3"/>
  <c r="J201" i="3"/>
  <c r="I201" i="3"/>
  <c r="H201" i="3"/>
  <c r="G201" i="3"/>
  <c r="F201" i="3"/>
  <c r="E201" i="3"/>
  <c r="U199" i="3"/>
  <c r="S199" i="3"/>
  <c r="R199" i="3"/>
  <c r="N199" i="3"/>
  <c r="M199" i="3"/>
  <c r="L199" i="3"/>
  <c r="G199" i="3"/>
  <c r="F199" i="3"/>
  <c r="E199" i="3"/>
  <c r="U198" i="3"/>
  <c r="T198" i="3"/>
  <c r="S198" i="3"/>
  <c r="N198" i="3"/>
  <c r="M198" i="3"/>
  <c r="L198" i="3"/>
  <c r="G198" i="3"/>
  <c r="F198" i="3"/>
  <c r="E198" i="3"/>
  <c r="U196" i="3"/>
  <c r="S196" i="3"/>
  <c r="N196" i="3"/>
  <c r="M196" i="3"/>
  <c r="L196" i="3"/>
  <c r="G196" i="3"/>
  <c r="F196" i="3"/>
  <c r="E196" i="3"/>
  <c r="U195" i="3"/>
  <c r="S195" i="3"/>
  <c r="N195" i="3"/>
  <c r="M195" i="3"/>
  <c r="K195" i="3"/>
  <c r="I195" i="3"/>
  <c r="H195" i="3"/>
  <c r="G195" i="3"/>
  <c r="F195" i="3"/>
  <c r="E195" i="3"/>
  <c r="U194" i="3"/>
  <c r="S194" i="3"/>
  <c r="N194" i="3"/>
  <c r="M194" i="3"/>
  <c r="K194" i="3"/>
  <c r="I194" i="3"/>
  <c r="H194" i="3"/>
  <c r="G194" i="3"/>
  <c r="F194" i="3"/>
  <c r="E194" i="3"/>
  <c r="Q193" i="3"/>
  <c r="P193" i="3"/>
  <c r="O193" i="3"/>
  <c r="N193" i="3"/>
  <c r="M193" i="3"/>
  <c r="K193" i="3"/>
  <c r="J193" i="3"/>
  <c r="I193" i="3"/>
  <c r="H193" i="3"/>
  <c r="G193" i="3"/>
  <c r="F193" i="3"/>
  <c r="E193" i="3"/>
  <c r="Q192" i="3"/>
  <c r="P192" i="3"/>
  <c r="O192" i="3"/>
  <c r="N192" i="3"/>
  <c r="M192" i="3"/>
  <c r="K192" i="3"/>
  <c r="J192" i="3"/>
  <c r="I192" i="3"/>
  <c r="H192" i="3"/>
  <c r="G192" i="3"/>
  <c r="F192" i="3"/>
  <c r="E192" i="3"/>
  <c r="U190" i="3"/>
  <c r="S190" i="3"/>
  <c r="R190" i="3"/>
  <c r="N190" i="3"/>
  <c r="M190" i="3"/>
  <c r="L190" i="3"/>
  <c r="G190" i="3"/>
  <c r="F190" i="3"/>
  <c r="E190" i="3"/>
  <c r="U189" i="3"/>
  <c r="T189" i="3"/>
  <c r="S189" i="3"/>
  <c r="N189" i="3"/>
  <c r="M189" i="3"/>
  <c r="L189" i="3"/>
  <c r="G189" i="3"/>
  <c r="F189" i="3"/>
  <c r="E189" i="3"/>
  <c r="U187" i="3"/>
  <c r="S187" i="3"/>
  <c r="N187" i="3"/>
  <c r="M187" i="3"/>
  <c r="L187" i="3"/>
  <c r="G187" i="3"/>
  <c r="F187" i="3"/>
  <c r="E187" i="3"/>
  <c r="U186" i="3"/>
  <c r="S186" i="3"/>
  <c r="N186" i="3"/>
  <c r="M186" i="3"/>
  <c r="K186" i="3"/>
  <c r="I186" i="3"/>
  <c r="H186" i="3"/>
  <c r="G186" i="3"/>
  <c r="F186" i="3"/>
  <c r="E186" i="3"/>
  <c r="U185" i="3"/>
  <c r="S185" i="3"/>
  <c r="N185" i="3"/>
  <c r="M185" i="3"/>
  <c r="K185" i="3"/>
  <c r="I185" i="3"/>
  <c r="H185" i="3"/>
  <c r="G185" i="3"/>
  <c r="F185" i="3"/>
  <c r="E185" i="3"/>
  <c r="Q184" i="3"/>
  <c r="P184" i="3"/>
  <c r="O184" i="3"/>
  <c r="N184" i="3"/>
  <c r="M184" i="3"/>
  <c r="K184" i="3"/>
  <c r="J184" i="3"/>
  <c r="I184" i="3"/>
  <c r="H184" i="3"/>
  <c r="G184" i="3"/>
  <c r="F184" i="3"/>
  <c r="E184" i="3"/>
  <c r="Q183" i="3"/>
  <c r="P183" i="3"/>
  <c r="O183" i="3"/>
  <c r="N183" i="3"/>
  <c r="M183" i="3"/>
  <c r="K183" i="3"/>
  <c r="J183" i="3"/>
  <c r="I183" i="3"/>
  <c r="H183" i="3"/>
  <c r="G183" i="3"/>
  <c r="F183" i="3"/>
  <c r="E183" i="3"/>
  <c r="U181" i="3"/>
  <c r="S181" i="3"/>
  <c r="R181" i="3"/>
  <c r="N181" i="3"/>
  <c r="M181" i="3"/>
  <c r="L181" i="3"/>
  <c r="G181" i="3"/>
  <c r="F181" i="3"/>
  <c r="E181" i="3"/>
  <c r="U180" i="3"/>
  <c r="T180" i="3"/>
  <c r="S180" i="3"/>
  <c r="N180" i="3"/>
  <c r="M180" i="3"/>
  <c r="L180" i="3"/>
  <c r="G180" i="3"/>
  <c r="F180" i="3"/>
  <c r="E180" i="3"/>
  <c r="U178" i="3"/>
  <c r="S178" i="3"/>
  <c r="N178" i="3"/>
  <c r="M178" i="3"/>
  <c r="L178" i="3"/>
  <c r="G178" i="3"/>
  <c r="F178" i="3"/>
  <c r="E178" i="3"/>
  <c r="U177" i="3"/>
  <c r="S177" i="3"/>
  <c r="N177" i="3"/>
  <c r="M177" i="3"/>
  <c r="K177" i="3"/>
  <c r="I177" i="3"/>
  <c r="H177" i="3"/>
  <c r="G177" i="3"/>
  <c r="F177" i="3"/>
  <c r="E177" i="3"/>
  <c r="U176" i="3"/>
  <c r="S176" i="3"/>
  <c r="N176" i="3"/>
  <c r="M176" i="3"/>
  <c r="K176" i="3"/>
  <c r="I176" i="3"/>
  <c r="H176" i="3"/>
  <c r="G176" i="3"/>
  <c r="F176" i="3"/>
  <c r="E176" i="3"/>
  <c r="Q175" i="3"/>
  <c r="P175" i="3"/>
  <c r="O175" i="3"/>
  <c r="N175" i="3"/>
  <c r="M175" i="3"/>
  <c r="K175" i="3"/>
  <c r="J175" i="3"/>
  <c r="I175" i="3"/>
  <c r="H175" i="3"/>
  <c r="G175" i="3"/>
  <c r="F175" i="3"/>
  <c r="E175" i="3"/>
  <c r="Q174" i="3"/>
  <c r="P174" i="3"/>
  <c r="O174" i="3"/>
  <c r="N174" i="3"/>
  <c r="M174" i="3"/>
  <c r="K174" i="3"/>
  <c r="J174" i="3"/>
  <c r="I174" i="3"/>
  <c r="H174" i="3"/>
  <c r="G174" i="3"/>
  <c r="F174" i="3"/>
  <c r="E174" i="3"/>
  <c r="U172" i="3"/>
  <c r="S172" i="3"/>
  <c r="R172" i="3"/>
  <c r="N172" i="3"/>
  <c r="M172" i="3"/>
  <c r="L172" i="3"/>
  <c r="G172" i="3"/>
  <c r="F172" i="3"/>
  <c r="E172" i="3"/>
  <c r="U171" i="3"/>
  <c r="T171" i="3"/>
  <c r="S171" i="3"/>
  <c r="N171" i="3"/>
  <c r="M171" i="3"/>
  <c r="L171" i="3"/>
  <c r="G171" i="3"/>
  <c r="F171" i="3"/>
  <c r="E171" i="3"/>
  <c r="U169" i="3"/>
  <c r="S169" i="3"/>
  <c r="N169" i="3"/>
  <c r="M169" i="3"/>
  <c r="L169" i="3"/>
  <c r="G169" i="3"/>
  <c r="F169" i="3"/>
  <c r="E169" i="3"/>
  <c r="U168" i="3"/>
  <c r="S168" i="3"/>
  <c r="N168" i="3"/>
  <c r="M168" i="3"/>
  <c r="K168" i="3"/>
  <c r="I168" i="3"/>
  <c r="H168" i="3"/>
  <c r="G168" i="3"/>
  <c r="F168" i="3"/>
  <c r="E168" i="3"/>
  <c r="U167" i="3"/>
  <c r="S167" i="3"/>
  <c r="N167" i="3"/>
  <c r="M167" i="3"/>
  <c r="K167" i="3"/>
  <c r="I167" i="3"/>
  <c r="H167" i="3"/>
  <c r="G167" i="3"/>
  <c r="F167" i="3"/>
  <c r="E167" i="3"/>
  <c r="Q166" i="3"/>
  <c r="P166" i="3"/>
  <c r="O166" i="3"/>
  <c r="N166" i="3"/>
  <c r="M166" i="3"/>
  <c r="K166" i="3"/>
  <c r="J166" i="3"/>
  <c r="I166" i="3"/>
  <c r="H166" i="3"/>
  <c r="G166" i="3"/>
  <c r="F166" i="3"/>
  <c r="E166" i="3"/>
  <c r="Q165" i="3"/>
  <c r="P165" i="3"/>
  <c r="O165" i="3"/>
  <c r="N165" i="3"/>
  <c r="M165" i="3"/>
  <c r="K165" i="3"/>
  <c r="J165" i="3"/>
  <c r="I165" i="3"/>
  <c r="H165" i="3"/>
  <c r="G165" i="3"/>
  <c r="F165" i="3"/>
  <c r="E165" i="3"/>
  <c r="U163" i="3"/>
  <c r="S163" i="3"/>
  <c r="R163" i="3"/>
  <c r="N163" i="3"/>
  <c r="M163" i="3"/>
  <c r="L163" i="3"/>
  <c r="G163" i="3"/>
  <c r="F163" i="3"/>
  <c r="E163" i="3"/>
  <c r="U162" i="3"/>
  <c r="T162" i="3"/>
  <c r="S162" i="3"/>
  <c r="N162" i="3"/>
  <c r="M162" i="3"/>
  <c r="L162" i="3"/>
  <c r="G162" i="3"/>
  <c r="F162" i="3"/>
  <c r="E162" i="3"/>
  <c r="U160" i="3"/>
  <c r="S160" i="3"/>
  <c r="N160" i="3"/>
  <c r="M160" i="3"/>
  <c r="L160" i="3"/>
  <c r="G160" i="3"/>
  <c r="F160" i="3"/>
  <c r="E160" i="3"/>
  <c r="U159" i="3"/>
  <c r="S159" i="3"/>
  <c r="N159" i="3"/>
  <c r="M159" i="3"/>
  <c r="K159" i="3"/>
  <c r="I159" i="3"/>
  <c r="H159" i="3"/>
  <c r="G159" i="3"/>
  <c r="F159" i="3"/>
  <c r="E159" i="3"/>
  <c r="U158" i="3"/>
  <c r="S158" i="3"/>
  <c r="N158" i="3"/>
  <c r="M158" i="3"/>
  <c r="K158" i="3"/>
  <c r="I158" i="3"/>
  <c r="H158" i="3"/>
  <c r="G158" i="3"/>
  <c r="F158" i="3"/>
  <c r="E158" i="3"/>
  <c r="Q157" i="3"/>
  <c r="P157" i="3"/>
  <c r="O157" i="3"/>
  <c r="N157" i="3"/>
  <c r="M157" i="3"/>
  <c r="K157" i="3"/>
  <c r="J157" i="3"/>
  <c r="I157" i="3"/>
  <c r="H157" i="3"/>
  <c r="G157" i="3"/>
  <c r="F157" i="3"/>
  <c r="E157" i="3"/>
  <c r="Q156" i="3"/>
  <c r="P156" i="3"/>
  <c r="O156" i="3"/>
  <c r="N156" i="3"/>
  <c r="M156" i="3"/>
  <c r="K156" i="3"/>
  <c r="J156" i="3"/>
  <c r="I156" i="3"/>
  <c r="H156" i="3"/>
  <c r="G156" i="3"/>
  <c r="F156" i="3"/>
  <c r="E156" i="3"/>
  <c r="U154" i="3"/>
  <c r="S154" i="3"/>
  <c r="R154" i="3"/>
  <c r="N154" i="3"/>
  <c r="M154" i="3"/>
  <c r="L154" i="3"/>
  <c r="G154" i="3"/>
  <c r="F154" i="3"/>
  <c r="E154" i="3"/>
  <c r="U153" i="3"/>
  <c r="T153" i="3"/>
  <c r="S153" i="3"/>
  <c r="N153" i="3"/>
  <c r="M153" i="3"/>
  <c r="L153" i="3"/>
  <c r="G153" i="3"/>
  <c r="F153" i="3"/>
  <c r="E153" i="3"/>
  <c r="U151" i="3"/>
  <c r="S151" i="3"/>
  <c r="N151" i="3"/>
  <c r="M151" i="3"/>
  <c r="L151" i="3"/>
  <c r="G151" i="3"/>
  <c r="F151" i="3"/>
  <c r="E151" i="3"/>
  <c r="U150" i="3"/>
  <c r="S150" i="3"/>
  <c r="N150" i="3"/>
  <c r="M150" i="3"/>
  <c r="K150" i="3"/>
  <c r="I150" i="3"/>
  <c r="H150" i="3"/>
  <c r="G150" i="3"/>
  <c r="F150" i="3"/>
  <c r="E150" i="3"/>
  <c r="U149" i="3"/>
  <c r="S149" i="3"/>
  <c r="N149" i="3"/>
  <c r="M149" i="3"/>
  <c r="K149" i="3"/>
  <c r="I149" i="3"/>
  <c r="H149" i="3"/>
  <c r="G149" i="3"/>
  <c r="F149" i="3"/>
  <c r="E149" i="3"/>
  <c r="Q148" i="3"/>
  <c r="P148" i="3"/>
  <c r="O148" i="3"/>
  <c r="N148" i="3"/>
  <c r="M148" i="3"/>
  <c r="K148" i="3"/>
  <c r="J148" i="3"/>
  <c r="I148" i="3"/>
  <c r="H148" i="3"/>
  <c r="G148" i="3"/>
  <c r="F148" i="3"/>
  <c r="E148" i="3"/>
  <c r="Q147" i="3"/>
  <c r="P147" i="3"/>
  <c r="O147" i="3"/>
  <c r="N147" i="3"/>
  <c r="M147" i="3"/>
  <c r="K147" i="3"/>
  <c r="J147" i="3"/>
  <c r="I147" i="3"/>
  <c r="H147" i="3"/>
  <c r="G147" i="3"/>
  <c r="F147" i="3"/>
  <c r="E147" i="3"/>
  <c r="U145" i="3"/>
  <c r="S145" i="3"/>
  <c r="R145" i="3"/>
  <c r="N145" i="3"/>
  <c r="M145" i="3"/>
  <c r="L145" i="3"/>
  <c r="G145" i="3"/>
  <c r="F145" i="3"/>
  <c r="E145" i="3"/>
  <c r="U144" i="3"/>
  <c r="T144" i="3"/>
  <c r="S144" i="3"/>
  <c r="N144" i="3"/>
  <c r="M144" i="3"/>
  <c r="L144" i="3"/>
  <c r="G144" i="3"/>
  <c r="F144" i="3"/>
  <c r="E144" i="3"/>
  <c r="U142" i="3"/>
  <c r="S142" i="3"/>
  <c r="N142" i="3"/>
  <c r="M142" i="3"/>
  <c r="L142" i="3"/>
  <c r="G142" i="3"/>
  <c r="F142" i="3"/>
  <c r="E142" i="3"/>
  <c r="U141" i="3"/>
  <c r="S141" i="3"/>
  <c r="N141" i="3"/>
  <c r="M141" i="3"/>
  <c r="K141" i="3"/>
  <c r="I141" i="3"/>
  <c r="H141" i="3"/>
  <c r="G141" i="3"/>
  <c r="F141" i="3"/>
  <c r="E141" i="3"/>
  <c r="U140" i="3"/>
  <c r="S140" i="3"/>
  <c r="N140" i="3"/>
  <c r="M140" i="3"/>
  <c r="K140" i="3"/>
  <c r="I140" i="3"/>
  <c r="H140" i="3"/>
  <c r="G140" i="3"/>
  <c r="F140" i="3"/>
  <c r="E140" i="3"/>
  <c r="Q139" i="3"/>
  <c r="P139" i="3"/>
  <c r="O139" i="3"/>
  <c r="N139" i="3"/>
  <c r="M139" i="3"/>
  <c r="K139" i="3"/>
  <c r="J139" i="3"/>
  <c r="I139" i="3"/>
  <c r="H139" i="3"/>
  <c r="G139" i="3"/>
  <c r="F139" i="3"/>
  <c r="E139" i="3"/>
  <c r="Q138" i="3"/>
  <c r="P138" i="3"/>
  <c r="O138" i="3"/>
  <c r="N138" i="3"/>
  <c r="M138" i="3"/>
  <c r="K138" i="3"/>
  <c r="J138" i="3"/>
  <c r="I138" i="3"/>
  <c r="H138" i="3"/>
  <c r="G138" i="3"/>
  <c r="F138" i="3"/>
  <c r="E138" i="3"/>
  <c r="U136" i="3"/>
  <c r="S136" i="3"/>
  <c r="R136" i="3"/>
  <c r="N136" i="3"/>
  <c r="M136" i="3"/>
  <c r="L136" i="3"/>
  <c r="G136" i="3"/>
  <c r="F136" i="3"/>
  <c r="E136" i="3"/>
  <c r="U135" i="3"/>
  <c r="T135" i="3"/>
  <c r="S135" i="3"/>
  <c r="N135" i="3"/>
  <c r="M135" i="3"/>
  <c r="L135" i="3"/>
  <c r="G135" i="3"/>
  <c r="F135" i="3"/>
  <c r="E135" i="3"/>
  <c r="U133" i="3"/>
  <c r="S133" i="3"/>
  <c r="N133" i="3"/>
  <c r="M133" i="3"/>
  <c r="L133" i="3"/>
  <c r="G133" i="3"/>
  <c r="F133" i="3"/>
  <c r="E133" i="3"/>
  <c r="U132" i="3"/>
  <c r="S132" i="3"/>
  <c r="N132" i="3"/>
  <c r="M132" i="3"/>
  <c r="K132" i="3"/>
  <c r="I132" i="3"/>
  <c r="H132" i="3"/>
  <c r="G132" i="3"/>
  <c r="F132" i="3"/>
  <c r="E132" i="3"/>
  <c r="U131" i="3"/>
  <c r="S131" i="3"/>
  <c r="N131" i="3"/>
  <c r="M131" i="3"/>
  <c r="K131" i="3"/>
  <c r="I131" i="3"/>
  <c r="H131" i="3"/>
  <c r="G131" i="3"/>
  <c r="F131" i="3"/>
  <c r="E131" i="3"/>
  <c r="Q130" i="3"/>
  <c r="P130" i="3"/>
  <c r="O130" i="3"/>
  <c r="N130" i="3"/>
  <c r="M130" i="3"/>
  <c r="K130" i="3"/>
  <c r="J130" i="3"/>
  <c r="I130" i="3"/>
  <c r="H130" i="3"/>
  <c r="G130" i="3"/>
  <c r="F130" i="3"/>
  <c r="E130" i="3"/>
  <c r="Q129" i="3"/>
  <c r="P129" i="3"/>
  <c r="O129" i="3"/>
  <c r="N129" i="3"/>
  <c r="M129" i="3"/>
  <c r="K129" i="3"/>
  <c r="J129" i="3"/>
  <c r="I129" i="3"/>
  <c r="H129" i="3"/>
  <c r="G129" i="3"/>
  <c r="F129" i="3"/>
  <c r="E129" i="3"/>
  <c r="U127" i="3"/>
  <c r="S127" i="3"/>
  <c r="R127" i="3"/>
  <c r="N127" i="3"/>
  <c r="M127" i="3"/>
  <c r="L127" i="3"/>
  <c r="G127" i="3"/>
  <c r="F127" i="3"/>
  <c r="E127" i="3"/>
  <c r="U126" i="3"/>
  <c r="T126" i="3"/>
  <c r="S126" i="3"/>
  <c r="N126" i="3"/>
  <c r="M126" i="3"/>
  <c r="L126" i="3"/>
  <c r="G126" i="3"/>
  <c r="F126" i="3"/>
  <c r="E126" i="3"/>
  <c r="U124" i="3"/>
  <c r="S124" i="3"/>
  <c r="N124" i="3"/>
  <c r="M124" i="3"/>
  <c r="L124" i="3"/>
  <c r="G124" i="3"/>
  <c r="F124" i="3"/>
  <c r="E124" i="3"/>
  <c r="U123" i="3"/>
  <c r="S123" i="3"/>
  <c r="N123" i="3"/>
  <c r="M123" i="3"/>
  <c r="K123" i="3"/>
  <c r="I123" i="3"/>
  <c r="H123" i="3"/>
  <c r="G123" i="3"/>
  <c r="F123" i="3"/>
  <c r="E123" i="3"/>
  <c r="U122" i="3"/>
  <c r="S122" i="3"/>
  <c r="N122" i="3"/>
  <c r="M122" i="3"/>
  <c r="K122" i="3"/>
  <c r="I122" i="3"/>
  <c r="H122" i="3"/>
  <c r="G122" i="3"/>
  <c r="F122" i="3"/>
  <c r="E122" i="3"/>
  <c r="Q121" i="3"/>
  <c r="P121" i="3"/>
  <c r="O121" i="3"/>
  <c r="N121" i="3"/>
  <c r="M121" i="3"/>
  <c r="K121" i="3"/>
  <c r="J121" i="3"/>
  <c r="I121" i="3"/>
  <c r="H121" i="3"/>
  <c r="G121" i="3"/>
  <c r="F121" i="3"/>
  <c r="E121" i="3"/>
  <c r="Q120" i="3"/>
  <c r="P120" i="3"/>
  <c r="O120" i="3"/>
  <c r="N120" i="3"/>
  <c r="M120" i="3"/>
  <c r="K120" i="3"/>
  <c r="J120" i="3"/>
  <c r="I120" i="3"/>
  <c r="H120" i="3"/>
  <c r="G120" i="3"/>
  <c r="F120" i="3"/>
  <c r="E120" i="3"/>
  <c r="U118" i="3"/>
  <c r="S118" i="3"/>
  <c r="R118" i="3"/>
  <c r="N118" i="3"/>
  <c r="M118" i="3"/>
  <c r="L118" i="3"/>
  <c r="G118" i="3"/>
  <c r="F118" i="3"/>
  <c r="E118" i="3"/>
  <c r="U117" i="3"/>
  <c r="T117" i="3"/>
  <c r="S117" i="3"/>
  <c r="N117" i="3"/>
  <c r="M117" i="3"/>
  <c r="L117" i="3"/>
  <c r="G117" i="3"/>
  <c r="F117" i="3"/>
  <c r="E117" i="3"/>
  <c r="U115" i="3"/>
  <c r="S115" i="3"/>
  <c r="N115" i="3"/>
  <c r="M115" i="3"/>
  <c r="L115" i="3"/>
  <c r="G115" i="3"/>
  <c r="F115" i="3"/>
  <c r="E115" i="3"/>
  <c r="U114" i="3"/>
  <c r="S114" i="3"/>
  <c r="N114" i="3"/>
  <c r="M114" i="3"/>
  <c r="K114" i="3"/>
  <c r="I114" i="3"/>
  <c r="H114" i="3"/>
  <c r="G114" i="3"/>
  <c r="F114" i="3"/>
  <c r="E114" i="3"/>
  <c r="U113" i="3"/>
  <c r="S113" i="3"/>
  <c r="N113" i="3"/>
  <c r="M113" i="3"/>
  <c r="K113" i="3"/>
  <c r="I113" i="3"/>
  <c r="H113" i="3"/>
  <c r="G113" i="3"/>
  <c r="F113" i="3"/>
  <c r="E113" i="3"/>
  <c r="Q112" i="3"/>
  <c r="P112" i="3"/>
  <c r="O112" i="3"/>
  <c r="N112" i="3"/>
  <c r="M112" i="3"/>
  <c r="K112" i="3"/>
  <c r="J112" i="3"/>
  <c r="I112" i="3"/>
  <c r="H112" i="3"/>
  <c r="G112" i="3"/>
  <c r="F112" i="3"/>
  <c r="E112" i="3"/>
  <c r="Q111" i="3"/>
  <c r="P111" i="3"/>
  <c r="O111" i="3"/>
  <c r="N111" i="3"/>
  <c r="M111" i="3"/>
  <c r="K111" i="3"/>
  <c r="J111" i="3"/>
  <c r="I111" i="3"/>
  <c r="H111" i="3"/>
  <c r="G111" i="3"/>
  <c r="F111" i="3"/>
  <c r="E111" i="3"/>
  <c r="U109" i="3"/>
  <c r="S109" i="3"/>
  <c r="R109" i="3"/>
  <c r="N109" i="3"/>
  <c r="M109" i="3"/>
  <c r="L109" i="3"/>
  <c r="G109" i="3"/>
  <c r="F109" i="3"/>
  <c r="E109" i="3"/>
  <c r="U108" i="3"/>
  <c r="T108" i="3"/>
  <c r="S108" i="3"/>
  <c r="N108" i="3"/>
  <c r="M108" i="3"/>
  <c r="L108" i="3"/>
  <c r="G108" i="3"/>
  <c r="F108" i="3"/>
  <c r="E108" i="3"/>
  <c r="U106" i="3"/>
  <c r="S106" i="3"/>
  <c r="N106" i="3"/>
  <c r="M106" i="3"/>
  <c r="L106" i="3"/>
  <c r="G106" i="3"/>
  <c r="F106" i="3"/>
  <c r="E106" i="3"/>
  <c r="U105" i="3"/>
  <c r="S105" i="3"/>
  <c r="N105" i="3"/>
  <c r="M105" i="3"/>
  <c r="K105" i="3"/>
  <c r="I105" i="3"/>
  <c r="H105" i="3"/>
  <c r="G105" i="3"/>
  <c r="F105" i="3"/>
  <c r="E105" i="3"/>
  <c r="U104" i="3"/>
  <c r="S104" i="3"/>
  <c r="N104" i="3"/>
  <c r="M104" i="3"/>
  <c r="K104" i="3"/>
  <c r="I104" i="3"/>
  <c r="H104" i="3"/>
  <c r="G104" i="3"/>
  <c r="F104" i="3"/>
  <c r="E104" i="3"/>
  <c r="Q103" i="3"/>
  <c r="P103" i="3"/>
  <c r="O103" i="3"/>
  <c r="N103" i="3"/>
  <c r="M103" i="3"/>
  <c r="K103" i="3"/>
  <c r="J103" i="3"/>
  <c r="I103" i="3"/>
  <c r="H103" i="3"/>
  <c r="G103" i="3"/>
  <c r="F103" i="3"/>
  <c r="E103" i="3"/>
  <c r="Q102" i="3"/>
  <c r="P102" i="3"/>
  <c r="O102" i="3"/>
  <c r="N102" i="3"/>
  <c r="M102" i="3"/>
  <c r="K102" i="3"/>
  <c r="J102" i="3"/>
  <c r="I102" i="3"/>
  <c r="H102" i="3"/>
  <c r="G102" i="3"/>
  <c r="F102" i="3"/>
  <c r="E102" i="3"/>
  <c r="U100" i="3"/>
  <c r="S100" i="3"/>
  <c r="R100" i="3"/>
  <c r="N100" i="3"/>
  <c r="M100" i="3"/>
  <c r="L100" i="3"/>
  <c r="G100" i="3"/>
  <c r="F100" i="3"/>
  <c r="E100" i="3"/>
  <c r="U99" i="3"/>
  <c r="T99" i="3"/>
  <c r="S99" i="3"/>
  <c r="N99" i="3"/>
  <c r="M99" i="3"/>
  <c r="L99" i="3"/>
  <c r="G99" i="3"/>
  <c r="F99" i="3"/>
  <c r="E99" i="3"/>
  <c r="U97" i="3"/>
  <c r="S97" i="3"/>
  <c r="N97" i="3"/>
  <c r="M97" i="3"/>
  <c r="L97" i="3"/>
  <c r="G97" i="3"/>
  <c r="F97" i="3"/>
  <c r="E97" i="3"/>
  <c r="U96" i="3"/>
  <c r="S96" i="3"/>
  <c r="N96" i="3"/>
  <c r="M96" i="3"/>
  <c r="K96" i="3"/>
  <c r="I96" i="3"/>
  <c r="H96" i="3"/>
  <c r="G96" i="3"/>
  <c r="F96" i="3"/>
  <c r="E96" i="3"/>
  <c r="U95" i="3"/>
  <c r="S95" i="3"/>
  <c r="N95" i="3"/>
  <c r="M95" i="3"/>
  <c r="K95" i="3"/>
  <c r="I95" i="3"/>
  <c r="H95" i="3"/>
  <c r="G95" i="3"/>
  <c r="F95" i="3"/>
  <c r="E95" i="3"/>
  <c r="Q94" i="3"/>
  <c r="P94" i="3"/>
  <c r="O94" i="3"/>
  <c r="N94" i="3"/>
  <c r="M94" i="3"/>
  <c r="K94" i="3"/>
  <c r="J94" i="3"/>
  <c r="I94" i="3"/>
  <c r="H94" i="3"/>
  <c r="G94" i="3"/>
  <c r="F94" i="3"/>
  <c r="E94" i="3"/>
  <c r="Q93" i="3"/>
  <c r="P93" i="3"/>
  <c r="O93" i="3"/>
  <c r="N93" i="3"/>
  <c r="M93" i="3"/>
  <c r="K93" i="3"/>
  <c r="J93" i="3"/>
  <c r="I93" i="3"/>
  <c r="H93" i="3"/>
  <c r="G93" i="3"/>
  <c r="F93" i="3"/>
  <c r="E93" i="3"/>
  <c r="U91" i="3"/>
  <c r="S91" i="3"/>
  <c r="R91" i="3"/>
  <c r="N91" i="3"/>
  <c r="M91" i="3"/>
  <c r="L91" i="3"/>
  <c r="G91" i="3"/>
  <c r="F91" i="3"/>
  <c r="E91" i="3"/>
  <c r="U90" i="3"/>
  <c r="T90" i="3"/>
  <c r="S90" i="3"/>
  <c r="N90" i="3"/>
  <c r="M90" i="3"/>
  <c r="L90" i="3"/>
  <c r="G90" i="3"/>
  <c r="F90" i="3"/>
  <c r="E90" i="3"/>
  <c r="U88" i="3"/>
  <c r="S88" i="3"/>
  <c r="N88" i="3"/>
  <c r="M88" i="3"/>
  <c r="L88" i="3"/>
  <c r="G88" i="3"/>
  <c r="F88" i="3"/>
  <c r="E88" i="3"/>
  <c r="U87" i="3"/>
  <c r="S87" i="3"/>
  <c r="N87" i="3"/>
  <c r="M87" i="3"/>
  <c r="K87" i="3"/>
  <c r="I87" i="3"/>
  <c r="H87" i="3"/>
  <c r="G87" i="3"/>
  <c r="F87" i="3"/>
  <c r="E87" i="3"/>
  <c r="U86" i="3"/>
  <c r="S86" i="3"/>
  <c r="N86" i="3"/>
  <c r="M86" i="3"/>
  <c r="K86" i="3"/>
  <c r="I86" i="3"/>
  <c r="H86" i="3"/>
  <c r="G86" i="3"/>
  <c r="F86" i="3"/>
  <c r="E86" i="3"/>
  <c r="Q85" i="3"/>
  <c r="P85" i="3"/>
  <c r="O85" i="3"/>
  <c r="N85" i="3"/>
  <c r="M85" i="3"/>
  <c r="K85" i="3"/>
  <c r="J85" i="3"/>
  <c r="I85" i="3"/>
  <c r="H85" i="3"/>
  <c r="G85" i="3"/>
  <c r="F85" i="3"/>
  <c r="E85" i="3"/>
  <c r="Q84" i="3"/>
  <c r="P84" i="3"/>
  <c r="O84" i="3"/>
  <c r="N84" i="3"/>
  <c r="M84" i="3"/>
  <c r="K84" i="3"/>
  <c r="J84" i="3"/>
  <c r="I84" i="3"/>
  <c r="H84" i="3"/>
  <c r="G84" i="3"/>
  <c r="F84" i="3"/>
  <c r="E84" i="3"/>
  <c r="U82" i="3"/>
  <c r="S82" i="3"/>
  <c r="R82" i="3"/>
  <c r="N82" i="3"/>
  <c r="M82" i="3"/>
  <c r="L82" i="3"/>
  <c r="G82" i="3"/>
  <c r="F82" i="3"/>
  <c r="E82" i="3"/>
  <c r="U81" i="3"/>
  <c r="T81" i="3"/>
  <c r="S81" i="3"/>
  <c r="N81" i="3"/>
  <c r="M81" i="3"/>
  <c r="L81" i="3"/>
  <c r="G81" i="3"/>
  <c r="F81" i="3"/>
  <c r="E81" i="3"/>
  <c r="U79" i="3"/>
  <c r="S79" i="3"/>
  <c r="N79" i="3"/>
  <c r="M79" i="3"/>
  <c r="L79" i="3"/>
  <c r="G79" i="3"/>
  <c r="F79" i="3"/>
  <c r="E79" i="3"/>
  <c r="U78" i="3"/>
  <c r="S78" i="3"/>
  <c r="N78" i="3"/>
  <c r="M78" i="3"/>
  <c r="K78" i="3"/>
  <c r="I78" i="3"/>
  <c r="H78" i="3"/>
  <c r="G78" i="3"/>
  <c r="F78" i="3"/>
  <c r="E78" i="3"/>
  <c r="U77" i="3"/>
  <c r="S77" i="3"/>
  <c r="N77" i="3"/>
  <c r="M77" i="3"/>
  <c r="K77" i="3"/>
  <c r="I77" i="3"/>
  <c r="H77" i="3"/>
  <c r="G77" i="3"/>
  <c r="F77" i="3"/>
  <c r="E77" i="3"/>
  <c r="Q76" i="3"/>
  <c r="P76" i="3"/>
  <c r="O76" i="3"/>
  <c r="N76" i="3"/>
  <c r="M76" i="3"/>
  <c r="K76" i="3"/>
  <c r="J76" i="3"/>
  <c r="I76" i="3"/>
  <c r="H76" i="3"/>
  <c r="G76" i="3"/>
  <c r="F76" i="3"/>
  <c r="E76" i="3"/>
  <c r="Q75" i="3"/>
  <c r="P75" i="3"/>
  <c r="O75" i="3"/>
  <c r="N75" i="3"/>
  <c r="M75" i="3"/>
  <c r="K75" i="3"/>
  <c r="J75" i="3"/>
  <c r="I75" i="3"/>
  <c r="H75" i="3"/>
  <c r="G75" i="3"/>
  <c r="F75" i="3"/>
  <c r="E75" i="3"/>
  <c r="U73" i="3"/>
  <c r="S73" i="3"/>
  <c r="R73" i="3"/>
  <c r="N73" i="3"/>
  <c r="M73" i="3"/>
  <c r="L73" i="3"/>
  <c r="G73" i="3"/>
  <c r="F73" i="3"/>
  <c r="E73" i="3"/>
  <c r="U72" i="3"/>
  <c r="T72" i="3"/>
  <c r="S72" i="3"/>
  <c r="N72" i="3"/>
  <c r="M72" i="3"/>
  <c r="L72" i="3"/>
  <c r="G72" i="3"/>
  <c r="F72" i="3"/>
  <c r="E72" i="3"/>
  <c r="U70" i="3"/>
  <c r="S70" i="3"/>
  <c r="N70" i="3"/>
  <c r="M70" i="3"/>
  <c r="L70" i="3"/>
  <c r="G70" i="3"/>
  <c r="F70" i="3"/>
  <c r="E70" i="3"/>
  <c r="U69" i="3"/>
  <c r="S69" i="3"/>
  <c r="N69" i="3"/>
  <c r="M69" i="3"/>
  <c r="K69" i="3"/>
  <c r="I69" i="3"/>
  <c r="H69" i="3"/>
  <c r="G69" i="3"/>
  <c r="F69" i="3"/>
  <c r="E69" i="3"/>
  <c r="U68" i="3"/>
  <c r="S68" i="3"/>
  <c r="N68" i="3"/>
  <c r="M68" i="3"/>
  <c r="K68" i="3"/>
  <c r="I68" i="3"/>
  <c r="H68" i="3"/>
  <c r="G68" i="3"/>
  <c r="F68" i="3"/>
  <c r="E68" i="3"/>
  <c r="Q67" i="3"/>
  <c r="P67" i="3"/>
  <c r="O67" i="3"/>
  <c r="N67" i="3"/>
  <c r="M67" i="3"/>
  <c r="K67" i="3"/>
  <c r="J67" i="3"/>
  <c r="I67" i="3"/>
  <c r="H67" i="3"/>
  <c r="G67" i="3"/>
  <c r="F67" i="3"/>
  <c r="E67" i="3"/>
  <c r="Q66" i="3"/>
  <c r="P66" i="3"/>
  <c r="O66" i="3"/>
  <c r="N66" i="3"/>
  <c r="M66" i="3"/>
  <c r="K66" i="3"/>
  <c r="J66" i="3"/>
  <c r="I66" i="3"/>
  <c r="H66" i="3"/>
  <c r="G66" i="3"/>
  <c r="F66" i="3"/>
  <c r="E66" i="3"/>
  <c r="U64" i="3"/>
  <c r="S64" i="3"/>
  <c r="R64" i="3"/>
  <c r="N64" i="3"/>
  <c r="M64" i="3"/>
  <c r="L64" i="3"/>
  <c r="G64" i="3"/>
  <c r="F64" i="3"/>
  <c r="E64" i="3"/>
  <c r="U63" i="3"/>
  <c r="T63" i="3"/>
  <c r="S63" i="3"/>
  <c r="N63" i="3"/>
  <c r="M63" i="3"/>
  <c r="L63" i="3"/>
  <c r="G63" i="3"/>
  <c r="F63" i="3"/>
  <c r="E63" i="3"/>
  <c r="U61" i="3"/>
  <c r="S61" i="3"/>
  <c r="N61" i="3"/>
  <c r="M61" i="3"/>
  <c r="L61" i="3"/>
  <c r="G61" i="3"/>
  <c r="F61" i="3"/>
  <c r="E61" i="3"/>
  <c r="U60" i="3"/>
  <c r="S60" i="3"/>
  <c r="N60" i="3"/>
  <c r="M60" i="3"/>
  <c r="K60" i="3"/>
  <c r="I60" i="3"/>
  <c r="H60" i="3"/>
  <c r="G60" i="3"/>
  <c r="F60" i="3"/>
  <c r="E60" i="3"/>
  <c r="U59" i="3"/>
  <c r="S59" i="3"/>
  <c r="N59" i="3"/>
  <c r="M59" i="3"/>
  <c r="K59" i="3"/>
  <c r="I59" i="3"/>
  <c r="H59" i="3"/>
  <c r="G59" i="3"/>
  <c r="F59" i="3"/>
  <c r="E59" i="3"/>
  <c r="Q58" i="3"/>
  <c r="P58" i="3"/>
  <c r="O58" i="3"/>
  <c r="N58" i="3"/>
  <c r="M58" i="3"/>
  <c r="K58" i="3"/>
  <c r="J58" i="3"/>
  <c r="I58" i="3"/>
  <c r="H58" i="3"/>
  <c r="G58" i="3"/>
  <c r="F58" i="3"/>
  <c r="E58" i="3"/>
  <c r="Q57" i="3"/>
  <c r="P57" i="3"/>
  <c r="O57" i="3"/>
  <c r="N57" i="3"/>
  <c r="M57" i="3"/>
  <c r="K57" i="3"/>
  <c r="J57" i="3"/>
  <c r="I57" i="3"/>
  <c r="H57" i="3"/>
  <c r="G57" i="3"/>
  <c r="F57" i="3"/>
  <c r="E57" i="3"/>
  <c r="U55" i="3"/>
  <c r="S55" i="3"/>
  <c r="R55" i="3"/>
  <c r="N55" i="3"/>
  <c r="M55" i="3"/>
  <c r="L55" i="3"/>
  <c r="G55" i="3"/>
  <c r="F55" i="3"/>
  <c r="E55" i="3"/>
  <c r="U54" i="3"/>
  <c r="T54" i="3"/>
  <c r="S54" i="3"/>
  <c r="N54" i="3"/>
  <c r="M54" i="3"/>
  <c r="L54" i="3"/>
  <c r="G54" i="3"/>
  <c r="F54" i="3"/>
  <c r="E54" i="3"/>
  <c r="U52" i="3"/>
  <c r="S52" i="3"/>
  <c r="N52" i="3"/>
  <c r="M52" i="3"/>
  <c r="L52" i="3"/>
  <c r="G52" i="3"/>
  <c r="F52" i="3"/>
  <c r="E52" i="3"/>
  <c r="U51" i="3"/>
  <c r="S51" i="3"/>
  <c r="S53" i="3" s="1"/>
  <c r="N51" i="3"/>
  <c r="M51" i="3"/>
  <c r="K51" i="3"/>
  <c r="I51" i="3"/>
  <c r="H51" i="3"/>
  <c r="G51" i="3"/>
  <c r="F51" i="3"/>
  <c r="E51" i="3"/>
  <c r="U50" i="3"/>
  <c r="U53" i="3" s="1"/>
  <c r="S50" i="3"/>
  <c r="N50" i="3"/>
  <c r="M50" i="3"/>
  <c r="K50" i="3"/>
  <c r="I50" i="3"/>
  <c r="H50" i="3"/>
  <c r="G50" i="3"/>
  <c r="F50" i="3"/>
  <c r="E50" i="3"/>
  <c r="Q49" i="3"/>
  <c r="P49" i="3"/>
  <c r="O49" i="3"/>
  <c r="N49" i="3"/>
  <c r="M49" i="3"/>
  <c r="K49" i="3"/>
  <c r="J49" i="3"/>
  <c r="I49" i="3"/>
  <c r="H49" i="3"/>
  <c r="G49" i="3"/>
  <c r="F49" i="3"/>
  <c r="E49" i="3"/>
  <c r="Q48" i="3"/>
  <c r="P48" i="3"/>
  <c r="O48" i="3"/>
  <c r="N48" i="3"/>
  <c r="M48" i="3"/>
  <c r="K48" i="3"/>
  <c r="J48" i="3"/>
  <c r="I48" i="3"/>
  <c r="H48" i="3"/>
  <c r="G48" i="3"/>
  <c r="F48" i="3"/>
  <c r="E48" i="3"/>
  <c r="L53" i="3"/>
  <c r="G53" i="3"/>
  <c r="U46" i="3"/>
  <c r="S46" i="3"/>
  <c r="R46" i="3"/>
  <c r="N46" i="3"/>
  <c r="M46" i="3"/>
  <c r="L46" i="3"/>
  <c r="G46" i="3"/>
  <c r="F46" i="3"/>
  <c r="E46" i="3"/>
  <c r="U45" i="3"/>
  <c r="T45" i="3"/>
  <c r="S45" i="3"/>
  <c r="N45" i="3"/>
  <c r="M45" i="3"/>
  <c r="L45" i="3"/>
  <c r="G45" i="3"/>
  <c r="F45" i="3"/>
  <c r="E45" i="3"/>
  <c r="U43" i="3"/>
  <c r="S43" i="3"/>
  <c r="N43" i="3"/>
  <c r="M43" i="3"/>
  <c r="L43" i="3"/>
  <c r="G43" i="3"/>
  <c r="F43" i="3"/>
  <c r="E43" i="3"/>
  <c r="U42" i="3"/>
  <c r="S42" i="3"/>
  <c r="N42" i="3"/>
  <c r="M42" i="3"/>
  <c r="K42" i="3"/>
  <c r="I42" i="3"/>
  <c r="H42" i="3"/>
  <c r="G42" i="3"/>
  <c r="F42" i="3"/>
  <c r="E42" i="3"/>
  <c r="U41" i="3"/>
  <c r="S41" i="3"/>
  <c r="N41" i="3"/>
  <c r="M41" i="3"/>
  <c r="K41" i="3"/>
  <c r="I41" i="3"/>
  <c r="H41" i="3"/>
  <c r="G41" i="3"/>
  <c r="F41" i="3"/>
  <c r="E41" i="3"/>
  <c r="Q40" i="3"/>
  <c r="P40" i="3"/>
  <c r="O40" i="3"/>
  <c r="N40" i="3"/>
  <c r="M40" i="3"/>
  <c r="K40" i="3"/>
  <c r="J40" i="3"/>
  <c r="I40" i="3"/>
  <c r="H40" i="3"/>
  <c r="G40" i="3"/>
  <c r="F40" i="3"/>
  <c r="E40" i="3"/>
  <c r="Q39" i="3"/>
  <c r="P39" i="3"/>
  <c r="O39" i="3"/>
  <c r="N39" i="3"/>
  <c r="M39" i="3"/>
  <c r="K39" i="3"/>
  <c r="J39" i="3"/>
  <c r="I39" i="3"/>
  <c r="H39" i="3"/>
  <c r="G39" i="3"/>
  <c r="F39" i="3"/>
  <c r="E39" i="3"/>
  <c r="U37" i="3"/>
  <c r="S37" i="3"/>
  <c r="R37" i="3"/>
  <c r="N37" i="3"/>
  <c r="M37" i="3"/>
  <c r="L37" i="3"/>
  <c r="G37" i="3"/>
  <c r="F37" i="3"/>
  <c r="E37" i="3"/>
  <c r="U36" i="3"/>
  <c r="T36" i="3"/>
  <c r="S36" i="3"/>
  <c r="N36" i="3"/>
  <c r="M36" i="3"/>
  <c r="L36" i="3"/>
  <c r="G36" i="3"/>
  <c r="F36" i="3"/>
  <c r="E36" i="3"/>
  <c r="U34" i="3"/>
  <c r="S34" i="3"/>
  <c r="N34" i="3"/>
  <c r="M34" i="3"/>
  <c r="L34" i="3"/>
  <c r="G34" i="3"/>
  <c r="F34" i="3"/>
  <c r="E34" i="3"/>
  <c r="U33" i="3"/>
  <c r="S33" i="3"/>
  <c r="N33" i="3"/>
  <c r="M33" i="3"/>
  <c r="K33" i="3"/>
  <c r="I33" i="3"/>
  <c r="H33" i="3"/>
  <c r="G33" i="3"/>
  <c r="F33" i="3"/>
  <c r="E33" i="3"/>
  <c r="U32" i="3"/>
  <c r="S32" i="3"/>
  <c r="N32" i="3"/>
  <c r="M32" i="3"/>
  <c r="K32" i="3"/>
  <c r="I32" i="3"/>
  <c r="H32" i="3"/>
  <c r="G32" i="3"/>
  <c r="F32" i="3"/>
  <c r="E32" i="3"/>
  <c r="Q31" i="3"/>
  <c r="P31" i="3"/>
  <c r="O31" i="3"/>
  <c r="N31" i="3"/>
  <c r="M31" i="3"/>
  <c r="K31" i="3"/>
  <c r="J31" i="3"/>
  <c r="I31" i="3"/>
  <c r="H31" i="3"/>
  <c r="G31" i="3"/>
  <c r="F31" i="3"/>
  <c r="E31" i="3"/>
  <c r="Q30" i="3"/>
  <c r="P30" i="3"/>
  <c r="O30" i="3"/>
  <c r="N30" i="3"/>
  <c r="M30" i="3"/>
  <c r="K30" i="3"/>
  <c r="J30" i="3"/>
  <c r="I30" i="3"/>
  <c r="H30" i="3"/>
  <c r="G30" i="3"/>
  <c r="F30" i="3"/>
  <c r="E30" i="3"/>
  <c r="U28" i="3"/>
  <c r="S28" i="3"/>
  <c r="R28" i="3"/>
  <c r="N28" i="3"/>
  <c r="M28" i="3"/>
  <c r="L28" i="3"/>
  <c r="G28" i="3"/>
  <c r="F28" i="3"/>
  <c r="E28" i="3"/>
  <c r="U27" i="3"/>
  <c r="T27" i="3"/>
  <c r="S27" i="3"/>
  <c r="N27" i="3"/>
  <c r="M27" i="3"/>
  <c r="L27" i="3"/>
  <c r="G27" i="3"/>
  <c r="F27" i="3"/>
  <c r="E27" i="3"/>
  <c r="U25" i="3"/>
  <c r="S25" i="3"/>
  <c r="N25" i="3"/>
  <c r="M25" i="3"/>
  <c r="L25" i="3"/>
  <c r="G25" i="3"/>
  <c r="F25" i="3"/>
  <c r="E25" i="3"/>
  <c r="U24" i="3"/>
  <c r="S24" i="3"/>
  <c r="N24" i="3"/>
  <c r="M24" i="3"/>
  <c r="K24" i="3"/>
  <c r="I24" i="3"/>
  <c r="H24" i="3"/>
  <c r="G24" i="3"/>
  <c r="F24" i="3"/>
  <c r="E24" i="3"/>
  <c r="U23" i="3"/>
  <c r="S23" i="3"/>
  <c r="N23" i="3"/>
  <c r="M23" i="3"/>
  <c r="K23" i="3"/>
  <c r="I23" i="3"/>
  <c r="H23" i="3"/>
  <c r="G23" i="3"/>
  <c r="F23" i="3"/>
  <c r="E23" i="3"/>
  <c r="Q22" i="3"/>
  <c r="P22" i="3"/>
  <c r="O22" i="3"/>
  <c r="N22" i="3"/>
  <c r="M22" i="3"/>
  <c r="K22" i="3"/>
  <c r="J22" i="3"/>
  <c r="I22" i="3"/>
  <c r="H22" i="3"/>
  <c r="G22" i="3"/>
  <c r="F22" i="3"/>
  <c r="E22" i="3"/>
  <c r="Q21" i="3"/>
  <c r="P21" i="3"/>
  <c r="O21" i="3"/>
  <c r="N21" i="3"/>
  <c r="M21" i="3"/>
  <c r="K21" i="3"/>
  <c r="J21" i="3"/>
  <c r="I21" i="3"/>
  <c r="H21" i="3"/>
  <c r="G21" i="3"/>
  <c r="F21" i="3"/>
  <c r="E21" i="3"/>
  <c r="T974" i="3"/>
  <c r="L971" i="3"/>
  <c r="Q974" i="3"/>
  <c r="P974" i="3"/>
  <c r="O974" i="3"/>
  <c r="J974" i="3"/>
  <c r="T965" i="3"/>
  <c r="L962" i="3"/>
  <c r="U962" i="3"/>
  <c r="U965" i="3" s="1"/>
  <c r="Q965" i="3"/>
  <c r="P965" i="3"/>
  <c r="O965" i="3"/>
  <c r="J965" i="3"/>
  <c r="T956" i="3"/>
  <c r="L953" i="3"/>
  <c r="U953" i="3"/>
  <c r="U956" i="3" s="1"/>
  <c r="Q956" i="3"/>
  <c r="P956" i="3"/>
  <c r="O956" i="3"/>
  <c r="J956" i="3"/>
  <c r="T947" i="3"/>
  <c r="L944" i="3"/>
  <c r="Q947" i="3"/>
  <c r="P947" i="3"/>
  <c r="O947" i="3"/>
  <c r="J947" i="3"/>
  <c r="H947" i="3"/>
  <c r="T938" i="3"/>
  <c r="L935" i="3"/>
  <c r="Q938" i="3"/>
  <c r="P938" i="3"/>
  <c r="O938" i="3"/>
  <c r="J938" i="3"/>
  <c r="T929" i="3"/>
  <c r="L926" i="3"/>
  <c r="S926" i="3"/>
  <c r="Q929" i="3"/>
  <c r="P929" i="3"/>
  <c r="O929" i="3"/>
  <c r="J929" i="3"/>
  <c r="T920" i="3"/>
  <c r="L917" i="3"/>
  <c r="U917" i="3"/>
  <c r="U920" i="3" s="1"/>
  <c r="Q920" i="3"/>
  <c r="P920" i="3"/>
  <c r="O920" i="3"/>
  <c r="J920" i="3"/>
  <c r="H920" i="3"/>
  <c r="T911" i="3"/>
  <c r="L908" i="3"/>
  <c r="U908" i="3"/>
  <c r="U911" i="3" s="1"/>
  <c r="Q911" i="3"/>
  <c r="P911" i="3"/>
  <c r="O911" i="3"/>
  <c r="J911" i="3"/>
  <c r="T902" i="3"/>
  <c r="L899" i="3"/>
  <c r="S899" i="3"/>
  <c r="Q902" i="3"/>
  <c r="P902" i="3"/>
  <c r="O902" i="3"/>
  <c r="J902" i="3"/>
  <c r="T893" i="3"/>
  <c r="L890" i="3"/>
  <c r="L893" i="3" s="1"/>
  <c r="Q893" i="3"/>
  <c r="P893" i="3"/>
  <c r="O893" i="3"/>
  <c r="J893" i="3"/>
  <c r="H893" i="3"/>
  <c r="T884" i="3"/>
  <c r="L881" i="3"/>
  <c r="Q884" i="3"/>
  <c r="P884" i="3"/>
  <c r="O884" i="3"/>
  <c r="J884" i="3"/>
  <c r="T875" i="3"/>
  <c r="L872" i="3"/>
  <c r="Q875" i="3"/>
  <c r="P875" i="3"/>
  <c r="O875" i="3"/>
  <c r="J875" i="3"/>
  <c r="T866" i="3"/>
  <c r="L863" i="3"/>
  <c r="Q866" i="3"/>
  <c r="P866" i="3"/>
  <c r="O866" i="3"/>
  <c r="J866" i="3"/>
  <c r="T857" i="3"/>
  <c r="Q857" i="3"/>
  <c r="P857" i="3"/>
  <c r="O857" i="3"/>
  <c r="J857" i="3"/>
  <c r="T848" i="3"/>
  <c r="L845" i="3"/>
  <c r="Q848" i="3"/>
  <c r="P848" i="3"/>
  <c r="O848" i="3"/>
  <c r="J848" i="3"/>
  <c r="T839" i="3"/>
  <c r="L836" i="3"/>
  <c r="L839" i="3" s="1"/>
  <c r="Q839" i="3"/>
  <c r="P839" i="3"/>
  <c r="O839" i="3"/>
  <c r="J839" i="3"/>
  <c r="T830" i="3"/>
  <c r="L827" i="3"/>
  <c r="Q830" i="3"/>
  <c r="P830" i="3"/>
  <c r="O830" i="3"/>
  <c r="J830" i="3"/>
  <c r="T821" i="3"/>
  <c r="L818" i="3"/>
  <c r="U818" i="3"/>
  <c r="Q821" i="3"/>
  <c r="P821" i="3"/>
  <c r="O821" i="3"/>
  <c r="J821" i="3"/>
  <c r="T812" i="3"/>
  <c r="L809" i="3"/>
  <c r="I812" i="3"/>
  <c r="E809" i="3"/>
  <c r="Q812" i="3"/>
  <c r="P812" i="3"/>
  <c r="O812" i="3"/>
  <c r="J812" i="3"/>
  <c r="T803" i="3"/>
  <c r="L800" i="3"/>
  <c r="Q803" i="3"/>
  <c r="P803" i="3"/>
  <c r="O803" i="3"/>
  <c r="J803" i="3"/>
  <c r="T794" i="3"/>
  <c r="L791" i="3"/>
  <c r="Q794" i="3"/>
  <c r="P794" i="3"/>
  <c r="O794" i="3"/>
  <c r="J794" i="3"/>
  <c r="T785" i="3"/>
  <c r="L782" i="3"/>
  <c r="Q785" i="3"/>
  <c r="P785" i="3"/>
  <c r="O785" i="3"/>
  <c r="J785" i="3"/>
  <c r="T776" i="3"/>
  <c r="L773" i="3"/>
  <c r="Q776" i="3"/>
  <c r="P776" i="3"/>
  <c r="O776" i="3"/>
  <c r="J776" i="3"/>
  <c r="I776" i="3"/>
  <c r="T767" i="3"/>
  <c r="L764" i="3"/>
  <c r="U764" i="3"/>
  <c r="U767" i="3" s="1"/>
  <c r="Q767" i="3"/>
  <c r="P767" i="3"/>
  <c r="O767" i="3"/>
  <c r="J767" i="3"/>
  <c r="T758" i="3"/>
  <c r="L755" i="3"/>
  <c r="G755" i="3"/>
  <c r="G758" i="3" s="1"/>
  <c r="S755" i="3"/>
  <c r="K758" i="3"/>
  <c r="Q758" i="3"/>
  <c r="P758" i="3"/>
  <c r="O758" i="3"/>
  <c r="J758" i="3"/>
  <c r="T749" i="3"/>
  <c r="L746" i="3"/>
  <c r="H749" i="3"/>
  <c r="Q749" i="3"/>
  <c r="P749" i="3"/>
  <c r="O749" i="3"/>
  <c r="J749" i="3"/>
  <c r="U739" i="3"/>
  <c r="S739" i="3"/>
  <c r="R739" i="3"/>
  <c r="N739" i="3"/>
  <c r="M739" i="3"/>
  <c r="L739" i="3"/>
  <c r="G739" i="3"/>
  <c r="F739" i="3"/>
  <c r="E739" i="3"/>
  <c r="T740" i="3"/>
  <c r="L737" i="3"/>
  <c r="S737" i="3"/>
  <c r="Q740" i="3"/>
  <c r="P740" i="3"/>
  <c r="O740" i="3"/>
  <c r="J740" i="3"/>
  <c r="T731" i="3"/>
  <c r="L728" i="3"/>
  <c r="Q731" i="3"/>
  <c r="P731" i="3"/>
  <c r="O731" i="3"/>
  <c r="J731" i="3"/>
  <c r="U721" i="3"/>
  <c r="S721" i="3"/>
  <c r="R721" i="3"/>
  <c r="N721" i="3"/>
  <c r="M721" i="3"/>
  <c r="L721" i="3"/>
  <c r="G721" i="3"/>
  <c r="F721" i="3"/>
  <c r="E721" i="3"/>
  <c r="T722" i="3"/>
  <c r="L719" i="3"/>
  <c r="Q722" i="3"/>
  <c r="P722" i="3"/>
  <c r="O722" i="3"/>
  <c r="J722" i="3"/>
  <c r="I722" i="3"/>
  <c r="E719" i="3"/>
  <c r="T713" i="3"/>
  <c r="L710" i="3"/>
  <c r="S710" i="3"/>
  <c r="Q713" i="3"/>
  <c r="P713" i="3"/>
  <c r="O713" i="3"/>
  <c r="J713" i="3"/>
  <c r="T704" i="3"/>
  <c r="L701" i="3"/>
  <c r="Q704" i="3"/>
  <c r="P704" i="3"/>
  <c r="O704" i="3"/>
  <c r="J704" i="3"/>
  <c r="T695" i="3"/>
  <c r="L692" i="3"/>
  <c r="Q695" i="3"/>
  <c r="P695" i="3"/>
  <c r="O695" i="3"/>
  <c r="J695" i="3"/>
  <c r="T686" i="3"/>
  <c r="L683" i="3"/>
  <c r="U683" i="3"/>
  <c r="Q686" i="3"/>
  <c r="P686" i="3"/>
  <c r="O686" i="3"/>
  <c r="J686" i="3"/>
  <c r="T677" i="3"/>
  <c r="L674" i="3"/>
  <c r="Q677" i="3"/>
  <c r="P677" i="3"/>
  <c r="O677" i="3"/>
  <c r="J677" i="3"/>
  <c r="T668" i="3"/>
  <c r="L665" i="3"/>
  <c r="Q668" i="3"/>
  <c r="P668" i="3"/>
  <c r="O668" i="3"/>
  <c r="J668" i="3"/>
  <c r="T659" i="3"/>
  <c r="L656" i="3"/>
  <c r="Q659" i="3"/>
  <c r="P659" i="3"/>
  <c r="O659" i="3"/>
  <c r="J659" i="3"/>
  <c r="T650" i="3"/>
  <c r="L647" i="3"/>
  <c r="U647" i="3"/>
  <c r="Q650" i="3"/>
  <c r="P650" i="3"/>
  <c r="O650" i="3"/>
  <c r="J650" i="3"/>
  <c r="T641" i="3"/>
  <c r="U638" i="3"/>
  <c r="U641" i="3" s="1"/>
  <c r="L638" i="3"/>
  <c r="Q641" i="3"/>
  <c r="P641" i="3"/>
  <c r="O641" i="3"/>
  <c r="J641" i="3"/>
  <c r="T632" i="3"/>
  <c r="L629" i="3"/>
  <c r="Q632" i="3"/>
  <c r="P632" i="3"/>
  <c r="O632" i="3"/>
  <c r="J632" i="3"/>
  <c r="T623" i="3"/>
  <c r="L620" i="3"/>
  <c r="Q623" i="3"/>
  <c r="P623" i="3"/>
  <c r="O623" i="3"/>
  <c r="J623" i="3"/>
  <c r="T614" i="3"/>
  <c r="L611" i="3"/>
  <c r="U611" i="3"/>
  <c r="Q614" i="3"/>
  <c r="P614" i="3"/>
  <c r="O614" i="3"/>
  <c r="K614" i="3"/>
  <c r="J614" i="3"/>
  <c r="G611" i="3"/>
  <c r="T605" i="3"/>
  <c r="L602" i="3"/>
  <c r="I605" i="3"/>
  <c r="S602" i="3"/>
  <c r="Q605" i="3"/>
  <c r="P605" i="3"/>
  <c r="O605" i="3"/>
  <c r="K605" i="3"/>
  <c r="J605" i="3"/>
  <c r="G602" i="3"/>
  <c r="T596" i="3"/>
  <c r="L593" i="3"/>
  <c r="Q596" i="3"/>
  <c r="P596" i="3"/>
  <c r="O596" i="3"/>
  <c r="J596" i="3"/>
  <c r="T587" i="3"/>
  <c r="L584" i="3"/>
  <c r="S584" i="3"/>
  <c r="Q587" i="3"/>
  <c r="P587" i="3"/>
  <c r="O587" i="3"/>
  <c r="J587" i="3"/>
  <c r="F584" i="3"/>
  <c r="T578" i="3"/>
  <c r="L575" i="3"/>
  <c r="Q578" i="3"/>
  <c r="P578" i="3"/>
  <c r="O578" i="3"/>
  <c r="J578" i="3"/>
  <c r="H578" i="3"/>
  <c r="G575" i="3"/>
  <c r="G578" i="3" s="1"/>
  <c r="T569" i="3"/>
  <c r="L566" i="3"/>
  <c r="L569" i="3" s="1"/>
  <c r="Q569" i="3"/>
  <c r="P569" i="3"/>
  <c r="O569" i="3"/>
  <c r="M566" i="3"/>
  <c r="J569" i="3"/>
  <c r="H569" i="3"/>
  <c r="T560" i="3"/>
  <c r="L557" i="3"/>
  <c r="Q560" i="3"/>
  <c r="P560" i="3"/>
  <c r="O560" i="3"/>
  <c r="M557" i="3"/>
  <c r="J560" i="3"/>
  <c r="H560" i="3"/>
  <c r="T551" i="3"/>
  <c r="L548" i="3"/>
  <c r="L551" i="3" s="1"/>
  <c r="S548" i="3"/>
  <c r="S551" i="3" s="1"/>
  <c r="Q551" i="3"/>
  <c r="P551" i="3"/>
  <c r="O551" i="3"/>
  <c r="N548" i="3"/>
  <c r="J551" i="3"/>
  <c r="I551" i="3"/>
  <c r="F548" i="3"/>
  <c r="F551" i="3" s="1"/>
  <c r="E548" i="3"/>
  <c r="T542" i="3"/>
  <c r="L539" i="3"/>
  <c r="Q542" i="3"/>
  <c r="P542" i="3"/>
  <c r="O542" i="3"/>
  <c r="J542" i="3"/>
  <c r="L530" i="3"/>
  <c r="T524" i="3"/>
  <c r="L521" i="3"/>
  <c r="Q524" i="3"/>
  <c r="P524" i="3"/>
  <c r="O524" i="3"/>
  <c r="N521" i="3"/>
  <c r="J524" i="3"/>
  <c r="I524" i="3"/>
  <c r="E521" i="3"/>
  <c r="E524" i="3" s="1"/>
  <c r="T515" i="3"/>
  <c r="L512" i="3"/>
  <c r="U512" i="3"/>
  <c r="U515" i="3" s="1"/>
  <c r="Q515" i="3"/>
  <c r="P515" i="3"/>
  <c r="O515" i="3"/>
  <c r="K515" i="3"/>
  <c r="J515" i="3"/>
  <c r="G512" i="3"/>
  <c r="G515" i="3" s="1"/>
  <c r="T506" i="3"/>
  <c r="L503" i="3"/>
  <c r="I506" i="3"/>
  <c r="U503" i="3"/>
  <c r="Q506" i="3"/>
  <c r="P506" i="3"/>
  <c r="O506" i="3"/>
  <c r="K506" i="3"/>
  <c r="J506" i="3"/>
  <c r="G503" i="3"/>
  <c r="G506" i="3" s="1"/>
  <c r="J497" i="3"/>
  <c r="T497" i="3"/>
  <c r="L494" i="3"/>
  <c r="L497" i="3" s="1"/>
  <c r="U494" i="3"/>
  <c r="Q497" i="3"/>
  <c r="P497" i="3"/>
  <c r="O497" i="3"/>
  <c r="T488" i="3"/>
  <c r="L485" i="3"/>
  <c r="Q488" i="3"/>
  <c r="P488" i="3"/>
  <c r="O488" i="3"/>
  <c r="J488" i="3"/>
  <c r="T479" i="3"/>
  <c r="L476" i="3"/>
  <c r="S476" i="3"/>
  <c r="S479" i="3" s="1"/>
  <c r="Q479" i="3"/>
  <c r="P479" i="3"/>
  <c r="O479" i="3"/>
  <c r="J479" i="3"/>
  <c r="T470" i="3"/>
  <c r="L467" i="3"/>
  <c r="Q470" i="3"/>
  <c r="P470" i="3"/>
  <c r="O470" i="3"/>
  <c r="J470" i="3"/>
  <c r="T461" i="3"/>
  <c r="L458" i="3"/>
  <c r="Q461" i="3"/>
  <c r="P461" i="3"/>
  <c r="O461" i="3"/>
  <c r="J461" i="3"/>
  <c r="T452" i="3"/>
  <c r="L449" i="3"/>
  <c r="Q452" i="3"/>
  <c r="P452" i="3"/>
  <c r="O452" i="3"/>
  <c r="M449" i="3"/>
  <c r="J452" i="3"/>
  <c r="H452" i="3"/>
  <c r="T443" i="3"/>
  <c r="L440" i="3"/>
  <c r="Q443" i="3"/>
  <c r="P443" i="3"/>
  <c r="O443" i="3"/>
  <c r="J443" i="3"/>
  <c r="U433" i="3"/>
  <c r="S433" i="3"/>
  <c r="R433" i="3"/>
  <c r="N433" i="3"/>
  <c r="M433" i="3"/>
  <c r="L433" i="3"/>
  <c r="G433" i="3"/>
  <c r="F433" i="3"/>
  <c r="E433" i="3"/>
  <c r="U432" i="3"/>
  <c r="T432" i="3"/>
  <c r="T434" i="3" s="1"/>
  <c r="S432" i="3"/>
  <c r="N432" i="3"/>
  <c r="M432" i="3"/>
  <c r="L432" i="3"/>
  <c r="G432" i="3"/>
  <c r="F432" i="3"/>
  <c r="E432" i="3"/>
  <c r="L431" i="3"/>
  <c r="U431" i="3"/>
  <c r="Q434" i="3"/>
  <c r="P434" i="3"/>
  <c r="O434" i="3"/>
  <c r="N431" i="3"/>
  <c r="J434" i="3"/>
  <c r="I434" i="3"/>
  <c r="E431" i="3"/>
  <c r="T425" i="3"/>
  <c r="L422" i="3"/>
  <c r="Q425" i="3"/>
  <c r="P425" i="3"/>
  <c r="O425" i="3"/>
  <c r="J425" i="3"/>
  <c r="T416" i="3"/>
  <c r="L413" i="3"/>
  <c r="Q416" i="3"/>
  <c r="P416" i="3"/>
  <c r="O416" i="3"/>
  <c r="J416" i="3"/>
  <c r="T407" i="3"/>
  <c r="L404" i="3"/>
  <c r="Q407" i="3"/>
  <c r="P407" i="3"/>
  <c r="O407" i="3"/>
  <c r="J407" i="3"/>
  <c r="H407" i="3"/>
  <c r="J398" i="3"/>
  <c r="T398" i="3"/>
  <c r="L395" i="3"/>
  <c r="L398" i="3" s="1"/>
  <c r="S395" i="3"/>
  <c r="Q398" i="3"/>
  <c r="P398" i="3"/>
  <c r="O398" i="3"/>
  <c r="M395" i="3"/>
  <c r="H398" i="3"/>
  <c r="T389" i="3"/>
  <c r="L386" i="3"/>
  <c r="Q389" i="3"/>
  <c r="P389" i="3"/>
  <c r="O389" i="3"/>
  <c r="J389" i="3"/>
  <c r="T380" i="3"/>
  <c r="L377" i="3"/>
  <c r="Q380" i="3"/>
  <c r="P380" i="3"/>
  <c r="O380" i="3"/>
  <c r="J380" i="3"/>
  <c r="T371" i="3"/>
  <c r="L368" i="3"/>
  <c r="Q371" i="3"/>
  <c r="P371" i="3"/>
  <c r="O371" i="3"/>
  <c r="J371" i="3"/>
  <c r="T362" i="3"/>
  <c r="L359" i="3"/>
  <c r="Q362" i="3"/>
  <c r="P362" i="3"/>
  <c r="O362" i="3"/>
  <c r="J362" i="3"/>
  <c r="T353" i="3"/>
  <c r="L350" i="3"/>
  <c r="Q353" i="3"/>
  <c r="P353" i="3"/>
  <c r="O353" i="3"/>
  <c r="J353" i="3"/>
  <c r="T344" i="3"/>
  <c r="L341" i="3"/>
  <c r="Q344" i="3"/>
  <c r="P344" i="3"/>
  <c r="O344" i="3"/>
  <c r="N341" i="3"/>
  <c r="N344" i="3" s="1"/>
  <c r="J344" i="3"/>
  <c r="T335" i="3"/>
  <c r="L332" i="3"/>
  <c r="H335" i="3"/>
  <c r="Q335" i="3"/>
  <c r="P335" i="3"/>
  <c r="O335" i="3"/>
  <c r="J335" i="3"/>
  <c r="T326" i="3"/>
  <c r="L323" i="3"/>
  <c r="Q326" i="3"/>
  <c r="P326" i="3"/>
  <c r="O326" i="3"/>
  <c r="J326" i="3"/>
  <c r="T317" i="3"/>
  <c r="L314" i="3"/>
  <c r="Q317" i="3"/>
  <c r="P317" i="3"/>
  <c r="O317" i="3"/>
  <c r="J317" i="3"/>
  <c r="U307" i="3"/>
  <c r="S307" i="3"/>
  <c r="R307" i="3"/>
  <c r="N307" i="3"/>
  <c r="M307" i="3"/>
  <c r="L307" i="3"/>
  <c r="G307" i="3"/>
  <c r="F307" i="3"/>
  <c r="E307" i="3"/>
  <c r="T308" i="3"/>
  <c r="L305" i="3"/>
  <c r="S305" i="3"/>
  <c r="S308" i="3" s="1"/>
  <c r="Q308" i="3"/>
  <c r="P308" i="3"/>
  <c r="O308" i="3"/>
  <c r="J308" i="3"/>
  <c r="T299" i="3"/>
  <c r="L296" i="3"/>
  <c r="L299" i="3" s="1"/>
  <c r="U296" i="3"/>
  <c r="Q299" i="3"/>
  <c r="P299" i="3"/>
  <c r="O299" i="3"/>
  <c r="J299" i="3"/>
  <c r="T290" i="3"/>
  <c r="L287" i="3"/>
  <c r="Q290" i="3"/>
  <c r="P290" i="3"/>
  <c r="O290" i="3"/>
  <c r="J290" i="3"/>
  <c r="DB21" i="6" l="1"/>
  <c r="ER21" i="6" s="1"/>
  <c r="R62" i="11"/>
  <c r="R143" i="11"/>
  <c r="R233" i="11"/>
  <c r="R341" i="11"/>
  <c r="DY8" i="7"/>
  <c r="EB8" i="7" s="1"/>
  <c r="EY8" i="7" s="1"/>
  <c r="R41" i="11"/>
  <c r="R44" i="11" s="1"/>
  <c r="M53" i="3"/>
  <c r="DY25" i="7"/>
  <c r="R194" i="11"/>
  <c r="R197" i="11" s="1"/>
  <c r="DV21" i="6"/>
  <c r="EY21" i="6" s="1"/>
  <c r="EF11" i="7"/>
  <c r="EZ11" i="7" s="1"/>
  <c r="CT21" i="6"/>
  <c r="EP21" i="6" s="1"/>
  <c r="EF34" i="7"/>
  <c r="EZ34" i="7" s="1"/>
  <c r="DY13" i="7"/>
  <c r="R86" i="11"/>
  <c r="R89" i="11" s="1"/>
  <c r="DY35" i="7"/>
  <c r="R284" i="11"/>
  <c r="R287" i="11" s="1"/>
  <c r="EM15" i="5"/>
  <c r="FD15" i="5" s="1"/>
  <c r="DY39" i="7"/>
  <c r="R320" i="11"/>
  <c r="R323" i="11" s="1"/>
  <c r="EO29" i="6"/>
  <c r="FF29" i="6" s="1"/>
  <c r="DB30" i="6"/>
  <c r="ER30" i="6" s="1"/>
  <c r="R17" i="11"/>
  <c r="R161" i="11"/>
  <c r="DN25" i="7"/>
  <c r="ET25" i="7" s="1"/>
  <c r="CP28" i="7"/>
  <c r="EL28" i="7" s="1"/>
  <c r="DY31" i="7"/>
  <c r="R248" i="11"/>
  <c r="R251" i="11" s="1"/>
  <c r="U434" i="3"/>
  <c r="CR13" i="5"/>
  <c r="EN13" i="5" s="1"/>
  <c r="R26" i="11"/>
  <c r="R170" i="11"/>
  <c r="R260" i="11"/>
  <c r="R350" i="11"/>
  <c r="CT29" i="7"/>
  <c r="EM29" i="7" s="1"/>
  <c r="DY28" i="7"/>
  <c r="R221" i="11"/>
  <c r="R224" i="11" s="1"/>
  <c r="EJ7" i="6"/>
  <c r="FD7" i="6" s="1"/>
  <c r="EJ26" i="6"/>
  <c r="FD26" i="6" s="1"/>
  <c r="R35" i="11"/>
  <c r="R80" i="11"/>
  <c r="R179" i="11"/>
  <c r="R269" i="11"/>
  <c r="R359" i="11"/>
  <c r="L686" i="3"/>
  <c r="DZ5" i="7"/>
  <c r="R18" i="11"/>
  <c r="DZ9" i="7"/>
  <c r="R54" i="11"/>
  <c r="R56" i="11" s="1"/>
  <c r="V56" i="11" s="1"/>
  <c r="DZ14" i="7"/>
  <c r="R99" i="11"/>
  <c r="R101" i="11" s="1"/>
  <c r="V101" i="11" s="1"/>
  <c r="DZ25" i="7"/>
  <c r="R198" i="11"/>
  <c r="DZ28" i="7"/>
  <c r="EB28" i="7" s="1"/>
  <c r="EY28" i="7" s="1"/>
  <c r="R225" i="11"/>
  <c r="R227" i="11" s="1"/>
  <c r="V227" i="11" s="1"/>
  <c r="DZ22" i="7"/>
  <c r="R171" i="11"/>
  <c r="R173" i="11" s="1"/>
  <c r="V173" i="11" s="1"/>
  <c r="DZ26" i="7"/>
  <c r="R207" i="11"/>
  <c r="R209" i="11" s="1"/>
  <c r="V209" i="11" s="1"/>
  <c r="DZ40" i="7"/>
  <c r="EB40" i="7" s="1"/>
  <c r="EY40" i="7" s="1"/>
  <c r="R333" i="11"/>
  <c r="R335" i="11" s="1"/>
  <c r="V335" i="11" s="1"/>
  <c r="DZ7" i="7"/>
  <c r="R36" i="11"/>
  <c r="DZ10" i="7"/>
  <c r="R63" i="11"/>
  <c r="R65" i="11" s="1"/>
  <c r="V65" i="11" s="1"/>
  <c r="DZ12" i="7"/>
  <c r="R81" i="11"/>
  <c r="R83" i="11" s="1"/>
  <c r="V83" i="11" s="1"/>
  <c r="DZ15" i="7"/>
  <c r="R108" i="11"/>
  <c r="R110" i="11" s="1"/>
  <c r="V110" i="11" s="1"/>
  <c r="DZ19" i="7"/>
  <c r="R144" i="11"/>
  <c r="R146" i="11" s="1"/>
  <c r="V146" i="11" s="1"/>
  <c r="DZ23" i="7"/>
  <c r="R180" i="11"/>
  <c r="DZ27" i="7"/>
  <c r="R216" i="11"/>
  <c r="R218" i="11" s="1"/>
  <c r="V218" i="11" s="1"/>
  <c r="DZ29" i="7"/>
  <c r="R234" i="11"/>
  <c r="R236" i="11" s="1"/>
  <c r="V236" i="11" s="1"/>
  <c r="DZ33" i="7"/>
  <c r="R270" i="11"/>
  <c r="DZ37" i="7"/>
  <c r="R306" i="11"/>
  <c r="R308" i="11" s="1"/>
  <c r="V308" i="11" s="1"/>
  <c r="DZ41" i="7"/>
  <c r="R342" i="11"/>
  <c r="R344" i="11" s="1"/>
  <c r="V344" i="11" s="1"/>
  <c r="DZ43" i="7"/>
  <c r="R360" i="11"/>
  <c r="DZ17" i="7"/>
  <c r="R126" i="11"/>
  <c r="R128" i="11" s="1"/>
  <c r="V128" i="11" s="1"/>
  <c r="DZ21" i="7"/>
  <c r="EB21" i="7" s="1"/>
  <c r="EY21" i="7" s="1"/>
  <c r="R162" i="11"/>
  <c r="R164" i="11" s="1"/>
  <c r="V164" i="11" s="1"/>
  <c r="DZ31" i="7"/>
  <c r="EB31" i="7" s="1"/>
  <c r="EY31" i="7" s="1"/>
  <c r="R252" i="11"/>
  <c r="R254" i="11" s="1"/>
  <c r="V254" i="11" s="1"/>
  <c r="DZ35" i="7"/>
  <c r="EB35" i="7" s="1"/>
  <c r="EY35" i="7" s="1"/>
  <c r="R288" i="11"/>
  <c r="R290" i="11" s="1"/>
  <c r="V290" i="11" s="1"/>
  <c r="DZ39" i="7"/>
  <c r="R324" i="11"/>
  <c r="R326" i="11" s="1"/>
  <c r="V326" i="11" s="1"/>
  <c r="DZ6" i="7"/>
  <c r="R27" i="11"/>
  <c r="DZ18" i="7"/>
  <c r="R135" i="11"/>
  <c r="R137" i="11" s="1"/>
  <c r="V137" i="11" s="1"/>
  <c r="DZ32" i="7"/>
  <c r="R261" i="11"/>
  <c r="DZ36" i="7"/>
  <c r="R297" i="11"/>
  <c r="R299" i="11" s="1"/>
  <c r="V299" i="11" s="1"/>
  <c r="DZ42" i="7"/>
  <c r="R351" i="11"/>
  <c r="DZ8" i="7"/>
  <c r="R45" i="11"/>
  <c r="R47" i="11" s="1"/>
  <c r="V47" i="11" s="1"/>
  <c r="DZ11" i="7"/>
  <c r="R72" i="11"/>
  <c r="R74" i="11" s="1"/>
  <c r="V74" i="11" s="1"/>
  <c r="DZ13" i="7"/>
  <c r="R90" i="11"/>
  <c r="R92" i="11" s="1"/>
  <c r="V92" i="11" s="1"/>
  <c r="DZ16" i="7"/>
  <c r="R117" i="11"/>
  <c r="R119" i="11" s="1"/>
  <c r="V119" i="11" s="1"/>
  <c r="DZ20" i="7"/>
  <c r="R153" i="11"/>
  <c r="R155" i="11" s="1"/>
  <c r="V155" i="11" s="1"/>
  <c r="DZ24" i="7"/>
  <c r="R189" i="11"/>
  <c r="R191" i="11" s="1"/>
  <c r="V191" i="11" s="1"/>
  <c r="DZ30" i="7"/>
  <c r="R243" i="11"/>
  <c r="R245" i="11" s="1"/>
  <c r="V245" i="11" s="1"/>
  <c r="DZ34" i="7"/>
  <c r="R279" i="11"/>
  <c r="R281" i="11" s="1"/>
  <c r="V281" i="11" s="1"/>
  <c r="DZ38" i="7"/>
  <c r="R315" i="11"/>
  <c r="R317" i="11" s="1"/>
  <c r="V317" i="11" s="1"/>
  <c r="EO7" i="6"/>
  <c r="FF7" i="6" s="1"/>
  <c r="EO38" i="6"/>
  <c r="FF38" i="6" s="1"/>
  <c r="DB12" i="6"/>
  <c r="ER12" i="6" s="1"/>
  <c r="EO6" i="6"/>
  <c r="FF6" i="6" s="1"/>
  <c r="DV8" i="6"/>
  <c r="EY8" i="6" s="1"/>
  <c r="EO9" i="6"/>
  <c r="FF9" i="6" s="1"/>
  <c r="EO10" i="6"/>
  <c r="FF10" i="6" s="1"/>
  <c r="EJ20" i="6"/>
  <c r="FD20" i="6" s="1"/>
  <c r="EJ42" i="6"/>
  <c r="FD42" i="6" s="1"/>
  <c r="EJ15" i="6"/>
  <c r="FD15" i="6" s="1"/>
  <c r="EJ19" i="6"/>
  <c r="FD19" i="6" s="1"/>
  <c r="DN20" i="6"/>
  <c r="EW20" i="6" s="1"/>
  <c r="DR25" i="6"/>
  <c r="EX25" i="6" s="1"/>
  <c r="EJ31" i="6"/>
  <c r="FD31" i="6" s="1"/>
  <c r="EJ35" i="6"/>
  <c r="FD35" i="6" s="1"/>
  <c r="EO35" i="6"/>
  <c r="FF35" i="6" s="1"/>
  <c r="EO41" i="6"/>
  <c r="FF41" i="6" s="1"/>
  <c r="EO16" i="6"/>
  <c r="FF16" i="6" s="1"/>
  <c r="EO30" i="6"/>
  <c r="FF30" i="6" s="1"/>
  <c r="EO40" i="6"/>
  <c r="FF40" i="6" s="1"/>
  <c r="EC5" i="6"/>
  <c r="EC8" i="6"/>
  <c r="EC17" i="6"/>
  <c r="EC21" i="6"/>
  <c r="EC33" i="6"/>
  <c r="EF33" i="6" s="1"/>
  <c r="FC33" i="6" s="1"/>
  <c r="EF20" i="6"/>
  <c r="FC20" i="6" s="1"/>
  <c r="CT44" i="6"/>
  <c r="EP44" i="6" s="1"/>
  <c r="EC14" i="6"/>
  <c r="EF14" i="6" s="1"/>
  <c r="FC14" i="6" s="1"/>
  <c r="EJ14" i="6"/>
  <c r="FD14" i="6" s="1"/>
  <c r="EO14" i="6"/>
  <c r="FF14" i="6" s="1"/>
  <c r="CT15" i="6"/>
  <c r="EP15" i="6" s="1"/>
  <c r="CX18" i="6"/>
  <c r="EQ18" i="6" s="1"/>
  <c r="DR23" i="6"/>
  <c r="EX23" i="6" s="1"/>
  <c r="DN25" i="6"/>
  <c r="EW25" i="6" s="1"/>
  <c r="EC26" i="6"/>
  <c r="EF26" i="6" s="1"/>
  <c r="FC26" i="6" s="1"/>
  <c r="EJ27" i="6"/>
  <c r="FD27" i="6" s="1"/>
  <c r="EC28" i="6"/>
  <c r="EF28" i="6" s="1"/>
  <c r="FC28" i="6" s="1"/>
  <c r="CT28" i="6"/>
  <c r="EP28" i="6" s="1"/>
  <c r="DV29" i="6"/>
  <c r="EY29" i="6" s="1"/>
  <c r="EO31" i="6"/>
  <c r="FF31" i="6" s="1"/>
  <c r="EO32" i="6"/>
  <c r="FF32" i="6" s="1"/>
  <c r="EJ34" i="6"/>
  <c r="FD34" i="6" s="1"/>
  <c r="CX37" i="6"/>
  <c r="EQ37" i="6" s="1"/>
  <c r="EJ38" i="6"/>
  <c r="FD38" i="6" s="1"/>
  <c r="EC39" i="6"/>
  <c r="EF39" i="6" s="1"/>
  <c r="FC39" i="6" s="1"/>
  <c r="DV40" i="6"/>
  <c r="EY40" i="6" s="1"/>
  <c r="DB41" i="6"/>
  <c r="ER41" i="6" s="1"/>
  <c r="EC42" i="6"/>
  <c r="EF42" i="6" s="1"/>
  <c r="FC42" i="6" s="1"/>
  <c r="DR42" i="6"/>
  <c r="EX42" i="6" s="1"/>
  <c r="EO42" i="6"/>
  <c r="FF42" i="6" s="1"/>
  <c r="EO43" i="6"/>
  <c r="FF43" i="6" s="1"/>
  <c r="EJ23" i="6"/>
  <c r="FD23" i="6" s="1"/>
  <c r="EC38" i="6"/>
  <c r="EF38" i="6" s="1"/>
  <c r="FC38" i="6" s="1"/>
  <c r="EO39" i="6"/>
  <c r="FF39" i="6" s="1"/>
  <c r="DV44" i="6"/>
  <c r="EY44" i="6" s="1"/>
  <c r="EJ6" i="6"/>
  <c r="FD6" i="6" s="1"/>
  <c r="DN9" i="6"/>
  <c r="EW9" i="6" s="1"/>
  <c r="EC10" i="6"/>
  <c r="EF10" i="6" s="1"/>
  <c r="FC10" i="6" s="1"/>
  <c r="EJ11" i="6"/>
  <c r="FD11" i="6" s="1"/>
  <c r="EC13" i="6"/>
  <c r="CX13" i="6"/>
  <c r="EQ13" i="6" s="1"/>
  <c r="DR13" i="6"/>
  <c r="EX13" i="6" s="1"/>
  <c r="DV17" i="6"/>
  <c r="EY17" i="6" s="1"/>
  <c r="EJ18" i="6"/>
  <c r="FD18" i="6" s="1"/>
  <c r="EC22" i="6"/>
  <c r="EF22" i="6" s="1"/>
  <c r="FC22" i="6" s="1"/>
  <c r="EJ22" i="6"/>
  <c r="FD22" i="6" s="1"/>
  <c r="EO22" i="6"/>
  <c r="FF22" i="6" s="1"/>
  <c r="EJ24" i="6"/>
  <c r="FD24" i="6" s="1"/>
  <c r="DB25" i="6"/>
  <c r="ER25" i="6" s="1"/>
  <c r="CX32" i="6"/>
  <c r="EQ32" i="6" s="1"/>
  <c r="EC34" i="6"/>
  <c r="DN36" i="6"/>
  <c r="EW36" i="6" s="1"/>
  <c r="EC37" i="6"/>
  <c r="EF37" i="6" s="1"/>
  <c r="FC37" i="6" s="1"/>
  <c r="CT37" i="6"/>
  <c r="EP37" i="6" s="1"/>
  <c r="EC43" i="6"/>
  <c r="EF43" i="6" s="1"/>
  <c r="FC43" i="6" s="1"/>
  <c r="DN44" i="6"/>
  <c r="EW44" i="6" s="1"/>
  <c r="DR5" i="6"/>
  <c r="EX5" i="6" s="1"/>
  <c r="EC6" i="6"/>
  <c r="EF6" i="6" s="1"/>
  <c r="FC6" i="6" s="1"/>
  <c r="EJ8" i="6"/>
  <c r="FD8" i="6" s="1"/>
  <c r="EC11" i="6"/>
  <c r="EF11" i="6" s="1"/>
  <c r="FC11" i="6" s="1"/>
  <c r="CT17" i="6"/>
  <c r="EP17" i="6" s="1"/>
  <c r="EC18" i="6"/>
  <c r="EF18" i="6" s="1"/>
  <c r="FC18" i="6" s="1"/>
  <c r="EC23" i="6"/>
  <c r="EF23" i="6" s="1"/>
  <c r="FC23" i="6" s="1"/>
  <c r="EJ28" i="6"/>
  <c r="FD28" i="6" s="1"/>
  <c r="CT33" i="6"/>
  <c r="EP33" i="6" s="1"/>
  <c r="DV33" i="6"/>
  <c r="EY33" i="6" s="1"/>
  <c r="CX36" i="6"/>
  <c r="EQ36" i="6" s="1"/>
  <c r="EJ39" i="6"/>
  <c r="FD39" i="6" s="1"/>
  <c r="EJ40" i="6"/>
  <c r="FD40" i="6" s="1"/>
  <c r="EC41" i="6"/>
  <c r="EF41" i="6" s="1"/>
  <c r="FC41" i="6" s="1"/>
  <c r="EJ43" i="6"/>
  <c r="FD43" i="6" s="1"/>
  <c r="DR44" i="6"/>
  <c r="EX44" i="6" s="1"/>
  <c r="EC7" i="6"/>
  <c r="EF7" i="6" s="1"/>
  <c r="FC7" i="6" s="1"/>
  <c r="DV9" i="6"/>
  <c r="EY9" i="6" s="1"/>
  <c r="EO11" i="6"/>
  <c r="FF11" i="6" s="1"/>
  <c r="EC15" i="6"/>
  <c r="EF15" i="6" s="1"/>
  <c r="FC15" i="6" s="1"/>
  <c r="EO15" i="6"/>
  <c r="FF15" i="6" s="1"/>
  <c r="DV16" i="6"/>
  <c r="EY16" i="6" s="1"/>
  <c r="DN17" i="6"/>
  <c r="EW17" i="6" s="1"/>
  <c r="DB20" i="6"/>
  <c r="ER20" i="6" s="1"/>
  <c r="DN21" i="6"/>
  <c r="EW21" i="6" s="1"/>
  <c r="EO23" i="6"/>
  <c r="FF23" i="6" s="1"/>
  <c r="CX24" i="6"/>
  <c r="EQ24" i="6" s="1"/>
  <c r="EO24" i="6"/>
  <c r="FF24" i="6" s="1"/>
  <c r="EC25" i="6"/>
  <c r="EF25" i="6" s="1"/>
  <c r="FC25" i="6" s="1"/>
  <c r="CT25" i="6"/>
  <c r="EP25" i="6" s="1"/>
  <c r="EC27" i="6"/>
  <c r="EF27" i="6" s="1"/>
  <c r="FC27" i="6" s="1"/>
  <c r="EC29" i="6"/>
  <c r="EF29" i="6" s="1"/>
  <c r="FC29" i="6" s="1"/>
  <c r="CX29" i="6"/>
  <c r="EQ29" i="6" s="1"/>
  <c r="DR29" i="6"/>
  <c r="EX29" i="6" s="1"/>
  <c r="EC30" i="6"/>
  <c r="EF30" i="6" s="1"/>
  <c r="FC30" i="6" s="1"/>
  <c r="EJ30" i="6"/>
  <c r="FD30" i="6" s="1"/>
  <c r="EC32" i="6"/>
  <c r="EF32" i="6" s="1"/>
  <c r="FC32" i="6" s="1"/>
  <c r="DR33" i="6"/>
  <c r="EX33" i="6" s="1"/>
  <c r="EC35" i="6"/>
  <c r="EF35" i="6" s="1"/>
  <c r="FC35" i="6" s="1"/>
  <c r="DV36" i="6"/>
  <c r="EY36" i="6" s="1"/>
  <c r="EO36" i="6"/>
  <c r="FF36" i="6" s="1"/>
  <c r="DN37" i="6"/>
  <c r="EW37" i="6" s="1"/>
  <c r="EC40" i="6"/>
  <c r="EF40" i="6" s="1"/>
  <c r="FC40" i="6" s="1"/>
  <c r="CT40" i="6"/>
  <c r="EP40" i="6" s="1"/>
  <c r="CX41" i="6"/>
  <c r="EQ41" i="6" s="1"/>
  <c r="DR41" i="6"/>
  <c r="EX41" i="6" s="1"/>
  <c r="EJ41" i="6"/>
  <c r="FD41" i="6" s="1"/>
  <c r="DB42" i="6"/>
  <c r="ER42" i="6" s="1"/>
  <c r="DN43" i="6"/>
  <c r="EW43" i="6" s="1"/>
  <c r="DB44" i="6"/>
  <c r="ER44" i="6" s="1"/>
  <c r="EO44" i="6"/>
  <c r="FF44" i="6" s="1"/>
  <c r="CX5" i="6"/>
  <c r="EQ5" i="6" s="1"/>
  <c r="EO5" i="6"/>
  <c r="FF5" i="6" s="1"/>
  <c r="EC9" i="6"/>
  <c r="EF9" i="6" s="1"/>
  <c r="FC9" i="6" s="1"/>
  <c r="CX9" i="6"/>
  <c r="EQ9" i="6" s="1"/>
  <c r="DR9" i="6"/>
  <c r="EX9" i="6" s="1"/>
  <c r="EJ10" i="6"/>
  <c r="FD10" i="6" s="1"/>
  <c r="DV11" i="6"/>
  <c r="EY11" i="6" s="1"/>
  <c r="EC12" i="6"/>
  <c r="EF12" i="6" s="1"/>
  <c r="FC12" i="6" s="1"/>
  <c r="CT12" i="6"/>
  <c r="EP12" i="6" s="1"/>
  <c r="DR12" i="6"/>
  <c r="EX12" i="6" s="1"/>
  <c r="EJ12" i="6"/>
  <c r="FD12" i="6" s="1"/>
  <c r="EJ13" i="6"/>
  <c r="FD13" i="6" s="1"/>
  <c r="EO13" i="6"/>
  <c r="FF13" i="6" s="1"/>
  <c r="EC16" i="6"/>
  <c r="EF16" i="6" s="1"/>
  <c r="FC16" i="6" s="1"/>
  <c r="EJ16" i="6"/>
  <c r="FD16" i="6" s="1"/>
  <c r="DB17" i="6"/>
  <c r="ER17" i="6" s="1"/>
  <c r="EO17" i="6"/>
  <c r="FF17" i="6" s="1"/>
  <c r="EC19" i="6"/>
  <c r="EF19" i="6" s="1"/>
  <c r="FC19" i="6" s="1"/>
  <c r="EO19" i="6"/>
  <c r="FF19" i="6" s="1"/>
  <c r="EJ21" i="6"/>
  <c r="FD21" i="6" s="1"/>
  <c r="EO21" i="6"/>
  <c r="FF21" i="6" s="1"/>
  <c r="DV22" i="6"/>
  <c r="EY22" i="6" s="1"/>
  <c r="EC24" i="6"/>
  <c r="EF24" i="6" s="1"/>
  <c r="FC24" i="6" s="1"/>
  <c r="EO25" i="6"/>
  <c r="FF25" i="6" s="1"/>
  <c r="DN27" i="6"/>
  <c r="EW27" i="6" s="1"/>
  <c r="EO27" i="6"/>
  <c r="FF27" i="6" s="1"/>
  <c r="DN29" i="6"/>
  <c r="EW29" i="6" s="1"/>
  <c r="EC31" i="6"/>
  <c r="EF31" i="6" s="1"/>
  <c r="FC31" i="6" s="1"/>
  <c r="EJ32" i="6"/>
  <c r="FD32" i="6" s="1"/>
  <c r="DB33" i="6"/>
  <c r="ER33" i="6" s="1"/>
  <c r="DN33" i="6"/>
  <c r="EW33" i="6" s="1"/>
  <c r="EO33" i="6"/>
  <c r="FF33" i="6" s="1"/>
  <c r="EO34" i="6"/>
  <c r="FF34" i="6" s="1"/>
  <c r="EJ36" i="6"/>
  <c r="FD36" i="6" s="1"/>
  <c r="DB37" i="6"/>
  <c r="ER37" i="6" s="1"/>
  <c r="DN40" i="6"/>
  <c r="EW40" i="6" s="1"/>
  <c r="CT41" i="6"/>
  <c r="EP41" i="6" s="1"/>
  <c r="EC44" i="6"/>
  <c r="EF44" i="6" s="1"/>
  <c r="FC44" i="6" s="1"/>
  <c r="EJ44" i="6"/>
  <c r="FD44" i="6" s="1"/>
  <c r="CT5" i="6"/>
  <c r="EP5" i="6" s="1"/>
  <c r="DV5" i="6"/>
  <c r="EY5" i="6" s="1"/>
  <c r="DV6" i="6"/>
  <c r="EY6" i="6" s="1"/>
  <c r="DB8" i="6"/>
  <c r="ER8" i="6" s="1"/>
  <c r="DB9" i="6"/>
  <c r="ER9" i="6" s="1"/>
  <c r="CT10" i="6"/>
  <c r="EP10" i="6" s="1"/>
  <c r="DB13" i="6"/>
  <c r="ER13" i="6" s="1"/>
  <c r="DN13" i="6"/>
  <c r="EW13" i="6" s="1"/>
  <c r="DN14" i="6"/>
  <c r="EW14" i="6" s="1"/>
  <c r="CT16" i="6"/>
  <c r="EP16" i="6" s="1"/>
  <c r="DR16" i="6"/>
  <c r="EX16" i="6" s="1"/>
  <c r="DR17" i="6"/>
  <c r="EX17" i="6" s="1"/>
  <c r="DN19" i="6"/>
  <c r="EW19" i="6" s="1"/>
  <c r="CX20" i="6"/>
  <c r="EQ20" i="6" s="1"/>
  <c r="DR21" i="6"/>
  <c r="EX21" i="6" s="1"/>
  <c r="DR22" i="6"/>
  <c r="EX22" i="6" s="1"/>
  <c r="CT23" i="6"/>
  <c r="EP23" i="6" s="1"/>
  <c r="CT24" i="6"/>
  <c r="EP24" i="6" s="1"/>
  <c r="DV24" i="6"/>
  <c r="EY24" i="6" s="1"/>
  <c r="DB29" i="6"/>
  <c r="ER29" i="6" s="1"/>
  <c r="CX30" i="6"/>
  <c r="EQ30" i="6" s="1"/>
  <c r="DN32" i="6"/>
  <c r="EW32" i="6" s="1"/>
  <c r="CX33" i="6"/>
  <c r="EQ33" i="6" s="1"/>
  <c r="CT36" i="6"/>
  <c r="EP36" i="6" s="1"/>
  <c r="DV39" i="6"/>
  <c r="EY39" i="6" s="1"/>
  <c r="DR40" i="6"/>
  <c r="EX40" i="6" s="1"/>
  <c r="DB43" i="6"/>
  <c r="ER43" i="6" s="1"/>
  <c r="CX44" i="6"/>
  <c r="EQ44" i="6" s="1"/>
  <c r="CX14" i="6"/>
  <c r="EQ14" i="6" s="1"/>
  <c r="DN26" i="6"/>
  <c r="EW26" i="6" s="1"/>
  <c r="DR30" i="6"/>
  <c r="EX30" i="6" s="1"/>
  <c r="DB5" i="6"/>
  <c r="ER5" i="6" s="1"/>
  <c r="DN5" i="6"/>
  <c r="EW5" i="6" s="1"/>
  <c r="DR8" i="6"/>
  <c r="EX8" i="6" s="1"/>
  <c r="CT9" i="6"/>
  <c r="EP9" i="6" s="1"/>
  <c r="DV12" i="6"/>
  <c r="EY12" i="6" s="1"/>
  <c r="CT13" i="6"/>
  <c r="EP13" i="6" s="1"/>
  <c r="DV13" i="6"/>
  <c r="EY13" i="6" s="1"/>
  <c r="DB16" i="6"/>
  <c r="ER16" i="6" s="1"/>
  <c r="CX17" i="6"/>
  <c r="EQ17" i="6" s="1"/>
  <c r="DN18" i="6"/>
  <c r="EW18" i="6" s="1"/>
  <c r="DV19" i="6"/>
  <c r="EY19" i="6" s="1"/>
  <c r="DR20" i="6"/>
  <c r="EX20" i="6" s="1"/>
  <c r="DB23" i="6"/>
  <c r="ER23" i="6" s="1"/>
  <c r="DN24" i="6"/>
  <c r="EW24" i="6" s="1"/>
  <c r="CX25" i="6"/>
  <c r="EQ25" i="6" s="1"/>
  <c r="CX26" i="6"/>
  <c r="EQ26" i="6" s="1"/>
  <c r="CX27" i="6"/>
  <c r="EQ27" i="6" s="1"/>
  <c r="CX28" i="6"/>
  <c r="EQ28" i="6" s="1"/>
  <c r="CT29" i="6"/>
  <c r="EP29" i="6" s="1"/>
  <c r="CT31" i="6"/>
  <c r="EP31" i="6" s="1"/>
  <c r="CT32" i="6"/>
  <c r="EP32" i="6" s="1"/>
  <c r="DV32" i="6"/>
  <c r="EY32" i="6" s="1"/>
  <c r="DN34" i="6"/>
  <c r="EW34" i="6" s="1"/>
  <c r="CT35" i="6"/>
  <c r="EP35" i="6" s="1"/>
  <c r="DB36" i="6"/>
  <c r="ER36" i="6" s="1"/>
  <c r="DR36" i="6"/>
  <c r="EX36" i="6" s="1"/>
  <c r="CX40" i="6"/>
  <c r="EQ40" i="6" s="1"/>
  <c r="CT43" i="6"/>
  <c r="EP43" i="6" s="1"/>
  <c r="DR43" i="6"/>
  <c r="EX43" i="6" s="1"/>
  <c r="CT14" i="6"/>
  <c r="EP14" i="6" s="1"/>
  <c r="DB22" i="6"/>
  <c r="ER22" i="6" s="1"/>
  <c r="DR6" i="6"/>
  <c r="EX6" i="6" s="1"/>
  <c r="DB6" i="6"/>
  <c r="ER6" i="6" s="1"/>
  <c r="CT8" i="6"/>
  <c r="EP8" i="6" s="1"/>
  <c r="DV10" i="6"/>
  <c r="EY10" i="6" s="1"/>
  <c r="CT18" i="6"/>
  <c r="EP18" i="6" s="1"/>
  <c r="CX19" i="6"/>
  <c r="EQ19" i="6" s="1"/>
  <c r="DV20" i="6"/>
  <c r="EY20" i="6" s="1"/>
  <c r="CT26" i="6"/>
  <c r="EP26" i="6" s="1"/>
  <c r="DN28" i="6"/>
  <c r="EW28" i="6" s="1"/>
  <c r="DB34" i="6"/>
  <c r="ER34" i="6" s="1"/>
  <c r="DN41" i="6"/>
  <c r="EW41" i="6" s="1"/>
  <c r="CX6" i="6"/>
  <c r="EQ6" i="6" s="1"/>
  <c r="DN6" i="6"/>
  <c r="EW6" i="6" s="1"/>
  <c r="DB10" i="6"/>
  <c r="ER10" i="6" s="1"/>
  <c r="DR10" i="6"/>
  <c r="EX10" i="6" s="1"/>
  <c r="DV14" i="6"/>
  <c r="EY14" i="6" s="1"/>
  <c r="DV18" i="6"/>
  <c r="EY18" i="6" s="1"/>
  <c r="CX22" i="6"/>
  <c r="EQ22" i="6" s="1"/>
  <c r="DN22" i="6"/>
  <c r="EW22" i="6" s="1"/>
  <c r="DV26" i="6"/>
  <c r="EY26" i="6" s="1"/>
  <c r="CT30" i="6"/>
  <c r="EP30" i="6" s="1"/>
  <c r="CX34" i="6"/>
  <c r="EQ34" i="6" s="1"/>
  <c r="DV34" i="6"/>
  <c r="EY34" i="6" s="1"/>
  <c r="DV37" i="6"/>
  <c r="EY37" i="6" s="1"/>
  <c r="CT38" i="6"/>
  <c r="EP38" i="6" s="1"/>
  <c r="CT42" i="6"/>
  <c r="EP42" i="6" s="1"/>
  <c r="DN30" i="6"/>
  <c r="EW30" i="6" s="1"/>
  <c r="CX42" i="6"/>
  <c r="EQ42" i="6" s="1"/>
  <c r="DN42" i="6"/>
  <c r="EW42" i="6" s="1"/>
  <c r="CT6" i="6"/>
  <c r="EP6" i="6" s="1"/>
  <c r="DB7" i="6"/>
  <c r="ER7" i="6" s="1"/>
  <c r="DR7" i="6"/>
  <c r="EX7" i="6" s="1"/>
  <c r="CX8" i="6"/>
  <c r="EQ8" i="6" s="1"/>
  <c r="DN8" i="6"/>
  <c r="EW8" i="6" s="1"/>
  <c r="CX10" i="6"/>
  <c r="EQ10" i="6" s="1"/>
  <c r="DN10" i="6"/>
  <c r="EW10" i="6" s="1"/>
  <c r="CX12" i="6"/>
  <c r="EQ12" i="6" s="1"/>
  <c r="DN12" i="6"/>
  <c r="EW12" i="6" s="1"/>
  <c r="DB14" i="6"/>
  <c r="ER14" i="6" s="1"/>
  <c r="DR14" i="6"/>
  <c r="EX14" i="6" s="1"/>
  <c r="CX16" i="6"/>
  <c r="EQ16" i="6" s="1"/>
  <c r="DN16" i="6"/>
  <c r="EW16" i="6" s="1"/>
  <c r="DB18" i="6"/>
  <c r="ER18" i="6" s="1"/>
  <c r="DR18" i="6"/>
  <c r="EX18" i="6" s="1"/>
  <c r="CT20" i="6"/>
  <c r="EP20" i="6" s="1"/>
  <c r="CT22" i="6"/>
  <c r="EP22" i="6" s="1"/>
  <c r="DB24" i="6"/>
  <c r="ER24" i="6" s="1"/>
  <c r="DR24" i="6"/>
  <c r="EX24" i="6" s="1"/>
  <c r="DB26" i="6"/>
  <c r="ER26" i="6" s="1"/>
  <c r="DR26" i="6"/>
  <c r="EX26" i="6" s="1"/>
  <c r="DV27" i="6"/>
  <c r="EY27" i="6" s="1"/>
  <c r="DB28" i="6"/>
  <c r="ER28" i="6" s="1"/>
  <c r="DR28" i="6"/>
  <c r="EX28" i="6" s="1"/>
  <c r="DV30" i="6"/>
  <c r="EY30" i="6" s="1"/>
  <c r="DB31" i="6"/>
  <c r="ER31" i="6" s="1"/>
  <c r="DR31" i="6"/>
  <c r="EX31" i="6" s="1"/>
  <c r="DB32" i="6"/>
  <c r="ER32" i="6" s="1"/>
  <c r="DR32" i="6"/>
  <c r="EX32" i="6" s="1"/>
  <c r="CT34" i="6"/>
  <c r="EP34" i="6" s="1"/>
  <c r="DR34" i="6"/>
  <c r="EX34" i="6" s="1"/>
  <c r="DV35" i="6"/>
  <c r="EY35" i="6" s="1"/>
  <c r="DR37" i="6"/>
  <c r="EX37" i="6" s="1"/>
  <c r="DV38" i="6"/>
  <c r="EY38" i="6" s="1"/>
  <c r="CT39" i="6"/>
  <c r="EP39" i="6" s="1"/>
  <c r="DB40" i="6"/>
  <c r="ER40" i="6" s="1"/>
  <c r="DV41" i="6"/>
  <c r="EY41" i="6" s="1"/>
  <c r="DV42" i="6"/>
  <c r="EY42" i="6" s="1"/>
  <c r="CX43" i="6"/>
  <c r="EQ43" i="6" s="1"/>
  <c r="DV43" i="6"/>
  <c r="EY43" i="6" s="1"/>
  <c r="DY40" i="7"/>
  <c r="DY43" i="7"/>
  <c r="DY29" i="7"/>
  <c r="CX11" i="7"/>
  <c r="EN11" i="7" s="1"/>
  <c r="EK16" i="7"/>
  <c r="FB16" i="7" s="1"/>
  <c r="EK24" i="7"/>
  <c r="FB24" i="7" s="1"/>
  <c r="DN36" i="7"/>
  <c r="ET36" i="7" s="1"/>
  <c r="CP40" i="7"/>
  <c r="EL40" i="7" s="1"/>
  <c r="DJ6" i="7"/>
  <c r="ES6" i="7" s="1"/>
  <c r="DJ8" i="7"/>
  <c r="ES8" i="7" s="1"/>
  <c r="DJ9" i="7"/>
  <c r="ES9" i="7" s="1"/>
  <c r="CT13" i="7"/>
  <c r="EM13" i="7" s="1"/>
  <c r="CT16" i="7"/>
  <c r="EM16" i="7" s="1"/>
  <c r="CT33" i="7"/>
  <c r="EM33" i="7" s="1"/>
  <c r="EK41" i="7"/>
  <c r="FB41" i="7" s="1"/>
  <c r="EK11" i="7"/>
  <c r="FB11" i="7" s="1"/>
  <c r="EK6" i="7"/>
  <c r="FB6" i="7" s="1"/>
  <c r="EK37" i="7"/>
  <c r="FB37" i="7" s="1"/>
  <c r="EF26" i="7"/>
  <c r="EZ26" i="7" s="1"/>
  <c r="EF38" i="7"/>
  <c r="EZ38" i="7" s="1"/>
  <c r="DJ5" i="7"/>
  <c r="ES5" i="7" s="1"/>
  <c r="CP6" i="7"/>
  <c r="EL6" i="7" s="1"/>
  <c r="DN6" i="7"/>
  <c r="ET6" i="7" s="1"/>
  <c r="EF22" i="7"/>
  <c r="EZ22" i="7" s="1"/>
  <c r="EK22" i="7"/>
  <c r="FB22" i="7" s="1"/>
  <c r="CT17" i="7"/>
  <c r="EM17" i="7" s="1"/>
  <c r="DR30" i="7"/>
  <c r="EU30" i="7" s="1"/>
  <c r="CP33" i="7"/>
  <c r="EL33" i="7" s="1"/>
  <c r="CT32" i="7"/>
  <c r="EM32" i="7" s="1"/>
  <c r="DR32" i="7"/>
  <c r="EU32" i="7" s="1"/>
  <c r="EF33" i="7"/>
  <c r="EZ33" i="7" s="1"/>
  <c r="EK33" i="7"/>
  <c r="FB33" i="7" s="1"/>
  <c r="EF41" i="7"/>
  <c r="EZ41" i="7" s="1"/>
  <c r="CP42" i="7"/>
  <c r="EL42" i="7" s="1"/>
  <c r="DN5" i="7"/>
  <c r="ET5" i="7" s="1"/>
  <c r="CT6" i="7"/>
  <c r="EM6" i="7" s="1"/>
  <c r="DR6" i="7"/>
  <c r="EU6" i="7" s="1"/>
  <c r="EF7" i="7"/>
  <c r="EZ7" i="7" s="1"/>
  <c r="EF10" i="7"/>
  <c r="EZ10" i="7" s="1"/>
  <c r="DR16" i="7"/>
  <c r="EU16" i="7" s="1"/>
  <c r="CP19" i="7"/>
  <c r="EL19" i="7" s="1"/>
  <c r="CP23" i="7"/>
  <c r="EL23" i="7" s="1"/>
  <c r="EK25" i="7"/>
  <c r="FB25" i="7" s="1"/>
  <c r="EF30" i="7"/>
  <c r="EZ30" i="7" s="1"/>
  <c r="EK30" i="7"/>
  <c r="FB30" i="7" s="1"/>
  <c r="DR36" i="7"/>
  <c r="EU36" i="7" s="1"/>
  <c r="EF37" i="7"/>
  <c r="EZ37" i="7" s="1"/>
  <c r="CX40" i="7"/>
  <c r="EN40" i="7" s="1"/>
  <c r="EF40" i="7"/>
  <c r="EZ40" i="7" s="1"/>
  <c r="EK40" i="7"/>
  <c r="FB40" i="7" s="1"/>
  <c r="EB43" i="7"/>
  <c r="EY43" i="7" s="1"/>
  <c r="EF12" i="7"/>
  <c r="EZ12" i="7" s="1"/>
  <c r="EK34" i="7"/>
  <c r="FB34" i="7" s="1"/>
  <c r="EF20" i="7"/>
  <c r="EZ20" i="7" s="1"/>
  <c r="EK15" i="7"/>
  <c r="FB15" i="7" s="1"/>
  <c r="EF8" i="7"/>
  <c r="EZ8" i="7" s="1"/>
  <c r="EF15" i="7"/>
  <c r="EZ15" i="7" s="1"/>
  <c r="EF19" i="7"/>
  <c r="EZ19" i="7" s="1"/>
  <c r="EK19" i="7"/>
  <c r="FB19" i="7" s="1"/>
  <c r="EF27" i="7"/>
  <c r="EZ27" i="7" s="1"/>
  <c r="EK28" i="7"/>
  <c r="FB28" i="7" s="1"/>
  <c r="EK31" i="7"/>
  <c r="FB31" i="7" s="1"/>
  <c r="EF39" i="7"/>
  <c r="EZ39" i="7" s="1"/>
  <c r="DY26" i="7"/>
  <c r="DY22" i="7"/>
  <c r="DY11" i="7"/>
  <c r="DY34" i="7"/>
  <c r="EB34" i="7" s="1"/>
  <c r="EY34" i="7" s="1"/>
  <c r="CT18" i="7"/>
  <c r="EM18" i="7" s="1"/>
  <c r="CP36" i="7"/>
  <c r="EL36" i="7" s="1"/>
  <c r="CT41" i="7"/>
  <c r="EM41" i="7" s="1"/>
  <c r="DR17" i="7"/>
  <c r="EU17" i="7" s="1"/>
  <c r="DR24" i="7"/>
  <c r="EU24" i="7" s="1"/>
  <c r="CX25" i="7"/>
  <c r="EN25" i="7" s="1"/>
  <c r="DN32" i="7"/>
  <c r="ET32" i="7" s="1"/>
  <c r="CT35" i="7"/>
  <c r="EM35" i="7" s="1"/>
  <c r="DR35" i="7"/>
  <c r="EU35" i="7" s="1"/>
  <c r="DJ36" i="7"/>
  <c r="ES36" i="7" s="1"/>
  <c r="CP39" i="7"/>
  <c r="EL39" i="7" s="1"/>
  <c r="CT5" i="7"/>
  <c r="EM5" i="7" s="1"/>
  <c r="DR5" i="7"/>
  <c r="EU5" i="7" s="1"/>
  <c r="CX6" i="7"/>
  <c r="EN6" i="7" s="1"/>
  <c r="DN9" i="7"/>
  <c r="ET9" i="7" s="1"/>
  <c r="CX13" i="7"/>
  <c r="EN13" i="7" s="1"/>
  <c r="DN17" i="7"/>
  <c r="ET17" i="7" s="1"/>
  <c r="DN24" i="7"/>
  <c r="ET24" i="7" s="1"/>
  <c r="CT25" i="7"/>
  <c r="EM25" i="7" s="1"/>
  <c r="DJ32" i="7"/>
  <c r="ES32" i="7" s="1"/>
  <c r="CP35" i="7"/>
  <c r="EL35" i="7" s="1"/>
  <c r="DN35" i="7"/>
  <c r="ET35" i="7" s="1"/>
  <c r="DN40" i="7"/>
  <c r="ET40" i="7" s="1"/>
  <c r="DJ14" i="7"/>
  <c r="ES14" i="7" s="1"/>
  <c r="CP17" i="7"/>
  <c r="EL17" i="7" s="1"/>
  <c r="CX21" i="7"/>
  <c r="EN21" i="7" s="1"/>
  <c r="DR26" i="7"/>
  <c r="EU26" i="7" s="1"/>
  <c r="CP29" i="7"/>
  <c r="EL29" i="7" s="1"/>
  <c r="DN33" i="7"/>
  <c r="ET33" i="7" s="1"/>
  <c r="CX36" i="7"/>
  <c r="EN36" i="7" s="1"/>
  <c r="CP37" i="7"/>
  <c r="EL37" i="7" s="1"/>
  <c r="CX9" i="7"/>
  <c r="EN9" i="7" s="1"/>
  <c r="DJ10" i="7"/>
  <c r="ES10" i="7" s="1"/>
  <c r="CT14" i="7"/>
  <c r="EM14" i="7" s="1"/>
  <c r="DR20" i="7"/>
  <c r="EU20" i="7" s="1"/>
  <c r="CT21" i="7"/>
  <c r="EM21" i="7" s="1"/>
  <c r="CT22" i="7"/>
  <c r="EM22" i="7" s="1"/>
  <c r="DJ22" i="7"/>
  <c r="ES22" i="7" s="1"/>
  <c r="DN28" i="7"/>
  <c r="ET28" i="7" s="1"/>
  <c r="DN29" i="7"/>
  <c r="ET29" i="7" s="1"/>
  <c r="CX33" i="7"/>
  <c r="EN33" i="7" s="1"/>
  <c r="CT36" i="7"/>
  <c r="EM36" i="7" s="1"/>
  <c r="DJ39" i="7"/>
  <c r="ES39" i="7" s="1"/>
  <c r="DJ40" i="7"/>
  <c r="ES40" i="7" s="1"/>
  <c r="CX5" i="7"/>
  <c r="EN5" i="7" s="1"/>
  <c r="CX7" i="7"/>
  <c r="EN7" i="7" s="1"/>
  <c r="DN7" i="7"/>
  <c r="ET7" i="7" s="1"/>
  <c r="CT9" i="7"/>
  <c r="EM9" i="7" s="1"/>
  <c r="DR9" i="7"/>
  <c r="EU9" i="7" s="1"/>
  <c r="CT10" i="7"/>
  <c r="EM10" i="7" s="1"/>
  <c r="CT12" i="7"/>
  <c r="EM12" i="7" s="1"/>
  <c r="DJ12" i="7"/>
  <c r="ES12" i="7" s="1"/>
  <c r="DR13" i="7"/>
  <c r="EU13" i="7" s="1"/>
  <c r="CX17" i="7"/>
  <c r="EN17" i="7" s="1"/>
  <c r="DJ17" i="7"/>
  <c r="ES17" i="7" s="1"/>
  <c r="CX18" i="7"/>
  <c r="EN18" i="7" s="1"/>
  <c r="CP21" i="7"/>
  <c r="EL21" i="7" s="1"/>
  <c r="DJ21" i="7"/>
  <c r="ES21" i="7" s="1"/>
  <c r="CP22" i="7"/>
  <c r="EL22" i="7" s="1"/>
  <c r="CX24" i="7"/>
  <c r="EN24" i="7" s="1"/>
  <c r="CT26" i="7"/>
  <c r="EM26" i="7" s="1"/>
  <c r="DJ28" i="7"/>
  <c r="ES28" i="7" s="1"/>
  <c r="CX29" i="7"/>
  <c r="EN29" i="7" s="1"/>
  <c r="CT39" i="7"/>
  <c r="EM39" i="7" s="1"/>
  <c r="DJ41" i="7"/>
  <c r="ES41" i="7" s="1"/>
  <c r="DJ42" i="7"/>
  <c r="ES42" i="7" s="1"/>
  <c r="CP43" i="7"/>
  <c r="EL43" i="7" s="1"/>
  <c r="DY10" i="7"/>
  <c r="EB10" i="7" s="1"/>
  <c r="EY10" i="7" s="1"/>
  <c r="CP10" i="7"/>
  <c r="EL10" i="7" s="1"/>
  <c r="DY14" i="7"/>
  <c r="EB14" i="7" s="1"/>
  <c r="EY14" i="7" s="1"/>
  <c r="CP14" i="7"/>
  <c r="EL14" i="7" s="1"/>
  <c r="EK14" i="7"/>
  <c r="FB14" i="7" s="1"/>
  <c r="CT15" i="7"/>
  <c r="EM15" i="7" s="1"/>
  <c r="DJ15" i="7"/>
  <c r="ES15" i="7" s="1"/>
  <c r="DY16" i="7"/>
  <c r="CP16" i="7"/>
  <c r="EL16" i="7" s="1"/>
  <c r="DN16" i="7"/>
  <c r="ET16" i="7" s="1"/>
  <c r="EF17" i="7"/>
  <c r="EZ17" i="7" s="1"/>
  <c r="EK17" i="7"/>
  <c r="FB17" i="7" s="1"/>
  <c r="DY18" i="7"/>
  <c r="EB18" i="7" s="1"/>
  <c r="EY18" i="7" s="1"/>
  <c r="CP18" i="7"/>
  <c r="EL18" i="7" s="1"/>
  <c r="DR18" i="7"/>
  <c r="EU18" i="7" s="1"/>
  <c r="DY23" i="7"/>
  <c r="EB23" i="7" s="1"/>
  <c r="EY23" i="7" s="1"/>
  <c r="DY5" i="7"/>
  <c r="CP5" i="7"/>
  <c r="EL5" i="7" s="1"/>
  <c r="DY9" i="7"/>
  <c r="DR10" i="7"/>
  <c r="EU10" i="7" s="1"/>
  <c r="CT11" i="7"/>
  <c r="EM11" i="7" s="1"/>
  <c r="DJ11" i="7"/>
  <c r="ES11" i="7" s="1"/>
  <c r="DR12" i="7"/>
  <c r="EU12" i="7" s="1"/>
  <c r="DN13" i="7"/>
  <c r="ET13" i="7" s="1"/>
  <c r="EK13" i="7"/>
  <c r="FB13" i="7" s="1"/>
  <c r="DR14" i="7"/>
  <c r="EU14" i="7" s="1"/>
  <c r="CP15" i="7"/>
  <c r="EL15" i="7" s="1"/>
  <c r="EF16" i="7"/>
  <c r="EZ16" i="7" s="1"/>
  <c r="DY17" i="7"/>
  <c r="DN18" i="7"/>
  <c r="ET18" i="7" s="1"/>
  <c r="DR21" i="7"/>
  <c r="EU21" i="7" s="1"/>
  <c r="EF23" i="7"/>
  <c r="EZ23" i="7" s="1"/>
  <c r="DR25" i="7"/>
  <c r="EU25" i="7" s="1"/>
  <c r="EF5" i="7"/>
  <c r="EZ5" i="7" s="1"/>
  <c r="EK5" i="7"/>
  <c r="FB5" i="7" s="1"/>
  <c r="DY6" i="7"/>
  <c r="DY7" i="7"/>
  <c r="EB7" i="7" s="1"/>
  <c r="EY7" i="7" s="1"/>
  <c r="DR7" i="7"/>
  <c r="EU7" i="7" s="1"/>
  <c r="EK7" i="7"/>
  <c r="FB7" i="7" s="1"/>
  <c r="CX8" i="7"/>
  <c r="EN8" i="7" s="1"/>
  <c r="DN8" i="7"/>
  <c r="ET8" i="7" s="1"/>
  <c r="CX10" i="7"/>
  <c r="EN10" i="7" s="1"/>
  <c r="DN10" i="7"/>
  <c r="ET10" i="7" s="1"/>
  <c r="CX12" i="7"/>
  <c r="EN12" i="7" s="1"/>
  <c r="DJ13" i="7"/>
  <c r="ES13" i="7" s="1"/>
  <c r="CX14" i="7"/>
  <c r="EN14" i="7" s="1"/>
  <c r="DN14" i="7"/>
  <c r="ET14" i="7" s="1"/>
  <c r="DY15" i="7"/>
  <c r="CX16" i="7"/>
  <c r="EN16" i="7" s="1"/>
  <c r="EK18" i="7"/>
  <c r="FB18" i="7" s="1"/>
  <c r="DY20" i="7"/>
  <c r="CP20" i="7"/>
  <c r="EL20" i="7" s="1"/>
  <c r="DN21" i="7"/>
  <c r="ET21" i="7" s="1"/>
  <c r="EB26" i="7"/>
  <c r="EY26" i="7" s="1"/>
  <c r="DY33" i="7"/>
  <c r="EB33" i="7" s="1"/>
  <c r="EY33" i="7" s="1"/>
  <c r="FC33" i="7" s="1"/>
  <c r="DY37" i="7"/>
  <c r="DR40" i="7"/>
  <c r="EU40" i="7" s="1"/>
  <c r="CP26" i="7"/>
  <c r="EL26" i="7" s="1"/>
  <c r="DN26" i="7"/>
  <c r="ET26" i="7" s="1"/>
  <c r="DJ29" i="7"/>
  <c r="ES29" i="7" s="1"/>
  <c r="EF31" i="7"/>
  <c r="EZ31" i="7" s="1"/>
  <c r="DJ33" i="7"/>
  <c r="ES33" i="7" s="1"/>
  <c r="DR34" i="7"/>
  <c r="EU34" i="7" s="1"/>
  <c r="EF35" i="7"/>
  <c r="EZ35" i="7" s="1"/>
  <c r="DR37" i="7"/>
  <c r="EU37" i="7" s="1"/>
  <c r="EB39" i="7"/>
  <c r="EY39" i="7" s="1"/>
  <c r="DY41" i="7"/>
  <c r="EB41" i="7" s="1"/>
  <c r="EY41" i="7" s="1"/>
  <c r="CP41" i="7"/>
  <c r="EL41" i="7" s="1"/>
  <c r="DN20" i="7"/>
  <c r="ET20" i="7" s="1"/>
  <c r="EK20" i="7"/>
  <c r="FB20" i="7" s="1"/>
  <c r="DY21" i="7"/>
  <c r="EF21" i="7"/>
  <c r="EZ21" i="7" s="1"/>
  <c r="EK21" i="7"/>
  <c r="FB21" i="7" s="1"/>
  <c r="DR22" i="7"/>
  <c r="EU22" i="7" s="1"/>
  <c r="CX23" i="7"/>
  <c r="EN23" i="7" s="1"/>
  <c r="DN23" i="7"/>
  <c r="ET23" i="7" s="1"/>
  <c r="EK23" i="7"/>
  <c r="FB23" i="7" s="1"/>
  <c r="CT24" i="7"/>
  <c r="EM24" i="7" s="1"/>
  <c r="DJ24" i="7"/>
  <c r="ES24" i="7" s="1"/>
  <c r="EF24" i="7"/>
  <c r="EZ24" i="7" s="1"/>
  <c r="DJ25" i="7"/>
  <c r="ES25" i="7" s="1"/>
  <c r="DJ26" i="7"/>
  <c r="ES26" i="7" s="1"/>
  <c r="EK26" i="7"/>
  <c r="FB26" i="7" s="1"/>
  <c r="DR27" i="7"/>
  <c r="EU27" i="7" s="1"/>
  <c r="EF28" i="7"/>
  <c r="EZ28" i="7" s="1"/>
  <c r="DY32" i="7"/>
  <c r="CP32" i="7"/>
  <c r="EL32" i="7" s="1"/>
  <c r="EK32" i="7"/>
  <c r="FB32" i="7" s="1"/>
  <c r="CX34" i="7"/>
  <c r="EN34" i="7" s="1"/>
  <c r="DN34" i="7"/>
  <c r="ET34" i="7" s="1"/>
  <c r="DJ35" i="7"/>
  <c r="ES35" i="7" s="1"/>
  <c r="EK36" i="7"/>
  <c r="FB36" i="7" s="1"/>
  <c r="CX37" i="7"/>
  <c r="EN37" i="7" s="1"/>
  <c r="DN37" i="7"/>
  <c r="ET37" i="7" s="1"/>
  <c r="CP38" i="7"/>
  <c r="EL38" i="7" s="1"/>
  <c r="DR39" i="7"/>
  <c r="EU39" i="7" s="1"/>
  <c r="EK39" i="7"/>
  <c r="FB39" i="7" s="1"/>
  <c r="DR41" i="7"/>
  <c r="EU41" i="7" s="1"/>
  <c r="DY42" i="7"/>
  <c r="EK42" i="7"/>
  <c r="FB42" i="7" s="1"/>
  <c r="DJ43" i="7"/>
  <c r="ES43" i="7" s="1"/>
  <c r="EK43" i="7"/>
  <c r="FB43" i="7" s="1"/>
  <c r="DJ18" i="7"/>
  <c r="ES18" i="7" s="1"/>
  <c r="DY19" i="7"/>
  <c r="DR19" i="7"/>
  <c r="EU19" i="7" s="1"/>
  <c r="CT20" i="7"/>
  <c r="EM20" i="7" s="1"/>
  <c r="DJ20" i="7"/>
  <c r="ES20" i="7" s="1"/>
  <c r="CX22" i="7"/>
  <c r="EN22" i="7" s="1"/>
  <c r="DN22" i="7"/>
  <c r="ET22" i="7" s="1"/>
  <c r="CT23" i="7"/>
  <c r="EM23" i="7" s="1"/>
  <c r="DJ23" i="7"/>
  <c r="ES23" i="7" s="1"/>
  <c r="DY24" i="7"/>
  <c r="CP24" i="7"/>
  <c r="EL24" i="7" s="1"/>
  <c r="CX26" i="7"/>
  <c r="EN26" i="7" s="1"/>
  <c r="DY27" i="7"/>
  <c r="EB27" i="7" s="1"/>
  <c r="EY27" i="7" s="1"/>
  <c r="CP27" i="7"/>
  <c r="EL27" i="7" s="1"/>
  <c r="EK27" i="7"/>
  <c r="FB27" i="7" s="1"/>
  <c r="CX28" i="7"/>
  <c r="EN28" i="7" s="1"/>
  <c r="DR29" i="7"/>
  <c r="EU29" i="7" s="1"/>
  <c r="DY30" i="7"/>
  <c r="CP30" i="7"/>
  <c r="EL30" i="7" s="1"/>
  <c r="DR31" i="7"/>
  <c r="EU31" i="7" s="1"/>
  <c r="EF32" i="7"/>
  <c r="EZ32" i="7" s="1"/>
  <c r="DR33" i="7"/>
  <c r="EU33" i="7" s="1"/>
  <c r="CT34" i="7"/>
  <c r="EM34" i="7" s="1"/>
  <c r="DJ34" i="7"/>
  <c r="ES34" i="7" s="1"/>
  <c r="CX35" i="7"/>
  <c r="EN35" i="7" s="1"/>
  <c r="EK35" i="7"/>
  <c r="FB35" i="7" s="1"/>
  <c r="DY36" i="7"/>
  <c r="EF36" i="7"/>
  <c r="EZ36" i="7" s="1"/>
  <c r="CT37" i="7"/>
  <c r="EM37" i="7" s="1"/>
  <c r="DJ37" i="7"/>
  <c r="ES37" i="7" s="1"/>
  <c r="DY38" i="7"/>
  <c r="EB38" i="7" s="1"/>
  <c r="EY38" i="7" s="1"/>
  <c r="DR38" i="7"/>
  <c r="EU38" i="7" s="1"/>
  <c r="EK38" i="7"/>
  <c r="FB38" i="7" s="1"/>
  <c r="CX39" i="7"/>
  <c r="EN39" i="7" s="1"/>
  <c r="DN39" i="7"/>
  <c r="ET39" i="7" s="1"/>
  <c r="CX41" i="7"/>
  <c r="EN41" i="7" s="1"/>
  <c r="DN41" i="7"/>
  <c r="ET41" i="7" s="1"/>
  <c r="CT43" i="7"/>
  <c r="EM43" i="7" s="1"/>
  <c r="H290" i="3"/>
  <c r="H299" i="3"/>
  <c r="F314" i="3"/>
  <c r="L353" i="3"/>
  <c r="U287" i="3"/>
  <c r="U290" i="3" s="1"/>
  <c r="H317" i="3"/>
  <c r="I335" i="3"/>
  <c r="G350" i="3"/>
  <c r="G353" i="3" s="1"/>
  <c r="H353" i="3"/>
  <c r="S413" i="3"/>
  <c r="S416" i="3" s="1"/>
  <c r="H443" i="3"/>
  <c r="M440" i="3"/>
  <c r="U449" i="3"/>
  <c r="H470" i="3"/>
  <c r="M467" i="3"/>
  <c r="H497" i="3"/>
  <c r="M494" i="3"/>
  <c r="N539" i="3"/>
  <c r="N542" i="3" s="1"/>
  <c r="S539" i="3"/>
  <c r="S542" i="3" s="1"/>
  <c r="H551" i="3"/>
  <c r="I614" i="3"/>
  <c r="U629" i="3"/>
  <c r="S638" i="3"/>
  <c r="L650" i="3"/>
  <c r="H668" i="3"/>
  <c r="U674" i="3"/>
  <c r="U677" i="3" s="1"/>
  <c r="F683" i="3"/>
  <c r="S683" i="3"/>
  <c r="S692" i="3"/>
  <c r="S695" i="3" s="1"/>
  <c r="H704" i="3"/>
  <c r="M701" i="3"/>
  <c r="M704" i="3" s="1"/>
  <c r="H740" i="3"/>
  <c r="M737" i="3"/>
  <c r="M740" i="3" s="1"/>
  <c r="F746" i="3"/>
  <c r="F749" i="3" s="1"/>
  <c r="S746" i="3"/>
  <c r="S749" i="3" s="1"/>
  <c r="L749" i="3"/>
  <c r="M764" i="3"/>
  <c r="M767" i="3" s="1"/>
  <c r="S809" i="3"/>
  <c r="F845" i="3"/>
  <c r="F848" i="3" s="1"/>
  <c r="S845" i="3"/>
  <c r="S848" i="3" s="1"/>
  <c r="H929" i="3"/>
  <c r="M926" i="3"/>
  <c r="M929" i="3" s="1"/>
  <c r="S971" i="3"/>
  <c r="S974" i="3" s="1"/>
  <c r="M404" i="3"/>
  <c r="M407" i="3" s="1"/>
  <c r="H416" i="3"/>
  <c r="S440" i="3"/>
  <c r="S443" i="3" s="1"/>
  <c r="U458" i="3"/>
  <c r="L461" i="3"/>
  <c r="S467" i="3"/>
  <c r="S470" i="3" s="1"/>
  <c r="L479" i="3"/>
  <c r="S494" i="3"/>
  <c r="G647" i="3"/>
  <c r="G650" i="3" s="1"/>
  <c r="K650" i="3"/>
  <c r="G683" i="3"/>
  <c r="K686" i="3"/>
  <c r="G701" i="3"/>
  <c r="F755" i="3"/>
  <c r="F758" i="3" s="1"/>
  <c r="S758" i="3"/>
  <c r="L758" i="3"/>
  <c r="G818" i="3"/>
  <c r="G821" i="3" s="1"/>
  <c r="K821" i="3"/>
  <c r="L875" i="3"/>
  <c r="M890" i="3"/>
  <c r="M893" i="3" s="1"/>
  <c r="F899" i="3"/>
  <c r="F902" i="3" s="1"/>
  <c r="M917" i="3"/>
  <c r="M920" i="3" s="1"/>
  <c r="G368" i="3"/>
  <c r="G371" i="3" s="1"/>
  <c r="E434" i="3"/>
  <c r="N434" i="3"/>
  <c r="F431" i="3"/>
  <c r="F434" i="3" s="1"/>
  <c r="S431" i="3"/>
  <c r="S434" i="3" s="1"/>
  <c r="U440" i="3"/>
  <c r="U443" i="3" s="1"/>
  <c r="M452" i="3"/>
  <c r="U467" i="3"/>
  <c r="U470" i="3" s="1"/>
  <c r="N524" i="3"/>
  <c r="N551" i="3"/>
  <c r="M560" i="3"/>
  <c r="E575" i="3"/>
  <c r="E578" i="3" s="1"/>
  <c r="I578" i="3"/>
  <c r="U602" i="3"/>
  <c r="S611" i="3"/>
  <c r="S614" i="3" s="1"/>
  <c r="L614" i="3"/>
  <c r="I650" i="3"/>
  <c r="G692" i="3"/>
  <c r="G695" i="3" s="1"/>
  <c r="K695" i="3"/>
  <c r="U692" i="3"/>
  <c r="U695" i="3" s="1"/>
  <c r="H722" i="3"/>
  <c r="M719" i="3"/>
  <c r="M722" i="3" s="1"/>
  <c r="U728" i="3"/>
  <c r="U731" i="3" s="1"/>
  <c r="U809" i="3"/>
  <c r="I848" i="3"/>
  <c r="F881" i="3"/>
  <c r="F884" i="3" s="1"/>
  <c r="S881" i="3"/>
  <c r="S884" i="3" s="1"/>
  <c r="S890" i="3"/>
  <c r="S893" i="3" s="1"/>
  <c r="N962" i="3"/>
  <c r="N965" i="3" s="1"/>
  <c r="N53" i="3"/>
  <c r="E53" i="3"/>
  <c r="DL6" i="5"/>
  <c r="EU6" i="5" s="1"/>
  <c r="CZ9" i="5"/>
  <c r="EP9" i="5" s="1"/>
  <c r="DT9" i="5"/>
  <c r="EW9" i="5" s="1"/>
  <c r="EM11" i="5"/>
  <c r="FD11" i="5" s="1"/>
  <c r="EH8" i="5"/>
  <c r="FB8" i="5" s="1"/>
  <c r="CR6" i="5"/>
  <c r="EN6" i="5" s="1"/>
  <c r="EH13" i="5"/>
  <c r="FB13" i="5" s="1"/>
  <c r="DP14" i="5"/>
  <c r="EV14" i="5" s="1"/>
  <c r="DP18" i="5"/>
  <c r="EV18" i="5" s="1"/>
  <c r="EH7" i="5"/>
  <c r="FB7" i="5" s="1"/>
  <c r="EH11" i="5"/>
  <c r="FB11" i="5" s="1"/>
  <c r="EH12" i="5"/>
  <c r="FB12" i="5" s="1"/>
  <c r="EM12" i="5"/>
  <c r="FD12" i="5" s="1"/>
  <c r="CR9" i="5"/>
  <c r="EN9" i="5" s="1"/>
  <c r="CV18" i="5"/>
  <c r="EO18" i="5" s="1"/>
  <c r="DL5" i="5"/>
  <c r="EU5" i="5" s="1"/>
  <c r="CZ18" i="5"/>
  <c r="EP18" i="5" s="1"/>
  <c r="CR18" i="5"/>
  <c r="EN18" i="5" s="1"/>
  <c r="CV5" i="5"/>
  <c r="EO5" i="5" s="1"/>
  <c r="CV6" i="5"/>
  <c r="EO6" i="5" s="1"/>
  <c r="CV9" i="5"/>
  <c r="EO9" i="5" s="1"/>
  <c r="DP17" i="5"/>
  <c r="EV17" i="5" s="1"/>
  <c r="DT18" i="5"/>
  <c r="EW18" i="5" s="1"/>
  <c r="CV12" i="5"/>
  <c r="EO12" i="5" s="1"/>
  <c r="DT13" i="5"/>
  <c r="EW13" i="5" s="1"/>
  <c r="CV17" i="5"/>
  <c r="EO17" i="5" s="1"/>
  <c r="DP10" i="5"/>
  <c r="EV10" i="5" s="1"/>
  <c r="CV7" i="5"/>
  <c r="EO7" i="5" s="1"/>
  <c r="DL7" i="5"/>
  <c r="EU7" i="5" s="1"/>
  <c r="EA9" i="5"/>
  <c r="ED9" i="5" s="1"/>
  <c r="FA9" i="5" s="1"/>
  <c r="EA11" i="5"/>
  <c r="ED11" i="5" s="1"/>
  <c r="FA11" i="5" s="1"/>
  <c r="DT14" i="5"/>
  <c r="EW14" i="5" s="1"/>
  <c r="EA17" i="5"/>
  <c r="ED17" i="5" s="1"/>
  <c r="FA17" i="5" s="1"/>
  <c r="DL18" i="5"/>
  <c r="EU18" i="5" s="1"/>
  <c r="DL17" i="5"/>
  <c r="EU17" i="5" s="1"/>
  <c r="DT6" i="5"/>
  <c r="EW6" i="5" s="1"/>
  <c r="CZ10" i="5"/>
  <c r="EP10" i="5" s="1"/>
  <c r="DT12" i="5"/>
  <c r="EW12" i="5" s="1"/>
  <c r="CV14" i="5"/>
  <c r="EO14" i="5" s="1"/>
  <c r="DL14" i="5"/>
  <c r="EU14" i="5" s="1"/>
  <c r="DT15" i="5"/>
  <c r="EW15" i="5" s="1"/>
  <c r="CR17" i="5"/>
  <c r="EN17" i="5" s="1"/>
  <c r="CZ6" i="5"/>
  <c r="EP6" i="5" s="1"/>
  <c r="DP6" i="5"/>
  <c r="EV6" i="5" s="1"/>
  <c r="CR14" i="5"/>
  <c r="EN14" i="5" s="1"/>
  <c r="DT17" i="5"/>
  <c r="EW17" i="5" s="1"/>
  <c r="EA6" i="5"/>
  <c r="ED6" i="5" s="1"/>
  <c r="FA6" i="5" s="1"/>
  <c r="CV10" i="5"/>
  <c r="EO10" i="5" s="1"/>
  <c r="DL10" i="5"/>
  <c r="EU10" i="5" s="1"/>
  <c r="EM13" i="5"/>
  <c r="FD13" i="5" s="1"/>
  <c r="EA15" i="5"/>
  <c r="ED15" i="5" s="1"/>
  <c r="FA15" i="5" s="1"/>
  <c r="DT5" i="5"/>
  <c r="EW5" i="5" s="1"/>
  <c r="EH6" i="5"/>
  <c r="FB6" i="5" s="1"/>
  <c r="EM6" i="5"/>
  <c r="FD6" i="5" s="1"/>
  <c r="DP9" i="5"/>
  <c r="EV9" i="5" s="1"/>
  <c r="EA10" i="5"/>
  <c r="ED10" i="5" s="1"/>
  <c r="FA10" i="5" s="1"/>
  <c r="CR10" i="5"/>
  <c r="EN10" i="5" s="1"/>
  <c r="EM10" i="5"/>
  <c r="FD10" i="5" s="1"/>
  <c r="CZ13" i="5"/>
  <c r="EP13" i="5" s="1"/>
  <c r="DP13" i="5"/>
  <c r="EV13" i="5" s="1"/>
  <c r="EA14" i="5"/>
  <c r="ED14" i="5" s="1"/>
  <c r="FA14" i="5" s="1"/>
  <c r="EH15" i="5"/>
  <c r="FB15" i="5" s="1"/>
  <c r="EH16" i="5"/>
  <c r="FB16" i="5" s="1"/>
  <c r="CZ5" i="5"/>
  <c r="EP5" i="5" s="1"/>
  <c r="DP5" i="5"/>
  <c r="EV5" i="5" s="1"/>
  <c r="EA7" i="5"/>
  <c r="ED7" i="5" s="1"/>
  <c r="FA7" i="5" s="1"/>
  <c r="EM7" i="5"/>
  <c r="FD7" i="5" s="1"/>
  <c r="CZ8" i="5"/>
  <c r="EP8" i="5" s="1"/>
  <c r="DL9" i="5"/>
  <c r="EU9" i="5" s="1"/>
  <c r="DT10" i="5"/>
  <c r="EW10" i="5" s="1"/>
  <c r="CR11" i="5"/>
  <c r="EN11" i="5" s="1"/>
  <c r="CV13" i="5"/>
  <c r="EO13" i="5" s="1"/>
  <c r="DL13" i="5"/>
  <c r="EU13" i="5" s="1"/>
  <c r="EM14" i="5"/>
  <c r="FD14" i="5" s="1"/>
  <c r="EA16" i="5"/>
  <c r="ED16" i="5" s="1"/>
  <c r="FA16" i="5" s="1"/>
  <c r="CR16" i="5"/>
  <c r="EN16" i="5" s="1"/>
  <c r="DP16" i="5"/>
  <c r="EV16" i="5" s="1"/>
  <c r="CZ17" i="5"/>
  <c r="EP17" i="5" s="1"/>
  <c r="EA18" i="5"/>
  <c r="ED18" i="5" s="1"/>
  <c r="FA18" i="5" s="1"/>
  <c r="EB17" i="7"/>
  <c r="EY17" i="7" s="1"/>
  <c r="EB24" i="7"/>
  <c r="EY24" i="7" s="1"/>
  <c r="CT7" i="7"/>
  <c r="EM7" i="7" s="1"/>
  <c r="DJ7" i="7"/>
  <c r="ES7" i="7" s="1"/>
  <c r="CP11" i="7"/>
  <c r="EL11" i="7" s="1"/>
  <c r="EK12" i="7"/>
  <c r="FB12" i="7" s="1"/>
  <c r="EB13" i="7"/>
  <c r="EY13" i="7" s="1"/>
  <c r="EF13" i="7"/>
  <c r="EZ13" i="7" s="1"/>
  <c r="DR15" i="7"/>
  <c r="EU15" i="7" s="1"/>
  <c r="CX19" i="7"/>
  <c r="EN19" i="7" s="1"/>
  <c r="DN19" i="7"/>
  <c r="ET19" i="7" s="1"/>
  <c r="EB20" i="7"/>
  <c r="EY20" i="7" s="1"/>
  <c r="CP7" i="7"/>
  <c r="EL7" i="7" s="1"/>
  <c r="CT8" i="7"/>
  <c r="EM8" i="7" s="1"/>
  <c r="DR8" i="7"/>
  <c r="EU8" i="7" s="1"/>
  <c r="EK8" i="7"/>
  <c r="FB8" i="7" s="1"/>
  <c r="EF9" i="7"/>
  <c r="EZ9" i="7" s="1"/>
  <c r="EK9" i="7"/>
  <c r="FB9" i="7" s="1"/>
  <c r="DR11" i="7"/>
  <c r="EU11" i="7" s="1"/>
  <c r="DY12" i="7"/>
  <c r="CP12" i="7"/>
  <c r="EL12" i="7" s="1"/>
  <c r="DN12" i="7"/>
  <c r="ET12" i="7" s="1"/>
  <c r="CX15" i="7"/>
  <c r="EN15" i="7" s="1"/>
  <c r="DN15" i="7"/>
  <c r="ET15" i="7" s="1"/>
  <c r="DJ16" i="7"/>
  <c r="ES16" i="7" s="1"/>
  <c r="EF18" i="7"/>
  <c r="EZ18" i="7" s="1"/>
  <c r="CT19" i="7"/>
  <c r="EM19" i="7" s="1"/>
  <c r="DJ19" i="7"/>
  <c r="ES19" i="7" s="1"/>
  <c r="CX20" i="7"/>
  <c r="EN20" i="7" s="1"/>
  <c r="DR23" i="7"/>
  <c r="EU23" i="7" s="1"/>
  <c r="EF25" i="7"/>
  <c r="EZ25" i="7" s="1"/>
  <c r="CX27" i="7"/>
  <c r="EN27" i="7" s="1"/>
  <c r="DN27" i="7"/>
  <c r="ET27" i="7" s="1"/>
  <c r="EF29" i="7"/>
  <c r="EZ29" i="7" s="1"/>
  <c r="CX30" i="7"/>
  <c r="EN30" i="7" s="1"/>
  <c r="DN30" i="7"/>
  <c r="ET30" i="7" s="1"/>
  <c r="CX31" i="7"/>
  <c r="EN31" i="7" s="1"/>
  <c r="DN31" i="7"/>
  <c r="ET31" i="7" s="1"/>
  <c r="CX38" i="7"/>
  <c r="EN38" i="7" s="1"/>
  <c r="DN38" i="7"/>
  <c r="ET38" i="7" s="1"/>
  <c r="DR42" i="7"/>
  <c r="EU42" i="7" s="1"/>
  <c r="CT27" i="7"/>
  <c r="EM27" i="7" s="1"/>
  <c r="DJ27" i="7"/>
  <c r="ES27" i="7" s="1"/>
  <c r="CT30" i="7"/>
  <c r="EM30" i="7" s="1"/>
  <c r="DJ30" i="7"/>
  <c r="ES30" i="7" s="1"/>
  <c r="CT31" i="7"/>
  <c r="EM31" i="7" s="1"/>
  <c r="DJ31" i="7"/>
  <c r="ES31" i="7" s="1"/>
  <c r="CP34" i="7"/>
  <c r="EL34" i="7" s="1"/>
  <c r="CT38" i="7"/>
  <c r="EM38" i="7" s="1"/>
  <c r="DJ38" i="7"/>
  <c r="ES38" i="7" s="1"/>
  <c r="CX42" i="7"/>
  <c r="EN42" i="7" s="1"/>
  <c r="DN42" i="7"/>
  <c r="ET42" i="7" s="1"/>
  <c r="DR43" i="7"/>
  <c r="EU43" i="7" s="1"/>
  <c r="CX43" i="7"/>
  <c r="EN43" i="7" s="1"/>
  <c r="DN43" i="7"/>
  <c r="ET43" i="7" s="1"/>
  <c r="CX7" i="6"/>
  <c r="EQ7" i="6" s="1"/>
  <c r="DN7" i="6"/>
  <c r="EW7" i="6" s="1"/>
  <c r="EF8" i="6"/>
  <c r="FC8" i="6" s="1"/>
  <c r="DB11" i="6"/>
  <c r="ER11" i="6" s="1"/>
  <c r="DR11" i="6"/>
  <c r="EX11" i="6" s="1"/>
  <c r="DV15" i="6"/>
  <c r="EY15" i="6" s="1"/>
  <c r="EF17" i="6"/>
  <c r="FC17" i="6" s="1"/>
  <c r="EJ17" i="6"/>
  <c r="FD17" i="6" s="1"/>
  <c r="CT19" i="6"/>
  <c r="EP19" i="6" s="1"/>
  <c r="EO20" i="6"/>
  <c r="FF20" i="6" s="1"/>
  <c r="CX23" i="6"/>
  <c r="EQ23" i="6" s="1"/>
  <c r="DN23" i="6"/>
  <c r="EW23" i="6" s="1"/>
  <c r="DB27" i="6"/>
  <c r="ER27" i="6" s="1"/>
  <c r="DR27" i="6"/>
  <c r="EX27" i="6" s="1"/>
  <c r="DV31" i="6"/>
  <c r="EY31" i="6" s="1"/>
  <c r="EJ33" i="6"/>
  <c r="FD33" i="6" s="1"/>
  <c r="EF13" i="6"/>
  <c r="FC13" i="6" s="1"/>
  <c r="EF5" i="6"/>
  <c r="FC5" i="6" s="1"/>
  <c r="EJ5" i="6"/>
  <c r="FD5" i="6" s="1"/>
  <c r="CT7" i="6"/>
  <c r="EP7" i="6" s="1"/>
  <c r="EO8" i="6"/>
  <c r="FF8" i="6" s="1"/>
  <c r="CX11" i="6"/>
  <c r="EQ11" i="6" s="1"/>
  <c r="DN11" i="6"/>
  <c r="EW11" i="6" s="1"/>
  <c r="DB15" i="6"/>
  <c r="ER15" i="6" s="1"/>
  <c r="DR15" i="6"/>
  <c r="EX15" i="6" s="1"/>
  <c r="EF21" i="6"/>
  <c r="FC21" i="6" s="1"/>
  <c r="EF34" i="6"/>
  <c r="FC34" i="6" s="1"/>
  <c r="DV7" i="6"/>
  <c r="EY7" i="6" s="1"/>
  <c r="EJ9" i="6"/>
  <c r="FD9" i="6" s="1"/>
  <c r="CT11" i="6"/>
  <c r="EP11" i="6" s="1"/>
  <c r="EO12" i="6"/>
  <c r="FF12" i="6" s="1"/>
  <c r="CX15" i="6"/>
  <c r="EQ15" i="6" s="1"/>
  <c r="DN15" i="6"/>
  <c r="EW15" i="6" s="1"/>
  <c r="DB19" i="6"/>
  <c r="ER19" i="6" s="1"/>
  <c r="DR19" i="6"/>
  <c r="EX19" i="6" s="1"/>
  <c r="DV23" i="6"/>
  <c r="EY23" i="6" s="1"/>
  <c r="EJ25" i="6"/>
  <c r="FD25" i="6" s="1"/>
  <c r="CT27" i="6"/>
  <c r="EP27" i="6" s="1"/>
  <c r="EO28" i="6"/>
  <c r="FF28" i="6" s="1"/>
  <c r="CX31" i="6"/>
  <c r="EQ31" i="6" s="1"/>
  <c r="DN31" i="6"/>
  <c r="EW31" i="6" s="1"/>
  <c r="DB35" i="6"/>
  <c r="ER35" i="6" s="1"/>
  <c r="DR35" i="6"/>
  <c r="EX35" i="6" s="1"/>
  <c r="EC36" i="6"/>
  <c r="EF36" i="6" s="1"/>
  <c r="FC36" i="6" s="1"/>
  <c r="EJ37" i="6"/>
  <c r="FD37" i="6" s="1"/>
  <c r="DB38" i="6"/>
  <c r="ER38" i="6" s="1"/>
  <c r="DR38" i="6"/>
  <c r="EX38" i="6" s="1"/>
  <c r="DB39" i="6"/>
  <c r="ER39" i="6" s="1"/>
  <c r="DR39" i="6"/>
  <c r="EX39" i="6" s="1"/>
  <c r="CX35" i="6"/>
  <c r="EQ35" i="6" s="1"/>
  <c r="DN35" i="6"/>
  <c r="EW35" i="6" s="1"/>
  <c r="CX38" i="6"/>
  <c r="EQ38" i="6" s="1"/>
  <c r="DN38" i="6"/>
  <c r="EW38" i="6" s="1"/>
  <c r="CX39" i="6"/>
  <c r="EQ39" i="6" s="1"/>
  <c r="DN39" i="6"/>
  <c r="EW39" i="6" s="1"/>
  <c r="CR7" i="5"/>
  <c r="EN7" i="5" s="1"/>
  <c r="CV8" i="5"/>
  <c r="EO8" i="5" s="1"/>
  <c r="DT8" i="5"/>
  <c r="EW8" i="5" s="1"/>
  <c r="EM8" i="5"/>
  <c r="FD8" i="5" s="1"/>
  <c r="EH9" i="5"/>
  <c r="FB9" i="5" s="1"/>
  <c r="EM9" i="5"/>
  <c r="FD9" i="5" s="1"/>
  <c r="DT11" i="5"/>
  <c r="EW11" i="5" s="1"/>
  <c r="EA12" i="5"/>
  <c r="ED12" i="5" s="1"/>
  <c r="FA12" i="5" s="1"/>
  <c r="CR12" i="5"/>
  <c r="EN12" i="5" s="1"/>
  <c r="DP12" i="5"/>
  <c r="EV12" i="5" s="1"/>
  <c r="CZ15" i="5"/>
  <c r="EP15" i="5" s="1"/>
  <c r="DP15" i="5"/>
  <c r="EV15" i="5" s="1"/>
  <c r="DL16" i="5"/>
  <c r="EU16" i="5" s="1"/>
  <c r="EH18" i="5"/>
  <c r="FB18" i="5" s="1"/>
  <c r="ED13" i="5"/>
  <c r="FA13" i="5" s="1"/>
  <c r="ED5" i="5"/>
  <c r="FA5" i="5" s="1"/>
  <c r="EH5" i="5"/>
  <c r="FB5" i="5" s="1"/>
  <c r="EM5" i="5"/>
  <c r="FD5" i="5" s="1"/>
  <c r="DT7" i="5"/>
  <c r="EW7" i="5" s="1"/>
  <c r="EA8" i="5"/>
  <c r="ED8" i="5" s="1"/>
  <c r="FA8" i="5" s="1"/>
  <c r="CR8" i="5"/>
  <c r="EN8" i="5" s="1"/>
  <c r="DP8" i="5"/>
  <c r="EV8" i="5" s="1"/>
  <c r="CZ11" i="5"/>
  <c r="EP11" i="5" s="1"/>
  <c r="DP11" i="5"/>
  <c r="EV11" i="5" s="1"/>
  <c r="DL12" i="5"/>
  <c r="EU12" i="5" s="1"/>
  <c r="EH14" i="5"/>
  <c r="FB14" i="5" s="1"/>
  <c r="CV15" i="5"/>
  <c r="EO15" i="5" s="1"/>
  <c r="DL15" i="5"/>
  <c r="EU15" i="5" s="1"/>
  <c r="CZ16" i="5"/>
  <c r="EP16" i="5" s="1"/>
  <c r="CZ7" i="5"/>
  <c r="EP7" i="5" s="1"/>
  <c r="DP7" i="5"/>
  <c r="EV7" i="5" s="1"/>
  <c r="DL8" i="5"/>
  <c r="EU8" i="5" s="1"/>
  <c r="EH10" i="5"/>
  <c r="FB10" i="5" s="1"/>
  <c r="CV11" i="5"/>
  <c r="EO11" i="5" s="1"/>
  <c r="DL11" i="5"/>
  <c r="EU11" i="5" s="1"/>
  <c r="CZ12" i="5"/>
  <c r="EP12" i="5" s="1"/>
  <c r="CR15" i="5"/>
  <c r="EN15" i="5" s="1"/>
  <c r="CV16" i="5"/>
  <c r="EO16" i="5" s="1"/>
  <c r="DT16" i="5"/>
  <c r="EW16" i="5" s="1"/>
  <c r="EM16" i="5"/>
  <c r="FD16" i="5" s="1"/>
  <c r="EH17" i="5"/>
  <c r="FB17" i="5" s="1"/>
  <c r="EM17" i="5"/>
  <c r="FD17" i="5" s="1"/>
  <c r="H371" i="3"/>
  <c r="E368" i="3"/>
  <c r="E371" i="3" s="1"/>
  <c r="M497" i="3"/>
  <c r="G605" i="3"/>
  <c r="U605" i="3"/>
  <c r="M287" i="3"/>
  <c r="M290" i="3" s="1"/>
  <c r="M296" i="3"/>
  <c r="M299" i="3" s="1"/>
  <c r="E296" i="3"/>
  <c r="E299" i="3" s="1"/>
  <c r="I299" i="3"/>
  <c r="G305" i="3"/>
  <c r="G308" i="3" s="1"/>
  <c r="K308" i="3"/>
  <c r="U305" i="3"/>
  <c r="U308" i="3" s="1"/>
  <c r="H308" i="3"/>
  <c r="E332" i="3"/>
  <c r="E335" i="3" s="1"/>
  <c r="N332" i="3"/>
  <c r="N335" i="3" s="1"/>
  <c r="F332" i="3"/>
  <c r="F335" i="3" s="1"/>
  <c r="S332" i="3"/>
  <c r="S335" i="3" s="1"/>
  <c r="S350" i="3"/>
  <c r="S353" i="3" s="1"/>
  <c r="L974" i="3"/>
  <c r="S296" i="3"/>
  <c r="S299" i="3" s="1"/>
  <c r="I308" i="3"/>
  <c r="F317" i="3"/>
  <c r="L317" i="3"/>
  <c r="I326" i="3"/>
  <c r="G614" i="3"/>
  <c r="U614" i="3"/>
  <c r="S902" i="3"/>
  <c r="K353" i="3"/>
  <c r="U350" i="3"/>
  <c r="U353" i="3" s="1"/>
  <c r="I371" i="3"/>
  <c r="S377" i="3"/>
  <c r="L380" i="3"/>
  <c r="L407" i="3"/>
  <c r="H425" i="3"/>
  <c r="M422" i="3"/>
  <c r="M425" i="3" s="1"/>
  <c r="L434" i="3"/>
  <c r="F476" i="3"/>
  <c r="F479" i="3" s="1"/>
  <c r="S497" i="3"/>
  <c r="I515" i="3"/>
  <c r="M530" i="3"/>
  <c r="I560" i="3"/>
  <c r="K560" i="3"/>
  <c r="N584" i="3"/>
  <c r="N587" i="3" s="1"/>
  <c r="K596" i="3"/>
  <c r="S593" i="3"/>
  <c r="S596" i="3" s="1"/>
  <c r="G593" i="3"/>
  <c r="G596" i="3" s="1"/>
  <c r="L596" i="3"/>
  <c r="H650" i="3"/>
  <c r="E647" i="3"/>
  <c r="E650" i="3" s="1"/>
  <c r="E656" i="3"/>
  <c r="E659" i="3" s="1"/>
  <c r="I659" i="3"/>
  <c r="N656" i="3"/>
  <c r="N659" i="3" s="1"/>
  <c r="M674" i="3"/>
  <c r="M677" i="3" s="1"/>
  <c r="E674" i="3"/>
  <c r="E677" i="3" s="1"/>
  <c r="E764" i="3"/>
  <c r="E767" i="3" s="1"/>
  <c r="I767" i="3"/>
  <c r="N764" i="3"/>
  <c r="N767" i="3" s="1"/>
  <c r="F764" i="3"/>
  <c r="F767" i="3" s="1"/>
  <c r="F773" i="3"/>
  <c r="F776" i="3" s="1"/>
  <c r="S773" i="3"/>
  <c r="S776" i="3" s="1"/>
  <c r="L776" i="3"/>
  <c r="F791" i="3"/>
  <c r="K794" i="3"/>
  <c r="S791" i="3"/>
  <c r="S794" i="3" s="1"/>
  <c r="G791" i="3"/>
  <c r="G794" i="3" s="1"/>
  <c r="H803" i="3"/>
  <c r="S812" i="3"/>
  <c r="M836" i="3"/>
  <c r="M839" i="3" s="1"/>
  <c r="M872" i="3"/>
  <c r="M875" i="3" s="1"/>
  <c r="G899" i="3"/>
  <c r="G902" i="3" s="1"/>
  <c r="K902" i="3"/>
  <c r="U899" i="3"/>
  <c r="U902" i="3" s="1"/>
  <c r="H902" i="3"/>
  <c r="U926" i="3"/>
  <c r="U929" i="3" s="1"/>
  <c r="F935" i="3"/>
  <c r="F938" i="3" s="1"/>
  <c r="S935" i="3"/>
  <c r="S938" i="3" s="1"/>
  <c r="L938" i="3"/>
  <c r="E953" i="3"/>
  <c r="E956" i="3" s="1"/>
  <c r="I956" i="3"/>
  <c r="N953" i="3"/>
  <c r="N956" i="3" s="1"/>
  <c r="F953" i="3"/>
  <c r="F956" i="3" s="1"/>
  <c r="G971" i="3"/>
  <c r="K974" i="3"/>
  <c r="U971" i="3"/>
  <c r="U974" i="3" s="1"/>
  <c r="U341" i="3"/>
  <c r="U344" i="3" s="1"/>
  <c r="U368" i="3"/>
  <c r="H380" i="3"/>
  <c r="U404" i="3"/>
  <c r="U407" i="3" s="1"/>
  <c r="E413" i="3"/>
  <c r="E416" i="3" s="1"/>
  <c r="I416" i="3"/>
  <c r="N413" i="3"/>
  <c r="H461" i="3"/>
  <c r="M458" i="3"/>
  <c r="M461" i="3" s="1"/>
  <c r="G467" i="3"/>
  <c r="G470" i="3" s="1"/>
  <c r="H479" i="3"/>
  <c r="S503" i="3"/>
  <c r="S506" i="3" s="1"/>
  <c r="F512" i="3"/>
  <c r="F515" i="3" s="1"/>
  <c r="S512" i="3"/>
  <c r="S515" i="3" s="1"/>
  <c r="L515" i="3"/>
  <c r="G539" i="3"/>
  <c r="G542" i="3" s="1"/>
  <c r="U539" i="3"/>
  <c r="U542" i="3" s="1"/>
  <c r="U566" i="3"/>
  <c r="U569" i="3" s="1"/>
  <c r="K578" i="3"/>
  <c r="S575" i="3"/>
  <c r="S578" i="3" s="1"/>
  <c r="H632" i="3"/>
  <c r="M629" i="3"/>
  <c r="M632" i="3" s="1"/>
  <c r="S647" i="3"/>
  <c r="S650" i="3" s="1"/>
  <c r="I686" i="3"/>
  <c r="E710" i="3"/>
  <c r="E713" i="3" s="1"/>
  <c r="I713" i="3"/>
  <c r="N710" i="3"/>
  <c r="N713" i="3" s="1"/>
  <c r="U719" i="3"/>
  <c r="U722" i="3" s="1"/>
  <c r="F728" i="3"/>
  <c r="F731" i="3" s="1"/>
  <c r="H758" i="3"/>
  <c r="H776" i="3"/>
  <c r="G782" i="3"/>
  <c r="G785" i="3" s="1"/>
  <c r="H785" i="3"/>
  <c r="E800" i="3"/>
  <c r="I803" i="3"/>
  <c r="N800" i="3"/>
  <c r="N803" i="3" s="1"/>
  <c r="S818" i="3"/>
  <c r="S821" i="3" s="1"/>
  <c r="L821" i="3"/>
  <c r="U827" i="3"/>
  <c r="U830" i="3" s="1"/>
  <c r="S836" i="3"/>
  <c r="S839" i="3" s="1"/>
  <c r="K857" i="3"/>
  <c r="H857" i="3"/>
  <c r="U863" i="3"/>
  <c r="U866" i="3" s="1"/>
  <c r="S872" i="3"/>
  <c r="S875" i="3" s="1"/>
  <c r="L902" i="3"/>
  <c r="H938" i="3"/>
  <c r="M944" i="3"/>
  <c r="M947" i="3" s="1"/>
  <c r="M971" i="3"/>
  <c r="M974" i="3" s="1"/>
  <c r="F53" i="3"/>
  <c r="M398" i="3"/>
  <c r="E404" i="3"/>
  <c r="E407" i="3" s="1"/>
  <c r="U422" i="3"/>
  <c r="U425" i="3" s="1"/>
  <c r="M443" i="3"/>
  <c r="E440" i="3"/>
  <c r="E443" i="3" s="1"/>
  <c r="S458" i="3"/>
  <c r="S461" i="3" s="1"/>
  <c r="M470" i="3"/>
  <c r="E467" i="3"/>
  <c r="E470" i="3" s="1"/>
  <c r="I470" i="3"/>
  <c r="H515" i="3"/>
  <c r="U530" i="3"/>
  <c r="M569" i="3"/>
  <c r="N566" i="3"/>
  <c r="N569" i="3" s="1"/>
  <c r="E566" i="3"/>
  <c r="E569" i="3" s="1"/>
  <c r="F587" i="3"/>
  <c r="K587" i="3"/>
  <c r="S587" i="3"/>
  <c r="G584" i="3"/>
  <c r="L587" i="3"/>
  <c r="H623" i="3"/>
  <c r="H659" i="3"/>
  <c r="F665" i="3"/>
  <c r="F668" i="3" s="1"/>
  <c r="F686" i="3"/>
  <c r="K713" i="3"/>
  <c r="S713" i="3"/>
  <c r="U710" i="3"/>
  <c r="U713" i="3" s="1"/>
  <c r="L713" i="3"/>
  <c r="F719" i="3"/>
  <c r="F722" i="3" s="1"/>
  <c r="L740" i="3"/>
  <c r="U800" i="3"/>
  <c r="U803" i="3" s="1"/>
  <c r="I830" i="3"/>
  <c r="K848" i="3"/>
  <c r="G845" i="3"/>
  <c r="G848" i="3" s="1"/>
  <c r="U845" i="3"/>
  <c r="U848" i="3" s="1"/>
  <c r="I866" i="3"/>
  <c r="G881" i="3"/>
  <c r="G884" i="3" s="1"/>
  <c r="U881" i="3"/>
  <c r="U884" i="3" s="1"/>
  <c r="L884" i="3"/>
  <c r="E890" i="3"/>
  <c r="E893" i="3" s="1"/>
  <c r="I893" i="3"/>
  <c r="E926" i="3"/>
  <c r="E929" i="3" s="1"/>
  <c r="I929" i="3"/>
  <c r="N287" i="3"/>
  <c r="N290" i="3" s="1"/>
  <c r="F287" i="3"/>
  <c r="F290" i="3" s="1"/>
  <c r="N296" i="3"/>
  <c r="N299" i="3" s="1"/>
  <c r="F296" i="3"/>
  <c r="F299" i="3" s="1"/>
  <c r="K317" i="3"/>
  <c r="U314" i="3"/>
  <c r="U317" i="3" s="1"/>
  <c r="H326" i="3"/>
  <c r="E323" i="3"/>
  <c r="E326" i="3" s="1"/>
  <c r="L335" i="3"/>
  <c r="S380" i="3"/>
  <c r="N416" i="3"/>
  <c r="U821" i="3"/>
  <c r="I290" i="3"/>
  <c r="E305" i="3"/>
  <c r="E308" i="3" s="1"/>
  <c r="L308" i="3"/>
  <c r="G314" i="3"/>
  <c r="G317" i="3" s="1"/>
  <c r="M323" i="3"/>
  <c r="M326" i="3" s="1"/>
  <c r="S287" i="3"/>
  <c r="S290" i="3" s="1"/>
  <c r="L290" i="3"/>
  <c r="M314" i="3"/>
  <c r="M317" i="3" s="1"/>
  <c r="N323" i="3"/>
  <c r="N326" i="3" s="1"/>
  <c r="K335" i="3"/>
  <c r="G377" i="3"/>
  <c r="G380" i="3" s="1"/>
  <c r="K380" i="3"/>
  <c r="U377" i="3"/>
  <c r="U380" i="3" s="1"/>
  <c r="L416" i="3"/>
  <c r="U506" i="3"/>
  <c r="E812" i="3"/>
  <c r="E287" i="3"/>
  <c r="E290" i="3" s="1"/>
  <c r="U299" i="3"/>
  <c r="M305" i="3"/>
  <c r="M308" i="3" s="1"/>
  <c r="K290" i="3"/>
  <c r="G287" i="3"/>
  <c r="G290" i="3" s="1"/>
  <c r="N305" i="3"/>
  <c r="N308" i="3" s="1"/>
  <c r="G332" i="3"/>
  <c r="G335" i="3" s="1"/>
  <c r="G296" i="3"/>
  <c r="G299" i="3" s="1"/>
  <c r="K299" i="3"/>
  <c r="F305" i="3"/>
  <c r="F308" i="3" s="1"/>
  <c r="E314" i="3"/>
  <c r="E317" i="3" s="1"/>
  <c r="I317" i="3"/>
  <c r="N314" i="3"/>
  <c r="N317" i="3" s="1"/>
  <c r="S314" i="3"/>
  <c r="S317" i="3" s="1"/>
  <c r="F323" i="3"/>
  <c r="F326" i="3" s="1"/>
  <c r="K326" i="3"/>
  <c r="S323" i="3"/>
  <c r="S326" i="3" s="1"/>
  <c r="G323" i="3"/>
  <c r="G326" i="3" s="1"/>
  <c r="F341" i="3"/>
  <c r="F344" i="3" s="1"/>
  <c r="K344" i="3"/>
  <c r="S341" i="3"/>
  <c r="S344" i="3" s="1"/>
  <c r="G341" i="3"/>
  <c r="G344" i="3" s="1"/>
  <c r="L344" i="3"/>
  <c r="M350" i="3"/>
  <c r="M353" i="3" s="1"/>
  <c r="H362" i="3"/>
  <c r="M359" i="3"/>
  <c r="M362" i="3" s="1"/>
  <c r="N359" i="3"/>
  <c r="N362" i="3" s="1"/>
  <c r="E359" i="3"/>
  <c r="E362" i="3" s="1"/>
  <c r="N368" i="3"/>
  <c r="N371" i="3" s="1"/>
  <c r="H389" i="3"/>
  <c r="M386" i="3"/>
  <c r="M389" i="3" s="1"/>
  <c r="E386" i="3"/>
  <c r="E389" i="3" s="1"/>
  <c r="E395" i="3"/>
  <c r="E398" i="3" s="1"/>
  <c r="I398" i="3"/>
  <c r="N395" i="3"/>
  <c r="N398" i="3" s="1"/>
  <c r="F395" i="3"/>
  <c r="F398" i="3" s="1"/>
  <c r="S398" i="3"/>
  <c r="N404" i="3"/>
  <c r="N407" i="3" s="1"/>
  <c r="L443" i="3"/>
  <c r="U332" i="3"/>
  <c r="U335" i="3" s="1"/>
  <c r="E350" i="3"/>
  <c r="E353" i="3" s="1"/>
  <c r="I353" i="3"/>
  <c r="N350" i="3"/>
  <c r="N353" i="3" s="1"/>
  <c r="F350" i="3"/>
  <c r="F353" i="3" s="1"/>
  <c r="F368" i="3"/>
  <c r="F371" i="3" s="1"/>
  <c r="K371" i="3"/>
  <c r="S368" i="3"/>
  <c r="S371" i="3" s="1"/>
  <c r="M368" i="3"/>
  <c r="M371" i="3" s="1"/>
  <c r="U371" i="3"/>
  <c r="L371" i="3"/>
  <c r="I389" i="3"/>
  <c r="N386" i="3"/>
  <c r="N389" i="3" s="1"/>
  <c r="F404" i="3"/>
  <c r="F407" i="3" s="1"/>
  <c r="S404" i="3"/>
  <c r="S407" i="3" s="1"/>
  <c r="F413" i="3"/>
  <c r="F416" i="3" s="1"/>
  <c r="E422" i="3"/>
  <c r="E425" i="3" s="1"/>
  <c r="I425" i="3"/>
  <c r="N422" i="3"/>
  <c r="N425" i="3" s="1"/>
  <c r="N440" i="3"/>
  <c r="N443" i="3" s="1"/>
  <c r="E449" i="3"/>
  <c r="E452" i="3" s="1"/>
  <c r="I452" i="3"/>
  <c r="N449" i="3"/>
  <c r="N452" i="3" s="1"/>
  <c r="E458" i="3"/>
  <c r="E461" i="3" s="1"/>
  <c r="I461" i="3"/>
  <c r="N458" i="3"/>
  <c r="N461" i="3" s="1"/>
  <c r="F458" i="3"/>
  <c r="F461" i="3" s="1"/>
  <c r="U461" i="3"/>
  <c r="H488" i="3"/>
  <c r="E494" i="3"/>
  <c r="E497" i="3" s="1"/>
  <c r="I497" i="3"/>
  <c r="N494" i="3"/>
  <c r="N497" i="3" s="1"/>
  <c r="F494" i="3"/>
  <c r="F497" i="3" s="1"/>
  <c r="U497" i="3"/>
  <c r="H506" i="3"/>
  <c r="M503" i="3"/>
  <c r="M506" i="3" s="1"/>
  <c r="E503" i="3"/>
  <c r="E506" i="3" s="1"/>
  <c r="K542" i="3"/>
  <c r="G548" i="3"/>
  <c r="G551" i="3" s="1"/>
  <c r="K551" i="3"/>
  <c r="U548" i="3"/>
  <c r="U551" i="3" s="1"/>
  <c r="G587" i="3"/>
  <c r="U593" i="3"/>
  <c r="U596" i="3" s="1"/>
  <c r="H614" i="3"/>
  <c r="F656" i="3"/>
  <c r="F659" i="3" s="1"/>
  <c r="K659" i="3"/>
  <c r="S656" i="3"/>
  <c r="S659" i="3" s="1"/>
  <c r="E701" i="3"/>
  <c r="E704" i="3" s="1"/>
  <c r="I704" i="3"/>
  <c r="N701" i="3"/>
  <c r="N704" i="3" s="1"/>
  <c r="G704" i="3"/>
  <c r="F794" i="3"/>
  <c r="L794" i="3"/>
  <c r="L812" i="3"/>
  <c r="H821" i="3"/>
  <c r="L848" i="3"/>
  <c r="U323" i="3"/>
  <c r="U326" i="3" s="1"/>
  <c r="L326" i="3"/>
  <c r="M332" i="3"/>
  <c r="M335" i="3" s="1"/>
  <c r="H344" i="3"/>
  <c r="M341" i="3"/>
  <c r="M344" i="3" s="1"/>
  <c r="E341" i="3"/>
  <c r="E344" i="3" s="1"/>
  <c r="I344" i="3"/>
  <c r="F359" i="3"/>
  <c r="F362" i="3" s="1"/>
  <c r="S359" i="3"/>
  <c r="S362" i="3" s="1"/>
  <c r="G359" i="3"/>
  <c r="G362" i="3" s="1"/>
  <c r="L362" i="3"/>
  <c r="E377" i="3"/>
  <c r="E380" i="3" s="1"/>
  <c r="I380" i="3"/>
  <c r="N377" i="3"/>
  <c r="N380" i="3" s="1"/>
  <c r="F377" i="3"/>
  <c r="F380" i="3" s="1"/>
  <c r="F386" i="3"/>
  <c r="F389" i="3" s="1"/>
  <c r="K389" i="3"/>
  <c r="S386" i="3"/>
  <c r="S389" i="3" s="1"/>
  <c r="G386" i="3"/>
  <c r="G389" i="3" s="1"/>
  <c r="U386" i="3"/>
  <c r="U389" i="3" s="1"/>
  <c r="L389" i="3"/>
  <c r="G395" i="3"/>
  <c r="G398" i="3" s="1"/>
  <c r="K398" i="3"/>
  <c r="U395" i="3"/>
  <c r="U398" i="3" s="1"/>
  <c r="G404" i="3"/>
  <c r="G407" i="3" s="1"/>
  <c r="K407" i="3"/>
  <c r="G413" i="3"/>
  <c r="G416" i="3" s="1"/>
  <c r="K416" i="3"/>
  <c r="U413" i="3"/>
  <c r="U416" i="3" s="1"/>
  <c r="F422" i="3"/>
  <c r="F425" i="3" s="1"/>
  <c r="K425" i="3"/>
  <c r="S422" i="3"/>
  <c r="S425" i="3" s="1"/>
  <c r="G422" i="3"/>
  <c r="G425" i="3" s="1"/>
  <c r="L425" i="3"/>
  <c r="G431" i="3"/>
  <c r="G434" i="3" s="1"/>
  <c r="K434" i="3"/>
  <c r="F440" i="3"/>
  <c r="F443" i="3" s="1"/>
  <c r="F449" i="3"/>
  <c r="F452" i="3" s="1"/>
  <c r="K452" i="3"/>
  <c r="S449" i="3"/>
  <c r="S452" i="3" s="1"/>
  <c r="G449" i="3"/>
  <c r="G452" i="3" s="1"/>
  <c r="G476" i="3"/>
  <c r="G479" i="3" s="1"/>
  <c r="K479" i="3"/>
  <c r="U476" i="3"/>
  <c r="U479" i="3" s="1"/>
  <c r="E485" i="3"/>
  <c r="E488" i="3" s="1"/>
  <c r="I488" i="3"/>
  <c r="N485" i="3"/>
  <c r="N488" i="3" s="1"/>
  <c r="E512" i="3"/>
  <c r="E515" i="3" s="1"/>
  <c r="N512" i="3"/>
  <c r="N515" i="3" s="1"/>
  <c r="H524" i="3"/>
  <c r="M521" i="3"/>
  <c r="M524" i="3" s="1"/>
  <c r="E530" i="3"/>
  <c r="N530" i="3"/>
  <c r="F530" i="3"/>
  <c r="S530" i="3"/>
  <c r="H542" i="3"/>
  <c r="M539" i="3"/>
  <c r="M542" i="3" s="1"/>
  <c r="E539" i="3"/>
  <c r="E542" i="3" s="1"/>
  <c r="I542" i="3"/>
  <c r="L542" i="3"/>
  <c r="N575" i="3"/>
  <c r="N578" i="3" s="1"/>
  <c r="H587" i="3"/>
  <c r="H596" i="3"/>
  <c r="M593" i="3"/>
  <c r="E629" i="3"/>
  <c r="E632" i="3" s="1"/>
  <c r="I632" i="3"/>
  <c r="N629" i="3"/>
  <c r="N632" i="3" s="1"/>
  <c r="F629" i="3"/>
  <c r="F632" i="3" s="1"/>
  <c r="G656" i="3"/>
  <c r="G659" i="3" s="1"/>
  <c r="S686" i="3"/>
  <c r="M710" i="3"/>
  <c r="M713" i="3" s="1"/>
  <c r="E737" i="3"/>
  <c r="E740" i="3" s="1"/>
  <c r="I740" i="3"/>
  <c r="G746" i="3"/>
  <c r="G749" i="3" s="1"/>
  <c r="K749" i="3"/>
  <c r="U746" i="3"/>
  <c r="U749" i="3" s="1"/>
  <c r="G773" i="3"/>
  <c r="G776" i="3" s="1"/>
  <c r="K776" i="3"/>
  <c r="M773" i="3"/>
  <c r="M776" i="3" s="1"/>
  <c r="U773" i="3"/>
  <c r="U776" i="3" s="1"/>
  <c r="E803" i="3"/>
  <c r="F800" i="3"/>
  <c r="F803" i="3" s="1"/>
  <c r="K884" i="3"/>
  <c r="S929" i="3"/>
  <c r="S962" i="3"/>
  <c r="S965" i="3" s="1"/>
  <c r="I407" i="3"/>
  <c r="M413" i="3"/>
  <c r="M416" i="3" s="1"/>
  <c r="H434" i="3"/>
  <c r="M431" i="3"/>
  <c r="M434" i="3" s="1"/>
  <c r="G440" i="3"/>
  <c r="G443" i="3" s="1"/>
  <c r="K443" i="3"/>
  <c r="E551" i="3"/>
  <c r="N557" i="3"/>
  <c r="N560" i="3" s="1"/>
  <c r="E557" i="3"/>
  <c r="E560" i="3" s="1"/>
  <c r="F575" i="3"/>
  <c r="F578" i="3" s="1"/>
  <c r="L578" i="3"/>
  <c r="M647" i="3"/>
  <c r="M650" i="3" s="1"/>
  <c r="H695" i="3"/>
  <c r="F710" i="3"/>
  <c r="F713" i="3" s="1"/>
  <c r="N719" i="3"/>
  <c r="N722" i="3" s="1"/>
  <c r="N890" i="3"/>
  <c r="N893" i="3" s="1"/>
  <c r="L929" i="3"/>
  <c r="G935" i="3"/>
  <c r="G938" i="3" s="1"/>
  <c r="K938" i="3"/>
  <c r="U935" i="3"/>
  <c r="U938" i="3" s="1"/>
  <c r="F962" i="3"/>
  <c r="F965" i="3" s="1"/>
  <c r="L965" i="3"/>
  <c r="H605" i="3"/>
  <c r="M602" i="3"/>
  <c r="M605" i="3" s="1"/>
  <c r="E602" i="3"/>
  <c r="E605" i="3" s="1"/>
  <c r="E620" i="3"/>
  <c r="E623" i="3" s="1"/>
  <c r="I623" i="3"/>
  <c r="N620" i="3"/>
  <c r="N623" i="3" s="1"/>
  <c r="U632" i="3"/>
  <c r="L632" i="3"/>
  <c r="G638" i="3"/>
  <c r="G641" i="3" s="1"/>
  <c r="K641" i="3"/>
  <c r="N647" i="3"/>
  <c r="N650" i="3" s="1"/>
  <c r="U656" i="3"/>
  <c r="U659" i="3" s="1"/>
  <c r="E665" i="3"/>
  <c r="E668" i="3" s="1"/>
  <c r="I668" i="3"/>
  <c r="N665" i="3"/>
  <c r="N668" i="3" s="1"/>
  <c r="H686" i="3"/>
  <c r="M683" i="3"/>
  <c r="M686" i="3" s="1"/>
  <c r="E683" i="3"/>
  <c r="E686" i="3" s="1"/>
  <c r="I695" i="3"/>
  <c r="F701" i="3"/>
  <c r="F704" i="3" s="1"/>
  <c r="K704" i="3"/>
  <c r="G710" i="3"/>
  <c r="G713" i="3" s="1"/>
  <c r="K722" i="3"/>
  <c r="S719" i="3"/>
  <c r="S722" i="3" s="1"/>
  <c r="M746" i="3"/>
  <c r="M749" i="3" s="1"/>
  <c r="S764" i="3"/>
  <c r="S767" i="3" s="1"/>
  <c r="L767" i="3"/>
  <c r="U791" i="3"/>
  <c r="U794" i="3" s="1"/>
  <c r="H830" i="3"/>
  <c r="M827" i="3"/>
  <c r="M830" i="3" s="1"/>
  <c r="E827" i="3"/>
  <c r="E830" i="3" s="1"/>
  <c r="E836" i="3"/>
  <c r="E839" i="3" s="1"/>
  <c r="I839" i="3"/>
  <c r="N836" i="3"/>
  <c r="N839" i="3" s="1"/>
  <c r="F836" i="3"/>
  <c r="F839" i="3" s="1"/>
  <c r="H866" i="3"/>
  <c r="M863" i="3"/>
  <c r="M866" i="3" s="1"/>
  <c r="E863" i="3"/>
  <c r="E866" i="3" s="1"/>
  <c r="E872" i="3"/>
  <c r="E875" i="3" s="1"/>
  <c r="I875" i="3"/>
  <c r="N872" i="3"/>
  <c r="N875" i="3" s="1"/>
  <c r="F872" i="3"/>
  <c r="F875" i="3" s="1"/>
  <c r="H911" i="3"/>
  <c r="M908" i="3"/>
  <c r="M911" i="3" s="1"/>
  <c r="E917" i="3"/>
  <c r="E920" i="3" s="1"/>
  <c r="I920" i="3"/>
  <c r="N917" i="3"/>
  <c r="N920" i="3" s="1"/>
  <c r="F917" i="3"/>
  <c r="F920" i="3" s="1"/>
  <c r="N926" i="3"/>
  <c r="N929" i="3" s="1"/>
  <c r="K470" i="3"/>
  <c r="I479" i="3"/>
  <c r="F485" i="3"/>
  <c r="F488" i="3" s="1"/>
  <c r="K488" i="3"/>
  <c r="S485" i="3"/>
  <c r="S488" i="3" s="1"/>
  <c r="G485" i="3"/>
  <c r="G488" i="3" s="1"/>
  <c r="U485" i="3"/>
  <c r="U488" i="3" s="1"/>
  <c r="G494" i="3"/>
  <c r="G497" i="3" s="1"/>
  <c r="K497" i="3"/>
  <c r="M512" i="3"/>
  <c r="M515" i="3" s="1"/>
  <c r="F521" i="3"/>
  <c r="F524" i="3" s="1"/>
  <c r="K524" i="3"/>
  <c r="S521" i="3"/>
  <c r="S524" i="3" s="1"/>
  <c r="G521" i="3"/>
  <c r="G524" i="3" s="1"/>
  <c r="U521" i="3"/>
  <c r="U524" i="3" s="1"/>
  <c r="L524" i="3"/>
  <c r="G530" i="3"/>
  <c r="F539" i="3"/>
  <c r="F542" i="3" s="1"/>
  <c r="M548" i="3"/>
  <c r="M551" i="3" s="1"/>
  <c r="F557" i="3"/>
  <c r="F560" i="3" s="1"/>
  <c r="S557" i="3"/>
  <c r="S560" i="3" s="1"/>
  <c r="G557" i="3"/>
  <c r="G560" i="3" s="1"/>
  <c r="U557" i="3"/>
  <c r="U560" i="3" s="1"/>
  <c r="I569" i="3"/>
  <c r="F566" i="3"/>
  <c r="F569" i="3" s="1"/>
  <c r="S566" i="3"/>
  <c r="S569" i="3" s="1"/>
  <c r="E584" i="3"/>
  <c r="E587" i="3" s="1"/>
  <c r="I587" i="3"/>
  <c r="E593" i="3"/>
  <c r="E596" i="3" s="1"/>
  <c r="I596" i="3"/>
  <c r="N593" i="3"/>
  <c r="N596" i="3" s="1"/>
  <c r="F593" i="3"/>
  <c r="F596" i="3" s="1"/>
  <c r="F611" i="3"/>
  <c r="F614" i="3" s="1"/>
  <c r="F620" i="3"/>
  <c r="F623" i="3" s="1"/>
  <c r="K623" i="3"/>
  <c r="S620" i="3"/>
  <c r="S623" i="3" s="1"/>
  <c r="G620" i="3"/>
  <c r="G623" i="3" s="1"/>
  <c r="L623" i="3"/>
  <c r="H641" i="3"/>
  <c r="M638" i="3"/>
  <c r="M641" i="3" s="1"/>
  <c r="E638" i="3"/>
  <c r="E641" i="3" s="1"/>
  <c r="I641" i="3"/>
  <c r="F647" i="3"/>
  <c r="F650" i="3" s="1"/>
  <c r="M656" i="3"/>
  <c r="M659" i="3" s="1"/>
  <c r="K668" i="3"/>
  <c r="G665" i="3"/>
  <c r="G668" i="3" s="1"/>
  <c r="L668" i="3"/>
  <c r="F692" i="3"/>
  <c r="F695" i="3" s="1"/>
  <c r="L695" i="3"/>
  <c r="H713" i="3"/>
  <c r="E755" i="3"/>
  <c r="E758" i="3" s="1"/>
  <c r="I758" i="3"/>
  <c r="N755" i="3"/>
  <c r="N758" i="3" s="1"/>
  <c r="G764" i="3"/>
  <c r="G767" i="3" s="1"/>
  <c r="K767" i="3"/>
  <c r="N773" i="3"/>
  <c r="N776" i="3" s="1"/>
  <c r="E782" i="3"/>
  <c r="E785" i="3" s="1"/>
  <c r="I785" i="3"/>
  <c r="N782" i="3"/>
  <c r="N785" i="3" s="1"/>
  <c r="H794" i="3"/>
  <c r="M791" i="3"/>
  <c r="M794" i="3" s="1"/>
  <c r="M800" i="3"/>
  <c r="M803" i="3" s="1"/>
  <c r="G809" i="3"/>
  <c r="K812" i="3"/>
  <c r="F818" i="3"/>
  <c r="F821" i="3" s="1"/>
  <c r="N827" i="3"/>
  <c r="N830" i="3" s="1"/>
  <c r="H848" i="3"/>
  <c r="M845" i="3"/>
  <c r="M848" i="3" s="1"/>
  <c r="E845" i="3"/>
  <c r="E848" i="3" s="1"/>
  <c r="I857" i="3"/>
  <c r="S857" i="3"/>
  <c r="N863" i="3"/>
  <c r="N866" i="3" s="1"/>
  <c r="E944" i="3"/>
  <c r="E947" i="3" s="1"/>
  <c r="I947" i="3"/>
  <c r="N944" i="3"/>
  <c r="N947" i="3" s="1"/>
  <c r="S953" i="3"/>
  <c r="S956" i="3" s="1"/>
  <c r="L956" i="3"/>
  <c r="G974" i="3"/>
  <c r="H974" i="3"/>
  <c r="H884" i="3"/>
  <c r="M881" i="3"/>
  <c r="M884" i="3" s="1"/>
  <c r="N881" i="3"/>
  <c r="N884" i="3" s="1"/>
  <c r="E881" i="3"/>
  <c r="E884" i="3" s="1"/>
  <c r="F890" i="3"/>
  <c r="F893" i="3" s="1"/>
  <c r="E908" i="3"/>
  <c r="E911" i="3" s="1"/>
  <c r="I911" i="3"/>
  <c r="N908" i="3"/>
  <c r="N911" i="3" s="1"/>
  <c r="S917" i="3"/>
  <c r="S920" i="3" s="1"/>
  <c r="L920" i="3"/>
  <c r="F926" i="3"/>
  <c r="F929" i="3" s="1"/>
  <c r="M935" i="3"/>
  <c r="M938" i="3" s="1"/>
  <c r="F944" i="3"/>
  <c r="F947" i="3" s="1"/>
  <c r="K947" i="3"/>
  <c r="S944" i="3"/>
  <c r="S947" i="3" s="1"/>
  <c r="G944" i="3"/>
  <c r="G947" i="3" s="1"/>
  <c r="L947" i="3"/>
  <c r="G953" i="3"/>
  <c r="G956" i="3" s="1"/>
  <c r="K956" i="3"/>
  <c r="G962" i="3"/>
  <c r="G965" i="3" s="1"/>
  <c r="K965" i="3"/>
  <c r="E971" i="3"/>
  <c r="E974" i="3" s="1"/>
  <c r="I974" i="3"/>
  <c r="N971" i="3"/>
  <c r="N974" i="3" s="1"/>
  <c r="G719" i="3"/>
  <c r="G722" i="3" s="1"/>
  <c r="L722" i="3"/>
  <c r="H731" i="3"/>
  <c r="M728" i="3"/>
  <c r="M731" i="3" s="1"/>
  <c r="E728" i="3"/>
  <c r="E731" i="3" s="1"/>
  <c r="G737" i="3"/>
  <c r="G740" i="3" s="1"/>
  <c r="K740" i="3"/>
  <c r="U737" i="3"/>
  <c r="U740" i="3" s="1"/>
  <c r="I749" i="3"/>
  <c r="H767" i="3"/>
  <c r="E773" i="3"/>
  <c r="E776" i="3" s="1"/>
  <c r="F782" i="3"/>
  <c r="F785" i="3" s="1"/>
  <c r="K785" i="3"/>
  <c r="S782" i="3"/>
  <c r="S785" i="3" s="1"/>
  <c r="E791" i="3"/>
  <c r="E794" i="3" s="1"/>
  <c r="I794" i="3"/>
  <c r="N791" i="3"/>
  <c r="N794" i="3" s="1"/>
  <c r="I821" i="3"/>
  <c r="F827" i="3"/>
  <c r="F830" i="3" s="1"/>
  <c r="K830" i="3"/>
  <c r="S827" i="3"/>
  <c r="S830" i="3" s="1"/>
  <c r="G827" i="3"/>
  <c r="G830" i="3" s="1"/>
  <c r="L830" i="3"/>
  <c r="G836" i="3"/>
  <c r="G839" i="3" s="1"/>
  <c r="K839" i="3"/>
  <c r="U836" i="3"/>
  <c r="U839" i="3" s="1"/>
  <c r="H839" i="3"/>
  <c r="N845" i="3"/>
  <c r="N848" i="3" s="1"/>
  <c r="F863" i="3"/>
  <c r="F866" i="3" s="1"/>
  <c r="K866" i="3"/>
  <c r="S863" i="3"/>
  <c r="S866" i="3" s="1"/>
  <c r="G863" i="3"/>
  <c r="G866" i="3" s="1"/>
  <c r="L866" i="3"/>
  <c r="G872" i="3"/>
  <c r="G875" i="3" s="1"/>
  <c r="K875" i="3"/>
  <c r="U872" i="3"/>
  <c r="U875" i="3" s="1"/>
  <c r="H875" i="3"/>
  <c r="I884" i="3"/>
  <c r="G890" i="3"/>
  <c r="G893" i="3" s="1"/>
  <c r="K893" i="3"/>
  <c r="U890" i="3"/>
  <c r="U893" i="3" s="1"/>
  <c r="E899" i="3"/>
  <c r="E902" i="3" s="1"/>
  <c r="I902" i="3"/>
  <c r="F908" i="3"/>
  <c r="F911" i="3" s="1"/>
  <c r="K911" i="3"/>
  <c r="S908" i="3"/>
  <c r="S911" i="3" s="1"/>
  <c r="G908" i="3"/>
  <c r="G911" i="3" s="1"/>
  <c r="L911" i="3"/>
  <c r="G917" i="3"/>
  <c r="G920" i="3" s="1"/>
  <c r="K920" i="3"/>
  <c r="G926" i="3"/>
  <c r="G929" i="3" s="1"/>
  <c r="K929" i="3"/>
  <c r="E935" i="3"/>
  <c r="E938" i="3" s="1"/>
  <c r="I938" i="3"/>
  <c r="N935" i="3"/>
  <c r="N938" i="3" s="1"/>
  <c r="U944" i="3"/>
  <c r="U947" i="3" s="1"/>
  <c r="H956" i="3"/>
  <c r="M953" i="3"/>
  <c r="M956" i="3" s="1"/>
  <c r="H965" i="3"/>
  <c r="M962" i="3"/>
  <c r="M965" i="3" s="1"/>
  <c r="E962" i="3"/>
  <c r="E965" i="3" s="1"/>
  <c r="I965" i="3"/>
  <c r="F971" i="3"/>
  <c r="F974" i="3" s="1"/>
  <c r="M899" i="3"/>
  <c r="M902" i="3" s="1"/>
  <c r="N899" i="3"/>
  <c r="N902" i="3" s="1"/>
  <c r="H677" i="3"/>
  <c r="U584" i="3"/>
  <c r="U587" i="3" s="1"/>
  <c r="N602" i="3"/>
  <c r="N605" i="3" s="1"/>
  <c r="F602" i="3"/>
  <c r="F605" i="3" s="1"/>
  <c r="L605" i="3"/>
  <c r="K632" i="3"/>
  <c r="S629" i="3"/>
  <c r="S632" i="3" s="1"/>
  <c r="G629" i="3"/>
  <c r="G632" i="3" s="1"/>
  <c r="N638" i="3"/>
  <c r="N641" i="3" s="1"/>
  <c r="F638" i="3"/>
  <c r="F641" i="3" s="1"/>
  <c r="S641" i="3"/>
  <c r="L641" i="3"/>
  <c r="I677" i="3"/>
  <c r="N674" i="3"/>
  <c r="N677" i="3" s="1"/>
  <c r="F674" i="3"/>
  <c r="F677" i="3" s="1"/>
  <c r="L785" i="3"/>
  <c r="U575" i="3"/>
  <c r="U578" i="3" s="1"/>
  <c r="M584" i="3"/>
  <c r="M587" i="3" s="1"/>
  <c r="M596" i="3"/>
  <c r="M611" i="3"/>
  <c r="M614" i="3" s="1"/>
  <c r="E611" i="3"/>
  <c r="E614" i="3" s="1"/>
  <c r="U620" i="3"/>
  <c r="U623" i="3" s="1"/>
  <c r="L659" i="3"/>
  <c r="U812" i="3"/>
  <c r="L560" i="3"/>
  <c r="G566" i="3"/>
  <c r="G569" i="3" s="1"/>
  <c r="K569" i="3"/>
  <c r="M575" i="3"/>
  <c r="M578" i="3" s="1"/>
  <c r="S605" i="3"/>
  <c r="N611" i="3"/>
  <c r="N614" i="3" s="1"/>
  <c r="M620" i="3"/>
  <c r="M623" i="3" s="1"/>
  <c r="U650" i="3"/>
  <c r="G686" i="3"/>
  <c r="U686" i="3"/>
  <c r="S665" i="3"/>
  <c r="S668" i="3" s="1"/>
  <c r="M692" i="3"/>
  <c r="M695" i="3" s="1"/>
  <c r="S701" i="3"/>
  <c r="S704" i="3" s="1"/>
  <c r="L704" i="3"/>
  <c r="I731" i="3"/>
  <c r="N728" i="3"/>
  <c r="N731" i="3" s="1"/>
  <c r="G812" i="3"/>
  <c r="M818" i="3"/>
  <c r="M821" i="3" s="1"/>
  <c r="U665" i="3"/>
  <c r="U668" i="3" s="1"/>
  <c r="S674" i="3"/>
  <c r="S677" i="3" s="1"/>
  <c r="L677" i="3"/>
  <c r="N683" i="3"/>
  <c r="N686" i="3" s="1"/>
  <c r="E692" i="3"/>
  <c r="E695" i="3" s="1"/>
  <c r="N692" i="3"/>
  <c r="N695" i="3" s="1"/>
  <c r="U701" i="3"/>
  <c r="U704" i="3" s="1"/>
  <c r="S740" i="3"/>
  <c r="H812" i="3"/>
  <c r="M809" i="3"/>
  <c r="M812" i="3" s="1"/>
  <c r="M665" i="3"/>
  <c r="M668" i="3" s="1"/>
  <c r="G674" i="3"/>
  <c r="G677" i="3" s="1"/>
  <c r="K677" i="3"/>
  <c r="E722" i="3"/>
  <c r="S728" i="3"/>
  <c r="S731" i="3" s="1"/>
  <c r="L731" i="3"/>
  <c r="N737" i="3"/>
  <c r="N740" i="3" s="1"/>
  <c r="E746" i="3"/>
  <c r="E749" i="3" s="1"/>
  <c r="N746" i="3"/>
  <c r="N749" i="3" s="1"/>
  <c r="U755" i="3"/>
  <c r="U758" i="3" s="1"/>
  <c r="U782" i="3"/>
  <c r="U785" i="3" s="1"/>
  <c r="S800" i="3"/>
  <c r="S803" i="3" s="1"/>
  <c r="L803" i="3"/>
  <c r="N809" i="3"/>
  <c r="N812" i="3" s="1"/>
  <c r="E818" i="3"/>
  <c r="E821" i="3" s="1"/>
  <c r="N818" i="3"/>
  <c r="N821" i="3" s="1"/>
  <c r="G728" i="3"/>
  <c r="G731" i="3" s="1"/>
  <c r="K731" i="3"/>
  <c r="F737" i="3"/>
  <c r="F740" i="3" s="1"/>
  <c r="M755" i="3"/>
  <c r="M758" i="3" s="1"/>
  <c r="M782" i="3"/>
  <c r="M785" i="3" s="1"/>
  <c r="G800" i="3"/>
  <c r="G803" i="3" s="1"/>
  <c r="K803" i="3"/>
  <c r="F809" i="3"/>
  <c r="F812" i="3" s="1"/>
  <c r="I362" i="3"/>
  <c r="M377" i="3"/>
  <c r="M380" i="3" s="1"/>
  <c r="K362" i="3"/>
  <c r="U359" i="3"/>
  <c r="U362" i="3" s="1"/>
  <c r="L488" i="3"/>
  <c r="I443" i="3"/>
  <c r="G458" i="3"/>
  <c r="G461" i="3" s="1"/>
  <c r="K461" i="3"/>
  <c r="N467" i="3"/>
  <c r="N470" i="3" s="1"/>
  <c r="L470" i="3"/>
  <c r="M476" i="3"/>
  <c r="M479" i="3" s="1"/>
  <c r="F467" i="3"/>
  <c r="F470" i="3" s="1"/>
  <c r="E476" i="3"/>
  <c r="E479" i="3" s="1"/>
  <c r="N476" i="3"/>
  <c r="N479" i="3" s="1"/>
  <c r="M485" i="3"/>
  <c r="M488" i="3" s="1"/>
  <c r="N503" i="3"/>
  <c r="N506" i="3" s="1"/>
  <c r="L506" i="3"/>
  <c r="U452" i="3"/>
  <c r="L452" i="3"/>
  <c r="F503" i="3"/>
  <c r="F506" i="3" s="1"/>
  <c r="EB5" i="7" l="1"/>
  <c r="EY5" i="7" s="1"/>
  <c r="EB30" i="7"/>
  <c r="EY30" i="7" s="1"/>
  <c r="EB15" i="7"/>
  <c r="EY15" i="7" s="1"/>
  <c r="EB29" i="7"/>
  <c r="EY29" i="7" s="1"/>
  <c r="R38" i="11"/>
  <c r="V38" i="11" s="1"/>
  <c r="R353" i="11"/>
  <c r="V353" i="11" s="1"/>
  <c r="FG14" i="6"/>
  <c r="EB12" i="7"/>
  <c r="EY12" i="7" s="1"/>
  <c r="FC12" i="7" s="1"/>
  <c r="EB25" i="7"/>
  <c r="EY25" i="7" s="1"/>
  <c r="R20" i="11"/>
  <c r="V20" i="11" s="1"/>
  <c r="R272" i="11"/>
  <c r="V272" i="11" s="1"/>
  <c r="R263" i="11"/>
  <c r="V263" i="11" s="1"/>
  <c r="R200" i="11"/>
  <c r="V200" i="11" s="1"/>
  <c r="EB36" i="7"/>
  <c r="EY36" i="7" s="1"/>
  <c r="R29" i="11"/>
  <c r="V29" i="11" s="1"/>
  <c r="R362" i="11"/>
  <c r="V362" i="11" s="1"/>
  <c r="R182" i="11"/>
  <c r="V182" i="11" s="1"/>
  <c r="EB19" i="7"/>
  <c r="EY19" i="7" s="1"/>
  <c r="EB37" i="7"/>
  <c r="EY37" i="7" s="1"/>
  <c r="EB16" i="7"/>
  <c r="EY16" i="7" s="1"/>
  <c r="EB6" i="7"/>
  <c r="EY6" i="7" s="1"/>
  <c r="FC6" i="7" s="1"/>
  <c r="EB42" i="7"/>
  <c r="EY42" i="7" s="1"/>
  <c r="FC42" i="7" s="1"/>
  <c r="EB9" i="7"/>
  <c r="EY9" i="7" s="1"/>
  <c r="FC9" i="7" s="1"/>
  <c r="EB11" i="7"/>
  <c r="EY11" i="7" s="1"/>
  <c r="FC11" i="7" s="1"/>
  <c r="EB32" i="7"/>
  <c r="EY32" i="7" s="1"/>
  <c r="FC32" i="7" s="1"/>
  <c r="EB22" i="7"/>
  <c r="EY22" i="7" s="1"/>
  <c r="FG17" i="6"/>
  <c r="FG35" i="6"/>
  <c r="FG41" i="6"/>
  <c r="FG16" i="6"/>
  <c r="FG42" i="6"/>
  <c r="FG30" i="6"/>
  <c r="FG26" i="6"/>
  <c r="FG24" i="6"/>
  <c r="FG10" i="6"/>
  <c r="FG25" i="6"/>
  <c r="FG37" i="6"/>
  <c r="FG31" i="6"/>
  <c r="FG9" i="6"/>
  <c r="FG21" i="6"/>
  <c r="FG22" i="6"/>
  <c r="FG33" i="6"/>
  <c r="FG20" i="6"/>
  <c r="FG13" i="6"/>
  <c r="FG18" i="6"/>
  <c r="FG39" i="6"/>
  <c r="FG44" i="6"/>
  <c r="FG28" i="6"/>
  <c r="FG15" i="6"/>
  <c r="FG8" i="6"/>
  <c r="FG6" i="6"/>
  <c r="FG36" i="6"/>
  <c r="FG32" i="6"/>
  <c r="FG27" i="6"/>
  <c r="FG12" i="6"/>
  <c r="FG5" i="6"/>
  <c r="FG40" i="6"/>
  <c r="FG29" i="6"/>
  <c r="FG43" i="6"/>
  <c r="FG38" i="6"/>
  <c r="FG23" i="6"/>
  <c r="FG34" i="6"/>
  <c r="FC36" i="7"/>
  <c r="FC41" i="7"/>
  <c r="FC14" i="7"/>
  <c r="FC5" i="7"/>
  <c r="FC26" i="7"/>
  <c r="FC37" i="7"/>
  <c r="FC20" i="7"/>
  <c r="FC31" i="7"/>
  <c r="FC27" i="7"/>
  <c r="FC28" i="7"/>
  <c r="FC24" i="7"/>
  <c r="FC22" i="7"/>
  <c r="FC21" i="7"/>
  <c r="FC35" i="7"/>
  <c r="FC29" i="7"/>
  <c r="FC23" i="7"/>
  <c r="FC18" i="7"/>
  <c r="FC38" i="7"/>
  <c r="FC16" i="7"/>
  <c r="FC8" i="7"/>
  <c r="FC17" i="7"/>
  <c r="FC39" i="7"/>
  <c r="FC10" i="7"/>
  <c r="FC34" i="7"/>
  <c r="FC30" i="7"/>
  <c r="FC7" i="7"/>
  <c r="FC43" i="7"/>
  <c r="FC40" i="7"/>
  <c r="FC25" i="7"/>
  <c r="FC19" i="7"/>
  <c r="FC15" i="7"/>
  <c r="FC13" i="7"/>
  <c r="FE6" i="5"/>
  <c r="FE9" i="5"/>
  <c r="FE13" i="5"/>
  <c r="FE16" i="5"/>
  <c r="FE11" i="5"/>
  <c r="FE14" i="5"/>
  <c r="FE17" i="5"/>
  <c r="FE15" i="5"/>
  <c r="FE10" i="5"/>
  <c r="FE8" i="5"/>
  <c r="FE18" i="5"/>
  <c r="FE5" i="5"/>
  <c r="FG7" i="6"/>
  <c r="FG11" i="6"/>
  <c r="FG19" i="6"/>
  <c r="FE7" i="5"/>
  <c r="FE12" i="5"/>
  <c r="T281" i="3" l="1"/>
  <c r="L278" i="3"/>
  <c r="S278" i="3"/>
  <c r="Q281" i="3"/>
  <c r="P281" i="3"/>
  <c r="O281" i="3"/>
  <c r="J281" i="3"/>
  <c r="F278" i="3"/>
  <c r="T272" i="3"/>
  <c r="L269" i="3"/>
  <c r="L272" i="3" s="1"/>
  <c r="G269" i="3"/>
  <c r="G272" i="3" s="1"/>
  <c r="S269" i="3"/>
  <c r="S272" i="3" s="1"/>
  <c r="K272" i="3"/>
  <c r="Q272" i="3"/>
  <c r="P272" i="3"/>
  <c r="O272" i="3"/>
  <c r="J272" i="3"/>
  <c r="H272" i="3"/>
  <c r="F269" i="3"/>
  <c r="F272" i="3" s="1"/>
  <c r="T263" i="3"/>
  <c r="L260" i="3"/>
  <c r="U260" i="3"/>
  <c r="U263" i="3" s="1"/>
  <c r="Q263" i="3"/>
  <c r="P263" i="3"/>
  <c r="O263" i="3"/>
  <c r="J263" i="3"/>
  <c r="T254" i="3"/>
  <c r="L251" i="3"/>
  <c r="L254" i="3" s="1"/>
  <c r="Q254" i="3"/>
  <c r="P254" i="3"/>
  <c r="O254" i="3"/>
  <c r="N251" i="3"/>
  <c r="N254" i="3" s="1"/>
  <c r="J254" i="3"/>
  <c r="I254" i="3"/>
  <c r="E251" i="3"/>
  <c r="T245" i="3"/>
  <c r="L242" i="3"/>
  <c r="L245" i="3" s="1"/>
  <c r="H245" i="3"/>
  <c r="U242" i="3"/>
  <c r="U245" i="3" s="1"/>
  <c r="Q245" i="3"/>
  <c r="P245" i="3"/>
  <c r="O245" i="3"/>
  <c r="N242" i="3"/>
  <c r="N245" i="3" s="1"/>
  <c r="J245" i="3"/>
  <c r="I245" i="3"/>
  <c r="E242" i="3"/>
  <c r="E245" i="3" s="1"/>
  <c r="T236" i="3"/>
  <c r="L233" i="3"/>
  <c r="L236" i="3" s="1"/>
  <c r="H236" i="3"/>
  <c r="U233" i="3"/>
  <c r="U236" i="3" s="1"/>
  <c r="Q236" i="3"/>
  <c r="P236" i="3"/>
  <c r="O236" i="3"/>
  <c r="N233" i="3"/>
  <c r="N236" i="3" s="1"/>
  <c r="J236" i="3"/>
  <c r="I236" i="3"/>
  <c r="E233" i="3"/>
  <c r="E236" i="3" s="1"/>
  <c r="U226" i="3"/>
  <c r="S226" i="3"/>
  <c r="R226" i="3"/>
  <c r="N226" i="3"/>
  <c r="M226" i="3"/>
  <c r="L226" i="3"/>
  <c r="G226" i="3"/>
  <c r="F226" i="3"/>
  <c r="E226" i="3"/>
  <c r="T227" i="3"/>
  <c r="L224" i="3"/>
  <c r="G224" i="3"/>
  <c r="S224" i="3"/>
  <c r="S227" i="3" s="1"/>
  <c r="K227" i="3"/>
  <c r="Q227" i="3"/>
  <c r="P227" i="3"/>
  <c r="O227" i="3"/>
  <c r="J227" i="3"/>
  <c r="H227" i="3"/>
  <c r="F224" i="3"/>
  <c r="T218" i="3"/>
  <c r="L215" i="3"/>
  <c r="L218" i="3" s="1"/>
  <c r="Q218" i="3"/>
  <c r="P218" i="3"/>
  <c r="O218" i="3"/>
  <c r="N215" i="3"/>
  <c r="N218" i="3" s="1"/>
  <c r="J218" i="3"/>
  <c r="T209" i="3"/>
  <c r="L206" i="3"/>
  <c r="U206" i="3"/>
  <c r="U209" i="3" s="1"/>
  <c r="I209" i="3"/>
  <c r="G206" i="3"/>
  <c r="G209" i="3" s="1"/>
  <c r="E206" i="3"/>
  <c r="E209" i="3" s="1"/>
  <c r="S206" i="3"/>
  <c r="K209" i="3"/>
  <c r="Q209" i="3"/>
  <c r="P209" i="3"/>
  <c r="O209" i="3"/>
  <c r="M206" i="3"/>
  <c r="M209" i="3" s="1"/>
  <c r="J209" i="3"/>
  <c r="H209" i="3"/>
  <c r="T200" i="3"/>
  <c r="L197" i="3"/>
  <c r="L200" i="3" s="1"/>
  <c r="U197" i="3"/>
  <c r="U200" i="3" s="1"/>
  <c r="I200" i="3"/>
  <c r="G197" i="3"/>
  <c r="G200" i="3" s="1"/>
  <c r="E197" i="3"/>
  <c r="S197" i="3"/>
  <c r="S200" i="3" s="1"/>
  <c r="K200" i="3"/>
  <c r="Q200" i="3"/>
  <c r="P200" i="3"/>
  <c r="O200" i="3"/>
  <c r="J200" i="3"/>
  <c r="H200" i="3"/>
  <c r="F197" i="3"/>
  <c r="F200" i="3" s="1"/>
  <c r="T191" i="3"/>
  <c r="L188" i="3"/>
  <c r="L191" i="3" s="1"/>
  <c r="I191" i="3"/>
  <c r="G188" i="3"/>
  <c r="G191" i="3" s="1"/>
  <c r="E188" i="3"/>
  <c r="E191" i="3" s="1"/>
  <c r="S188" i="3"/>
  <c r="S191" i="3" s="1"/>
  <c r="K191" i="3"/>
  <c r="Q191" i="3"/>
  <c r="P191" i="3"/>
  <c r="O191" i="3"/>
  <c r="J191" i="3"/>
  <c r="H191" i="3"/>
  <c r="F188" i="3"/>
  <c r="F191" i="3" s="1"/>
  <c r="T182" i="3"/>
  <c r="L179" i="3"/>
  <c r="L182" i="3" s="1"/>
  <c r="U179" i="3"/>
  <c r="U182" i="3" s="1"/>
  <c r="Q182" i="3"/>
  <c r="P182" i="3"/>
  <c r="O182" i="3"/>
  <c r="N179" i="3"/>
  <c r="N182" i="3" s="1"/>
  <c r="J182" i="3"/>
  <c r="I182" i="3"/>
  <c r="E179" i="3"/>
  <c r="E182" i="3" s="1"/>
  <c r="T173" i="3"/>
  <c r="L170" i="3"/>
  <c r="L173" i="3" s="1"/>
  <c r="H173" i="3"/>
  <c r="U170" i="3"/>
  <c r="U173" i="3" s="1"/>
  <c r="Q173" i="3"/>
  <c r="P173" i="3"/>
  <c r="O173" i="3"/>
  <c r="N170" i="3"/>
  <c r="N173" i="3" s="1"/>
  <c r="J173" i="3"/>
  <c r="I173" i="3"/>
  <c r="E170" i="3"/>
  <c r="E173" i="3" s="1"/>
  <c r="T164" i="3"/>
  <c r="L161" i="3"/>
  <c r="L164" i="3" s="1"/>
  <c r="H164" i="3"/>
  <c r="U161" i="3"/>
  <c r="U164" i="3" s="1"/>
  <c r="Q164" i="3"/>
  <c r="P164" i="3"/>
  <c r="O164" i="3"/>
  <c r="N161" i="3"/>
  <c r="N164" i="3" s="1"/>
  <c r="J164" i="3"/>
  <c r="I164" i="3"/>
  <c r="E161" i="3"/>
  <c r="E164" i="3" s="1"/>
  <c r="T155" i="3"/>
  <c r="L152" i="3"/>
  <c r="U152" i="3"/>
  <c r="U155" i="3" s="1"/>
  <c r="I155" i="3"/>
  <c r="G152" i="3"/>
  <c r="G155" i="3" s="1"/>
  <c r="E152" i="3"/>
  <c r="E155" i="3" s="1"/>
  <c r="S152" i="3"/>
  <c r="K155" i="3"/>
  <c r="Q155" i="3"/>
  <c r="P155" i="3"/>
  <c r="O155" i="3"/>
  <c r="M152" i="3"/>
  <c r="M155" i="3" s="1"/>
  <c r="J155" i="3"/>
  <c r="H155" i="3"/>
  <c r="T146" i="3"/>
  <c r="L143" i="3"/>
  <c r="S143" i="3"/>
  <c r="S146" i="3" s="1"/>
  <c r="Q146" i="3"/>
  <c r="P146" i="3"/>
  <c r="O146" i="3"/>
  <c r="J146" i="3"/>
  <c r="F143" i="3"/>
  <c r="F146" i="3" s="1"/>
  <c r="T137" i="3"/>
  <c r="L134" i="3"/>
  <c r="L137" i="3" s="1"/>
  <c r="G134" i="3"/>
  <c r="G137" i="3" s="1"/>
  <c r="S134" i="3"/>
  <c r="S137" i="3" s="1"/>
  <c r="K137" i="3"/>
  <c r="Q137" i="3"/>
  <c r="P137" i="3"/>
  <c r="O137" i="3"/>
  <c r="N134" i="3"/>
  <c r="J137" i="3"/>
  <c r="I137" i="3"/>
  <c r="H137" i="3"/>
  <c r="F134" i="3"/>
  <c r="F137" i="3" s="1"/>
  <c r="E134" i="3"/>
  <c r="E137" i="3" s="1"/>
  <c r="T128" i="3"/>
  <c r="L125" i="3"/>
  <c r="Q128" i="3"/>
  <c r="P128" i="3"/>
  <c r="O128" i="3"/>
  <c r="N125" i="3"/>
  <c r="N128" i="3" s="1"/>
  <c r="M125" i="3"/>
  <c r="J128" i="3"/>
  <c r="H128" i="3"/>
  <c r="T119" i="3"/>
  <c r="L116" i="3"/>
  <c r="I119" i="3"/>
  <c r="E116" i="3"/>
  <c r="E119" i="3" s="1"/>
  <c r="S116" i="3"/>
  <c r="Q119" i="3"/>
  <c r="P119" i="3"/>
  <c r="O119" i="3"/>
  <c r="M116" i="3"/>
  <c r="M119" i="3" s="1"/>
  <c r="J119" i="3"/>
  <c r="H119" i="3"/>
  <c r="T110" i="3"/>
  <c r="L107" i="3"/>
  <c r="U107" i="3"/>
  <c r="U110" i="3" s="1"/>
  <c r="S107" i="3"/>
  <c r="Q110" i="3"/>
  <c r="P110" i="3"/>
  <c r="O110" i="3"/>
  <c r="M107" i="3"/>
  <c r="M110" i="3" s="1"/>
  <c r="J110" i="3"/>
  <c r="T101" i="3"/>
  <c r="L98" i="3"/>
  <c r="L101" i="3" s="1"/>
  <c r="U98" i="3"/>
  <c r="U101" i="3" s="1"/>
  <c r="S98" i="3"/>
  <c r="S101" i="3" s="1"/>
  <c r="Q101" i="3"/>
  <c r="P101" i="3"/>
  <c r="O101" i="3"/>
  <c r="J101" i="3"/>
  <c r="F98" i="3"/>
  <c r="F101" i="3" s="1"/>
  <c r="T92" i="3"/>
  <c r="L89" i="3"/>
  <c r="L92" i="3" s="1"/>
  <c r="H92" i="3"/>
  <c r="U89" i="3"/>
  <c r="U92" i="3" s="1"/>
  <c r="S89" i="3"/>
  <c r="S92" i="3" s="1"/>
  <c r="Q92" i="3"/>
  <c r="P92" i="3"/>
  <c r="O92" i="3"/>
  <c r="J92" i="3"/>
  <c r="I92" i="3"/>
  <c r="F89" i="3"/>
  <c r="F92" i="3" s="1"/>
  <c r="T83" i="3"/>
  <c r="L80" i="3"/>
  <c r="Q83" i="3"/>
  <c r="P83" i="3"/>
  <c r="O83" i="3"/>
  <c r="N80" i="3"/>
  <c r="N83" i="3" s="1"/>
  <c r="M80" i="3"/>
  <c r="M83" i="3" s="1"/>
  <c r="J83" i="3"/>
  <c r="H83" i="3"/>
  <c r="T74" i="3"/>
  <c r="L71" i="3"/>
  <c r="S71" i="3"/>
  <c r="Q74" i="3"/>
  <c r="P74" i="3"/>
  <c r="O74" i="3"/>
  <c r="J74" i="3"/>
  <c r="F71" i="3"/>
  <c r="T65" i="3"/>
  <c r="L62" i="3"/>
  <c r="Q65" i="3"/>
  <c r="P65" i="3"/>
  <c r="O65" i="3"/>
  <c r="N62" i="3"/>
  <c r="N65" i="3" s="1"/>
  <c r="M62" i="3"/>
  <c r="M65" i="3" s="1"/>
  <c r="J65" i="3"/>
  <c r="H65" i="3"/>
  <c r="J56" i="3"/>
  <c r="T56" i="3"/>
  <c r="Q56" i="3"/>
  <c r="P56" i="3"/>
  <c r="O56" i="3"/>
  <c r="H56" i="3"/>
  <c r="T47" i="3"/>
  <c r="L44" i="3"/>
  <c r="U44" i="3"/>
  <c r="U47" i="3" s="1"/>
  <c r="Q47" i="3"/>
  <c r="P47" i="3"/>
  <c r="O47" i="3"/>
  <c r="N44" i="3"/>
  <c r="N47" i="3" s="1"/>
  <c r="M44" i="3"/>
  <c r="J47" i="3"/>
  <c r="T38" i="3"/>
  <c r="L35" i="3"/>
  <c r="U35" i="3"/>
  <c r="U38" i="3" s="1"/>
  <c r="S35" i="3"/>
  <c r="Q38" i="3"/>
  <c r="P38" i="3"/>
  <c r="O38" i="3"/>
  <c r="M35" i="3"/>
  <c r="M38" i="3" s="1"/>
  <c r="J38" i="3"/>
  <c r="H38" i="3"/>
  <c r="J29" i="3"/>
  <c r="T29" i="3"/>
  <c r="U26" i="3"/>
  <c r="U29" i="3" s="1"/>
  <c r="L26" i="3"/>
  <c r="Q29" i="3"/>
  <c r="P29" i="3"/>
  <c r="O29" i="3"/>
  <c r="M26" i="3"/>
  <c r="M29" i="3" s="1"/>
  <c r="H29" i="3"/>
  <c r="T18" i="3"/>
  <c r="T20" i="3" s="1"/>
  <c r="L227" i="3" l="1"/>
  <c r="U251" i="3"/>
  <c r="U254" i="3" s="1"/>
  <c r="H254" i="3"/>
  <c r="E260" i="3"/>
  <c r="E263" i="3" s="1"/>
  <c r="I263" i="3"/>
  <c r="N260" i="3"/>
  <c r="N263" i="3" s="1"/>
  <c r="F227" i="3"/>
  <c r="G227" i="3"/>
  <c r="L263" i="3"/>
  <c r="E269" i="3"/>
  <c r="E272" i="3" s="1"/>
  <c r="I272" i="3"/>
  <c r="N278" i="3"/>
  <c r="E254" i="3"/>
  <c r="F281" i="3"/>
  <c r="K281" i="3"/>
  <c r="S281" i="3"/>
  <c r="G278" i="3"/>
  <c r="G281" i="3" s="1"/>
  <c r="F44" i="3"/>
  <c r="F47" i="3" s="1"/>
  <c r="K47" i="3"/>
  <c r="S44" i="3"/>
  <c r="S47" i="3" s="1"/>
  <c r="G44" i="3"/>
  <c r="G47" i="3" s="1"/>
  <c r="L47" i="3"/>
  <c r="K56" i="3"/>
  <c r="S56" i="3"/>
  <c r="F62" i="3"/>
  <c r="F65" i="3" s="1"/>
  <c r="K65" i="3"/>
  <c r="S62" i="3"/>
  <c r="S65" i="3" s="1"/>
  <c r="G62" i="3"/>
  <c r="G65" i="3" s="1"/>
  <c r="U62" i="3"/>
  <c r="U65" i="3" s="1"/>
  <c r="L65" i="3"/>
  <c r="H74" i="3"/>
  <c r="M71" i="3"/>
  <c r="M74" i="3" s="1"/>
  <c r="E71" i="3"/>
  <c r="E74" i="3" s="1"/>
  <c r="I74" i="3"/>
  <c r="F80" i="3"/>
  <c r="F83" i="3" s="1"/>
  <c r="K83" i="3"/>
  <c r="S80" i="3"/>
  <c r="S83" i="3" s="1"/>
  <c r="G80" i="3"/>
  <c r="G83" i="3" s="1"/>
  <c r="U80" i="3"/>
  <c r="U83" i="3" s="1"/>
  <c r="L83" i="3"/>
  <c r="M89" i="3"/>
  <c r="M92" i="3" s="1"/>
  <c r="H101" i="3"/>
  <c r="M98" i="3"/>
  <c r="M101" i="3" s="1"/>
  <c r="E98" i="3"/>
  <c r="E101" i="3" s="1"/>
  <c r="I101" i="3"/>
  <c r="E107" i="3"/>
  <c r="E110" i="3" s="1"/>
  <c r="I110" i="3"/>
  <c r="N107" i="3"/>
  <c r="N110" i="3" s="1"/>
  <c r="N116" i="3"/>
  <c r="N119" i="3" s="1"/>
  <c r="F125" i="3"/>
  <c r="F128" i="3" s="1"/>
  <c r="K128" i="3"/>
  <c r="S125" i="3"/>
  <c r="S128" i="3" s="1"/>
  <c r="G125" i="3"/>
  <c r="G128" i="3" s="1"/>
  <c r="U125" i="3"/>
  <c r="U128" i="3" s="1"/>
  <c r="L128" i="3"/>
  <c r="U134" i="3"/>
  <c r="U137" i="3" s="1"/>
  <c r="H146" i="3"/>
  <c r="M143" i="3"/>
  <c r="M146" i="3" s="1"/>
  <c r="E143" i="3"/>
  <c r="E146" i="3" s="1"/>
  <c r="I146" i="3"/>
  <c r="N152" i="3"/>
  <c r="N155" i="3" s="1"/>
  <c r="F161" i="3"/>
  <c r="F164" i="3" s="1"/>
  <c r="K164" i="3"/>
  <c r="S161" i="3"/>
  <c r="S164" i="3" s="1"/>
  <c r="G161" i="3"/>
  <c r="G164" i="3" s="1"/>
  <c r="F170" i="3"/>
  <c r="F173" i="3" s="1"/>
  <c r="K173" i="3"/>
  <c r="S170" i="3"/>
  <c r="S173" i="3" s="1"/>
  <c r="G170" i="3"/>
  <c r="G173" i="3" s="1"/>
  <c r="F179" i="3"/>
  <c r="F182" i="3" s="1"/>
  <c r="K182" i="3"/>
  <c r="S179" i="3"/>
  <c r="S182" i="3" s="1"/>
  <c r="G179" i="3"/>
  <c r="G182" i="3" s="1"/>
  <c r="U188" i="3"/>
  <c r="U191" i="3" s="1"/>
  <c r="N206" i="3"/>
  <c r="N209" i="3" s="1"/>
  <c r="F215" i="3"/>
  <c r="F218" i="3" s="1"/>
  <c r="K218" i="3"/>
  <c r="S215" i="3"/>
  <c r="S218" i="3" s="1"/>
  <c r="G215" i="3"/>
  <c r="G218" i="3" s="1"/>
  <c r="U215" i="3"/>
  <c r="U218" i="3" s="1"/>
  <c r="U224" i="3"/>
  <c r="U227" i="3" s="1"/>
  <c r="F233" i="3"/>
  <c r="F236" i="3" s="1"/>
  <c r="K236" i="3"/>
  <c r="S233" i="3"/>
  <c r="S236" i="3" s="1"/>
  <c r="G233" i="3"/>
  <c r="G236" i="3" s="1"/>
  <c r="F242" i="3"/>
  <c r="F245" i="3" s="1"/>
  <c r="K245" i="3"/>
  <c r="S242" i="3"/>
  <c r="S245" i="3" s="1"/>
  <c r="G242" i="3"/>
  <c r="G245" i="3" s="1"/>
  <c r="F251" i="3"/>
  <c r="F254" i="3" s="1"/>
  <c r="K254" i="3"/>
  <c r="S251" i="3"/>
  <c r="S254" i="3" s="1"/>
  <c r="G251" i="3"/>
  <c r="G254" i="3" s="1"/>
  <c r="F260" i="3"/>
  <c r="F263" i="3" s="1"/>
  <c r="K263" i="3"/>
  <c r="S260" i="3"/>
  <c r="S263" i="3" s="1"/>
  <c r="G260" i="3"/>
  <c r="G263" i="3" s="1"/>
  <c r="U269" i="3"/>
  <c r="U272" i="3" s="1"/>
  <c r="U278" i="3"/>
  <c r="U281" i="3" s="1"/>
  <c r="H281" i="3"/>
  <c r="E278" i="3"/>
  <c r="E281" i="3" s="1"/>
  <c r="L281" i="3"/>
  <c r="E26" i="3"/>
  <c r="E29" i="3" s="1"/>
  <c r="I29" i="3"/>
  <c r="N26" i="3"/>
  <c r="N29" i="3" s="1"/>
  <c r="F26" i="3"/>
  <c r="F29" i="3" s="1"/>
  <c r="E35" i="3"/>
  <c r="E38" i="3" s="1"/>
  <c r="I38" i="3"/>
  <c r="N35" i="3"/>
  <c r="N38" i="3" s="1"/>
  <c r="K29" i="3"/>
  <c r="S26" i="3"/>
  <c r="S29" i="3" s="1"/>
  <c r="G26" i="3"/>
  <c r="G29" i="3" s="1"/>
  <c r="L29" i="3"/>
  <c r="F35" i="3"/>
  <c r="F38" i="3" s="1"/>
  <c r="K38" i="3"/>
  <c r="S38" i="3"/>
  <c r="G35" i="3"/>
  <c r="G38" i="3" s="1"/>
  <c r="L38" i="3"/>
  <c r="H47" i="3"/>
  <c r="N71" i="3"/>
  <c r="N74" i="3" s="1"/>
  <c r="E89" i="3"/>
  <c r="E92" i="3" s="1"/>
  <c r="N89" i="3"/>
  <c r="N92" i="3" s="1"/>
  <c r="N98" i="3"/>
  <c r="N101" i="3" s="1"/>
  <c r="F107" i="3"/>
  <c r="F110" i="3" s="1"/>
  <c r="K110" i="3"/>
  <c r="S110" i="3"/>
  <c r="G107" i="3"/>
  <c r="G110" i="3" s="1"/>
  <c r="L110" i="3"/>
  <c r="F116" i="3"/>
  <c r="F119" i="3" s="1"/>
  <c r="K119" i="3"/>
  <c r="S119" i="3"/>
  <c r="G116" i="3"/>
  <c r="G119" i="3" s="1"/>
  <c r="U116" i="3"/>
  <c r="U119" i="3" s="1"/>
  <c r="L119" i="3"/>
  <c r="M134" i="3"/>
  <c r="M137" i="3" s="1"/>
  <c r="N143" i="3"/>
  <c r="N146" i="3" s="1"/>
  <c r="F152" i="3"/>
  <c r="F155" i="3" s="1"/>
  <c r="S155" i="3"/>
  <c r="L155" i="3"/>
  <c r="M188" i="3"/>
  <c r="M191" i="3" s="1"/>
  <c r="M197" i="3"/>
  <c r="M200" i="3" s="1"/>
  <c r="E200" i="3"/>
  <c r="F206" i="3"/>
  <c r="F209" i="3" s="1"/>
  <c r="S209" i="3"/>
  <c r="L209" i="3"/>
  <c r="M224" i="3"/>
  <c r="M227" i="3" s="1"/>
  <c r="M269" i="3"/>
  <c r="M272" i="3" s="1"/>
  <c r="M278" i="3"/>
  <c r="M281" i="3" s="1"/>
  <c r="I281" i="3"/>
  <c r="M47" i="3"/>
  <c r="E44" i="3"/>
  <c r="E47" i="3" s="1"/>
  <c r="I47" i="3"/>
  <c r="I56" i="3"/>
  <c r="E62" i="3"/>
  <c r="E65" i="3" s="1"/>
  <c r="I65" i="3"/>
  <c r="F74" i="3"/>
  <c r="K74" i="3"/>
  <c r="S74" i="3"/>
  <c r="G71" i="3"/>
  <c r="G74" i="3" s="1"/>
  <c r="U71" i="3"/>
  <c r="U74" i="3" s="1"/>
  <c r="L74" i="3"/>
  <c r="E80" i="3"/>
  <c r="E83" i="3" s="1"/>
  <c r="I83" i="3"/>
  <c r="K92" i="3"/>
  <c r="G89" i="3"/>
  <c r="G92" i="3" s="1"/>
  <c r="K101" i="3"/>
  <c r="G98" i="3"/>
  <c r="G101" i="3" s="1"/>
  <c r="H110" i="3"/>
  <c r="M128" i="3"/>
  <c r="E125" i="3"/>
  <c r="E128" i="3" s="1"/>
  <c r="I128" i="3"/>
  <c r="N137" i="3"/>
  <c r="K146" i="3"/>
  <c r="G143" i="3"/>
  <c r="G146" i="3" s="1"/>
  <c r="U143" i="3"/>
  <c r="U146" i="3" s="1"/>
  <c r="L146" i="3"/>
  <c r="M161" i="3"/>
  <c r="M164" i="3" s="1"/>
  <c r="M170" i="3"/>
  <c r="M173" i="3" s="1"/>
  <c r="H182" i="3"/>
  <c r="M179" i="3"/>
  <c r="M182" i="3" s="1"/>
  <c r="N188" i="3"/>
  <c r="N191" i="3" s="1"/>
  <c r="N197" i="3"/>
  <c r="N200" i="3" s="1"/>
  <c r="H218" i="3"/>
  <c r="M215" i="3"/>
  <c r="M218" i="3" s="1"/>
  <c r="E215" i="3"/>
  <c r="E218" i="3" s="1"/>
  <c r="I218" i="3"/>
  <c r="E224" i="3"/>
  <c r="E227" i="3" s="1"/>
  <c r="I227" i="3"/>
  <c r="N224" i="3"/>
  <c r="N227" i="3" s="1"/>
  <c r="M233" i="3"/>
  <c r="M236" i="3" s="1"/>
  <c r="M242" i="3"/>
  <c r="M245" i="3" s="1"/>
  <c r="M251" i="3"/>
  <c r="M254" i="3" s="1"/>
  <c r="H263" i="3"/>
  <c r="M260" i="3"/>
  <c r="M263" i="3" s="1"/>
  <c r="N269" i="3"/>
  <c r="N272" i="3" s="1"/>
  <c r="N281" i="3"/>
  <c r="E19" i="3" l="1"/>
  <c r="U19" i="3"/>
  <c r="U18" i="3"/>
  <c r="U16" i="3"/>
  <c r="U15" i="3"/>
  <c r="U14" i="3"/>
  <c r="S19" i="3"/>
  <c r="S18" i="3"/>
  <c r="S16" i="3"/>
  <c r="S15" i="3"/>
  <c r="S14" i="3"/>
  <c r="S17" i="3" s="1"/>
  <c r="R19" i="3"/>
  <c r="Q13" i="3"/>
  <c r="Q12" i="3"/>
  <c r="P13" i="3"/>
  <c r="P12" i="3"/>
  <c r="O13" i="3"/>
  <c r="O12" i="3"/>
  <c r="N19" i="3"/>
  <c r="N18" i="3"/>
  <c r="N16" i="3"/>
  <c r="N15" i="3"/>
  <c r="N14" i="3"/>
  <c r="N13" i="3"/>
  <c r="N12" i="3"/>
  <c r="M19" i="3"/>
  <c r="M18" i="3"/>
  <c r="M16" i="3"/>
  <c r="M15" i="3"/>
  <c r="M14" i="3"/>
  <c r="M13" i="3"/>
  <c r="M12" i="3"/>
  <c r="L19" i="3"/>
  <c r="L18" i="3"/>
  <c r="L16" i="3"/>
  <c r="K15" i="3"/>
  <c r="K14" i="3"/>
  <c r="K13" i="3"/>
  <c r="K12" i="3"/>
  <c r="J13" i="3"/>
  <c r="J12" i="3"/>
  <c r="I15" i="3"/>
  <c r="I14" i="3"/>
  <c r="I13" i="3"/>
  <c r="I12" i="3"/>
  <c r="H15" i="3"/>
  <c r="H14" i="3"/>
  <c r="H13" i="3"/>
  <c r="H12" i="3"/>
  <c r="G19" i="3"/>
  <c r="G18" i="3"/>
  <c r="G16" i="3"/>
  <c r="G15" i="3"/>
  <c r="G14" i="3"/>
  <c r="G13" i="3"/>
  <c r="G12" i="3"/>
  <c r="F19" i="3"/>
  <c r="F18" i="3"/>
  <c r="F16" i="3"/>
  <c r="F15" i="3"/>
  <c r="F14" i="3"/>
  <c r="F13" i="3"/>
  <c r="F12" i="3"/>
  <c r="U17" i="3" l="1"/>
  <c r="K20" i="3"/>
  <c r="L17" i="3" l="1"/>
  <c r="L20" i="3" s="1"/>
  <c r="E18" i="3" l="1"/>
  <c r="E16" i="3"/>
  <c r="E15" i="3"/>
  <c r="E14" i="3"/>
  <c r="E13" i="3"/>
  <c r="E12" i="3" l="1"/>
  <c r="E17" i="3" s="1"/>
  <c r="E20" i="3" s="1"/>
  <c r="Q20" i="3"/>
  <c r="P20" i="3"/>
  <c r="O20" i="3"/>
  <c r="J20" i="3"/>
  <c r="I20" i="3"/>
  <c r="H20" i="3"/>
  <c r="U20" i="3"/>
  <c r="S20" i="3"/>
  <c r="N17" i="3"/>
  <c r="N20" i="3" s="1"/>
  <c r="M17" i="3"/>
  <c r="M20" i="3" s="1"/>
  <c r="G17" i="3"/>
  <c r="G20" i="3" s="1"/>
  <c r="F17" i="3"/>
  <c r="F20" i="3" s="1"/>
  <c r="EQ57" i="1"/>
  <c r="EW75" i="1"/>
  <c r="FA100" i="1"/>
  <c r="EQ107" i="1"/>
  <c r="FA111" i="1"/>
  <c r="EA6" i="1"/>
  <c r="EA7" i="1"/>
  <c r="EA8" i="1"/>
  <c r="EA9" i="1"/>
  <c r="EA10" i="1"/>
  <c r="EA11" i="1"/>
  <c r="EA12" i="1"/>
  <c r="EA13" i="1"/>
  <c r="EA14" i="1"/>
  <c r="EA15" i="1"/>
  <c r="EA16" i="1"/>
  <c r="EA17" i="1"/>
  <c r="EA18" i="1"/>
  <c r="EA19" i="1"/>
  <c r="EA20" i="1"/>
  <c r="EA21" i="1"/>
  <c r="EA22" i="1"/>
  <c r="EA23" i="1"/>
  <c r="EA24" i="1"/>
  <c r="EA25" i="1"/>
  <c r="EA26" i="1"/>
  <c r="EA27" i="1"/>
  <c r="EA28" i="1"/>
  <c r="EA29" i="1"/>
  <c r="EA30" i="1"/>
  <c r="EA31" i="1"/>
  <c r="EA32" i="1"/>
  <c r="EA33" i="1"/>
  <c r="EA34" i="1"/>
  <c r="EA35" i="1"/>
  <c r="EA36" i="1"/>
  <c r="EA37" i="1"/>
  <c r="EA38" i="1"/>
  <c r="EA39" i="1"/>
  <c r="EA40" i="1"/>
  <c r="EA41" i="1"/>
  <c r="EA42" i="1"/>
  <c r="EA43" i="1"/>
  <c r="EA44" i="1"/>
  <c r="EA45" i="1"/>
  <c r="EA46" i="1"/>
  <c r="EA47" i="1"/>
  <c r="EA48" i="1"/>
  <c r="EA49" i="1"/>
  <c r="EA50" i="1"/>
  <c r="EA51" i="1"/>
  <c r="EA52" i="1"/>
  <c r="EA53" i="1"/>
  <c r="EA54" i="1"/>
  <c r="EA55" i="1"/>
  <c r="EA56" i="1"/>
  <c r="EA57" i="1"/>
  <c r="EA58" i="1"/>
  <c r="EA59" i="1"/>
  <c r="EA60" i="1"/>
  <c r="EA61" i="1"/>
  <c r="EA62" i="1"/>
  <c r="EA63" i="1"/>
  <c r="EA64" i="1"/>
  <c r="EA65" i="1"/>
  <c r="EA66" i="1"/>
  <c r="EA67" i="1"/>
  <c r="EA68" i="1"/>
  <c r="EA69" i="1"/>
  <c r="EA70" i="1"/>
  <c r="EA71" i="1"/>
  <c r="EA72" i="1"/>
  <c r="EA73" i="1"/>
  <c r="EA74" i="1"/>
  <c r="EA75" i="1"/>
  <c r="EA76" i="1"/>
  <c r="EA77" i="1"/>
  <c r="EA78" i="1"/>
  <c r="EA79" i="1"/>
  <c r="EA80" i="1"/>
  <c r="EA81" i="1"/>
  <c r="EA82" i="1"/>
  <c r="EA83" i="1"/>
  <c r="EA84" i="1"/>
  <c r="EA85" i="1"/>
  <c r="EA86" i="1"/>
  <c r="EA87" i="1"/>
  <c r="EA88" i="1"/>
  <c r="EA89" i="1"/>
  <c r="EA90" i="1"/>
  <c r="EA91" i="1"/>
  <c r="EA92" i="1"/>
  <c r="EA93" i="1"/>
  <c r="EA94" i="1"/>
  <c r="EA95" i="1"/>
  <c r="EA96" i="1"/>
  <c r="EA97" i="1"/>
  <c r="EA98" i="1"/>
  <c r="EA99" i="1"/>
  <c r="EA100" i="1"/>
  <c r="EA101" i="1"/>
  <c r="EA102" i="1"/>
  <c r="EA103" i="1"/>
  <c r="EA104" i="1"/>
  <c r="EA105" i="1"/>
  <c r="EA106" i="1"/>
  <c r="EA107" i="1"/>
  <c r="EA108" i="1"/>
  <c r="EA109" i="1"/>
  <c r="EA110" i="1"/>
  <c r="EA111" i="1"/>
  <c r="EA5" i="1"/>
  <c r="EH6" i="1"/>
  <c r="EI6" i="1"/>
  <c r="EJ6" i="1"/>
  <c r="EH7" i="1"/>
  <c r="EI7" i="1"/>
  <c r="EJ7" i="1"/>
  <c r="EH8" i="1"/>
  <c r="EI8" i="1"/>
  <c r="EJ8" i="1"/>
  <c r="EH9" i="1"/>
  <c r="EI9" i="1"/>
  <c r="EJ9" i="1"/>
  <c r="EH10" i="1"/>
  <c r="EI10" i="1"/>
  <c r="EJ10" i="1"/>
  <c r="EH11" i="1"/>
  <c r="EI11" i="1"/>
  <c r="EJ11" i="1"/>
  <c r="EH12" i="1"/>
  <c r="EI12" i="1"/>
  <c r="EJ12" i="1"/>
  <c r="EH13" i="1"/>
  <c r="EI13" i="1"/>
  <c r="EJ13" i="1"/>
  <c r="EH14" i="1"/>
  <c r="EI14" i="1"/>
  <c r="EJ14" i="1"/>
  <c r="EH15" i="1"/>
  <c r="EI15" i="1"/>
  <c r="EJ15" i="1"/>
  <c r="EH16" i="1"/>
  <c r="EI16" i="1"/>
  <c r="EJ16" i="1"/>
  <c r="EH17" i="1"/>
  <c r="EI17" i="1"/>
  <c r="EJ17" i="1"/>
  <c r="EH18" i="1"/>
  <c r="EI18" i="1"/>
  <c r="EJ18" i="1"/>
  <c r="EH19" i="1"/>
  <c r="EI19" i="1"/>
  <c r="EJ19" i="1"/>
  <c r="EH20" i="1"/>
  <c r="EI20" i="1"/>
  <c r="EJ20" i="1"/>
  <c r="EH21" i="1"/>
  <c r="EI21" i="1"/>
  <c r="EJ21" i="1"/>
  <c r="EH22" i="1"/>
  <c r="EI22" i="1"/>
  <c r="EJ22" i="1"/>
  <c r="EH23" i="1"/>
  <c r="EI23" i="1"/>
  <c r="EJ23" i="1"/>
  <c r="EH24" i="1"/>
  <c r="EI24" i="1"/>
  <c r="EJ24" i="1"/>
  <c r="EH25" i="1"/>
  <c r="EI25" i="1"/>
  <c r="EJ25" i="1"/>
  <c r="EH26" i="1"/>
  <c r="EI26" i="1"/>
  <c r="EJ26" i="1"/>
  <c r="EH27" i="1"/>
  <c r="EI27" i="1"/>
  <c r="EJ27" i="1"/>
  <c r="EH28" i="1"/>
  <c r="EI28" i="1"/>
  <c r="EJ28" i="1"/>
  <c r="EH29" i="1"/>
  <c r="EI29" i="1"/>
  <c r="EJ29" i="1"/>
  <c r="EH30" i="1"/>
  <c r="EI30" i="1"/>
  <c r="EJ30" i="1"/>
  <c r="EH31" i="1"/>
  <c r="EI31" i="1"/>
  <c r="EJ31" i="1"/>
  <c r="EH32" i="1"/>
  <c r="EI32" i="1"/>
  <c r="EJ32" i="1"/>
  <c r="EH33" i="1"/>
  <c r="EI33" i="1"/>
  <c r="EJ33" i="1"/>
  <c r="EH34" i="1"/>
  <c r="EI34" i="1"/>
  <c r="EJ34" i="1"/>
  <c r="EH35" i="1"/>
  <c r="EI35" i="1"/>
  <c r="EJ35" i="1"/>
  <c r="EH36" i="1"/>
  <c r="EI36" i="1"/>
  <c r="EJ36" i="1"/>
  <c r="EH37" i="1"/>
  <c r="EI37" i="1"/>
  <c r="EJ37" i="1"/>
  <c r="EH38" i="1"/>
  <c r="EI38" i="1"/>
  <c r="EJ38" i="1"/>
  <c r="EH39" i="1"/>
  <c r="EI39" i="1"/>
  <c r="EJ39" i="1"/>
  <c r="EH40" i="1"/>
  <c r="EI40" i="1"/>
  <c r="EJ40" i="1"/>
  <c r="EH41" i="1"/>
  <c r="EI41" i="1"/>
  <c r="EJ41" i="1"/>
  <c r="EH42" i="1"/>
  <c r="EI42" i="1"/>
  <c r="EJ42" i="1"/>
  <c r="EH43" i="1"/>
  <c r="EI43" i="1"/>
  <c r="EJ43" i="1"/>
  <c r="EH44" i="1"/>
  <c r="EI44" i="1"/>
  <c r="EJ44" i="1"/>
  <c r="EH45" i="1"/>
  <c r="EI45" i="1"/>
  <c r="EJ45" i="1"/>
  <c r="EH46" i="1"/>
  <c r="EI46" i="1"/>
  <c r="EJ46" i="1"/>
  <c r="EH47" i="1"/>
  <c r="EI47" i="1"/>
  <c r="EJ47" i="1"/>
  <c r="EH48" i="1"/>
  <c r="EI48" i="1"/>
  <c r="EJ48" i="1"/>
  <c r="EH49" i="1"/>
  <c r="EI49" i="1"/>
  <c r="EJ49" i="1"/>
  <c r="EH50" i="1"/>
  <c r="EI50" i="1"/>
  <c r="EJ50" i="1"/>
  <c r="EH51" i="1"/>
  <c r="EI51" i="1"/>
  <c r="EJ51" i="1"/>
  <c r="EH52" i="1"/>
  <c r="EI52" i="1"/>
  <c r="EJ52" i="1"/>
  <c r="EH53" i="1"/>
  <c r="EI53" i="1"/>
  <c r="EJ53" i="1"/>
  <c r="EH54" i="1"/>
  <c r="EI54" i="1"/>
  <c r="EJ54" i="1"/>
  <c r="EH55" i="1"/>
  <c r="EI55" i="1"/>
  <c r="EJ55" i="1"/>
  <c r="EH56" i="1"/>
  <c r="EI56" i="1"/>
  <c r="EJ56" i="1"/>
  <c r="EH57" i="1"/>
  <c r="EI57" i="1"/>
  <c r="EJ57" i="1"/>
  <c r="EH58" i="1"/>
  <c r="EI58" i="1"/>
  <c r="EJ58" i="1"/>
  <c r="EH59" i="1"/>
  <c r="EI59" i="1"/>
  <c r="EJ59" i="1"/>
  <c r="EH60" i="1"/>
  <c r="EI60" i="1"/>
  <c r="EJ60" i="1"/>
  <c r="EH61" i="1"/>
  <c r="EI61" i="1"/>
  <c r="EJ61" i="1"/>
  <c r="EH62" i="1"/>
  <c r="EI62" i="1"/>
  <c r="EJ62" i="1"/>
  <c r="EH63" i="1"/>
  <c r="EI63" i="1"/>
  <c r="EJ63" i="1"/>
  <c r="EH64" i="1"/>
  <c r="EI64" i="1"/>
  <c r="EJ64" i="1"/>
  <c r="EH65" i="1"/>
  <c r="EI65" i="1"/>
  <c r="EJ65" i="1"/>
  <c r="EH66" i="1"/>
  <c r="EI66" i="1"/>
  <c r="EJ66" i="1"/>
  <c r="EH67" i="1"/>
  <c r="EI67" i="1"/>
  <c r="EJ67" i="1"/>
  <c r="EH68" i="1"/>
  <c r="EI68" i="1"/>
  <c r="EJ68" i="1"/>
  <c r="EH69" i="1"/>
  <c r="EI69" i="1"/>
  <c r="EJ69" i="1"/>
  <c r="EH70" i="1"/>
  <c r="EI70" i="1"/>
  <c r="EJ70" i="1"/>
  <c r="EH71" i="1"/>
  <c r="EI71" i="1"/>
  <c r="EJ71" i="1"/>
  <c r="EH72" i="1"/>
  <c r="EI72" i="1"/>
  <c r="EJ72" i="1"/>
  <c r="EH73" i="1"/>
  <c r="EI73" i="1"/>
  <c r="EJ73" i="1"/>
  <c r="EH74" i="1"/>
  <c r="EI74" i="1"/>
  <c r="EJ74" i="1"/>
  <c r="EH75" i="1"/>
  <c r="EI75" i="1"/>
  <c r="EJ75" i="1"/>
  <c r="EH76" i="1"/>
  <c r="EI76" i="1"/>
  <c r="EJ76" i="1"/>
  <c r="EH77" i="1"/>
  <c r="EI77" i="1"/>
  <c r="EJ77" i="1"/>
  <c r="EH78" i="1"/>
  <c r="EI78" i="1"/>
  <c r="EJ78" i="1"/>
  <c r="EH79" i="1"/>
  <c r="EI79" i="1"/>
  <c r="EJ79" i="1"/>
  <c r="EH80" i="1"/>
  <c r="EI80" i="1"/>
  <c r="EJ80" i="1"/>
  <c r="EH81" i="1"/>
  <c r="EI81" i="1"/>
  <c r="EJ81" i="1"/>
  <c r="EH82" i="1"/>
  <c r="EI82" i="1"/>
  <c r="EJ82" i="1"/>
  <c r="EH83" i="1"/>
  <c r="EI83" i="1"/>
  <c r="EJ83" i="1"/>
  <c r="EH84" i="1"/>
  <c r="EI84" i="1"/>
  <c r="EJ84" i="1"/>
  <c r="EH85" i="1"/>
  <c r="EI85" i="1"/>
  <c r="EJ85" i="1"/>
  <c r="EH86" i="1"/>
  <c r="EI86" i="1"/>
  <c r="EJ86" i="1"/>
  <c r="EH87" i="1"/>
  <c r="EI87" i="1"/>
  <c r="EJ87" i="1"/>
  <c r="EH88" i="1"/>
  <c r="EI88" i="1"/>
  <c r="EJ88" i="1"/>
  <c r="EH89" i="1"/>
  <c r="EI89" i="1"/>
  <c r="EJ89" i="1"/>
  <c r="EH90" i="1"/>
  <c r="EI90" i="1"/>
  <c r="EJ90" i="1"/>
  <c r="EH91" i="1"/>
  <c r="EI91" i="1"/>
  <c r="EJ91" i="1"/>
  <c r="EH92" i="1"/>
  <c r="EI92" i="1"/>
  <c r="EJ92" i="1"/>
  <c r="EH93" i="1"/>
  <c r="EI93" i="1"/>
  <c r="EJ93" i="1"/>
  <c r="EH94" i="1"/>
  <c r="EI94" i="1"/>
  <c r="EJ94" i="1"/>
  <c r="EH95" i="1"/>
  <c r="EI95" i="1"/>
  <c r="EJ95" i="1"/>
  <c r="EH96" i="1"/>
  <c r="EI96" i="1"/>
  <c r="EJ96" i="1"/>
  <c r="EH97" i="1"/>
  <c r="EI97" i="1"/>
  <c r="EJ97" i="1"/>
  <c r="EH98" i="1"/>
  <c r="EI98" i="1"/>
  <c r="EJ98" i="1"/>
  <c r="EH99" i="1"/>
  <c r="EI99" i="1"/>
  <c r="EJ99" i="1"/>
  <c r="EH100" i="1"/>
  <c r="EI100" i="1"/>
  <c r="EJ100" i="1"/>
  <c r="EH101" i="1"/>
  <c r="EI101" i="1"/>
  <c r="EJ101" i="1"/>
  <c r="EH102" i="1"/>
  <c r="EI102" i="1"/>
  <c r="EJ102" i="1"/>
  <c r="EH103" i="1"/>
  <c r="EI103" i="1"/>
  <c r="EJ103" i="1"/>
  <c r="EH104" i="1"/>
  <c r="EI104" i="1"/>
  <c r="EJ104" i="1"/>
  <c r="EH105" i="1"/>
  <c r="EI105" i="1"/>
  <c r="EJ105" i="1"/>
  <c r="EH106" i="1"/>
  <c r="EI106" i="1"/>
  <c r="EJ106" i="1"/>
  <c r="EH107" i="1"/>
  <c r="EI107" i="1"/>
  <c r="EJ107" i="1"/>
  <c r="EH108" i="1"/>
  <c r="EI108" i="1"/>
  <c r="EJ108" i="1"/>
  <c r="EH109" i="1"/>
  <c r="EI109" i="1"/>
  <c r="EJ109" i="1"/>
  <c r="EH110" i="1"/>
  <c r="EI110" i="1"/>
  <c r="EJ110" i="1"/>
  <c r="EH111" i="1"/>
  <c r="EI111" i="1"/>
  <c r="EJ111" i="1"/>
  <c r="EJ5" i="1"/>
  <c r="EI5" i="1"/>
  <c r="EH5" i="1"/>
  <c r="EG6" i="1"/>
  <c r="FA6" i="1" s="1"/>
  <c r="EG7" i="1"/>
  <c r="FA7" i="1" s="1"/>
  <c r="EG8" i="1"/>
  <c r="FA8" i="1" s="1"/>
  <c r="EG9" i="1"/>
  <c r="FA9" i="1" s="1"/>
  <c r="EG10" i="1"/>
  <c r="FA10" i="1" s="1"/>
  <c r="EG11" i="1"/>
  <c r="FA11" i="1" s="1"/>
  <c r="EG12" i="1"/>
  <c r="FA12" i="1" s="1"/>
  <c r="EG13" i="1"/>
  <c r="FA13" i="1" s="1"/>
  <c r="EG14" i="1"/>
  <c r="FA14" i="1" s="1"/>
  <c r="EG15" i="1"/>
  <c r="FA15" i="1" s="1"/>
  <c r="EG16" i="1"/>
  <c r="FA16" i="1" s="1"/>
  <c r="EG17" i="1"/>
  <c r="FA17" i="1" s="1"/>
  <c r="EG18" i="1"/>
  <c r="FA18" i="1" s="1"/>
  <c r="EG19" i="1"/>
  <c r="FA19" i="1" s="1"/>
  <c r="EG20" i="1"/>
  <c r="FA20" i="1" s="1"/>
  <c r="EG21" i="1"/>
  <c r="FA21" i="1" s="1"/>
  <c r="EG22" i="1"/>
  <c r="FA22" i="1" s="1"/>
  <c r="EG23" i="1"/>
  <c r="FA23" i="1" s="1"/>
  <c r="EG24" i="1"/>
  <c r="FA24" i="1" s="1"/>
  <c r="EG25" i="1"/>
  <c r="FA25" i="1" s="1"/>
  <c r="EG26" i="1"/>
  <c r="FA26" i="1" s="1"/>
  <c r="EG27" i="1"/>
  <c r="FA27" i="1" s="1"/>
  <c r="EG28" i="1"/>
  <c r="FA28" i="1" s="1"/>
  <c r="EG29" i="1"/>
  <c r="FA29" i="1" s="1"/>
  <c r="EG30" i="1"/>
  <c r="FA30" i="1" s="1"/>
  <c r="EG31" i="1"/>
  <c r="FA31" i="1" s="1"/>
  <c r="EG32" i="1"/>
  <c r="FA32" i="1" s="1"/>
  <c r="EG33" i="1"/>
  <c r="FA33" i="1" s="1"/>
  <c r="EG34" i="1"/>
  <c r="FA34" i="1" s="1"/>
  <c r="EG35" i="1"/>
  <c r="FA35" i="1" s="1"/>
  <c r="EG36" i="1"/>
  <c r="FA36" i="1" s="1"/>
  <c r="EG37" i="1"/>
  <c r="FA37" i="1" s="1"/>
  <c r="EG38" i="1"/>
  <c r="FA38" i="1" s="1"/>
  <c r="EG39" i="1"/>
  <c r="FA39" i="1" s="1"/>
  <c r="EG40" i="1"/>
  <c r="FA40" i="1" s="1"/>
  <c r="EG41" i="1"/>
  <c r="FA41" i="1" s="1"/>
  <c r="EG42" i="1"/>
  <c r="FA42" i="1" s="1"/>
  <c r="EG43" i="1"/>
  <c r="FA43" i="1" s="1"/>
  <c r="EG44" i="1"/>
  <c r="FA44" i="1" s="1"/>
  <c r="EG45" i="1"/>
  <c r="FA45" i="1" s="1"/>
  <c r="EG46" i="1"/>
  <c r="FA46" i="1" s="1"/>
  <c r="EG47" i="1"/>
  <c r="FA47" i="1" s="1"/>
  <c r="EG48" i="1"/>
  <c r="FA48" i="1" s="1"/>
  <c r="EG49" i="1"/>
  <c r="FA49" i="1" s="1"/>
  <c r="EG50" i="1"/>
  <c r="FA50" i="1" s="1"/>
  <c r="EG51" i="1"/>
  <c r="FA51" i="1" s="1"/>
  <c r="EG52" i="1"/>
  <c r="FA52" i="1" s="1"/>
  <c r="EG53" i="1"/>
  <c r="FA53" i="1" s="1"/>
  <c r="EG54" i="1"/>
  <c r="FA54" i="1" s="1"/>
  <c r="EG55" i="1"/>
  <c r="FA55" i="1" s="1"/>
  <c r="EG56" i="1"/>
  <c r="FA56" i="1" s="1"/>
  <c r="EG57" i="1"/>
  <c r="FA57" i="1" s="1"/>
  <c r="EG58" i="1"/>
  <c r="FA58" i="1" s="1"/>
  <c r="EG59" i="1"/>
  <c r="FA59" i="1" s="1"/>
  <c r="EG60" i="1"/>
  <c r="FA60" i="1" s="1"/>
  <c r="EG61" i="1"/>
  <c r="FA61" i="1" s="1"/>
  <c r="EG62" i="1"/>
  <c r="FA62" i="1" s="1"/>
  <c r="EG63" i="1"/>
  <c r="FA63" i="1" s="1"/>
  <c r="EG64" i="1"/>
  <c r="FA64" i="1" s="1"/>
  <c r="EG65" i="1"/>
  <c r="FA65" i="1" s="1"/>
  <c r="EG66" i="1"/>
  <c r="FA66" i="1" s="1"/>
  <c r="EG67" i="1"/>
  <c r="FA67" i="1" s="1"/>
  <c r="EG68" i="1"/>
  <c r="FA68" i="1" s="1"/>
  <c r="EG69" i="1"/>
  <c r="FA69" i="1" s="1"/>
  <c r="EG70" i="1"/>
  <c r="FA70" i="1" s="1"/>
  <c r="EG71" i="1"/>
  <c r="FA71" i="1" s="1"/>
  <c r="EG72" i="1"/>
  <c r="FA72" i="1" s="1"/>
  <c r="EG73" i="1"/>
  <c r="FA73" i="1" s="1"/>
  <c r="EG74" i="1"/>
  <c r="FA74" i="1" s="1"/>
  <c r="EG75" i="1"/>
  <c r="FA75" i="1" s="1"/>
  <c r="EG76" i="1"/>
  <c r="FA76" i="1" s="1"/>
  <c r="EG77" i="1"/>
  <c r="FA77" i="1" s="1"/>
  <c r="EG78" i="1"/>
  <c r="FA78" i="1" s="1"/>
  <c r="EG79" i="1"/>
  <c r="FA79" i="1" s="1"/>
  <c r="EG80" i="1"/>
  <c r="FA80" i="1" s="1"/>
  <c r="EG81" i="1"/>
  <c r="FA81" i="1" s="1"/>
  <c r="EG82" i="1"/>
  <c r="FA82" i="1" s="1"/>
  <c r="EG83" i="1"/>
  <c r="FA83" i="1" s="1"/>
  <c r="EG84" i="1"/>
  <c r="FA84" i="1" s="1"/>
  <c r="EG85" i="1"/>
  <c r="FA85" i="1" s="1"/>
  <c r="EG86" i="1"/>
  <c r="FA86" i="1" s="1"/>
  <c r="EG87" i="1"/>
  <c r="FA87" i="1" s="1"/>
  <c r="EG88" i="1"/>
  <c r="FA88" i="1" s="1"/>
  <c r="EG89" i="1"/>
  <c r="FA89" i="1" s="1"/>
  <c r="EG90" i="1"/>
  <c r="FA90" i="1" s="1"/>
  <c r="EG91" i="1"/>
  <c r="FA91" i="1" s="1"/>
  <c r="EG92" i="1"/>
  <c r="FA92" i="1" s="1"/>
  <c r="EG93" i="1"/>
  <c r="FA93" i="1" s="1"/>
  <c r="EG94" i="1"/>
  <c r="FA94" i="1" s="1"/>
  <c r="EG95" i="1"/>
  <c r="FA95" i="1" s="1"/>
  <c r="EG96" i="1"/>
  <c r="FA96" i="1" s="1"/>
  <c r="EG97" i="1"/>
  <c r="FA97" i="1" s="1"/>
  <c r="EG98" i="1"/>
  <c r="FA98" i="1" s="1"/>
  <c r="EG99" i="1"/>
  <c r="FA99" i="1" s="1"/>
  <c r="EG100" i="1"/>
  <c r="EG101" i="1"/>
  <c r="FA101" i="1" s="1"/>
  <c r="EG102" i="1"/>
  <c r="FA102" i="1" s="1"/>
  <c r="EG103" i="1"/>
  <c r="FA103" i="1" s="1"/>
  <c r="EG104" i="1"/>
  <c r="FA104" i="1" s="1"/>
  <c r="EG105" i="1"/>
  <c r="FA105" i="1" s="1"/>
  <c r="EG106" i="1"/>
  <c r="FA106" i="1" s="1"/>
  <c r="EG107" i="1"/>
  <c r="FA107" i="1" s="1"/>
  <c r="EG108" i="1"/>
  <c r="FA108" i="1" s="1"/>
  <c r="EG109" i="1"/>
  <c r="FA109" i="1" s="1"/>
  <c r="EG110" i="1"/>
  <c r="FA110" i="1" s="1"/>
  <c r="EG111" i="1"/>
  <c r="EG5" i="1"/>
  <c r="FA5" i="1" s="1"/>
  <c r="EC6" i="1"/>
  <c r="ED6" i="1"/>
  <c r="EE6" i="1"/>
  <c r="EF6" i="1" s="1"/>
  <c r="EZ6" i="1" s="1"/>
  <c r="EC7" i="1"/>
  <c r="ED7" i="1"/>
  <c r="EE7" i="1"/>
  <c r="EF7" i="1" s="1"/>
  <c r="EZ7" i="1" s="1"/>
  <c r="EC8" i="1"/>
  <c r="ED8" i="1"/>
  <c r="EE8" i="1"/>
  <c r="EC9" i="1"/>
  <c r="ED9" i="1"/>
  <c r="EE9" i="1"/>
  <c r="EC10" i="1"/>
  <c r="ED10" i="1"/>
  <c r="EE10" i="1"/>
  <c r="EF10" i="1" s="1"/>
  <c r="EZ10" i="1" s="1"/>
  <c r="EC11" i="1"/>
  <c r="ED11" i="1"/>
  <c r="EE11" i="1"/>
  <c r="EF11" i="1" s="1"/>
  <c r="EZ11" i="1" s="1"/>
  <c r="EC12" i="1"/>
  <c r="ED12" i="1"/>
  <c r="EE12" i="1"/>
  <c r="EC13" i="1"/>
  <c r="ED13" i="1"/>
  <c r="EE13" i="1"/>
  <c r="EC14" i="1"/>
  <c r="ED14" i="1"/>
  <c r="EE14" i="1"/>
  <c r="EF14" i="1" s="1"/>
  <c r="EZ14" i="1" s="1"/>
  <c r="EC15" i="1"/>
  <c r="ED15" i="1"/>
  <c r="EE15" i="1"/>
  <c r="EF15" i="1" s="1"/>
  <c r="EZ15" i="1" s="1"/>
  <c r="EC16" i="1"/>
  <c r="ED16" i="1"/>
  <c r="EE16" i="1"/>
  <c r="EC17" i="1"/>
  <c r="ED17" i="1"/>
  <c r="EE17" i="1"/>
  <c r="EC18" i="1"/>
  <c r="ED18" i="1"/>
  <c r="EE18" i="1"/>
  <c r="EF18" i="1" s="1"/>
  <c r="EZ18" i="1" s="1"/>
  <c r="EC19" i="1"/>
  <c r="ED19" i="1"/>
  <c r="EE19" i="1"/>
  <c r="EF19" i="1" s="1"/>
  <c r="EZ19" i="1" s="1"/>
  <c r="EC20" i="1"/>
  <c r="ED20" i="1"/>
  <c r="EE20" i="1"/>
  <c r="EC21" i="1"/>
  <c r="ED21" i="1"/>
  <c r="EE21" i="1"/>
  <c r="EC22" i="1"/>
  <c r="ED22" i="1"/>
  <c r="EE22" i="1"/>
  <c r="EF22" i="1" s="1"/>
  <c r="EZ22" i="1" s="1"/>
  <c r="EC23" i="1"/>
  <c r="ED23" i="1"/>
  <c r="EE23" i="1"/>
  <c r="EF23" i="1" s="1"/>
  <c r="EZ23" i="1" s="1"/>
  <c r="EC24" i="1"/>
  <c r="ED24" i="1"/>
  <c r="EE24" i="1"/>
  <c r="EC25" i="1"/>
  <c r="ED25" i="1"/>
  <c r="EE25" i="1"/>
  <c r="EC26" i="1"/>
  <c r="ED26" i="1"/>
  <c r="EE26" i="1"/>
  <c r="EF26" i="1" s="1"/>
  <c r="EZ26" i="1" s="1"/>
  <c r="EC27" i="1"/>
  <c r="ED27" i="1"/>
  <c r="EE27" i="1"/>
  <c r="EF27" i="1" s="1"/>
  <c r="EZ27" i="1" s="1"/>
  <c r="EC28" i="1"/>
  <c r="ED28" i="1"/>
  <c r="EE28" i="1"/>
  <c r="EC29" i="1"/>
  <c r="ED29" i="1"/>
  <c r="EE29" i="1"/>
  <c r="EC30" i="1"/>
  <c r="ED30" i="1"/>
  <c r="EE30" i="1"/>
  <c r="EF30" i="1" s="1"/>
  <c r="EZ30" i="1" s="1"/>
  <c r="EC31" i="1"/>
  <c r="ED31" i="1"/>
  <c r="EE31" i="1"/>
  <c r="EF31" i="1" s="1"/>
  <c r="EZ31" i="1" s="1"/>
  <c r="EC32" i="1"/>
  <c r="ED32" i="1"/>
  <c r="EE32" i="1"/>
  <c r="EC33" i="1"/>
  <c r="ED33" i="1"/>
  <c r="EE33" i="1"/>
  <c r="EC34" i="1"/>
  <c r="ED34" i="1"/>
  <c r="EE34" i="1"/>
  <c r="EF34" i="1" s="1"/>
  <c r="EZ34" i="1" s="1"/>
  <c r="EC35" i="1"/>
  <c r="ED35" i="1"/>
  <c r="EE35" i="1"/>
  <c r="EF35" i="1" s="1"/>
  <c r="EZ35" i="1" s="1"/>
  <c r="EC36" i="1"/>
  <c r="ED36" i="1"/>
  <c r="EE36" i="1"/>
  <c r="EC37" i="1"/>
  <c r="ED37" i="1"/>
  <c r="EE37" i="1"/>
  <c r="EC38" i="1"/>
  <c r="ED38" i="1"/>
  <c r="EE38" i="1"/>
  <c r="EF38" i="1" s="1"/>
  <c r="EZ38" i="1" s="1"/>
  <c r="EC39" i="1"/>
  <c r="ED39" i="1"/>
  <c r="EE39" i="1"/>
  <c r="EF39" i="1" s="1"/>
  <c r="EZ39" i="1" s="1"/>
  <c r="EC40" i="1"/>
  <c r="EF40" i="1" s="1"/>
  <c r="EZ40" i="1" s="1"/>
  <c r="ED40" i="1"/>
  <c r="EE40" i="1"/>
  <c r="EC41" i="1"/>
  <c r="ED41" i="1"/>
  <c r="EE41" i="1"/>
  <c r="EC42" i="1"/>
  <c r="ED42" i="1"/>
  <c r="EE42" i="1"/>
  <c r="EC43" i="1"/>
  <c r="ED43" i="1"/>
  <c r="EE43" i="1"/>
  <c r="EC44" i="1"/>
  <c r="EF44" i="1" s="1"/>
  <c r="EZ44" i="1" s="1"/>
  <c r="ED44" i="1"/>
  <c r="EE44" i="1"/>
  <c r="EC45" i="1"/>
  <c r="ED45" i="1"/>
  <c r="EE45" i="1"/>
  <c r="EC46" i="1"/>
  <c r="ED46" i="1"/>
  <c r="EE46" i="1"/>
  <c r="EC47" i="1"/>
  <c r="ED47" i="1"/>
  <c r="EE47" i="1"/>
  <c r="EC48" i="1"/>
  <c r="EF48" i="1" s="1"/>
  <c r="EZ48" i="1" s="1"/>
  <c r="ED48" i="1"/>
  <c r="EE48" i="1"/>
  <c r="EC49" i="1"/>
  <c r="ED49" i="1"/>
  <c r="EE49" i="1"/>
  <c r="EC50" i="1"/>
  <c r="ED50" i="1"/>
  <c r="EE50" i="1"/>
  <c r="EC51" i="1"/>
  <c r="ED51" i="1"/>
  <c r="EE51" i="1"/>
  <c r="EC52" i="1"/>
  <c r="EF52" i="1" s="1"/>
  <c r="EZ52" i="1" s="1"/>
  <c r="ED52" i="1"/>
  <c r="EE52" i="1"/>
  <c r="EC53" i="1"/>
  <c r="ED53" i="1"/>
  <c r="EE53" i="1"/>
  <c r="EC54" i="1"/>
  <c r="ED54" i="1"/>
  <c r="EE54" i="1"/>
  <c r="EC55" i="1"/>
  <c r="ED55" i="1"/>
  <c r="EE55" i="1"/>
  <c r="EC56" i="1"/>
  <c r="EF56" i="1" s="1"/>
  <c r="EZ56" i="1" s="1"/>
  <c r="ED56" i="1"/>
  <c r="EE56" i="1"/>
  <c r="EC57" i="1"/>
  <c r="ED57" i="1"/>
  <c r="EE57" i="1"/>
  <c r="EC58" i="1"/>
  <c r="ED58" i="1"/>
  <c r="EE58" i="1"/>
  <c r="EC59" i="1"/>
  <c r="ED59" i="1"/>
  <c r="EE59" i="1"/>
  <c r="EC60" i="1"/>
  <c r="EF60" i="1" s="1"/>
  <c r="EZ60" i="1" s="1"/>
  <c r="ED60" i="1"/>
  <c r="EE60" i="1"/>
  <c r="EC61" i="1"/>
  <c r="ED61" i="1"/>
  <c r="EE61" i="1"/>
  <c r="EC62" i="1"/>
  <c r="ED62" i="1"/>
  <c r="EE62" i="1"/>
  <c r="EC63" i="1"/>
  <c r="ED63" i="1"/>
  <c r="EE63" i="1"/>
  <c r="EC64" i="1"/>
  <c r="EF64" i="1" s="1"/>
  <c r="EZ64" i="1" s="1"/>
  <c r="ED64" i="1"/>
  <c r="EE64" i="1"/>
  <c r="EC65" i="1"/>
  <c r="ED65" i="1"/>
  <c r="EE65" i="1"/>
  <c r="EC66" i="1"/>
  <c r="ED66" i="1"/>
  <c r="EE66" i="1"/>
  <c r="EC67" i="1"/>
  <c r="ED67" i="1"/>
  <c r="EE67" i="1"/>
  <c r="EC68" i="1"/>
  <c r="EF68" i="1" s="1"/>
  <c r="EZ68" i="1" s="1"/>
  <c r="ED68" i="1"/>
  <c r="EE68" i="1"/>
  <c r="EC69" i="1"/>
  <c r="ED69" i="1"/>
  <c r="EE69" i="1"/>
  <c r="EC70" i="1"/>
  <c r="ED70" i="1"/>
  <c r="EE70" i="1"/>
  <c r="EC71" i="1"/>
  <c r="ED71" i="1"/>
  <c r="EE71" i="1"/>
  <c r="EC72" i="1"/>
  <c r="EF72" i="1" s="1"/>
  <c r="EZ72" i="1" s="1"/>
  <c r="ED72" i="1"/>
  <c r="EE72" i="1"/>
  <c r="EC73" i="1"/>
  <c r="ED73" i="1"/>
  <c r="EE73" i="1"/>
  <c r="EC74" i="1"/>
  <c r="ED74" i="1"/>
  <c r="EE74" i="1"/>
  <c r="EC75" i="1"/>
  <c r="ED75" i="1"/>
  <c r="EE75" i="1"/>
  <c r="EC76" i="1"/>
  <c r="EF76" i="1" s="1"/>
  <c r="EZ76" i="1" s="1"/>
  <c r="ED76" i="1"/>
  <c r="EE76" i="1"/>
  <c r="EC77" i="1"/>
  <c r="ED77" i="1"/>
  <c r="EE77" i="1"/>
  <c r="EC78" i="1"/>
  <c r="ED78" i="1"/>
  <c r="EE78" i="1"/>
  <c r="EC79" i="1"/>
  <c r="ED79" i="1"/>
  <c r="EE79" i="1"/>
  <c r="EC80" i="1"/>
  <c r="EF80" i="1" s="1"/>
  <c r="EZ80" i="1" s="1"/>
  <c r="ED80" i="1"/>
  <c r="EE80" i="1"/>
  <c r="EC81" i="1"/>
  <c r="ED81" i="1"/>
  <c r="EE81" i="1"/>
  <c r="EC82" i="1"/>
  <c r="ED82" i="1"/>
  <c r="EE82" i="1"/>
  <c r="EC83" i="1"/>
  <c r="ED83" i="1"/>
  <c r="EE83" i="1"/>
  <c r="EC84" i="1"/>
  <c r="EF84" i="1" s="1"/>
  <c r="EZ84" i="1" s="1"/>
  <c r="ED84" i="1"/>
  <c r="EE84" i="1"/>
  <c r="EC85" i="1"/>
  <c r="ED85" i="1"/>
  <c r="EE85" i="1"/>
  <c r="EC86" i="1"/>
  <c r="ED86" i="1"/>
  <c r="EE86" i="1"/>
  <c r="EC87" i="1"/>
  <c r="ED87" i="1"/>
  <c r="EE87" i="1"/>
  <c r="EC88" i="1"/>
  <c r="EF88" i="1" s="1"/>
  <c r="EZ88" i="1" s="1"/>
  <c r="ED88" i="1"/>
  <c r="EE88" i="1"/>
  <c r="EC89" i="1"/>
  <c r="ED89" i="1"/>
  <c r="EE89" i="1"/>
  <c r="EC90" i="1"/>
  <c r="ED90" i="1"/>
  <c r="EE90" i="1"/>
  <c r="EC91" i="1"/>
  <c r="ED91" i="1"/>
  <c r="EE91" i="1"/>
  <c r="EC92" i="1"/>
  <c r="EF92" i="1" s="1"/>
  <c r="EZ92" i="1" s="1"/>
  <c r="ED92" i="1"/>
  <c r="EE92" i="1"/>
  <c r="EC93" i="1"/>
  <c r="ED93" i="1"/>
  <c r="EE93" i="1"/>
  <c r="EC94" i="1"/>
  <c r="ED94" i="1"/>
  <c r="EE94" i="1"/>
  <c r="EC95" i="1"/>
  <c r="ED95" i="1"/>
  <c r="EE95" i="1"/>
  <c r="EC96" i="1"/>
  <c r="EF96" i="1" s="1"/>
  <c r="EZ96" i="1" s="1"/>
  <c r="ED96" i="1"/>
  <c r="EE96" i="1"/>
  <c r="EC97" i="1"/>
  <c r="ED97" i="1"/>
  <c r="EE97" i="1"/>
  <c r="EC98" i="1"/>
  <c r="ED98" i="1"/>
  <c r="EE98" i="1"/>
  <c r="EC99" i="1"/>
  <c r="ED99" i="1"/>
  <c r="EE99" i="1"/>
  <c r="EC100" i="1"/>
  <c r="EF100" i="1" s="1"/>
  <c r="EZ100" i="1" s="1"/>
  <c r="ED100" i="1"/>
  <c r="EE100" i="1"/>
  <c r="EC101" i="1"/>
  <c r="ED101" i="1"/>
  <c r="EE101" i="1"/>
  <c r="EC102" i="1"/>
  <c r="ED102" i="1"/>
  <c r="EE102" i="1"/>
  <c r="EC103" i="1"/>
  <c r="ED103" i="1"/>
  <c r="EE103" i="1"/>
  <c r="EC104" i="1"/>
  <c r="EF104" i="1" s="1"/>
  <c r="EZ104" i="1" s="1"/>
  <c r="ED104" i="1"/>
  <c r="EE104" i="1"/>
  <c r="EC105" i="1"/>
  <c r="ED105" i="1"/>
  <c r="EE105" i="1"/>
  <c r="EC106" i="1"/>
  <c r="ED106" i="1"/>
  <c r="EE106" i="1"/>
  <c r="EC107" i="1"/>
  <c r="ED107" i="1"/>
  <c r="EE107" i="1"/>
  <c r="EC108" i="1"/>
  <c r="EF108" i="1" s="1"/>
  <c r="EZ108" i="1" s="1"/>
  <c r="ED108" i="1"/>
  <c r="EE108" i="1"/>
  <c r="EC109" i="1"/>
  <c r="ED109" i="1"/>
  <c r="EE109" i="1"/>
  <c r="EC110" i="1"/>
  <c r="ED110" i="1"/>
  <c r="EE110" i="1"/>
  <c r="EC111" i="1"/>
  <c r="ED111" i="1"/>
  <c r="EE111" i="1"/>
  <c r="EE5" i="1"/>
  <c r="ED5" i="1"/>
  <c r="EC5" i="1"/>
  <c r="DW6" i="1"/>
  <c r="DX6" i="1" s="1"/>
  <c r="EX6" i="1" s="1"/>
  <c r="DW7" i="1"/>
  <c r="DX7" i="1" s="1"/>
  <c r="EX7" i="1" s="1"/>
  <c r="DW8" i="1"/>
  <c r="DX8" i="1" s="1"/>
  <c r="EX8" i="1" s="1"/>
  <c r="DW9" i="1"/>
  <c r="DX9" i="1"/>
  <c r="EX9" i="1" s="1"/>
  <c r="DW10" i="1"/>
  <c r="DX10" i="1" s="1"/>
  <c r="EX10" i="1" s="1"/>
  <c r="DW11" i="1"/>
  <c r="DX11" i="1" s="1"/>
  <c r="EX11" i="1" s="1"/>
  <c r="DW12" i="1"/>
  <c r="DX12" i="1" s="1"/>
  <c r="EX12" i="1" s="1"/>
  <c r="DW13" i="1"/>
  <c r="DX13" i="1" s="1"/>
  <c r="EX13" i="1" s="1"/>
  <c r="DW14" i="1"/>
  <c r="DX14" i="1" s="1"/>
  <c r="EX14" i="1" s="1"/>
  <c r="DW15" i="1"/>
  <c r="DX15" i="1" s="1"/>
  <c r="EX15" i="1" s="1"/>
  <c r="DW16" i="1"/>
  <c r="DX16" i="1" s="1"/>
  <c r="EX16" i="1" s="1"/>
  <c r="DW17" i="1"/>
  <c r="DX17" i="1" s="1"/>
  <c r="EX17" i="1" s="1"/>
  <c r="DW18" i="1"/>
  <c r="DX18" i="1" s="1"/>
  <c r="EX18" i="1" s="1"/>
  <c r="DW19" i="1"/>
  <c r="DX19" i="1" s="1"/>
  <c r="EX19" i="1" s="1"/>
  <c r="DW20" i="1"/>
  <c r="DX20" i="1" s="1"/>
  <c r="EX20" i="1" s="1"/>
  <c r="DW21" i="1"/>
  <c r="DX21" i="1" s="1"/>
  <c r="EX21" i="1" s="1"/>
  <c r="DW22" i="1"/>
  <c r="DX22" i="1" s="1"/>
  <c r="EX22" i="1" s="1"/>
  <c r="DW23" i="1"/>
  <c r="DX23" i="1" s="1"/>
  <c r="EX23" i="1" s="1"/>
  <c r="DW24" i="1"/>
  <c r="DX24" i="1" s="1"/>
  <c r="EX24" i="1" s="1"/>
  <c r="DW25" i="1"/>
  <c r="DX25" i="1" s="1"/>
  <c r="EX25" i="1" s="1"/>
  <c r="DW26" i="1"/>
  <c r="DX26" i="1" s="1"/>
  <c r="EX26" i="1" s="1"/>
  <c r="DW27" i="1"/>
  <c r="DX27" i="1" s="1"/>
  <c r="EX27" i="1" s="1"/>
  <c r="DW28" i="1"/>
  <c r="DX28" i="1" s="1"/>
  <c r="EX28" i="1" s="1"/>
  <c r="DW29" i="1"/>
  <c r="DX29" i="1" s="1"/>
  <c r="EX29" i="1" s="1"/>
  <c r="DW30" i="1"/>
  <c r="DX30" i="1" s="1"/>
  <c r="EX30" i="1" s="1"/>
  <c r="DW31" i="1"/>
  <c r="DX31" i="1" s="1"/>
  <c r="EX31" i="1" s="1"/>
  <c r="DW32" i="1"/>
  <c r="DX32" i="1" s="1"/>
  <c r="EX32" i="1" s="1"/>
  <c r="DW33" i="1"/>
  <c r="DX33" i="1" s="1"/>
  <c r="EX33" i="1" s="1"/>
  <c r="DW34" i="1"/>
  <c r="DX34" i="1" s="1"/>
  <c r="EX34" i="1" s="1"/>
  <c r="DW35" i="1"/>
  <c r="DX35" i="1" s="1"/>
  <c r="EX35" i="1" s="1"/>
  <c r="DW36" i="1"/>
  <c r="DX36" i="1" s="1"/>
  <c r="EX36" i="1" s="1"/>
  <c r="DW37" i="1"/>
  <c r="DX37" i="1" s="1"/>
  <c r="EX37" i="1" s="1"/>
  <c r="DW38" i="1"/>
  <c r="DX38" i="1" s="1"/>
  <c r="EX38" i="1" s="1"/>
  <c r="DW39" i="1"/>
  <c r="DX39" i="1" s="1"/>
  <c r="EX39" i="1" s="1"/>
  <c r="DW40" i="1"/>
  <c r="DX40" i="1" s="1"/>
  <c r="EX40" i="1" s="1"/>
  <c r="DW41" i="1"/>
  <c r="DX41" i="1" s="1"/>
  <c r="EX41" i="1" s="1"/>
  <c r="DW42" i="1"/>
  <c r="DX42" i="1" s="1"/>
  <c r="EX42" i="1" s="1"/>
  <c r="DW43" i="1"/>
  <c r="DX43" i="1" s="1"/>
  <c r="EX43" i="1" s="1"/>
  <c r="DW44" i="1"/>
  <c r="DX44" i="1" s="1"/>
  <c r="EX44" i="1" s="1"/>
  <c r="DW45" i="1"/>
  <c r="DX45" i="1" s="1"/>
  <c r="EX45" i="1" s="1"/>
  <c r="DW46" i="1"/>
  <c r="DX46" i="1" s="1"/>
  <c r="EX46" i="1" s="1"/>
  <c r="DW47" i="1"/>
  <c r="DX47" i="1" s="1"/>
  <c r="EX47" i="1" s="1"/>
  <c r="DW48" i="1"/>
  <c r="DX48" i="1" s="1"/>
  <c r="EX48" i="1" s="1"/>
  <c r="DW49" i="1"/>
  <c r="DX49" i="1" s="1"/>
  <c r="EX49" i="1" s="1"/>
  <c r="DW50" i="1"/>
  <c r="DX50" i="1" s="1"/>
  <c r="EX50" i="1" s="1"/>
  <c r="DW51" i="1"/>
  <c r="DX51" i="1" s="1"/>
  <c r="EX51" i="1" s="1"/>
  <c r="DW52" i="1"/>
  <c r="DX52" i="1" s="1"/>
  <c r="EX52" i="1" s="1"/>
  <c r="DW53" i="1"/>
  <c r="DX53" i="1" s="1"/>
  <c r="EX53" i="1" s="1"/>
  <c r="DW54" i="1"/>
  <c r="DX54" i="1" s="1"/>
  <c r="EX54" i="1" s="1"/>
  <c r="DW55" i="1"/>
  <c r="DX55" i="1" s="1"/>
  <c r="EX55" i="1" s="1"/>
  <c r="DW56" i="1"/>
  <c r="DX56" i="1" s="1"/>
  <c r="EX56" i="1" s="1"/>
  <c r="DW57" i="1"/>
  <c r="DX57" i="1" s="1"/>
  <c r="EX57" i="1" s="1"/>
  <c r="DW58" i="1"/>
  <c r="DX58" i="1" s="1"/>
  <c r="EX58" i="1" s="1"/>
  <c r="DW59" i="1"/>
  <c r="DX59" i="1" s="1"/>
  <c r="EX59" i="1" s="1"/>
  <c r="DW60" i="1"/>
  <c r="DX60" i="1" s="1"/>
  <c r="EX60" i="1" s="1"/>
  <c r="DW61" i="1"/>
  <c r="DX61" i="1" s="1"/>
  <c r="EX61" i="1" s="1"/>
  <c r="DW62" i="1"/>
  <c r="DX62" i="1" s="1"/>
  <c r="EX62" i="1" s="1"/>
  <c r="DW63" i="1"/>
  <c r="DX63" i="1" s="1"/>
  <c r="EX63" i="1" s="1"/>
  <c r="DW64" i="1"/>
  <c r="DX64" i="1" s="1"/>
  <c r="EX64" i="1" s="1"/>
  <c r="DW65" i="1"/>
  <c r="DX65" i="1" s="1"/>
  <c r="EX65" i="1" s="1"/>
  <c r="DW66" i="1"/>
  <c r="DX66" i="1" s="1"/>
  <c r="EX66" i="1" s="1"/>
  <c r="DW67" i="1"/>
  <c r="DX67" i="1"/>
  <c r="EX67" i="1" s="1"/>
  <c r="DW68" i="1"/>
  <c r="DX68" i="1" s="1"/>
  <c r="EX68" i="1" s="1"/>
  <c r="DW69" i="1"/>
  <c r="DX69" i="1" s="1"/>
  <c r="EX69" i="1" s="1"/>
  <c r="DW70" i="1"/>
  <c r="DX70" i="1" s="1"/>
  <c r="EX70" i="1" s="1"/>
  <c r="DW71" i="1"/>
  <c r="DX71" i="1" s="1"/>
  <c r="EX71" i="1" s="1"/>
  <c r="DW72" i="1"/>
  <c r="DX72" i="1" s="1"/>
  <c r="EX72" i="1" s="1"/>
  <c r="DW73" i="1"/>
  <c r="DX73" i="1" s="1"/>
  <c r="EX73" i="1" s="1"/>
  <c r="DW74" i="1"/>
  <c r="DX74" i="1" s="1"/>
  <c r="EX74" i="1" s="1"/>
  <c r="DW75" i="1"/>
  <c r="DX75" i="1" s="1"/>
  <c r="EX75" i="1" s="1"/>
  <c r="DW76" i="1"/>
  <c r="DX76" i="1" s="1"/>
  <c r="EX76" i="1" s="1"/>
  <c r="DW77" i="1"/>
  <c r="DX77" i="1"/>
  <c r="EX77" i="1" s="1"/>
  <c r="DW78" i="1"/>
  <c r="DX78" i="1" s="1"/>
  <c r="EX78" i="1" s="1"/>
  <c r="DW79" i="1"/>
  <c r="DX79" i="1" s="1"/>
  <c r="EX79" i="1" s="1"/>
  <c r="DW80" i="1"/>
  <c r="DX80" i="1" s="1"/>
  <c r="EX80" i="1" s="1"/>
  <c r="DW81" i="1"/>
  <c r="DX81" i="1" s="1"/>
  <c r="EX81" i="1" s="1"/>
  <c r="DW82" i="1"/>
  <c r="DX82" i="1" s="1"/>
  <c r="EX82" i="1" s="1"/>
  <c r="DW83" i="1"/>
  <c r="DX83" i="1" s="1"/>
  <c r="EX83" i="1" s="1"/>
  <c r="DW84" i="1"/>
  <c r="DX84" i="1" s="1"/>
  <c r="EX84" i="1" s="1"/>
  <c r="DW85" i="1"/>
  <c r="DX85" i="1" s="1"/>
  <c r="EX85" i="1" s="1"/>
  <c r="DW86" i="1"/>
  <c r="DX86" i="1" s="1"/>
  <c r="EX86" i="1" s="1"/>
  <c r="DW87" i="1"/>
  <c r="DX87" i="1" s="1"/>
  <c r="EX87" i="1" s="1"/>
  <c r="DW88" i="1"/>
  <c r="DX88" i="1" s="1"/>
  <c r="EX88" i="1" s="1"/>
  <c r="DW89" i="1"/>
  <c r="DX89" i="1" s="1"/>
  <c r="EX89" i="1" s="1"/>
  <c r="DW90" i="1"/>
  <c r="DX90" i="1" s="1"/>
  <c r="EX90" i="1" s="1"/>
  <c r="DW91" i="1"/>
  <c r="DX91" i="1" s="1"/>
  <c r="EX91" i="1" s="1"/>
  <c r="DW92" i="1"/>
  <c r="DX92" i="1" s="1"/>
  <c r="EX92" i="1" s="1"/>
  <c r="DW93" i="1"/>
  <c r="DX93" i="1" s="1"/>
  <c r="EX93" i="1" s="1"/>
  <c r="DW94" i="1"/>
  <c r="DX94" i="1" s="1"/>
  <c r="EX94" i="1" s="1"/>
  <c r="DW95" i="1"/>
  <c r="DX95" i="1" s="1"/>
  <c r="EX95" i="1" s="1"/>
  <c r="DW96" i="1"/>
  <c r="DX96" i="1" s="1"/>
  <c r="EX96" i="1" s="1"/>
  <c r="DW97" i="1"/>
  <c r="DX97" i="1" s="1"/>
  <c r="EX97" i="1" s="1"/>
  <c r="DW98" i="1"/>
  <c r="DX98" i="1" s="1"/>
  <c r="EX98" i="1" s="1"/>
  <c r="DW99" i="1"/>
  <c r="DX99" i="1" s="1"/>
  <c r="EX99" i="1" s="1"/>
  <c r="DW100" i="1"/>
  <c r="DX100" i="1" s="1"/>
  <c r="EX100" i="1" s="1"/>
  <c r="DW101" i="1"/>
  <c r="DX101" i="1"/>
  <c r="EX101" i="1" s="1"/>
  <c r="DW102" i="1"/>
  <c r="DX102" i="1" s="1"/>
  <c r="EX102" i="1" s="1"/>
  <c r="DW103" i="1"/>
  <c r="DX103" i="1" s="1"/>
  <c r="EX103" i="1" s="1"/>
  <c r="DW104" i="1"/>
  <c r="DX104" i="1" s="1"/>
  <c r="EX104" i="1" s="1"/>
  <c r="DW105" i="1"/>
  <c r="DX105" i="1" s="1"/>
  <c r="EX105" i="1" s="1"/>
  <c r="DW106" i="1"/>
  <c r="DX106" i="1" s="1"/>
  <c r="EX106" i="1" s="1"/>
  <c r="DW107" i="1"/>
  <c r="DX107" i="1" s="1"/>
  <c r="EX107" i="1" s="1"/>
  <c r="DW108" i="1"/>
  <c r="DX108" i="1" s="1"/>
  <c r="EX108" i="1" s="1"/>
  <c r="DW109" i="1"/>
  <c r="DX109" i="1" s="1"/>
  <c r="EX109" i="1" s="1"/>
  <c r="DW110" i="1"/>
  <c r="DX110" i="1" s="1"/>
  <c r="EX110" i="1" s="1"/>
  <c r="DW111" i="1"/>
  <c r="DX111" i="1" s="1"/>
  <c r="EX111" i="1" s="1"/>
  <c r="DW5" i="1"/>
  <c r="DX5" i="1" s="1"/>
  <c r="EX5" i="1" s="1"/>
  <c r="DU6" i="1"/>
  <c r="DV6" i="1" s="1"/>
  <c r="EW6" i="1" s="1"/>
  <c r="DU7" i="1"/>
  <c r="DV7" i="1" s="1"/>
  <c r="EW7" i="1" s="1"/>
  <c r="DU8" i="1"/>
  <c r="DV8" i="1" s="1"/>
  <c r="EW8" i="1" s="1"/>
  <c r="DU9" i="1"/>
  <c r="DV9" i="1" s="1"/>
  <c r="EW9" i="1" s="1"/>
  <c r="DU10" i="1"/>
  <c r="DV10" i="1" s="1"/>
  <c r="EW10" i="1" s="1"/>
  <c r="DU11" i="1"/>
  <c r="DV11" i="1" s="1"/>
  <c r="EW11" i="1" s="1"/>
  <c r="DU12" i="1"/>
  <c r="DV12" i="1" s="1"/>
  <c r="EW12" i="1" s="1"/>
  <c r="DU13" i="1"/>
  <c r="DV13" i="1" s="1"/>
  <c r="EW13" i="1" s="1"/>
  <c r="DU14" i="1"/>
  <c r="DV14" i="1" s="1"/>
  <c r="EW14" i="1" s="1"/>
  <c r="DU15" i="1"/>
  <c r="DV15" i="1" s="1"/>
  <c r="EW15" i="1" s="1"/>
  <c r="DU16" i="1"/>
  <c r="DV16" i="1" s="1"/>
  <c r="EW16" i="1" s="1"/>
  <c r="DU17" i="1"/>
  <c r="DV17" i="1" s="1"/>
  <c r="EW17" i="1" s="1"/>
  <c r="DU18" i="1"/>
  <c r="DV18" i="1" s="1"/>
  <c r="EW18" i="1" s="1"/>
  <c r="DU19" i="1"/>
  <c r="DV19" i="1" s="1"/>
  <c r="EW19" i="1" s="1"/>
  <c r="DU20" i="1"/>
  <c r="DV20" i="1" s="1"/>
  <c r="EW20" i="1" s="1"/>
  <c r="DU21" i="1"/>
  <c r="DV21" i="1" s="1"/>
  <c r="EW21" i="1" s="1"/>
  <c r="DU22" i="1"/>
  <c r="DV22" i="1" s="1"/>
  <c r="EW22" i="1" s="1"/>
  <c r="DU23" i="1"/>
  <c r="DV23" i="1" s="1"/>
  <c r="EW23" i="1" s="1"/>
  <c r="DU24" i="1"/>
  <c r="DV24" i="1" s="1"/>
  <c r="EW24" i="1" s="1"/>
  <c r="DU25" i="1"/>
  <c r="DV25" i="1" s="1"/>
  <c r="EW25" i="1" s="1"/>
  <c r="DU26" i="1"/>
  <c r="DV26" i="1" s="1"/>
  <c r="EW26" i="1" s="1"/>
  <c r="DU27" i="1"/>
  <c r="DV27" i="1" s="1"/>
  <c r="EW27" i="1" s="1"/>
  <c r="DU28" i="1"/>
  <c r="DV28" i="1" s="1"/>
  <c r="EW28" i="1" s="1"/>
  <c r="DU29" i="1"/>
  <c r="DV29" i="1" s="1"/>
  <c r="EW29" i="1" s="1"/>
  <c r="DU30" i="1"/>
  <c r="DV30" i="1" s="1"/>
  <c r="EW30" i="1" s="1"/>
  <c r="DU31" i="1"/>
  <c r="DV31" i="1" s="1"/>
  <c r="EW31" i="1" s="1"/>
  <c r="DU32" i="1"/>
  <c r="DV32" i="1" s="1"/>
  <c r="EW32" i="1" s="1"/>
  <c r="DU33" i="1"/>
  <c r="DV33" i="1" s="1"/>
  <c r="EW33" i="1" s="1"/>
  <c r="DU34" i="1"/>
  <c r="DV34" i="1" s="1"/>
  <c r="EW34" i="1" s="1"/>
  <c r="DU35" i="1"/>
  <c r="DV35" i="1" s="1"/>
  <c r="EW35" i="1" s="1"/>
  <c r="DU36" i="1"/>
  <c r="DV36" i="1" s="1"/>
  <c r="EW36" i="1" s="1"/>
  <c r="DU37" i="1"/>
  <c r="DV37" i="1" s="1"/>
  <c r="EW37" i="1" s="1"/>
  <c r="DU38" i="1"/>
  <c r="DV38" i="1" s="1"/>
  <c r="EW38" i="1" s="1"/>
  <c r="DU39" i="1"/>
  <c r="DV39" i="1" s="1"/>
  <c r="EW39" i="1" s="1"/>
  <c r="DU40" i="1"/>
  <c r="DV40" i="1" s="1"/>
  <c r="EW40" i="1" s="1"/>
  <c r="DU41" i="1"/>
  <c r="DV41" i="1" s="1"/>
  <c r="EW41" i="1" s="1"/>
  <c r="DU42" i="1"/>
  <c r="DV42" i="1" s="1"/>
  <c r="EW42" i="1" s="1"/>
  <c r="DU43" i="1"/>
  <c r="DV43" i="1" s="1"/>
  <c r="EW43" i="1" s="1"/>
  <c r="DU44" i="1"/>
  <c r="DV44" i="1" s="1"/>
  <c r="EW44" i="1" s="1"/>
  <c r="DU45" i="1"/>
  <c r="DV45" i="1" s="1"/>
  <c r="EW45" i="1" s="1"/>
  <c r="DU46" i="1"/>
  <c r="DV46" i="1" s="1"/>
  <c r="EW46" i="1" s="1"/>
  <c r="DU47" i="1"/>
  <c r="DV47" i="1" s="1"/>
  <c r="EW47" i="1" s="1"/>
  <c r="DU48" i="1"/>
  <c r="DV48" i="1" s="1"/>
  <c r="EW48" i="1" s="1"/>
  <c r="DU49" i="1"/>
  <c r="DV49" i="1" s="1"/>
  <c r="EW49" i="1" s="1"/>
  <c r="DU50" i="1"/>
  <c r="DV50" i="1" s="1"/>
  <c r="EW50" i="1" s="1"/>
  <c r="DU51" i="1"/>
  <c r="DV51" i="1" s="1"/>
  <c r="EW51" i="1" s="1"/>
  <c r="DU52" i="1"/>
  <c r="DV52" i="1" s="1"/>
  <c r="EW52" i="1" s="1"/>
  <c r="DU53" i="1"/>
  <c r="DV53" i="1" s="1"/>
  <c r="EW53" i="1" s="1"/>
  <c r="DU54" i="1"/>
  <c r="DV54" i="1" s="1"/>
  <c r="EW54" i="1" s="1"/>
  <c r="DU55" i="1"/>
  <c r="DV55" i="1" s="1"/>
  <c r="EW55" i="1" s="1"/>
  <c r="DU56" i="1"/>
  <c r="DV56" i="1" s="1"/>
  <c r="EW56" i="1" s="1"/>
  <c r="DU57" i="1"/>
  <c r="DV57" i="1" s="1"/>
  <c r="EW57" i="1" s="1"/>
  <c r="DU58" i="1"/>
  <c r="DV58" i="1" s="1"/>
  <c r="EW58" i="1" s="1"/>
  <c r="DU59" i="1"/>
  <c r="DV59" i="1" s="1"/>
  <c r="EW59" i="1" s="1"/>
  <c r="DU60" i="1"/>
  <c r="DV60" i="1" s="1"/>
  <c r="EW60" i="1" s="1"/>
  <c r="DU61" i="1"/>
  <c r="DV61" i="1" s="1"/>
  <c r="EW61" i="1" s="1"/>
  <c r="DU62" i="1"/>
  <c r="DV62" i="1" s="1"/>
  <c r="EW62" i="1" s="1"/>
  <c r="DU63" i="1"/>
  <c r="DV63" i="1" s="1"/>
  <c r="EW63" i="1" s="1"/>
  <c r="DU64" i="1"/>
  <c r="DV64" i="1" s="1"/>
  <c r="EW64" i="1" s="1"/>
  <c r="DU65" i="1"/>
  <c r="DV65" i="1" s="1"/>
  <c r="EW65" i="1" s="1"/>
  <c r="DU66" i="1"/>
  <c r="DV66" i="1" s="1"/>
  <c r="EW66" i="1" s="1"/>
  <c r="DU67" i="1"/>
  <c r="DV67" i="1" s="1"/>
  <c r="EW67" i="1" s="1"/>
  <c r="DU68" i="1"/>
  <c r="DV68" i="1" s="1"/>
  <c r="EW68" i="1" s="1"/>
  <c r="DU69" i="1"/>
  <c r="DV69" i="1" s="1"/>
  <c r="EW69" i="1" s="1"/>
  <c r="DU70" i="1"/>
  <c r="DV70" i="1" s="1"/>
  <c r="EW70" i="1" s="1"/>
  <c r="DU71" i="1"/>
  <c r="DV71" i="1" s="1"/>
  <c r="EW71" i="1" s="1"/>
  <c r="DU72" i="1"/>
  <c r="DV72" i="1" s="1"/>
  <c r="EW72" i="1" s="1"/>
  <c r="DU73" i="1"/>
  <c r="DV73" i="1" s="1"/>
  <c r="EW73" i="1" s="1"/>
  <c r="DU74" i="1"/>
  <c r="DV74" i="1" s="1"/>
  <c r="EW74" i="1" s="1"/>
  <c r="DU75" i="1"/>
  <c r="DV75" i="1" s="1"/>
  <c r="DU76" i="1"/>
  <c r="DV76" i="1" s="1"/>
  <c r="EW76" i="1" s="1"/>
  <c r="DU77" i="1"/>
  <c r="DV77" i="1" s="1"/>
  <c r="EW77" i="1" s="1"/>
  <c r="DU78" i="1"/>
  <c r="DV78" i="1" s="1"/>
  <c r="EW78" i="1" s="1"/>
  <c r="DU79" i="1"/>
  <c r="DV79" i="1" s="1"/>
  <c r="EW79" i="1" s="1"/>
  <c r="DU80" i="1"/>
  <c r="DV80" i="1" s="1"/>
  <c r="EW80" i="1" s="1"/>
  <c r="DU81" i="1"/>
  <c r="DV81" i="1" s="1"/>
  <c r="EW81" i="1" s="1"/>
  <c r="DU82" i="1"/>
  <c r="DV82" i="1" s="1"/>
  <c r="EW82" i="1" s="1"/>
  <c r="DU83" i="1"/>
  <c r="DV83" i="1" s="1"/>
  <c r="EW83" i="1" s="1"/>
  <c r="DU84" i="1"/>
  <c r="DV84" i="1" s="1"/>
  <c r="EW84" i="1" s="1"/>
  <c r="DU85" i="1"/>
  <c r="DV85" i="1" s="1"/>
  <c r="EW85" i="1" s="1"/>
  <c r="DU86" i="1"/>
  <c r="DV86" i="1" s="1"/>
  <c r="EW86" i="1" s="1"/>
  <c r="DU87" i="1"/>
  <c r="DV87" i="1" s="1"/>
  <c r="EW87" i="1" s="1"/>
  <c r="DU88" i="1"/>
  <c r="DV88" i="1" s="1"/>
  <c r="EW88" i="1" s="1"/>
  <c r="DU89" i="1"/>
  <c r="DV89" i="1" s="1"/>
  <c r="EW89" i="1" s="1"/>
  <c r="DU90" i="1"/>
  <c r="DV90" i="1" s="1"/>
  <c r="EW90" i="1" s="1"/>
  <c r="DU91" i="1"/>
  <c r="DV91" i="1" s="1"/>
  <c r="EW91" i="1" s="1"/>
  <c r="DU92" i="1"/>
  <c r="DV92" i="1" s="1"/>
  <c r="EW92" i="1" s="1"/>
  <c r="DU93" i="1"/>
  <c r="DV93" i="1" s="1"/>
  <c r="EW93" i="1" s="1"/>
  <c r="DU94" i="1"/>
  <c r="DV94" i="1" s="1"/>
  <c r="EW94" i="1" s="1"/>
  <c r="DU95" i="1"/>
  <c r="DV95" i="1" s="1"/>
  <c r="EW95" i="1" s="1"/>
  <c r="DU96" i="1"/>
  <c r="DV96" i="1" s="1"/>
  <c r="EW96" i="1" s="1"/>
  <c r="DU97" i="1"/>
  <c r="DV97" i="1" s="1"/>
  <c r="EW97" i="1" s="1"/>
  <c r="DU98" i="1"/>
  <c r="DV98" i="1" s="1"/>
  <c r="EW98" i="1" s="1"/>
  <c r="DU99" i="1"/>
  <c r="DV99" i="1" s="1"/>
  <c r="EW99" i="1" s="1"/>
  <c r="DU100" i="1"/>
  <c r="DV100" i="1" s="1"/>
  <c r="EW100" i="1" s="1"/>
  <c r="DU101" i="1"/>
  <c r="DV101" i="1" s="1"/>
  <c r="EW101" i="1" s="1"/>
  <c r="DU102" i="1"/>
  <c r="DV102" i="1" s="1"/>
  <c r="EW102" i="1" s="1"/>
  <c r="DU103" i="1"/>
  <c r="DV103" i="1" s="1"/>
  <c r="EW103" i="1" s="1"/>
  <c r="DU104" i="1"/>
  <c r="DV104" i="1" s="1"/>
  <c r="EW104" i="1" s="1"/>
  <c r="DU105" i="1"/>
  <c r="DV105" i="1" s="1"/>
  <c r="EW105" i="1" s="1"/>
  <c r="DU106" i="1"/>
  <c r="DV106" i="1" s="1"/>
  <c r="EW106" i="1" s="1"/>
  <c r="DU107" i="1"/>
  <c r="DV107" i="1" s="1"/>
  <c r="EW107" i="1" s="1"/>
  <c r="DU108" i="1"/>
  <c r="DV108" i="1" s="1"/>
  <c r="EW108" i="1" s="1"/>
  <c r="DU109" i="1"/>
  <c r="DV109" i="1" s="1"/>
  <c r="EW109" i="1" s="1"/>
  <c r="DU110" i="1"/>
  <c r="DV110" i="1" s="1"/>
  <c r="EW110" i="1" s="1"/>
  <c r="DU111" i="1"/>
  <c r="DV111" i="1" s="1"/>
  <c r="EW111" i="1" s="1"/>
  <c r="DU5" i="1"/>
  <c r="DV5" i="1" s="1"/>
  <c r="EW5" i="1" s="1"/>
  <c r="DS6" i="1"/>
  <c r="DT6" i="1" s="1"/>
  <c r="EV6" i="1" s="1"/>
  <c r="DS7" i="1"/>
  <c r="DT7" i="1" s="1"/>
  <c r="EV7" i="1" s="1"/>
  <c r="DS8" i="1"/>
  <c r="DT8" i="1" s="1"/>
  <c r="EV8" i="1" s="1"/>
  <c r="DS9" i="1"/>
  <c r="DT9" i="1" s="1"/>
  <c r="EV9" i="1" s="1"/>
  <c r="DS10" i="1"/>
  <c r="DT10" i="1" s="1"/>
  <c r="EV10" i="1" s="1"/>
  <c r="DS11" i="1"/>
  <c r="DT11" i="1" s="1"/>
  <c r="EV11" i="1" s="1"/>
  <c r="DS12" i="1"/>
  <c r="DT12" i="1" s="1"/>
  <c r="EV12" i="1" s="1"/>
  <c r="DS13" i="1"/>
  <c r="DT13" i="1" s="1"/>
  <c r="EV13" i="1" s="1"/>
  <c r="DS14" i="1"/>
  <c r="DT14" i="1" s="1"/>
  <c r="EV14" i="1" s="1"/>
  <c r="DS15" i="1"/>
  <c r="DT15" i="1" s="1"/>
  <c r="EV15" i="1" s="1"/>
  <c r="DS16" i="1"/>
  <c r="DT16" i="1" s="1"/>
  <c r="EV16" i="1" s="1"/>
  <c r="DS17" i="1"/>
  <c r="DT17" i="1" s="1"/>
  <c r="EV17" i="1" s="1"/>
  <c r="DS18" i="1"/>
  <c r="DT18" i="1" s="1"/>
  <c r="EV18" i="1" s="1"/>
  <c r="DS19" i="1"/>
  <c r="DT19" i="1" s="1"/>
  <c r="EV19" i="1" s="1"/>
  <c r="DS20" i="1"/>
  <c r="DT20" i="1" s="1"/>
  <c r="EV20" i="1" s="1"/>
  <c r="DS21" i="1"/>
  <c r="DT21" i="1" s="1"/>
  <c r="EV21" i="1" s="1"/>
  <c r="DS22" i="1"/>
  <c r="DT22" i="1" s="1"/>
  <c r="EV22" i="1" s="1"/>
  <c r="DS23" i="1"/>
  <c r="DT23" i="1" s="1"/>
  <c r="EV23" i="1" s="1"/>
  <c r="DS24" i="1"/>
  <c r="DT24" i="1" s="1"/>
  <c r="EV24" i="1" s="1"/>
  <c r="DS25" i="1"/>
  <c r="DT25" i="1" s="1"/>
  <c r="EV25" i="1" s="1"/>
  <c r="DS26" i="1"/>
  <c r="DT26" i="1" s="1"/>
  <c r="EV26" i="1" s="1"/>
  <c r="DS27" i="1"/>
  <c r="DT27" i="1" s="1"/>
  <c r="EV27" i="1" s="1"/>
  <c r="DS28" i="1"/>
  <c r="DT28" i="1" s="1"/>
  <c r="EV28" i="1" s="1"/>
  <c r="DS29" i="1"/>
  <c r="DT29" i="1" s="1"/>
  <c r="EV29" i="1" s="1"/>
  <c r="DS30" i="1"/>
  <c r="DT30" i="1" s="1"/>
  <c r="EV30" i="1" s="1"/>
  <c r="DS31" i="1"/>
  <c r="DT31" i="1" s="1"/>
  <c r="EV31" i="1" s="1"/>
  <c r="DS32" i="1"/>
  <c r="DT32" i="1" s="1"/>
  <c r="EV32" i="1" s="1"/>
  <c r="DS33" i="1"/>
  <c r="DT33" i="1" s="1"/>
  <c r="EV33" i="1" s="1"/>
  <c r="DS34" i="1"/>
  <c r="DT34" i="1" s="1"/>
  <c r="EV34" i="1" s="1"/>
  <c r="DS35" i="1"/>
  <c r="DT35" i="1" s="1"/>
  <c r="EV35" i="1" s="1"/>
  <c r="DS36" i="1"/>
  <c r="DT36" i="1" s="1"/>
  <c r="EV36" i="1" s="1"/>
  <c r="DS37" i="1"/>
  <c r="DT37" i="1" s="1"/>
  <c r="EV37" i="1" s="1"/>
  <c r="DS38" i="1"/>
  <c r="DT38" i="1" s="1"/>
  <c r="EV38" i="1" s="1"/>
  <c r="DS39" i="1"/>
  <c r="DT39" i="1" s="1"/>
  <c r="EV39" i="1" s="1"/>
  <c r="DS40" i="1"/>
  <c r="DT40" i="1" s="1"/>
  <c r="EV40" i="1" s="1"/>
  <c r="DS41" i="1"/>
  <c r="DT41" i="1" s="1"/>
  <c r="EV41" i="1" s="1"/>
  <c r="DS42" i="1"/>
  <c r="DT42" i="1" s="1"/>
  <c r="EV42" i="1" s="1"/>
  <c r="DS43" i="1"/>
  <c r="DT43" i="1" s="1"/>
  <c r="EV43" i="1" s="1"/>
  <c r="DS44" i="1"/>
  <c r="DT44" i="1" s="1"/>
  <c r="EV44" i="1" s="1"/>
  <c r="DS45" i="1"/>
  <c r="DT45" i="1" s="1"/>
  <c r="EV45" i="1" s="1"/>
  <c r="DS46" i="1"/>
  <c r="DT46" i="1" s="1"/>
  <c r="EV46" i="1" s="1"/>
  <c r="DS47" i="1"/>
  <c r="DT47" i="1" s="1"/>
  <c r="EV47" i="1" s="1"/>
  <c r="DS48" i="1"/>
  <c r="DT48" i="1" s="1"/>
  <c r="EV48" i="1" s="1"/>
  <c r="DS49" i="1"/>
  <c r="DT49" i="1" s="1"/>
  <c r="EV49" i="1" s="1"/>
  <c r="DS50" i="1"/>
  <c r="DT50" i="1" s="1"/>
  <c r="EV50" i="1" s="1"/>
  <c r="DS51" i="1"/>
  <c r="DT51" i="1" s="1"/>
  <c r="EV51" i="1" s="1"/>
  <c r="DS52" i="1"/>
  <c r="DT52" i="1" s="1"/>
  <c r="EV52" i="1" s="1"/>
  <c r="DS53" i="1"/>
  <c r="DT53" i="1" s="1"/>
  <c r="EV53" i="1" s="1"/>
  <c r="DS54" i="1"/>
  <c r="DT54" i="1" s="1"/>
  <c r="EV54" i="1" s="1"/>
  <c r="DS55" i="1"/>
  <c r="DT55" i="1" s="1"/>
  <c r="EV55" i="1" s="1"/>
  <c r="DS56" i="1"/>
  <c r="DT56" i="1" s="1"/>
  <c r="EV56" i="1" s="1"/>
  <c r="DS57" i="1"/>
  <c r="DT57" i="1" s="1"/>
  <c r="EV57" i="1" s="1"/>
  <c r="DS58" i="1"/>
  <c r="DT58" i="1" s="1"/>
  <c r="EV58" i="1" s="1"/>
  <c r="DS59" i="1"/>
  <c r="DT59" i="1" s="1"/>
  <c r="EV59" i="1" s="1"/>
  <c r="DS60" i="1"/>
  <c r="DT60" i="1" s="1"/>
  <c r="EV60" i="1" s="1"/>
  <c r="DS61" i="1"/>
  <c r="DT61" i="1" s="1"/>
  <c r="EV61" i="1" s="1"/>
  <c r="DS62" i="1"/>
  <c r="DT62" i="1" s="1"/>
  <c r="EV62" i="1" s="1"/>
  <c r="DS63" i="1"/>
  <c r="DT63" i="1" s="1"/>
  <c r="EV63" i="1" s="1"/>
  <c r="DS64" i="1"/>
  <c r="DT64" i="1" s="1"/>
  <c r="EV64" i="1" s="1"/>
  <c r="DS65" i="1"/>
  <c r="DT65" i="1" s="1"/>
  <c r="EV65" i="1" s="1"/>
  <c r="DS66" i="1"/>
  <c r="DT66" i="1" s="1"/>
  <c r="EV66" i="1" s="1"/>
  <c r="DS67" i="1"/>
  <c r="DT67" i="1" s="1"/>
  <c r="EV67" i="1" s="1"/>
  <c r="DS68" i="1"/>
  <c r="DT68" i="1" s="1"/>
  <c r="EV68" i="1" s="1"/>
  <c r="DS69" i="1"/>
  <c r="DT69" i="1" s="1"/>
  <c r="EV69" i="1" s="1"/>
  <c r="DS70" i="1"/>
  <c r="DT70" i="1" s="1"/>
  <c r="EV70" i="1" s="1"/>
  <c r="DS71" i="1"/>
  <c r="DT71" i="1" s="1"/>
  <c r="EV71" i="1" s="1"/>
  <c r="DS72" i="1"/>
  <c r="DT72" i="1" s="1"/>
  <c r="EV72" i="1" s="1"/>
  <c r="DS73" i="1"/>
  <c r="DT73" i="1" s="1"/>
  <c r="EV73" i="1" s="1"/>
  <c r="DS74" i="1"/>
  <c r="DT74" i="1" s="1"/>
  <c r="EV74" i="1" s="1"/>
  <c r="DS75" i="1"/>
  <c r="DT75" i="1" s="1"/>
  <c r="EV75" i="1" s="1"/>
  <c r="DS76" i="1"/>
  <c r="DT76" i="1" s="1"/>
  <c r="EV76" i="1" s="1"/>
  <c r="DS77" i="1"/>
  <c r="DT77" i="1" s="1"/>
  <c r="EV77" i="1" s="1"/>
  <c r="DS78" i="1"/>
  <c r="DT78" i="1" s="1"/>
  <c r="EV78" i="1" s="1"/>
  <c r="DS79" i="1"/>
  <c r="DT79" i="1" s="1"/>
  <c r="EV79" i="1" s="1"/>
  <c r="DS80" i="1"/>
  <c r="DT80" i="1" s="1"/>
  <c r="EV80" i="1" s="1"/>
  <c r="DS81" i="1"/>
  <c r="DT81" i="1" s="1"/>
  <c r="EV81" i="1" s="1"/>
  <c r="DS82" i="1"/>
  <c r="DT82" i="1" s="1"/>
  <c r="EV82" i="1" s="1"/>
  <c r="DS83" i="1"/>
  <c r="DT83" i="1" s="1"/>
  <c r="EV83" i="1" s="1"/>
  <c r="DS84" i="1"/>
  <c r="DT84" i="1" s="1"/>
  <c r="EV84" i="1" s="1"/>
  <c r="DS85" i="1"/>
  <c r="DT85" i="1" s="1"/>
  <c r="EV85" i="1" s="1"/>
  <c r="DS86" i="1"/>
  <c r="DT86" i="1" s="1"/>
  <c r="EV86" i="1" s="1"/>
  <c r="DS87" i="1"/>
  <c r="DT87" i="1" s="1"/>
  <c r="EV87" i="1" s="1"/>
  <c r="DS88" i="1"/>
  <c r="DT88" i="1" s="1"/>
  <c r="EV88" i="1" s="1"/>
  <c r="DS89" i="1"/>
  <c r="DT89" i="1" s="1"/>
  <c r="EV89" i="1" s="1"/>
  <c r="DS90" i="1"/>
  <c r="DT90" i="1" s="1"/>
  <c r="EV90" i="1" s="1"/>
  <c r="DS91" i="1"/>
  <c r="DT91" i="1" s="1"/>
  <c r="EV91" i="1" s="1"/>
  <c r="DS92" i="1"/>
  <c r="DT92" i="1" s="1"/>
  <c r="EV92" i="1" s="1"/>
  <c r="DS93" i="1"/>
  <c r="DT93" i="1" s="1"/>
  <c r="EV93" i="1" s="1"/>
  <c r="DS94" i="1"/>
  <c r="DT94" i="1" s="1"/>
  <c r="EV94" i="1" s="1"/>
  <c r="DS95" i="1"/>
  <c r="DT95" i="1" s="1"/>
  <c r="EV95" i="1" s="1"/>
  <c r="DS96" i="1"/>
  <c r="DT96" i="1" s="1"/>
  <c r="EV96" i="1" s="1"/>
  <c r="DS97" i="1"/>
  <c r="DT97" i="1" s="1"/>
  <c r="EV97" i="1" s="1"/>
  <c r="DS98" i="1"/>
  <c r="DT98" i="1" s="1"/>
  <c r="EV98" i="1" s="1"/>
  <c r="DS99" i="1"/>
  <c r="DT99" i="1" s="1"/>
  <c r="EV99" i="1" s="1"/>
  <c r="DS100" i="1"/>
  <c r="DT100" i="1" s="1"/>
  <c r="EV100" i="1" s="1"/>
  <c r="DS101" i="1"/>
  <c r="DT101" i="1" s="1"/>
  <c r="EV101" i="1" s="1"/>
  <c r="DS102" i="1"/>
  <c r="DT102" i="1" s="1"/>
  <c r="EV102" i="1" s="1"/>
  <c r="DS103" i="1"/>
  <c r="DT103" i="1" s="1"/>
  <c r="EV103" i="1" s="1"/>
  <c r="DS104" i="1"/>
  <c r="DT104" i="1" s="1"/>
  <c r="EV104" i="1" s="1"/>
  <c r="DS105" i="1"/>
  <c r="DT105" i="1" s="1"/>
  <c r="EV105" i="1" s="1"/>
  <c r="DS106" i="1"/>
  <c r="DT106" i="1" s="1"/>
  <c r="EV106" i="1" s="1"/>
  <c r="DS107" i="1"/>
  <c r="DT107" i="1" s="1"/>
  <c r="EV107" i="1" s="1"/>
  <c r="DS108" i="1"/>
  <c r="DT108" i="1" s="1"/>
  <c r="EV108" i="1" s="1"/>
  <c r="DS109" i="1"/>
  <c r="DT109" i="1" s="1"/>
  <c r="EV109" i="1" s="1"/>
  <c r="DS110" i="1"/>
  <c r="DT110" i="1" s="1"/>
  <c r="EV110" i="1" s="1"/>
  <c r="DS111" i="1"/>
  <c r="DT111" i="1"/>
  <c r="EV111" i="1" s="1"/>
  <c r="DS5" i="1"/>
  <c r="DT5" i="1" s="1"/>
  <c r="EV5" i="1" s="1"/>
  <c r="DO6" i="1"/>
  <c r="DP6" i="1"/>
  <c r="DQ6" i="1"/>
  <c r="DO7" i="1"/>
  <c r="DP7" i="1"/>
  <c r="DQ7" i="1"/>
  <c r="DO8" i="1"/>
  <c r="DP8" i="1"/>
  <c r="DQ8" i="1"/>
  <c r="DO9" i="1"/>
  <c r="DP9" i="1"/>
  <c r="DQ9" i="1"/>
  <c r="DO10" i="1"/>
  <c r="DP10" i="1"/>
  <c r="DQ10" i="1"/>
  <c r="DO11" i="1"/>
  <c r="DP11" i="1"/>
  <c r="DQ11" i="1"/>
  <c r="DO12" i="1"/>
  <c r="DP12" i="1"/>
  <c r="DQ12" i="1"/>
  <c r="DO13" i="1"/>
  <c r="DP13" i="1"/>
  <c r="DQ13" i="1"/>
  <c r="DO14" i="1"/>
  <c r="DP14" i="1"/>
  <c r="DQ14" i="1"/>
  <c r="DO15" i="1"/>
  <c r="DP15" i="1"/>
  <c r="DQ15" i="1"/>
  <c r="DO16" i="1"/>
  <c r="DP16" i="1"/>
  <c r="DQ16" i="1"/>
  <c r="DO17" i="1"/>
  <c r="DP17" i="1"/>
  <c r="DQ17" i="1"/>
  <c r="DO18" i="1"/>
  <c r="DP18" i="1"/>
  <c r="DQ18" i="1"/>
  <c r="DO19" i="1"/>
  <c r="DP19" i="1"/>
  <c r="DQ19" i="1"/>
  <c r="DO20" i="1"/>
  <c r="DP20" i="1"/>
  <c r="DQ20" i="1"/>
  <c r="DO21" i="1"/>
  <c r="DP21" i="1"/>
  <c r="DQ21" i="1"/>
  <c r="DO22" i="1"/>
  <c r="DP22" i="1"/>
  <c r="DQ22" i="1"/>
  <c r="DO23" i="1"/>
  <c r="DP23" i="1"/>
  <c r="DQ23" i="1"/>
  <c r="DO24" i="1"/>
  <c r="DP24" i="1"/>
  <c r="DQ24" i="1"/>
  <c r="DO25" i="1"/>
  <c r="DP25" i="1"/>
  <c r="DQ25" i="1"/>
  <c r="DO26" i="1"/>
  <c r="DP26" i="1"/>
  <c r="DQ26" i="1"/>
  <c r="DO27" i="1"/>
  <c r="DP27" i="1"/>
  <c r="DQ27" i="1"/>
  <c r="DO28" i="1"/>
  <c r="DP28" i="1"/>
  <c r="DQ28" i="1"/>
  <c r="DO29" i="1"/>
  <c r="DP29" i="1"/>
  <c r="DQ29" i="1"/>
  <c r="DO30" i="1"/>
  <c r="DP30" i="1"/>
  <c r="DQ30" i="1"/>
  <c r="DO31" i="1"/>
  <c r="DP31" i="1"/>
  <c r="DQ31" i="1"/>
  <c r="DO32" i="1"/>
  <c r="DP32" i="1"/>
  <c r="DQ32" i="1"/>
  <c r="DO33" i="1"/>
  <c r="DP33" i="1"/>
  <c r="DQ33" i="1"/>
  <c r="DO34" i="1"/>
  <c r="DP34" i="1"/>
  <c r="DQ34" i="1"/>
  <c r="DO35" i="1"/>
  <c r="DP35" i="1"/>
  <c r="DQ35" i="1"/>
  <c r="DO36" i="1"/>
  <c r="DP36" i="1"/>
  <c r="DQ36" i="1"/>
  <c r="DO37" i="1"/>
  <c r="DP37" i="1"/>
  <c r="DQ37" i="1"/>
  <c r="DO38" i="1"/>
  <c r="DP38" i="1"/>
  <c r="DQ38" i="1"/>
  <c r="DO39" i="1"/>
  <c r="DP39" i="1"/>
  <c r="DQ39" i="1"/>
  <c r="DO40" i="1"/>
  <c r="DP40" i="1"/>
  <c r="DQ40" i="1"/>
  <c r="DO41" i="1"/>
  <c r="DP41" i="1"/>
  <c r="DQ41" i="1"/>
  <c r="DO42" i="1"/>
  <c r="DP42" i="1"/>
  <c r="DQ42" i="1"/>
  <c r="DO43" i="1"/>
  <c r="DP43" i="1"/>
  <c r="DQ43" i="1"/>
  <c r="DO44" i="1"/>
  <c r="DP44" i="1"/>
  <c r="DQ44" i="1"/>
  <c r="DO45" i="1"/>
  <c r="DP45" i="1"/>
  <c r="DQ45" i="1"/>
  <c r="DO46" i="1"/>
  <c r="DP46" i="1"/>
  <c r="DQ46" i="1"/>
  <c r="DO47" i="1"/>
  <c r="DP47" i="1"/>
  <c r="DQ47" i="1"/>
  <c r="DO48" i="1"/>
  <c r="DP48" i="1"/>
  <c r="DQ48" i="1"/>
  <c r="DO49" i="1"/>
  <c r="DP49" i="1"/>
  <c r="DQ49" i="1"/>
  <c r="DO50" i="1"/>
  <c r="DP50" i="1"/>
  <c r="DQ50" i="1"/>
  <c r="DO51" i="1"/>
  <c r="DP51" i="1"/>
  <c r="DQ51" i="1"/>
  <c r="DO52" i="1"/>
  <c r="DP52" i="1"/>
  <c r="DQ52" i="1"/>
  <c r="DO53" i="1"/>
  <c r="DP53" i="1"/>
  <c r="DQ53" i="1"/>
  <c r="DO54" i="1"/>
  <c r="DP54" i="1"/>
  <c r="DQ54" i="1"/>
  <c r="DO55" i="1"/>
  <c r="DP55" i="1"/>
  <c r="DQ55" i="1"/>
  <c r="DO56" i="1"/>
  <c r="DP56" i="1"/>
  <c r="DQ56" i="1"/>
  <c r="DO57" i="1"/>
  <c r="DP57" i="1"/>
  <c r="DQ57" i="1"/>
  <c r="DO58" i="1"/>
  <c r="DP58" i="1"/>
  <c r="DQ58" i="1"/>
  <c r="DO59" i="1"/>
  <c r="DP59" i="1"/>
  <c r="DQ59" i="1"/>
  <c r="DO60" i="1"/>
  <c r="DP60" i="1"/>
  <c r="DQ60" i="1"/>
  <c r="DO61" i="1"/>
  <c r="DP61" i="1"/>
  <c r="DQ61" i="1"/>
  <c r="DO62" i="1"/>
  <c r="DP62" i="1"/>
  <c r="DQ62" i="1"/>
  <c r="DO63" i="1"/>
  <c r="DP63" i="1"/>
  <c r="DQ63" i="1"/>
  <c r="DO64" i="1"/>
  <c r="DP64" i="1"/>
  <c r="DQ64" i="1"/>
  <c r="DO65" i="1"/>
  <c r="DP65" i="1"/>
  <c r="DQ65" i="1"/>
  <c r="DO66" i="1"/>
  <c r="DP66" i="1"/>
  <c r="DQ66" i="1"/>
  <c r="DO67" i="1"/>
  <c r="DP67" i="1"/>
  <c r="DQ67" i="1"/>
  <c r="DO68" i="1"/>
  <c r="DP68" i="1"/>
  <c r="DQ68" i="1"/>
  <c r="DO69" i="1"/>
  <c r="DP69" i="1"/>
  <c r="DQ69" i="1"/>
  <c r="DO70" i="1"/>
  <c r="DP70" i="1"/>
  <c r="DQ70" i="1"/>
  <c r="DO71" i="1"/>
  <c r="DP71" i="1"/>
  <c r="DQ71" i="1"/>
  <c r="DO72" i="1"/>
  <c r="DP72" i="1"/>
  <c r="DQ72" i="1"/>
  <c r="DO73" i="1"/>
  <c r="DP73" i="1"/>
  <c r="DQ73" i="1"/>
  <c r="DO74" i="1"/>
  <c r="DP74" i="1"/>
  <c r="DQ74" i="1"/>
  <c r="DO75" i="1"/>
  <c r="DP75" i="1"/>
  <c r="DQ75" i="1"/>
  <c r="DO76" i="1"/>
  <c r="DP76" i="1"/>
  <c r="DQ76" i="1"/>
  <c r="DO77" i="1"/>
  <c r="DP77" i="1"/>
  <c r="DQ77" i="1"/>
  <c r="DO78" i="1"/>
  <c r="DP78" i="1"/>
  <c r="DQ78" i="1"/>
  <c r="DO79" i="1"/>
  <c r="DP79" i="1"/>
  <c r="DQ79" i="1"/>
  <c r="DO80" i="1"/>
  <c r="DP80" i="1"/>
  <c r="DQ80" i="1"/>
  <c r="DO81" i="1"/>
  <c r="DP81" i="1"/>
  <c r="DQ81" i="1"/>
  <c r="DO82" i="1"/>
  <c r="DP82" i="1"/>
  <c r="DQ82" i="1"/>
  <c r="DO83" i="1"/>
  <c r="DP83" i="1"/>
  <c r="DQ83" i="1"/>
  <c r="DO84" i="1"/>
  <c r="DP84" i="1"/>
  <c r="DQ84" i="1"/>
  <c r="DO85" i="1"/>
  <c r="DP85" i="1"/>
  <c r="DQ85" i="1"/>
  <c r="DO86" i="1"/>
  <c r="DP86" i="1"/>
  <c r="DQ86" i="1"/>
  <c r="DO87" i="1"/>
  <c r="DP87" i="1"/>
  <c r="DQ87" i="1"/>
  <c r="DO88" i="1"/>
  <c r="DP88" i="1"/>
  <c r="DQ88" i="1"/>
  <c r="DO89" i="1"/>
  <c r="DP89" i="1"/>
  <c r="DQ89" i="1"/>
  <c r="DO90" i="1"/>
  <c r="DP90" i="1"/>
  <c r="DQ90" i="1"/>
  <c r="DO91" i="1"/>
  <c r="DP91" i="1"/>
  <c r="DQ91" i="1"/>
  <c r="DO92" i="1"/>
  <c r="DP92" i="1"/>
  <c r="DQ92" i="1"/>
  <c r="DO93" i="1"/>
  <c r="DP93" i="1"/>
  <c r="DQ93" i="1"/>
  <c r="DO94" i="1"/>
  <c r="DP94" i="1"/>
  <c r="DQ94" i="1"/>
  <c r="DO95" i="1"/>
  <c r="DP95" i="1"/>
  <c r="DQ95" i="1"/>
  <c r="DO96" i="1"/>
  <c r="DP96" i="1"/>
  <c r="DQ96" i="1"/>
  <c r="DO97" i="1"/>
  <c r="DP97" i="1"/>
  <c r="DQ97" i="1"/>
  <c r="DO98" i="1"/>
  <c r="DP98" i="1"/>
  <c r="DQ98" i="1"/>
  <c r="DO99" i="1"/>
  <c r="DP99" i="1"/>
  <c r="DQ99" i="1"/>
  <c r="DO100" i="1"/>
  <c r="DP100" i="1"/>
  <c r="DQ100" i="1"/>
  <c r="DO101" i="1"/>
  <c r="DP101" i="1"/>
  <c r="DQ101" i="1"/>
  <c r="DO102" i="1"/>
  <c r="DP102" i="1"/>
  <c r="DQ102" i="1"/>
  <c r="DO103" i="1"/>
  <c r="DP103" i="1"/>
  <c r="DQ103" i="1"/>
  <c r="DO104" i="1"/>
  <c r="DP104" i="1"/>
  <c r="DQ104" i="1"/>
  <c r="DO105" i="1"/>
  <c r="DP105" i="1"/>
  <c r="DQ105" i="1"/>
  <c r="DO106" i="1"/>
  <c r="DP106" i="1"/>
  <c r="DQ106" i="1"/>
  <c r="DO107" i="1"/>
  <c r="DP107" i="1"/>
  <c r="DQ107" i="1"/>
  <c r="DO108" i="1"/>
  <c r="DP108" i="1"/>
  <c r="DQ108" i="1"/>
  <c r="DO109" i="1"/>
  <c r="DP109" i="1"/>
  <c r="DQ109" i="1"/>
  <c r="DO110" i="1"/>
  <c r="DP110" i="1"/>
  <c r="DQ110" i="1"/>
  <c r="DO111" i="1"/>
  <c r="DP111" i="1"/>
  <c r="DQ111" i="1"/>
  <c r="DQ5" i="1"/>
  <c r="DP5" i="1"/>
  <c r="DO5" i="1"/>
  <c r="DK6" i="1"/>
  <c r="DL6" i="1"/>
  <c r="DM6" i="1"/>
  <c r="DK7" i="1"/>
  <c r="DL7" i="1"/>
  <c r="DM7" i="1"/>
  <c r="DK8" i="1"/>
  <c r="DL8" i="1"/>
  <c r="DM8" i="1"/>
  <c r="DK9" i="1"/>
  <c r="DL9" i="1"/>
  <c r="DM9" i="1"/>
  <c r="DK10" i="1"/>
  <c r="DL10" i="1"/>
  <c r="DM10" i="1"/>
  <c r="DK11" i="1"/>
  <c r="DL11" i="1"/>
  <c r="DM11" i="1"/>
  <c r="DK12" i="1"/>
  <c r="DL12" i="1"/>
  <c r="DM12" i="1"/>
  <c r="DK13" i="1"/>
  <c r="DL13" i="1"/>
  <c r="DM13" i="1"/>
  <c r="DK14" i="1"/>
  <c r="DL14" i="1"/>
  <c r="DM14" i="1"/>
  <c r="DK15" i="1"/>
  <c r="DL15" i="1"/>
  <c r="DM15" i="1"/>
  <c r="DK16" i="1"/>
  <c r="DL16" i="1"/>
  <c r="DM16" i="1"/>
  <c r="DK17" i="1"/>
  <c r="DL17" i="1"/>
  <c r="DM17" i="1"/>
  <c r="DK18" i="1"/>
  <c r="DL18" i="1"/>
  <c r="DM18" i="1"/>
  <c r="DK19" i="1"/>
  <c r="DL19" i="1"/>
  <c r="DM19" i="1"/>
  <c r="DK20" i="1"/>
  <c r="DL20" i="1"/>
  <c r="DM20" i="1"/>
  <c r="DK21" i="1"/>
  <c r="DL21" i="1"/>
  <c r="DM21" i="1"/>
  <c r="DK22" i="1"/>
  <c r="DL22" i="1"/>
  <c r="DM22" i="1"/>
  <c r="DK23" i="1"/>
  <c r="DL23" i="1"/>
  <c r="DM23" i="1"/>
  <c r="DK24" i="1"/>
  <c r="DL24" i="1"/>
  <c r="DM24" i="1"/>
  <c r="DK25" i="1"/>
  <c r="DL25" i="1"/>
  <c r="DM25" i="1"/>
  <c r="DK26" i="1"/>
  <c r="DL26" i="1"/>
  <c r="DM26" i="1"/>
  <c r="DK27" i="1"/>
  <c r="DL27" i="1"/>
  <c r="DM27" i="1"/>
  <c r="DK28" i="1"/>
  <c r="DL28" i="1"/>
  <c r="DM28" i="1"/>
  <c r="DK29" i="1"/>
  <c r="DL29" i="1"/>
  <c r="DM29" i="1"/>
  <c r="DK30" i="1"/>
  <c r="DL30" i="1"/>
  <c r="DM30" i="1"/>
  <c r="DK31" i="1"/>
  <c r="DL31" i="1"/>
  <c r="DM31" i="1"/>
  <c r="DK32" i="1"/>
  <c r="DL32" i="1"/>
  <c r="DM32" i="1"/>
  <c r="DK33" i="1"/>
  <c r="DL33" i="1"/>
  <c r="DM33" i="1"/>
  <c r="DK34" i="1"/>
  <c r="DL34" i="1"/>
  <c r="DM34" i="1"/>
  <c r="DK35" i="1"/>
  <c r="DL35" i="1"/>
  <c r="DM35" i="1"/>
  <c r="DK36" i="1"/>
  <c r="DL36" i="1"/>
  <c r="DM36" i="1"/>
  <c r="DK37" i="1"/>
  <c r="DL37" i="1"/>
  <c r="DM37" i="1"/>
  <c r="DK38" i="1"/>
  <c r="DL38" i="1"/>
  <c r="DM38" i="1"/>
  <c r="DK39" i="1"/>
  <c r="DL39" i="1"/>
  <c r="DM39" i="1"/>
  <c r="DK40" i="1"/>
  <c r="DL40" i="1"/>
  <c r="DM40" i="1"/>
  <c r="DK41" i="1"/>
  <c r="DL41" i="1"/>
  <c r="DM41" i="1"/>
  <c r="DK42" i="1"/>
  <c r="DL42" i="1"/>
  <c r="DM42" i="1"/>
  <c r="DK43" i="1"/>
  <c r="DL43" i="1"/>
  <c r="DM43" i="1"/>
  <c r="DK44" i="1"/>
  <c r="DL44" i="1"/>
  <c r="DM44" i="1"/>
  <c r="DK45" i="1"/>
  <c r="DL45" i="1"/>
  <c r="DM45" i="1"/>
  <c r="DK46" i="1"/>
  <c r="DL46" i="1"/>
  <c r="DM46" i="1"/>
  <c r="DK47" i="1"/>
  <c r="DL47" i="1"/>
  <c r="DM47" i="1"/>
  <c r="DK48" i="1"/>
  <c r="DL48" i="1"/>
  <c r="DM48" i="1"/>
  <c r="DK49" i="1"/>
  <c r="DL49" i="1"/>
  <c r="DM49" i="1"/>
  <c r="DK50" i="1"/>
  <c r="DL50" i="1"/>
  <c r="DM50" i="1"/>
  <c r="DK51" i="1"/>
  <c r="DL51" i="1"/>
  <c r="DM51" i="1"/>
  <c r="DK52" i="1"/>
  <c r="DL52" i="1"/>
  <c r="DM52" i="1"/>
  <c r="DK53" i="1"/>
  <c r="DL53" i="1"/>
  <c r="DM53" i="1"/>
  <c r="DK54" i="1"/>
  <c r="DL54" i="1"/>
  <c r="DM54" i="1"/>
  <c r="DK55" i="1"/>
  <c r="DL55" i="1"/>
  <c r="DM55" i="1"/>
  <c r="DK56" i="1"/>
  <c r="DL56" i="1"/>
  <c r="DM56" i="1"/>
  <c r="DK57" i="1"/>
  <c r="DL57" i="1"/>
  <c r="DM57" i="1"/>
  <c r="DK58" i="1"/>
  <c r="DL58" i="1"/>
  <c r="DM58" i="1"/>
  <c r="DK59" i="1"/>
  <c r="DL59" i="1"/>
  <c r="DM59" i="1"/>
  <c r="DK60" i="1"/>
  <c r="DL60" i="1"/>
  <c r="DM60" i="1"/>
  <c r="DK61" i="1"/>
  <c r="DL61" i="1"/>
  <c r="DM61" i="1"/>
  <c r="DK62" i="1"/>
  <c r="DL62" i="1"/>
  <c r="DM62" i="1"/>
  <c r="DK63" i="1"/>
  <c r="DL63" i="1"/>
  <c r="DM63" i="1"/>
  <c r="DK64" i="1"/>
  <c r="DL64" i="1"/>
  <c r="DM64" i="1"/>
  <c r="DK65" i="1"/>
  <c r="DL65" i="1"/>
  <c r="DM65" i="1"/>
  <c r="DK66" i="1"/>
  <c r="DL66" i="1"/>
  <c r="DM66" i="1"/>
  <c r="DK67" i="1"/>
  <c r="DL67" i="1"/>
  <c r="DM67" i="1"/>
  <c r="DK68" i="1"/>
  <c r="DL68" i="1"/>
  <c r="DM68" i="1"/>
  <c r="DK69" i="1"/>
  <c r="DL69" i="1"/>
  <c r="DM69" i="1"/>
  <c r="DK70" i="1"/>
  <c r="DL70" i="1"/>
  <c r="DM70" i="1"/>
  <c r="DK71" i="1"/>
  <c r="DL71" i="1"/>
  <c r="DM71" i="1"/>
  <c r="DK72" i="1"/>
  <c r="DL72" i="1"/>
  <c r="DM72" i="1"/>
  <c r="DK73" i="1"/>
  <c r="DL73" i="1"/>
  <c r="DM73" i="1"/>
  <c r="DK74" i="1"/>
  <c r="DL74" i="1"/>
  <c r="DM74" i="1"/>
  <c r="DK75" i="1"/>
  <c r="DL75" i="1"/>
  <c r="DM75" i="1"/>
  <c r="DK76" i="1"/>
  <c r="DL76" i="1"/>
  <c r="DM76" i="1"/>
  <c r="DK77" i="1"/>
  <c r="DL77" i="1"/>
  <c r="DM77" i="1"/>
  <c r="DK78" i="1"/>
  <c r="DL78" i="1"/>
  <c r="DM78" i="1"/>
  <c r="DK79" i="1"/>
  <c r="DL79" i="1"/>
  <c r="DM79" i="1"/>
  <c r="DK80" i="1"/>
  <c r="DL80" i="1"/>
  <c r="DM80" i="1"/>
  <c r="DK81" i="1"/>
  <c r="DL81" i="1"/>
  <c r="DM81" i="1"/>
  <c r="DK82" i="1"/>
  <c r="DL82" i="1"/>
  <c r="DM82" i="1"/>
  <c r="DK83" i="1"/>
  <c r="DL83" i="1"/>
  <c r="DM83" i="1"/>
  <c r="DK84" i="1"/>
  <c r="DL84" i="1"/>
  <c r="DM84" i="1"/>
  <c r="DK85" i="1"/>
  <c r="DL85" i="1"/>
  <c r="DM85" i="1"/>
  <c r="DK86" i="1"/>
  <c r="DL86" i="1"/>
  <c r="DM86" i="1"/>
  <c r="DK87" i="1"/>
  <c r="DL87" i="1"/>
  <c r="DM87" i="1"/>
  <c r="DK88" i="1"/>
  <c r="DL88" i="1"/>
  <c r="DM88" i="1"/>
  <c r="DK89" i="1"/>
  <c r="DL89" i="1"/>
  <c r="DM89" i="1"/>
  <c r="DK90" i="1"/>
  <c r="DL90" i="1"/>
  <c r="DM90" i="1"/>
  <c r="DK91" i="1"/>
  <c r="DL91" i="1"/>
  <c r="DM91" i="1"/>
  <c r="DK92" i="1"/>
  <c r="DL92" i="1"/>
  <c r="DM92" i="1"/>
  <c r="DK93" i="1"/>
  <c r="DL93" i="1"/>
  <c r="DM93" i="1"/>
  <c r="DK94" i="1"/>
  <c r="DL94" i="1"/>
  <c r="DM94" i="1"/>
  <c r="DK95" i="1"/>
  <c r="DL95" i="1"/>
  <c r="DM95" i="1"/>
  <c r="DK96" i="1"/>
  <c r="DL96" i="1"/>
  <c r="DM96" i="1"/>
  <c r="DK97" i="1"/>
  <c r="DL97" i="1"/>
  <c r="DM97" i="1"/>
  <c r="DK98" i="1"/>
  <c r="DL98" i="1"/>
  <c r="DM98" i="1"/>
  <c r="DK99" i="1"/>
  <c r="DL99" i="1"/>
  <c r="DM99" i="1"/>
  <c r="DK100" i="1"/>
  <c r="DL100" i="1"/>
  <c r="DM100" i="1"/>
  <c r="DK101" i="1"/>
  <c r="DL101" i="1"/>
  <c r="DM101" i="1"/>
  <c r="DK102" i="1"/>
  <c r="DL102" i="1"/>
  <c r="DM102" i="1"/>
  <c r="DK103" i="1"/>
  <c r="DL103" i="1"/>
  <c r="DM103" i="1"/>
  <c r="DK104" i="1"/>
  <c r="DL104" i="1"/>
  <c r="DM104" i="1"/>
  <c r="DK105" i="1"/>
  <c r="DL105" i="1"/>
  <c r="DM105" i="1"/>
  <c r="DK106" i="1"/>
  <c r="DL106" i="1"/>
  <c r="DM106" i="1"/>
  <c r="DK107" i="1"/>
  <c r="DL107" i="1"/>
  <c r="DM107" i="1"/>
  <c r="DK108" i="1"/>
  <c r="DL108" i="1"/>
  <c r="DM108" i="1"/>
  <c r="DK109" i="1"/>
  <c r="DL109" i="1"/>
  <c r="DM109" i="1"/>
  <c r="DK110" i="1"/>
  <c r="DL110" i="1"/>
  <c r="DM110" i="1"/>
  <c r="DK111" i="1"/>
  <c r="DL111" i="1"/>
  <c r="DM111" i="1"/>
  <c r="DM5" i="1"/>
  <c r="DL5" i="1"/>
  <c r="DK5" i="1"/>
  <c r="DG6" i="1"/>
  <c r="DH6" i="1"/>
  <c r="DI6" i="1"/>
  <c r="DG7" i="1"/>
  <c r="DH7" i="1"/>
  <c r="DI7" i="1"/>
  <c r="DG8" i="1"/>
  <c r="DH8" i="1"/>
  <c r="DI8" i="1"/>
  <c r="DG9" i="1"/>
  <c r="DH9" i="1"/>
  <c r="DI9" i="1"/>
  <c r="DG10" i="1"/>
  <c r="DH10" i="1"/>
  <c r="DI10" i="1"/>
  <c r="DG11" i="1"/>
  <c r="DH11" i="1"/>
  <c r="DI11" i="1"/>
  <c r="DG12" i="1"/>
  <c r="DH12" i="1"/>
  <c r="DI12" i="1"/>
  <c r="DG13" i="1"/>
  <c r="DH13" i="1"/>
  <c r="DI13" i="1"/>
  <c r="DG14" i="1"/>
  <c r="DH14" i="1"/>
  <c r="DI14" i="1"/>
  <c r="DG15" i="1"/>
  <c r="DH15" i="1"/>
  <c r="DI15" i="1"/>
  <c r="DG16" i="1"/>
  <c r="DH16" i="1"/>
  <c r="DI16" i="1"/>
  <c r="DG17" i="1"/>
  <c r="DH17" i="1"/>
  <c r="DI17" i="1"/>
  <c r="DG18" i="1"/>
  <c r="DH18" i="1"/>
  <c r="DI18" i="1"/>
  <c r="DG19" i="1"/>
  <c r="DH19" i="1"/>
  <c r="DI19" i="1"/>
  <c r="DG20" i="1"/>
  <c r="DH20" i="1"/>
  <c r="DI20" i="1"/>
  <c r="DG21" i="1"/>
  <c r="DH21" i="1"/>
  <c r="DI21" i="1"/>
  <c r="DG22" i="1"/>
  <c r="DH22" i="1"/>
  <c r="DI22" i="1"/>
  <c r="DG23" i="1"/>
  <c r="DH23" i="1"/>
  <c r="DI23" i="1"/>
  <c r="DG24" i="1"/>
  <c r="DH24" i="1"/>
  <c r="DI24" i="1"/>
  <c r="DG25" i="1"/>
  <c r="DH25" i="1"/>
  <c r="DI25" i="1"/>
  <c r="DG26" i="1"/>
  <c r="DH26" i="1"/>
  <c r="DI26" i="1"/>
  <c r="DG27" i="1"/>
  <c r="DH27" i="1"/>
  <c r="DI27" i="1"/>
  <c r="DG28" i="1"/>
  <c r="DH28" i="1"/>
  <c r="DI28" i="1"/>
  <c r="DG29" i="1"/>
  <c r="DH29" i="1"/>
  <c r="DI29" i="1"/>
  <c r="DG30" i="1"/>
  <c r="DH30" i="1"/>
  <c r="DI30" i="1"/>
  <c r="DG31" i="1"/>
  <c r="DH31" i="1"/>
  <c r="DI31" i="1"/>
  <c r="DG32" i="1"/>
  <c r="DH32" i="1"/>
  <c r="DI32" i="1"/>
  <c r="DG33" i="1"/>
  <c r="DH33" i="1"/>
  <c r="DI33" i="1"/>
  <c r="DG34" i="1"/>
  <c r="DH34" i="1"/>
  <c r="DI34" i="1"/>
  <c r="DG35" i="1"/>
  <c r="DH35" i="1"/>
  <c r="DI35" i="1"/>
  <c r="DG36" i="1"/>
  <c r="DH36" i="1"/>
  <c r="DI36" i="1"/>
  <c r="DG37" i="1"/>
  <c r="DH37" i="1"/>
  <c r="DI37" i="1"/>
  <c r="DG38" i="1"/>
  <c r="DH38" i="1"/>
  <c r="DI38" i="1"/>
  <c r="DG39" i="1"/>
  <c r="DH39" i="1"/>
  <c r="DI39" i="1"/>
  <c r="DG40" i="1"/>
  <c r="DH40" i="1"/>
  <c r="DI40" i="1"/>
  <c r="DG41" i="1"/>
  <c r="DH41" i="1"/>
  <c r="DI41" i="1"/>
  <c r="DG42" i="1"/>
  <c r="DH42" i="1"/>
  <c r="DI42" i="1"/>
  <c r="DG43" i="1"/>
  <c r="DH43" i="1"/>
  <c r="DI43" i="1"/>
  <c r="DG44" i="1"/>
  <c r="DH44" i="1"/>
  <c r="DI44" i="1"/>
  <c r="DG45" i="1"/>
  <c r="DH45" i="1"/>
  <c r="DI45" i="1"/>
  <c r="DG46" i="1"/>
  <c r="DH46" i="1"/>
  <c r="DI46" i="1"/>
  <c r="DG47" i="1"/>
  <c r="DH47" i="1"/>
  <c r="DI47" i="1"/>
  <c r="DG48" i="1"/>
  <c r="DH48" i="1"/>
  <c r="DI48" i="1"/>
  <c r="DG49" i="1"/>
  <c r="DH49" i="1"/>
  <c r="DI49" i="1"/>
  <c r="DG50" i="1"/>
  <c r="DH50" i="1"/>
  <c r="DI50" i="1"/>
  <c r="DG51" i="1"/>
  <c r="DH51" i="1"/>
  <c r="DI51" i="1"/>
  <c r="DG52" i="1"/>
  <c r="DH52" i="1"/>
  <c r="DI52" i="1"/>
  <c r="DG53" i="1"/>
  <c r="DH53" i="1"/>
  <c r="DI53" i="1"/>
  <c r="DG54" i="1"/>
  <c r="DH54" i="1"/>
  <c r="DI54" i="1"/>
  <c r="DG55" i="1"/>
  <c r="DH55" i="1"/>
  <c r="DI55" i="1"/>
  <c r="DG56" i="1"/>
  <c r="DH56" i="1"/>
  <c r="DI56" i="1"/>
  <c r="DG57" i="1"/>
  <c r="DH57" i="1"/>
  <c r="DI57" i="1"/>
  <c r="DG58" i="1"/>
  <c r="DH58" i="1"/>
  <c r="DI58" i="1"/>
  <c r="DG59" i="1"/>
  <c r="DH59" i="1"/>
  <c r="DI59" i="1"/>
  <c r="DG60" i="1"/>
  <c r="DH60" i="1"/>
  <c r="DI60" i="1"/>
  <c r="DG61" i="1"/>
  <c r="DH61" i="1"/>
  <c r="DI61" i="1"/>
  <c r="DG62" i="1"/>
  <c r="DH62" i="1"/>
  <c r="DI62" i="1"/>
  <c r="DG63" i="1"/>
  <c r="DH63" i="1"/>
  <c r="DI63" i="1"/>
  <c r="DG64" i="1"/>
  <c r="DH64" i="1"/>
  <c r="DI64" i="1"/>
  <c r="DG65" i="1"/>
  <c r="DH65" i="1"/>
  <c r="DI65" i="1"/>
  <c r="DG66" i="1"/>
  <c r="DH66" i="1"/>
  <c r="DI66" i="1"/>
  <c r="DG67" i="1"/>
  <c r="DH67" i="1"/>
  <c r="DI67" i="1"/>
  <c r="DG68" i="1"/>
  <c r="DH68" i="1"/>
  <c r="DI68" i="1"/>
  <c r="DG69" i="1"/>
  <c r="DH69" i="1"/>
  <c r="DI69" i="1"/>
  <c r="DG70" i="1"/>
  <c r="DH70" i="1"/>
  <c r="DI70" i="1"/>
  <c r="DG71" i="1"/>
  <c r="DH71" i="1"/>
  <c r="DI71" i="1"/>
  <c r="DG72" i="1"/>
  <c r="DJ72" i="1" s="1"/>
  <c r="ES72" i="1" s="1"/>
  <c r="DH72" i="1"/>
  <c r="DI72" i="1"/>
  <c r="DG73" i="1"/>
  <c r="DH73" i="1"/>
  <c r="DI73" i="1"/>
  <c r="DG74" i="1"/>
  <c r="DH74" i="1"/>
  <c r="DI74" i="1"/>
  <c r="DG75" i="1"/>
  <c r="DH75" i="1"/>
  <c r="DI75" i="1"/>
  <c r="DG76" i="1"/>
  <c r="DJ76" i="1" s="1"/>
  <c r="ES76" i="1" s="1"/>
  <c r="DH76" i="1"/>
  <c r="DI76" i="1"/>
  <c r="DG77" i="1"/>
  <c r="DH77" i="1"/>
  <c r="DI77" i="1"/>
  <c r="DG78" i="1"/>
  <c r="DH78" i="1"/>
  <c r="DI78" i="1"/>
  <c r="DG79" i="1"/>
  <c r="DH79" i="1"/>
  <c r="DI79" i="1"/>
  <c r="DG80" i="1"/>
  <c r="DJ80" i="1" s="1"/>
  <c r="ES80" i="1" s="1"/>
  <c r="DH80" i="1"/>
  <c r="DI80" i="1"/>
  <c r="DG81" i="1"/>
  <c r="DH81" i="1"/>
  <c r="DI81" i="1"/>
  <c r="DG82" i="1"/>
  <c r="DH82" i="1"/>
  <c r="DI82" i="1"/>
  <c r="DG83" i="1"/>
  <c r="DH83" i="1"/>
  <c r="DI83" i="1"/>
  <c r="DG84" i="1"/>
  <c r="DJ84" i="1" s="1"/>
  <c r="ES84" i="1" s="1"/>
  <c r="DH84" i="1"/>
  <c r="DI84" i="1"/>
  <c r="DG85" i="1"/>
  <c r="DH85" i="1"/>
  <c r="DI85" i="1"/>
  <c r="DG86" i="1"/>
  <c r="DH86" i="1"/>
  <c r="DI86" i="1"/>
  <c r="DG87" i="1"/>
  <c r="DH87" i="1"/>
  <c r="DI87" i="1"/>
  <c r="DG88" i="1"/>
  <c r="DJ88" i="1" s="1"/>
  <c r="ES88" i="1" s="1"/>
  <c r="DH88" i="1"/>
  <c r="DI88" i="1"/>
  <c r="DG89" i="1"/>
  <c r="DH89" i="1"/>
  <c r="DI89" i="1"/>
  <c r="DG90" i="1"/>
  <c r="DH90" i="1"/>
  <c r="DI90" i="1"/>
  <c r="DG91" i="1"/>
  <c r="DH91" i="1"/>
  <c r="DI91" i="1"/>
  <c r="DG92" i="1"/>
  <c r="DJ92" i="1" s="1"/>
  <c r="ES92" i="1" s="1"/>
  <c r="DH92" i="1"/>
  <c r="DI92" i="1"/>
  <c r="DG93" i="1"/>
  <c r="DH93" i="1"/>
  <c r="DI93" i="1"/>
  <c r="DG94" i="1"/>
  <c r="DH94" i="1"/>
  <c r="DI94" i="1"/>
  <c r="DG95" i="1"/>
  <c r="DH95" i="1"/>
  <c r="DI95" i="1"/>
  <c r="DG96" i="1"/>
  <c r="DJ96" i="1" s="1"/>
  <c r="ES96" i="1" s="1"/>
  <c r="DH96" i="1"/>
  <c r="DI96" i="1"/>
  <c r="DG97" i="1"/>
  <c r="DH97" i="1"/>
  <c r="DI97" i="1"/>
  <c r="DG98" i="1"/>
  <c r="DH98" i="1"/>
  <c r="DI98" i="1"/>
  <c r="DG99" i="1"/>
  <c r="DH99" i="1"/>
  <c r="DI99" i="1"/>
  <c r="DG100" i="1"/>
  <c r="DJ100" i="1" s="1"/>
  <c r="ES100" i="1" s="1"/>
  <c r="DH100" i="1"/>
  <c r="DI100" i="1"/>
  <c r="DG101" i="1"/>
  <c r="DH101" i="1"/>
  <c r="DI101" i="1"/>
  <c r="DG102" i="1"/>
  <c r="DH102" i="1"/>
  <c r="DI102" i="1"/>
  <c r="DG103" i="1"/>
  <c r="DH103" i="1"/>
  <c r="DI103" i="1"/>
  <c r="DG104" i="1"/>
  <c r="DJ104" i="1" s="1"/>
  <c r="ES104" i="1" s="1"/>
  <c r="DH104" i="1"/>
  <c r="DI104" i="1"/>
  <c r="DG105" i="1"/>
  <c r="DH105" i="1"/>
  <c r="DI105" i="1"/>
  <c r="DG106" i="1"/>
  <c r="DH106" i="1"/>
  <c r="DI106" i="1"/>
  <c r="DG107" i="1"/>
  <c r="DH107" i="1"/>
  <c r="DI107" i="1"/>
  <c r="DG108" i="1"/>
  <c r="DJ108" i="1" s="1"/>
  <c r="ES108" i="1" s="1"/>
  <c r="DH108" i="1"/>
  <c r="DI108" i="1"/>
  <c r="DG109" i="1"/>
  <c r="DH109" i="1"/>
  <c r="DI109" i="1"/>
  <c r="DG110" i="1"/>
  <c r="DH110" i="1"/>
  <c r="DI110" i="1"/>
  <c r="DG111" i="1"/>
  <c r="DH111" i="1"/>
  <c r="DI111" i="1"/>
  <c r="DI5" i="1"/>
  <c r="DH5" i="1"/>
  <c r="DG5" i="1"/>
  <c r="DE6" i="1"/>
  <c r="DF6" i="1" s="1"/>
  <c r="ER6" i="1" s="1"/>
  <c r="DE7" i="1"/>
  <c r="DF7" i="1" s="1"/>
  <c r="ER7" i="1" s="1"/>
  <c r="DE8" i="1"/>
  <c r="DF8" i="1" s="1"/>
  <c r="ER8" i="1" s="1"/>
  <c r="DE9" i="1"/>
  <c r="DF9" i="1" s="1"/>
  <c r="ER9" i="1" s="1"/>
  <c r="DE10" i="1"/>
  <c r="DF10" i="1" s="1"/>
  <c r="ER10" i="1" s="1"/>
  <c r="DE11" i="1"/>
  <c r="DF11" i="1" s="1"/>
  <c r="ER11" i="1" s="1"/>
  <c r="DE12" i="1"/>
  <c r="DF12" i="1" s="1"/>
  <c r="ER12" i="1" s="1"/>
  <c r="DE13" i="1"/>
  <c r="DF13" i="1" s="1"/>
  <c r="ER13" i="1" s="1"/>
  <c r="DE14" i="1"/>
  <c r="DF14" i="1" s="1"/>
  <c r="ER14" i="1" s="1"/>
  <c r="DE15" i="1"/>
  <c r="DF15" i="1" s="1"/>
  <c r="ER15" i="1" s="1"/>
  <c r="DE16" i="1"/>
  <c r="DF16" i="1" s="1"/>
  <c r="ER16" i="1" s="1"/>
  <c r="DE17" i="1"/>
  <c r="DF17" i="1" s="1"/>
  <c r="ER17" i="1" s="1"/>
  <c r="DE18" i="1"/>
  <c r="DF18" i="1" s="1"/>
  <c r="ER18" i="1" s="1"/>
  <c r="DE19" i="1"/>
  <c r="DF19" i="1" s="1"/>
  <c r="ER19" i="1" s="1"/>
  <c r="DE20" i="1"/>
  <c r="DF20" i="1" s="1"/>
  <c r="ER20" i="1" s="1"/>
  <c r="DE21" i="1"/>
  <c r="DF21" i="1" s="1"/>
  <c r="ER21" i="1" s="1"/>
  <c r="DE22" i="1"/>
  <c r="DF22" i="1" s="1"/>
  <c r="ER22" i="1" s="1"/>
  <c r="DE23" i="1"/>
  <c r="DF23" i="1" s="1"/>
  <c r="ER23" i="1" s="1"/>
  <c r="DE24" i="1"/>
  <c r="DF24" i="1" s="1"/>
  <c r="ER24" i="1" s="1"/>
  <c r="DE25" i="1"/>
  <c r="DF25" i="1" s="1"/>
  <c r="ER25" i="1" s="1"/>
  <c r="DE26" i="1"/>
  <c r="DF26" i="1" s="1"/>
  <c r="ER26" i="1" s="1"/>
  <c r="DE27" i="1"/>
  <c r="DF27" i="1" s="1"/>
  <c r="ER27" i="1" s="1"/>
  <c r="DE28" i="1"/>
  <c r="DF28" i="1" s="1"/>
  <c r="ER28" i="1" s="1"/>
  <c r="DE29" i="1"/>
  <c r="DF29" i="1" s="1"/>
  <c r="ER29" i="1" s="1"/>
  <c r="DE30" i="1"/>
  <c r="DF30" i="1" s="1"/>
  <c r="ER30" i="1" s="1"/>
  <c r="DE31" i="1"/>
  <c r="DF31" i="1" s="1"/>
  <c r="ER31" i="1" s="1"/>
  <c r="DE32" i="1"/>
  <c r="DF32" i="1" s="1"/>
  <c r="ER32" i="1" s="1"/>
  <c r="DE33" i="1"/>
  <c r="DF33" i="1" s="1"/>
  <c r="ER33" i="1" s="1"/>
  <c r="DE34" i="1"/>
  <c r="DF34" i="1" s="1"/>
  <c r="ER34" i="1" s="1"/>
  <c r="DE35" i="1"/>
  <c r="DF35" i="1" s="1"/>
  <c r="ER35" i="1" s="1"/>
  <c r="DE36" i="1"/>
  <c r="DF36" i="1" s="1"/>
  <c r="ER36" i="1" s="1"/>
  <c r="DE37" i="1"/>
  <c r="DF37" i="1" s="1"/>
  <c r="ER37" i="1" s="1"/>
  <c r="DE38" i="1"/>
  <c r="DF38" i="1" s="1"/>
  <c r="ER38" i="1" s="1"/>
  <c r="DE39" i="1"/>
  <c r="DF39" i="1" s="1"/>
  <c r="ER39" i="1" s="1"/>
  <c r="DE40" i="1"/>
  <c r="DF40" i="1" s="1"/>
  <c r="ER40" i="1" s="1"/>
  <c r="DE41" i="1"/>
  <c r="DF41" i="1" s="1"/>
  <c r="ER41" i="1" s="1"/>
  <c r="DE42" i="1"/>
  <c r="DF42" i="1" s="1"/>
  <c r="ER42" i="1" s="1"/>
  <c r="DE43" i="1"/>
  <c r="DF43" i="1" s="1"/>
  <c r="ER43" i="1" s="1"/>
  <c r="DE44" i="1"/>
  <c r="DF44" i="1" s="1"/>
  <c r="ER44" i="1" s="1"/>
  <c r="DE45" i="1"/>
  <c r="DF45" i="1" s="1"/>
  <c r="ER45" i="1" s="1"/>
  <c r="DE46" i="1"/>
  <c r="DF46" i="1" s="1"/>
  <c r="ER46" i="1" s="1"/>
  <c r="DE47" i="1"/>
  <c r="DF47" i="1" s="1"/>
  <c r="ER47" i="1" s="1"/>
  <c r="DE48" i="1"/>
  <c r="DF48" i="1" s="1"/>
  <c r="ER48" i="1" s="1"/>
  <c r="DE49" i="1"/>
  <c r="DF49" i="1" s="1"/>
  <c r="ER49" i="1" s="1"/>
  <c r="DE50" i="1"/>
  <c r="DF50" i="1" s="1"/>
  <c r="ER50" i="1" s="1"/>
  <c r="DE51" i="1"/>
  <c r="DF51" i="1" s="1"/>
  <c r="ER51" i="1" s="1"/>
  <c r="DE52" i="1"/>
  <c r="DF52" i="1" s="1"/>
  <c r="ER52" i="1" s="1"/>
  <c r="DE53" i="1"/>
  <c r="DF53" i="1" s="1"/>
  <c r="ER53" i="1" s="1"/>
  <c r="DE54" i="1"/>
  <c r="DF54" i="1" s="1"/>
  <c r="ER54" i="1" s="1"/>
  <c r="DE55" i="1"/>
  <c r="DF55" i="1" s="1"/>
  <c r="ER55" i="1" s="1"/>
  <c r="DE56" i="1"/>
  <c r="DF56" i="1" s="1"/>
  <c r="ER56" i="1" s="1"/>
  <c r="DE57" i="1"/>
  <c r="DF57" i="1" s="1"/>
  <c r="ER57" i="1" s="1"/>
  <c r="DE58" i="1"/>
  <c r="DF58" i="1" s="1"/>
  <c r="ER58" i="1" s="1"/>
  <c r="DE59" i="1"/>
  <c r="DF59" i="1" s="1"/>
  <c r="ER59" i="1" s="1"/>
  <c r="DE60" i="1"/>
  <c r="DF60" i="1" s="1"/>
  <c r="ER60" i="1" s="1"/>
  <c r="DE61" i="1"/>
  <c r="DF61" i="1" s="1"/>
  <c r="ER61" i="1" s="1"/>
  <c r="DE62" i="1"/>
  <c r="DF62" i="1" s="1"/>
  <c r="ER62" i="1" s="1"/>
  <c r="DE63" i="1"/>
  <c r="DF63" i="1" s="1"/>
  <c r="ER63" i="1" s="1"/>
  <c r="DE64" i="1"/>
  <c r="DF64" i="1" s="1"/>
  <c r="ER64" i="1" s="1"/>
  <c r="DE65" i="1"/>
  <c r="DF65" i="1" s="1"/>
  <c r="ER65" i="1" s="1"/>
  <c r="DE66" i="1"/>
  <c r="DF66" i="1" s="1"/>
  <c r="ER66" i="1" s="1"/>
  <c r="DE67" i="1"/>
  <c r="DF67" i="1" s="1"/>
  <c r="ER67" i="1" s="1"/>
  <c r="DE68" i="1"/>
  <c r="DF68" i="1" s="1"/>
  <c r="ER68" i="1" s="1"/>
  <c r="DE69" i="1"/>
  <c r="DF69" i="1" s="1"/>
  <c r="ER69" i="1" s="1"/>
  <c r="DE70" i="1"/>
  <c r="DF70" i="1" s="1"/>
  <c r="ER70" i="1" s="1"/>
  <c r="DE71" i="1"/>
  <c r="DF71" i="1" s="1"/>
  <c r="ER71" i="1" s="1"/>
  <c r="DE72" i="1"/>
  <c r="DF72" i="1" s="1"/>
  <c r="ER72" i="1" s="1"/>
  <c r="DE73" i="1"/>
  <c r="DF73" i="1" s="1"/>
  <c r="ER73" i="1" s="1"/>
  <c r="DE74" i="1"/>
  <c r="DF74" i="1" s="1"/>
  <c r="ER74" i="1" s="1"/>
  <c r="DE75" i="1"/>
  <c r="DF75" i="1" s="1"/>
  <c r="ER75" i="1" s="1"/>
  <c r="DE76" i="1"/>
  <c r="DF76" i="1" s="1"/>
  <c r="ER76" i="1" s="1"/>
  <c r="DE77" i="1"/>
  <c r="DF77" i="1" s="1"/>
  <c r="ER77" i="1" s="1"/>
  <c r="DE78" i="1"/>
  <c r="DF78" i="1" s="1"/>
  <c r="ER78" i="1" s="1"/>
  <c r="DE79" i="1"/>
  <c r="DF79" i="1" s="1"/>
  <c r="ER79" i="1" s="1"/>
  <c r="DE80" i="1"/>
  <c r="DF80" i="1" s="1"/>
  <c r="ER80" i="1" s="1"/>
  <c r="DE81" i="1"/>
  <c r="DF81" i="1" s="1"/>
  <c r="ER81" i="1" s="1"/>
  <c r="DE82" i="1"/>
  <c r="DF82" i="1" s="1"/>
  <c r="ER82" i="1" s="1"/>
  <c r="DE83" i="1"/>
  <c r="DF83" i="1" s="1"/>
  <c r="ER83" i="1" s="1"/>
  <c r="DE84" i="1"/>
  <c r="DF84" i="1" s="1"/>
  <c r="ER84" i="1" s="1"/>
  <c r="DE85" i="1"/>
  <c r="DF85" i="1" s="1"/>
  <c r="ER85" i="1" s="1"/>
  <c r="DE86" i="1"/>
  <c r="DF86" i="1" s="1"/>
  <c r="ER86" i="1" s="1"/>
  <c r="DE87" i="1"/>
  <c r="DF87" i="1" s="1"/>
  <c r="ER87" i="1" s="1"/>
  <c r="DE88" i="1"/>
  <c r="DF88" i="1" s="1"/>
  <c r="ER88" i="1" s="1"/>
  <c r="DE89" i="1"/>
  <c r="DF89" i="1" s="1"/>
  <c r="ER89" i="1" s="1"/>
  <c r="DE90" i="1"/>
  <c r="DF90" i="1" s="1"/>
  <c r="ER90" i="1" s="1"/>
  <c r="DE91" i="1"/>
  <c r="DF91" i="1" s="1"/>
  <c r="ER91" i="1" s="1"/>
  <c r="DE92" i="1"/>
  <c r="DF92" i="1" s="1"/>
  <c r="ER92" i="1" s="1"/>
  <c r="DE93" i="1"/>
  <c r="DF93" i="1"/>
  <c r="ER93" i="1" s="1"/>
  <c r="DE94" i="1"/>
  <c r="DF94" i="1" s="1"/>
  <c r="ER94" i="1" s="1"/>
  <c r="DE95" i="1"/>
  <c r="DF95" i="1" s="1"/>
  <c r="ER95" i="1" s="1"/>
  <c r="DE96" i="1"/>
  <c r="DF96" i="1" s="1"/>
  <c r="ER96" i="1" s="1"/>
  <c r="DE97" i="1"/>
  <c r="DF97" i="1" s="1"/>
  <c r="ER97" i="1" s="1"/>
  <c r="DE98" i="1"/>
  <c r="DF98" i="1" s="1"/>
  <c r="ER98" i="1" s="1"/>
  <c r="DE99" i="1"/>
  <c r="DF99" i="1" s="1"/>
  <c r="ER99" i="1" s="1"/>
  <c r="DE100" i="1"/>
  <c r="DF100" i="1" s="1"/>
  <c r="ER100" i="1" s="1"/>
  <c r="DE101" i="1"/>
  <c r="DF101" i="1" s="1"/>
  <c r="ER101" i="1" s="1"/>
  <c r="DE102" i="1"/>
  <c r="DF102" i="1" s="1"/>
  <c r="ER102" i="1" s="1"/>
  <c r="DE103" i="1"/>
  <c r="DF103" i="1" s="1"/>
  <c r="ER103" i="1" s="1"/>
  <c r="DE104" i="1"/>
  <c r="DF104" i="1" s="1"/>
  <c r="ER104" i="1" s="1"/>
  <c r="DE105" i="1"/>
  <c r="DF105" i="1" s="1"/>
  <c r="ER105" i="1" s="1"/>
  <c r="DE106" i="1"/>
  <c r="DF106" i="1" s="1"/>
  <c r="ER106" i="1" s="1"/>
  <c r="DE107" i="1"/>
  <c r="DF107" i="1" s="1"/>
  <c r="ER107" i="1" s="1"/>
  <c r="DE108" i="1"/>
  <c r="DF108" i="1" s="1"/>
  <c r="ER108" i="1" s="1"/>
  <c r="DE109" i="1"/>
  <c r="DF109" i="1" s="1"/>
  <c r="ER109" i="1" s="1"/>
  <c r="DE110" i="1"/>
  <c r="DF110" i="1" s="1"/>
  <c r="ER110" i="1" s="1"/>
  <c r="DE111" i="1"/>
  <c r="DF111" i="1" s="1"/>
  <c r="ER111" i="1" s="1"/>
  <c r="DE5" i="1"/>
  <c r="DF5" i="1" s="1"/>
  <c r="ER5" i="1" s="1"/>
  <c r="DD96" i="1"/>
  <c r="EQ96" i="1" s="1"/>
  <c r="DC6" i="1"/>
  <c r="DD6" i="1" s="1"/>
  <c r="EQ6" i="1" s="1"/>
  <c r="DC7" i="1"/>
  <c r="DD7" i="1" s="1"/>
  <c r="EQ7" i="1" s="1"/>
  <c r="DC8" i="1"/>
  <c r="DD8" i="1" s="1"/>
  <c r="EQ8" i="1" s="1"/>
  <c r="DC9" i="1"/>
  <c r="DD9" i="1" s="1"/>
  <c r="EQ9" i="1" s="1"/>
  <c r="DC10" i="1"/>
  <c r="DD10" i="1" s="1"/>
  <c r="EQ10" i="1" s="1"/>
  <c r="DC11" i="1"/>
  <c r="DD11" i="1" s="1"/>
  <c r="EQ11" i="1" s="1"/>
  <c r="DC12" i="1"/>
  <c r="DD12" i="1" s="1"/>
  <c r="EQ12" i="1" s="1"/>
  <c r="DC13" i="1"/>
  <c r="DD13" i="1" s="1"/>
  <c r="EQ13" i="1" s="1"/>
  <c r="DC14" i="1"/>
  <c r="DD14" i="1" s="1"/>
  <c r="EQ14" i="1" s="1"/>
  <c r="DC15" i="1"/>
  <c r="DD15" i="1" s="1"/>
  <c r="EQ15" i="1" s="1"/>
  <c r="DC16" i="1"/>
  <c r="DD16" i="1" s="1"/>
  <c r="EQ16" i="1" s="1"/>
  <c r="DC17" i="1"/>
  <c r="DD17" i="1" s="1"/>
  <c r="EQ17" i="1" s="1"/>
  <c r="DC18" i="1"/>
  <c r="DD18" i="1" s="1"/>
  <c r="EQ18" i="1" s="1"/>
  <c r="DC19" i="1"/>
  <c r="DD19" i="1" s="1"/>
  <c r="EQ19" i="1" s="1"/>
  <c r="DC20" i="1"/>
  <c r="DD20" i="1" s="1"/>
  <c r="EQ20" i="1" s="1"/>
  <c r="DC21" i="1"/>
  <c r="DD21" i="1" s="1"/>
  <c r="EQ21" i="1" s="1"/>
  <c r="DC22" i="1"/>
  <c r="DD22" i="1" s="1"/>
  <c r="EQ22" i="1" s="1"/>
  <c r="DC23" i="1"/>
  <c r="DD23" i="1" s="1"/>
  <c r="EQ23" i="1" s="1"/>
  <c r="DC24" i="1"/>
  <c r="DD24" i="1" s="1"/>
  <c r="EQ24" i="1" s="1"/>
  <c r="DC25" i="1"/>
  <c r="DD25" i="1" s="1"/>
  <c r="EQ25" i="1" s="1"/>
  <c r="DC26" i="1"/>
  <c r="DD26" i="1" s="1"/>
  <c r="EQ26" i="1" s="1"/>
  <c r="DC27" i="1"/>
  <c r="DD27" i="1" s="1"/>
  <c r="EQ27" i="1" s="1"/>
  <c r="DC28" i="1"/>
  <c r="DD28" i="1" s="1"/>
  <c r="EQ28" i="1" s="1"/>
  <c r="DC29" i="1"/>
  <c r="DD29" i="1" s="1"/>
  <c r="EQ29" i="1" s="1"/>
  <c r="DC30" i="1"/>
  <c r="DD30" i="1" s="1"/>
  <c r="EQ30" i="1" s="1"/>
  <c r="DC31" i="1"/>
  <c r="DD31" i="1" s="1"/>
  <c r="EQ31" i="1" s="1"/>
  <c r="DC32" i="1"/>
  <c r="DD32" i="1" s="1"/>
  <c r="EQ32" i="1" s="1"/>
  <c r="DC33" i="1"/>
  <c r="DD33" i="1" s="1"/>
  <c r="EQ33" i="1" s="1"/>
  <c r="DC34" i="1"/>
  <c r="DD34" i="1" s="1"/>
  <c r="EQ34" i="1" s="1"/>
  <c r="DC35" i="1"/>
  <c r="DD35" i="1" s="1"/>
  <c r="EQ35" i="1" s="1"/>
  <c r="DC36" i="1"/>
  <c r="DD36" i="1" s="1"/>
  <c r="EQ36" i="1" s="1"/>
  <c r="DC37" i="1"/>
  <c r="DD37" i="1" s="1"/>
  <c r="EQ37" i="1" s="1"/>
  <c r="DC38" i="1"/>
  <c r="DD38" i="1" s="1"/>
  <c r="EQ38" i="1" s="1"/>
  <c r="DC39" i="1"/>
  <c r="DD39" i="1" s="1"/>
  <c r="EQ39" i="1" s="1"/>
  <c r="DC40" i="1"/>
  <c r="DD40" i="1" s="1"/>
  <c r="EQ40" i="1" s="1"/>
  <c r="DC41" i="1"/>
  <c r="DD41" i="1" s="1"/>
  <c r="EQ41" i="1" s="1"/>
  <c r="DC42" i="1"/>
  <c r="DD42" i="1" s="1"/>
  <c r="EQ42" i="1" s="1"/>
  <c r="DC43" i="1"/>
  <c r="DD43" i="1" s="1"/>
  <c r="EQ43" i="1" s="1"/>
  <c r="DC44" i="1"/>
  <c r="DD44" i="1" s="1"/>
  <c r="EQ44" i="1" s="1"/>
  <c r="DC45" i="1"/>
  <c r="DD45" i="1" s="1"/>
  <c r="EQ45" i="1" s="1"/>
  <c r="DC46" i="1"/>
  <c r="DD46" i="1" s="1"/>
  <c r="EQ46" i="1" s="1"/>
  <c r="DC47" i="1"/>
  <c r="DD47" i="1" s="1"/>
  <c r="EQ47" i="1" s="1"/>
  <c r="DC48" i="1"/>
  <c r="DD48" i="1" s="1"/>
  <c r="EQ48" i="1" s="1"/>
  <c r="DC49" i="1"/>
  <c r="DD49" i="1" s="1"/>
  <c r="EQ49" i="1" s="1"/>
  <c r="DC50" i="1"/>
  <c r="DD50" i="1" s="1"/>
  <c r="EQ50" i="1" s="1"/>
  <c r="DC51" i="1"/>
  <c r="DD51" i="1" s="1"/>
  <c r="EQ51" i="1" s="1"/>
  <c r="DC52" i="1"/>
  <c r="DD52" i="1" s="1"/>
  <c r="EQ52" i="1" s="1"/>
  <c r="DC53" i="1"/>
  <c r="DD53" i="1" s="1"/>
  <c r="EQ53" i="1" s="1"/>
  <c r="DC54" i="1"/>
  <c r="DD54" i="1" s="1"/>
  <c r="EQ54" i="1" s="1"/>
  <c r="DC55" i="1"/>
  <c r="DD55" i="1" s="1"/>
  <c r="EQ55" i="1" s="1"/>
  <c r="DC56" i="1"/>
  <c r="DD56" i="1" s="1"/>
  <c r="EQ56" i="1" s="1"/>
  <c r="DC57" i="1"/>
  <c r="DD57" i="1" s="1"/>
  <c r="DC58" i="1"/>
  <c r="DD58" i="1" s="1"/>
  <c r="EQ58" i="1" s="1"/>
  <c r="DC59" i="1"/>
  <c r="DD59" i="1" s="1"/>
  <c r="EQ59" i="1" s="1"/>
  <c r="DC60" i="1"/>
  <c r="DD60" i="1" s="1"/>
  <c r="EQ60" i="1" s="1"/>
  <c r="DC61" i="1"/>
  <c r="DD61" i="1" s="1"/>
  <c r="EQ61" i="1" s="1"/>
  <c r="DC62" i="1"/>
  <c r="DD62" i="1" s="1"/>
  <c r="EQ62" i="1" s="1"/>
  <c r="DC63" i="1"/>
  <c r="DD63" i="1" s="1"/>
  <c r="EQ63" i="1" s="1"/>
  <c r="DC64" i="1"/>
  <c r="DD64" i="1" s="1"/>
  <c r="EQ64" i="1" s="1"/>
  <c r="DC65" i="1"/>
  <c r="DD65" i="1" s="1"/>
  <c r="EQ65" i="1" s="1"/>
  <c r="DC66" i="1"/>
  <c r="DD66" i="1" s="1"/>
  <c r="EQ66" i="1" s="1"/>
  <c r="DC67" i="1"/>
  <c r="DD67" i="1" s="1"/>
  <c r="EQ67" i="1" s="1"/>
  <c r="DC68" i="1"/>
  <c r="DD68" i="1" s="1"/>
  <c r="EQ68" i="1" s="1"/>
  <c r="DC69" i="1"/>
  <c r="DD69" i="1" s="1"/>
  <c r="EQ69" i="1" s="1"/>
  <c r="DC70" i="1"/>
  <c r="DD70" i="1" s="1"/>
  <c r="EQ70" i="1" s="1"/>
  <c r="DC71" i="1"/>
  <c r="DD71" i="1" s="1"/>
  <c r="EQ71" i="1" s="1"/>
  <c r="DC72" i="1"/>
  <c r="DD72" i="1" s="1"/>
  <c r="EQ72" i="1" s="1"/>
  <c r="DC73" i="1"/>
  <c r="DD73" i="1" s="1"/>
  <c r="EQ73" i="1" s="1"/>
  <c r="DC74" i="1"/>
  <c r="DD74" i="1" s="1"/>
  <c r="EQ74" i="1" s="1"/>
  <c r="DC75" i="1"/>
  <c r="DD75" i="1" s="1"/>
  <c r="EQ75" i="1" s="1"/>
  <c r="DC76" i="1"/>
  <c r="DD76" i="1" s="1"/>
  <c r="EQ76" i="1" s="1"/>
  <c r="DC77" i="1"/>
  <c r="DD77" i="1" s="1"/>
  <c r="EQ77" i="1" s="1"/>
  <c r="DC78" i="1"/>
  <c r="DD78" i="1" s="1"/>
  <c r="EQ78" i="1" s="1"/>
  <c r="DC79" i="1"/>
  <c r="DD79" i="1" s="1"/>
  <c r="EQ79" i="1" s="1"/>
  <c r="DC80" i="1"/>
  <c r="DD80" i="1" s="1"/>
  <c r="EQ80" i="1" s="1"/>
  <c r="DC81" i="1"/>
  <c r="DD81" i="1" s="1"/>
  <c r="EQ81" i="1" s="1"/>
  <c r="DC82" i="1"/>
  <c r="DD82" i="1" s="1"/>
  <c r="EQ82" i="1" s="1"/>
  <c r="DC83" i="1"/>
  <c r="DD83" i="1" s="1"/>
  <c r="EQ83" i="1" s="1"/>
  <c r="DC84" i="1"/>
  <c r="DD84" i="1" s="1"/>
  <c r="EQ84" i="1" s="1"/>
  <c r="DC85" i="1"/>
  <c r="DD85" i="1" s="1"/>
  <c r="EQ85" i="1" s="1"/>
  <c r="DC86" i="1"/>
  <c r="DD86" i="1" s="1"/>
  <c r="EQ86" i="1" s="1"/>
  <c r="DC87" i="1"/>
  <c r="DD87" i="1" s="1"/>
  <c r="EQ87" i="1" s="1"/>
  <c r="DC88" i="1"/>
  <c r="DD88" i="1" s="1"/>
  <c r="EQ88" i="1" s="1"/>
  <c r="DC89" i="1"/>
  <c r="DD89" i="1" s="1"/>
  <c r="EQ89" i="1" s="1"/>
  <c r="DC90" i="1"/>
  <c r="DD90" i="1" s="1"/>
  <c r="EQ90" i="1" s="1"/>
  <c r="DC91" i="1"/>
  <c r="DD91" i="1" s="1"/>
  <c r="EQ91" i="1" s="1"/>
  <c r="DC92" i="1"/>
  <c r="DD92" i="1" s="1"/>
  <c r="EQ92" i="1" s="1"/>
  <c r="DC93" i="1"/>
  <c r="DD93" i="1" s="1"/>
  <c r="EQ93" i="1" s="1"/>
  <c r="DC94" i="1"/>
  <c r="DD94" i="1" s="1"/>
  <c r="EQ94" i="1" s="1"/>
  <c r="DC95" i="1"/>
  <c r="DD95" i="1" s="1"/>
  <c r="EQ95" i="1" s="1"/>
  <c r="DC96" i="1"/>
  <c r="DC97" i="1"/>
  <c r="DD97" i="1" s="1"/>
  <c r="EQ97" i="1" s="1"/>
  <c r="DC98" i="1"/>
  <c r="DD98" i="1" s="1"/>
  <c r="EQ98" i="1" s="1"/>
  <c r="DC99" i="1"/>
  <c r="DD99" i="1" s="1"/>
  <c r="EQ99" i="1" s="1"/>
  <c r="DC100" i="1"/>
  <c r="DD100" i="1" s="1"/>
  <c r="EQ100" i="1" s="1"/>
  <c r="DC101" i="1"/>
  <c r="DD101" i="1" s="1"/>
  <c r="EQ101" i="1" s="1"/>
  <c r="DC102" i="1"/>
  <c r="DD102" i="1" s="1"/>
  <c r="EQ102" i="1" s="1"/>
  <c r="DC103" i="1"/>
  <c r="DD103" i="1" s="1"/>
  <c r="EQ103" i="1" s="1"/>
  <c r="DC104" i="1"/>
  <c r="DD104" i="1" s="1"/>
  <c r="EQ104" i="1" s="1"/>
  <c r="DC105" i="1"/>
  <c r="DD105" i="1" s="1"/>
  <c r="EQ105" i="1" s="1"/>
  <c r="DC106" i="1"/>
  <c r="DD106" i="1" s="1"/>
  <c r="EQ106" i="1" s="1"/>
  <c r="DC107" i="1"/>
  <c r="DD107" i="1" s="1"/>
  <c r="DC108" i="1"/>
  <c r="DD108" i="1" s="1"/>
  <c r="EQ108" i="1" s="1"/>
  <c r="DC109" i="1"/>
  <c r="DD109" i="1" s="1"/>
  <c r="EQ109" i="1" s="1"/>
  <c r="DC110" i="1"/>
  <c r="DD110" i="1" s="1"/>
  <c r="EQ110" i="1" s="1"/>
  <c r="DC111" i="1"/>
  <c r="DD111" i="1" s="1"/>
  <c r="EQ111" i="1" s="1"/>
  <c r="DC5" i="1"/>
  <c r="DD5" i="1" s="1"/>
  <c r="EQ5" i="1" s="1"/>
  <c r="DB86" i="1"/>
  <c r="EP86" i="1" s="1"/>
  <c r="DA6" i="1"/>
  <c r="DB6" i="1" s="1"/>
  <c r="EP6" i="1" s="1"/>
  <c r="DA7" i="1"/>
  <c r="DB7" i="1" s="1"/>
  <c r="EP7" i="1" s="1"/>
  <c r="DA8" i="1"/>
  <c r="DB8" i="1" s="1"/>
  <c r="EP8" i="1" s="1"/>
  <c r="DA9" i="1"/>
  <c r="DB9" i="1" s="1"/>
  <c r="EP9" i="1" s="1"/>
  <c r="DA10" i="1"/>
  <c r="DB10" i="1" s="1"/>
  <c r="EP10" i="1" s="1"/>
  <c r="DA11" i="1"/>
  <c r="DB11" i="1" s="1"/>
  <c r="EP11" i="1" s="1"/>
  <c r="DA12" i="1"/>
  <c r="DB12" i="1" s="1"/>
  <c r="EP12" i="1" s="1"/>
  <c r="DA13" i="1"/>
  <c r="DB13" i="1" s="1"/>
  <c r="EP13" i="1" s="1"/>
  <c r="DA14" i="1"/>
  <c r="DB14" i="1" s="1"/>
  <c r="EP14" i="1" s="1"/>
  <c r="DA15" i="1"/>
  <c r="DB15" i="1" s="1"/>
  <c r="EP15" i="1" s="1"/>
  <c r="DA16" i="1"/>
  <c r="DB16" i="1" s="1"/>
  <c r="EP16" i="1" s="1"/>
  <c r="DA17" i="1"/>
  <c r="DB17" i="1" s="1"/>
  <c r="EP17" i="1" s="1"/>
  <c r="DA18" i="1"/>
  <c r="DB18" i="1" s="1"/>
  <c r="EP18" i="1" s="1"/>
  <c r="DA19" i="1"/>
  <c r="DB19" i="1" s="1"/>
  <c r="EP19" i="1" s="1"/>
  <c r="DA20" i="1"/>
  <c r="DB20" i="1" s="1"/>
  <c r="EP20" i="1" s="1"/>
  <c r="DA21" i="1"/>
  <c r="DB21" i="1" s="1"/>
  <c r="EP21" i="1" s="1"/>
  <c r="DA22" i="1"/>
  <c r="DB22" i="1" s="1"/>
  <c r="EP22" i="1" s="1"/>
  <c r="DA23" i="1"/>
  <c r="DB23" i="1" s="1"/>
  <c r="EP23" i="1" s="1"/>
  <c r="DA24" i="1"/>
  <c r="DB24" i="1" s="1"/>
  <c r="EP24" i="1" s="1"/>
  <c r="DA25" i="1"/>
  <c r="DB25" i="1" s="1"/>
  <c r="EP25" i="1" s="1"/>
  <c r="DA26" i="1"/>
  <c r="DB26" i="1" s="1"/>
  <c r="EP26" i="1" s="1"/>
  <c r="DA27" i="1"/>
  <c r="DB27" i="1" s="1"/>
  <c r="EP27" i="1" s="1"/>
  <c r="DA28" i="1"/>
  <c r="DB28" i="1" s="1"/>
  <c r="EP28" i="1" s="1"/>
  <c r="DA29" i="1"/>
  <c r="DB29" i="1" s="1"/>
  <c r="EP29" i="1" s="1"/>
  <c r="DA30" i="1"/>
  <c r="DB30" i="1" s="1"/>
  <c r="EP30" i="1" s="1"/>
  <c r="DA31" i="1"/>
  <c r="DB31" i="1" s="1"/>
  <c r="EP31" i="1" s="1"/>
  <c r="DA32" i="1"/>
  <c r="DB32" i="1" s="1"/>
  <c r="EP32" i="1" s="1"/>
  <c r="DA33" i="1"/>
  <c r="DB33" i="1" s="1"/>
  <c r="EP33" i="1" s="1"/>
  <c r="DA34" i="1"/>
  <c r="DB34" i="1" s="1"/>
  <c r="EP34" i="1" s="1"/>
  <c r="DA35" i="1"/>
  <c r="DB35" i="1" s="1"/>
  <c r="EP35" i="1" s="1"/>
  <c r="DA36" i="1"/>
  <c r="DB36" i="1" s="1"/>
  <c r="EP36" i="1" s="1"/>
  <c r="DA37" i="1"/>
  <c r="DB37" i="1" s="1"/>
  <c r="EP37" i="1" s="1"/>
  <c r="DA38" i="1"/>
  <c r="DB38" i="1" s="1"/>
  <c r="EP38" i="1" s="1"/>
  <c r="DA39" i="1"/>
  <c r="DB39" i="1" s="1"/>
  <c r="EP39" i="1" s="1"/>
  <c r="DA40" i="1"/>
  <c r="DB40" i="1" s="1"/>
  <c r="EP40" i="1" s="1"/>
  <c r="DA41" i="1"/>
  <c r="DB41" i="1" s="1"/>
  <c r="EP41" i="1" s="1"/>
  <c r="DA42" i="1"/>
  <c r="DB42" i="1" s="1"/>
  <c r="EP42" i="1" s="1"/>
  <c r="DA43" i="1"/>
  <c r="DB43" i="1" s="1"/>
  <c r="EP43" i="1" s="1"/>
  <c r="DA44" i="1"/>
  <c r="DB44" i="1" s="1"/>
  <c r="EP44" i="1" s="1"/>
  <c r="DA45" i="1"/>
  <c r="DB45" i="1" s="1"/>
  <c r="EP45" i="1" s="1"/>
  <c r="DA46" i="1"/>
  <c r="DB46" i="1" s="1"/>
  <c r="EP46" i="1" s="1"/>
  <c r="DA47" i="1"/>
  <c r="DB47" i="1" s="1"/>
  <c r="EP47" i="1" s="1"/>
  <c r="DA48" i="1"/>
  <c r="DB48" i="1" s="1"/>
  <c r="EP48" i="1" s="1"/>
  <c r="DA49" i="1"/>
  <c r="DB49" i="1" s="1"/>
  <c r="EP49" i="1" s="1"/>
  <c r="DA50" i="1"/>
  <c r="DB50" i="1" s="1"/>
  <c r="EP50" i="1" s="1"/>
  <c r="DA51" i="1"/>
  <c r="DB51" i="1" s="1"/>
  <c r="EP51" i="1" s="1"/>
  <c r="DA52" i="1"/>
  <c r="DB52" i="1" s="1"/>
  <c r="EP52" i="1" s="1"/>
  <c r="DA53" i="1"/>
  <c r="DB53" i="1" s="1"/>
  <c r="EP53" i="1" s="1"/>
  <c r="DA54" i="1"/>
  <c r="DB54" i="1" s="1"/>
  <c r="EP54" i="1" s="1"/>
  <c r="DA55" i="1"/>
  <c r="DB55" i="1" s="1"/>
  <c r="EP55" i="1" s="1"/>
  <c r="DA56" i="1"/>
  <c r="DB56" i="1" s="1"/>
  <c r="EP56" i="1" s="1"/>
  <c r="DA57" i="1"/>
  <c r="DB57" i="1" s="1"/>
  <c r="EP57" i="1" s="1"/>
  <c r="DA58" i="1"/>
  <c r="DB58" i="1" s="1"/>
  <c r="EP58" i="1" s="1"/>
  <c r="DA59" i="1"/>
  <c r="DB59" i="1" s="1"/>
  <c r="EP59" i="1" s="1"/>
  <c r="DA60" i="1"/>
  <c r="DB60" i="1" s="1"/>
  <c r="EP60" i="1" s="1"/>
  <c r="DA61" i="1"/>
  <c r="DB61" i="1" s="1"/>
  <c r="EP61" i="1" s="1"/>
  <c r="DA62" i="1"/>
  <c r="DB62" i="1" s="1"/>
  <c r="EP62" i="1" s="1"/>
  <c r="DA63" i="1"/>
  <c r="DB63" i="1" s="1"/>
  <c r="EP63" i="1" s="1"/>
  <c r="DA64" i="1"/>
  <c r="DB64" i="1" s="1"/>
  <c r="EP64" i="1" s="1"/>
  <c r="DA65" i="1"/>
  <c r="DB65" i="1" s="1"/>
  <c r="EP65" i="1" s="1"/>
  <c r="DA66" i="1"/>
  <c r="DB66" i="1" s="1"/>
  <c r="EP66" i="1" s="1"/>
  <c r="DA67" i="1"/>
  <c r="DB67" i="1" s="1"/>
  <c r="EP67" i="1" s="1"/>
  <c r="DA68" i="1"/>
  <c r="DB68" i="1" s="1"/>
  <c r="EP68" i="1" s="1"/>
  <c r="DA69" i="1"/>
  <c r="DB69" i="1" s="1"/>
  <c r="EP69" i="1" s="1"/>
  <c r="DA70" i="1"/>
  <c r="DB70" i="1" s="1"/>
  <c r="EP70" i="1" s="1"/>
  <c r="DA71" i="1"/>
  <c r="DB71" i="1" s="1"/>
  <c r="EP71" i="1" s="1"/>
  <c r="DA72" i="1"/>
  <c r="DB72" i="1" s="1"/>
  <c r="EP72" i="1" s="1"/>
  <c r="DA73" i="1"/>
  <c r="DB73" i="1" s="1"/>
  <c r="EP73" i="1" s="1"/>
  <c r="DA74" i="1"/>
  <c r="DB74" i="1" s="1"/>
  <c r="EP74" i="1" s="1"/>
  <c r="DA75" i="1"/>
  <c r="DB75" i="1" s="1"/>
  <c r="EP75" i="1" s="1"/>
  <c r="DA76" i="1"/>
  <c r="DB76" i="1" s="1"/>
  <c r="EP76" i="1" s="1"/>
  <c r="DA77" i="1"/>
  <c r="DB77" i="1" s="1"/>
  <c r="EP77" i="1" s="1"/>
  <c r="DA78" i="1"/>
  <c r="DB78" i="1" s="1"/>
  <c r="EP78" i="1" s="1"/>
  <c r="DA79" i="1"/>
  <c r="DB79" i="1" s="1"/>
  <c r="EP79" i="1" s="1"/>
  <c r="DA80" i="1"/>
  <c r="DB80" i="1" s="1"/>
  <c r="EP80" i="1" s="1"/>
  <c r="DA81" i="1"/>
  <c r="DB81" i="1" s="1"/>
  <c r="EP81" i="1" s="1"/>
  <c r="DA82" i="1"/>
  <c r="DB82" i="1" s="1"/>
  <c r="EP82" i="1" s="1"/>
  <c r="DA83" i="1"/>
  <c r="DB83" i="1" s="1"/>
  <c r="EP83" i="1" s="1"/>
  <c r="DA84" i="1"/>
  <c r="DB84" i="1" s="1"/>
  <c r="EP84" i="1" s="1"/>
  <c r="DA85" i="1"/>
  <c r="DB85" i="1" s="1"/>
  <c r="EP85" i="1" s="1"/>
  <c r="DA86" i="1"/>
  <c r="DA87" i="1"/>
  <c r="DB87" i="1" s="1"/>
  <c r="EP87" i="1" s="1"/>
  <c r="DA88" i="1"/>
  <c r="DB88" i="1" s="1"/>
  <c r="EP88" i="1" s="1"/>
  <c r="DA89" i="1"/>
  <c r="DB89" i="1" s="1"/>
  <c r="EP89" i="1" s="1"/>
  <c r="DA90" i="1"/>
  <c r="DB90" i="1" s="1"/>
  <c r="EP90" i="1" s="1"/>
  <c r="DA91" i="1"/>
  <c r="DB91" i="1" s="1"/>
  <c r="EP91" i="1" s="1"/>
  <c r="DA92" i="1"/>
  <c r="DB92" i="1" s="1"/>
  <c r="EP92" i="1" s="1"/>
  <c r="DA93" i="1"/>
  <c r="DB93" i="1" s="1"/>
  <c r="EP93" i="1" s="1"/>
  <c r="DA94" i="1"/>
  <c r="DB94" i="1" s="1"/>
  <c r="EP94" i="1" s="1"/>
  <c r="DA95" i="1"/>
  <c r="DB95" i="1" s="1"/>
  <c r="EP95" i="1" s="1"/>
  <c r="DA96" i="1"/>
  <c r="DB96" i="1" s="1"/>
  <c r="EP96" i="1" s="1"/>
  <c r="DA97" i="1"/>
  <c r="DB97" i="1" s="1"/>
  <c r="EP97" i="1" s="1"/>
  <c r="DA98" i="1"/>
  <c r="DB98" i="1" s="1"/>
  <c r="EP98" i="1" s="1"/>
  <c r="DA99" i="1"/>
  <c r="DB99" i="1" s="1"/>
  <c r="EP99" i="1" s="1"/>
  <c r="DA100" i="1"/>
  <c r="DB100" i="1" s="1"/>
  <c r="EP100" i="1" s="1"/>
  <c r="DA101" i="1"/>
  <c r="DB101" i="1" s="1"/>
  <c r="EP101" i="1" s="1"/>
  <c r="DA102" i="1"/>
  <c r="DB102" i="1" s="1"/>
  <c r="EP102" i="1" s="1"/>
  <c r="DA103" i="1"/>
  <c r="DB103" i="1" s="1"/>
  <c r="EP103" i="1" s="1"/>
  <c r="DA104" i="1"/>
  <c r="DB104" i="1" s="1"/>
  <c r="EP104" i="1" s="1"/>
  <c r="DA105" i="1"/>
  <c r="DB105" i="1" s="1"/>
  <c r="EP105" i="1" s="1"/>
  <c r="DA106" i="1"/>
  <c r="DB106" i="1" s="1"/>
  <c r="EP106" i="1" s="1"/>
  <c r="DA107" i="1"/>
  <c r="DB107" i="1" s="1"/>
  <c r="EP107" i="1" s="1"/>
  <c r="DA108" i="1"/>
  <c r="DB108" i="1" s="1"/>
  <c r="EP108" i="1" s="1"/>
  <c r="DA109" i="1"/>
  <c r="DB109" i="1" s="1"/>
  <c r="EP109" i="1" s="1"/>
  <c r="DA110" i="1"/>
  <c r="DB110" i="1" s="1"/>
  <c r="EP110" i="1" s="1"/>
  <c r="DA111" i="1"/>
  <c r="DB111" i="1" s="1"/>
  <c r="EP111" i="1" s="1"/>
  <c r="DA5" i="1"/>
  <c r="DB5" i="1" s="1"/>
  <c r="EP5" i="1" s="1"/>
  <c r="CU6" i="1"/>
  <c r="CV6" i="1"/>
  <c r="CW6" i="1"/>
  <c r="CU7" i="1"/>
  <c r="CV7" i="1"/>
  <c r="CW7" i="1"/>
  <c r="CU8" i="1"/>
  <c r="CV8" i="1"/>
  <c r="CW8" i="1"/>
  <c r="CU9" i="1"/>
  <c r="CV9" i="1"/>
  <c r="CW9" i="1"/>
  <c r="CU10" i="1"/>
  <c r="CV10" i="1"/>
  <c r="CW10" i="1"/>
  <c r="CU11" i="1"/>
  <c r="CV11" i="1"/>
  <c r="CW11" i="1"/>
  <c r="CU12" i="1"/>
  <c r="CV12" i="1"/>
  <c r="CW12" i="1"/>
  <c r="CU13" i="1"/>
  <c r="CV13" i="1"/>
  <c r="CW13" i="1"/>
  <c r="CU14" i="1"/>
  <c r="CV14" i="1"/>
  <c r="CW14" i="1"/>
  <c r="CU15" i="1"/>
  <c r="CV15" i="1"/>
  <c r="CW15" i="1"/>
  <c r="CU16" i="1"/>
  <c r="CV16" i="1"/>
  <c r="CW16" i="1"/>
  <c r="CU17" i="1"/>
  <c r="CV17" i="1"/>
  <c r="CW17" i="1"/>
  <c r="CU18" i="1"/>
  <c r="CV18" i="1"/>
  <c r="CW18" i="1"/>
  <c r="CU19" i="1"/>
  <c r="CV19" i="1"/>
  <c r="CW19" i="1"/>
  <c r="CU20" i="1"/>
  <c r="CV20" i="1"/>
  <c r="CW20" i="1"/>
  <c r="CU21" i="1"/>
  <c r="CV21" i="1"/>
  <c r="CW21" i="1"/>
  <c r="CU22" i="1"/>
  <c r="CV22" i="1"/>
  <c r="CW22" i="1"/>
  <c r="CU23" i="1"/>
  <c r="CV23" i="1"/>
  <c r="CW23" i="1"/>
  <c r="CU24" i="1"/>
  <c r="CV24" i="1"/>
  <c r="CW24" i="1"/>
  <c r="CU25" i="1"/>
  <c r="CV25" i="1"/>
  <c r="CW25" i="1"/>
  <c r="CU26" i="1"/>
  <c r="CV26" i="1"/>
  <c r="CW26" i="1"/>
  <c r="CU27" i="1"/>
  <c r="CV27" i="1"/>
  <c r="CW27" i="1"/>
  <c r="CU28" i="1"/>
  <c r="CV28" i="1"/>
  <c r="CW28" i="1"/>
  <c r="CU29" i="1"/>
  <c r="CV29" i="1"/>
  <c r="CW29" i="1"/>
  <c r="CU30" i="1"/>
  <c r="CV30" i="1"/>
  <c r="CW30" i="1"/>
  <c r="CU31" i="1"/>
  <c r="CV31" i="1"/>
  <c r="CW31" i="1"/>
  <c r="CU32" i="1"/>
  <c r="CV32" i="1"/>
  <c r="CW32" i="1"/>
  <c r="CU33" i="1"/>
  <c r="CV33" i="1"/>
  <c r="CW33" i="1"/>
  <c r="CU34" i="1"/>
  <c r="CV34" i="1"/>
  <c r="CW34" i="1"/>
  <c r="CU35" i="1"/>
  <c r="CV35" i="1"/>
  <c r="CW35" i="1"/>
  <c r="CU36" i="1"/>
  <c r="CV36" i="1"/>
  <c r="CW36" i="1"/>
  <c r="CU37" i="1"/>
  <c r="CV37" i="1"/>
  <c r="CW37" i="1"/>
  <c r="CU38" i="1"/>
  <c r="CV38" i="1"/>
  <c r="CW38" i="1"/>
  <c r="CU39" i="1"/>
  <c r="CV39" i="1"/>
  <c r="CW39" i="1"/>
  <c r="CU40" i="1"/>
  <c r="CV40" i="1"/>
  <c r="CW40" i="1"/>
  <c r="CU41" i="1"/>
  <c r="CV41" i="1"/>
  <c r="CW41" i="1"/>
  <c r="CU42" i="1"/>
  <c r="CV42" i="1"/>
  <c r="CW42" i="1"/>
  <c r="CU43" i="1"/>
  <c r="CV43" i="1"/>
  <c r="CW43" i="1"/>
  <c r="CU44" i="1"/>
  <c r="CV44" i="1"/>
  <c r="CW44" i="1"/>
  <c r="CU45" i="1"/>
  <c r="CV45" i="1"/>
  <c r="CW45" i="1"/>
  <c r="CU46" i="1"/>
  <c r="CV46" i="1"/>
  <c r="CW46" i="1"/>
  <c r="CU47" i="1"/>
  <c r="CV47" i="1"/>
  <c r="CW47" i="1"/>
  <c r="CU48" i="1"/>
  <c r="CV48" i="1"/>
  <c r="CW48" i="1"/>
  <c r="CU49" i="1"/>
  <c r="CV49" i="1"/>
  <c r="CW49" i="1"/>
  <c r="CU50" i="1"/>
  <c r="CV50" i="1"/>
  <c r="CW50" i="1"/>
  <c r="CU51" i="1"/>
  <c r="CV51" i="1"/>
  <c r="CW51" i="1"/>
  <c r="CU52" i="1"/>
  <c r="CV52" i="1"/>
  <c r="CW52" i="1"/>
  <c r="CU53" i="1"/>
  <c r="CV53" i="1"/>
  <c r="CW53" i="1"/>
  <c r="CU54" i="1"/>
  <c r="CV54" i="1"/>
  <c r="CW54" i="1"/>
  <c r="CU55" i="1"/>
  <c r="CV55" i="1"/>
  <c r="CW55" i="1"/>
  <c r="CU56" i="1"/>
  <c r="CV56" i="1"/>
  <c r="CW56" i="1"/>
  <c r="CU57" i="1"/>
  <c r="CV57" i="1"/>
  <c r="CW57" i="1"/>
  <c r="CU58" i="1"/>
  <c r="CV58" i="1"/>
  <c r="CW58" i="1"/>
  <c r="CU59" i="1"/>
  <c r="CV59" i="1"/>
  <c r="CW59" i="1"/>
  <c r="CU60" i="1"/>
  <c r="CV60" i="1"/>
  <c r="CW60" i="1"/>
  <c r="CU61" i="1"/>
  <c r="CV61" i="1"/>
  <c r="CW61" i="1"/>
  <c r="CU62" i="1"/>
  <c r="CV62" i="1"/>
  <c r="CW62" i="1"/>
  <c r="CU63" i="1"/>
  <c r="CV63" i="1"/>
  <c r="CW63" i="1"/>
  <c r="CU64" i="1"/>
  <c r="CV64" i="1"/>
  <c r="CW64" i="1"/>
  <c r="CU65" i="1"/>
  <c r="CV65" i="1"/>
  <c r="CW65" i="1"/>
  <c r="CU66" i="1"/>
  <c r="CV66" i="1"/>
  <c r="CW66" i="1"/>
  <c r="CU67" i="1"/>
  <c r="CV67" i="1"/>
  <c r="CW67" i="1"/>
  <c r="CU68" i="1"/>
  <c r="CV68" i="1"/>
  <c r="CW68" i="1"/>
  <c r="CU69" i="1"/>
  <c r="CV69" i="1"/>
  <c r="CW69" i="1"/>
  <c r="CU70" i="1"/>
  <c r="CV70" i="1"/>
  <c r="CW70" i="1"/>
  <c r="CU71" i="1"/>
  <c r="CV71" i="1"/>
  <c r="CW71" i="1"/>
  <c r="CU72" i="1"/>
  <c r="CV72" i="1"/>
  <c r="CW72" i="1"/>
  <c r="CU73" i="1"/>
  <c r="CV73" i="1"/>
  <c r="CW73" i="1"/>
  <c r="CU74" i="1"/>
  <c r="CV74" i="1"/>
  <c r="CW74" i="1"/>
  <c r="CU75" i="1"/>
  <c r="CV75" i="1"/>
  <c r="CW75" i="1"/>
  <c r="CU76" i="1"/>
  <c r="CV76" i="1"/>
  <c r="CW76" i="1"/>
  <c r="CU77" i="1"/>
  <c r="CV77" i="1"/>
  <c r="CW77" i="1"/>
  <c r="CU78" i="1"/>
  <c r="CV78" i="1"/>
  <c r="CW78" i="1"/>
  <c r="CU79" i="1"/>
  <c r="CV79" i="1"/>
  <c r="CW79" i="1"/>
  <c r="CU80" i="1"/>
  <c r="CV80" i="1"/>
  <c r="CW80" i="1"/>
  <c r="CU81" i="1"/>
  <c r="CV81" i="1"/>
  <c r="CW81" i="1"/>
  <c r="CU82" i="1"/>
  <c r="CV82" i="1"/>
  <c r="CW82" i="1"/>
  <c r="CU83" i="1"/>
  <c r="CV83" i="1"/>
  <c r="CW83" i="1"/>
  <c r="CU84" i="1"/>
  <c r="CV84" i="1"/>
  <c r="CW84" i="1"/>
  <c r="CU85" i="1"/>
  <c r="CV85" i="1"/>
  <c r="CW85" i="1"/>
  <c r="CU86" i="1"/>
  <c r="CV86" i="1"/>
  <c r="CW86" i="1"/>
  <c r="CU87" i="1"/>
  <c r="CV87" i="1"/>
  <c r="CW87" i="1"/>
  <c r="CU88" i="1"/>
  <c r="CV88" i="1"/>
  <c r="CW88" i="1"/>
  <c r="CU89" i="1"/>
  <c r="CV89" i="1"/>
  <c r="CW89" i="1"/>
  <c r="CU90" i="1"/>
  <c r="CV90" i="1"/>
  <c r="CW90" i="1"/>
  <c r="CU91" i="1"/>
  <c r="CV91" i="1"/>
  <c r="CW91" i="1"/>
  <c r="CU92" i="1"/>
  <c r="CV92" i="1"/>
  <c r="CW92" i="1"/>
  <c r="CU93" i="1"/>
  <c r="CV93" i="1"/>
  <c r="CW93" i="1"/>
  <c r="CU94" i="1"/>
  <c r="CV94" i="1"/>
  <c r="CW94" i="1"/>
  <c r="CU95" i="1"/>
  <c r="CV95" i="1"/>
  <c r="CW95" i="1"/>
  <c r="CU96" i="1"/>
  <c r="CV96" i="1"/>
  <c r="CW96" i="1"/>
  <c r="CU97" i="1"/>
  <c r="CV97" i="1"/>
  <c r="CW97" i="1"/>
  <c r="CU98" i="1"/>
  <c r="CV98" i="1"/>
  <c r="CW98" i="1"/>
  <c r="CU99" i="1"/>
  <c r="CV99" i="1"/>
  <c r="CW99" i="1"/>
  <c r="CU100" i="1"/>
  <c r="CV100" i="1"/>
  <c r="CW100" i="1"/>
  <c r="CU101" i="1"/>
  <c r="CV101" i="1"/>
  <c r="CW101" i="1"/>
  <c r="CU102" i="1"/>
  <c r="CV102" i="1"/>
  <c r="CW102" i="1"/>
  <c r="CU103" i="1"/>
  <c r="CV103" i="1"/>
  <c r="CW103" i="1"/>
  <c r="CU104" i="1"/>
  <c r="CV104" i="1"/>
  <c r="CW104" i="1"/>
  <c r="CU105" i="1"/>
  <c r="CV105" i="1"/>
  <c r="CW105" i="1"/>
  <c r="CU106" i="1"/>
  <c r="CV106" i="1"/>
  <c r="CW106" i="1"/>
  <c r="CU107" i="1"/>
  <c r="CV107" i="1"/>
  <c r="CW107" i="1"/>
  <c r="CU108" i="1"/>
  <c r="CV108" i="1"/>
  <c r="CW108" i="1"/>
  <c r="CU109" i="1"/>
  <c r="CV109" i="1"/>
  <c r="CW109" i="1"/>
  <c r="CU110" i="1"/>
  <c r="CV110" i="1"/>
  <c r="CW110" i="1"/>
  <c r="CU111" i="1"/>
  <c r="CV111" i="1"/>
  <c r="CW111" i="1"/>
  <c r="CY6" i="1"/>
  <c r="CZ6" i="1" s="1"/>
  <c r="EO6" i="1" s="1"/>
  <c r="CY7" i="1"/>
  <c r="CZ7" i="1" s="1"/>
  <c r="EO7" i="1" s="1"/>
  <c r="CY8" i="1"/>
  <c r="CZ8" i="1" s="1"/>
  <c r="EO8" i="1" s="1"/>
  <c r="CY9" i="1"/>
  <c r="CZ9" i="1" s="1"/>
  <c r="EO9" i="1" s="1"/>
  <c r="CY10" i="1"/>
  <c r="CZ10" i="1" s="1"/>
  <c r="EO10" i="1" s="1"/>
  <c r="CY11" i="1"/>
  <c r="CZ11" i="1" s="1"/>
  <c r="EO11" i="1" s="1"/>
  <c r="CY12" i="1"/>
  <c r="CZ12" i="1" s="1"/>
  <c r="EO12" i="1" s="1"/>
  <c r="CY13" i="1"/>
  <c r="CZ13" i="1" s="1"/>
  <c r="EO13" i="1" s="1"/>
  <c r="CY14" i="1"/>
  <c r="CZ14" i="1" s="1"/>
  <c r="EO14" i="1" s="1"/>
  <c r="CY15" i="1"/>
  <c r="CZ15" i="1" s="1"/>
  <c r="EO15" i="1" s="1"/>
  <c r="CY16" i="1"/>
  <c r="CZ16" i="1" s="1"/>
  <c r="EO16" i="1" s="1"/>
  <c r="CY17" i="1"/>
  <c r="CZ17" i="1" s="1"/>
  <c r="EO17" i="1" s="1"/>
  <c r="CY18" i="1"/>
  <c r="CZ18" i="1" s="1"/>
  <c r="EO18" i="1" s="1"/>
  <c r="CY19" i="1"/>
  <c r="CZ19" i="1" s="1"/>
  <c r="EO19" i="1" s="1"/>
  <c r="CY20" i="1"/>
  <c r="CZ20" i="1" s="1"/>
  <c r="EO20" i="1" s="1"/>
  <c r="CY21" i="1"/>
  <c r="CZ21" i="1" s="1"/>
  <c r="EO21" i="1" s="1"/>
  <c r="CY22" i="1"/>
  <c r="CZ22" i="1" s="1"/>
  <c r="EO22" i="1" s="1"/>
  <c r="CY23" i="1"/>
  <c r="CZ23" i="1" s="1"/>
  <c r="EO23" i="1" s="1"/>
  <c r="CY24" i="1"/>
  <c r="CZ24" i="1" s="1"/>
  <c r="EO24" i="1" s="1"/>
  <c r="CY25" i="1"/>
  <c r="CZ25" i="1" s="1"/>
  <c r="EO25" i="1" s="1"/>
  <c r="CY26" i="1"/>
  <c r="CZ26" i="1" s="1"/>
  <c r="EO26" i="1" s="1"/>
  <c r="CY27" i="1"/>
  <c r="CZ27" i="1" s="1"/>
  <c r="EO27" i="1" s="1"/>
  <c r="CY28" i="1"/>
  <c r="CZ28" i="1" s="1"/>
  <c r="EO28" i="1" s="1"/>
  <c r="CY29" i="1"/>
  <c r="CZ29" i="1" s="1"/>
  <c r="EO29" i="1" s="1"/>
  <c r="CY30" i="1"/>
  <c r="CZ30" i="1" s="1"/>
  <c r="EO30" i="1" s="1"/>
  <c r="CY31" i="1"/>
  <c r="CZ31" i="1" s="1"/>
  <c r="EO31" i="1" s="1"/>
  <c r="CY32" i="1"/>
  <c r="CZ32" i="1" s="1"/>
  <c r="EO32" i="1" s="1"/>
  <c r="CY33" i="1"/>
  <c r="CZ33" i="1"/>
  <c r="EO33" i="1" s="1"/>
  <c r="CY34" i="1"/>
  <c r="CZ34" i="1" s="1"/>
  <c r="EO34" i="1" s="1"/>
  <c r="CY35" i="1"/>
  <c r="CZ35" i="1" s="1"/>
  <c r="EO35" i="1" s="1"/>
  <c r="CY36" i="1"/>
  <c r="CZ36" i="1" s="1"/>
  <c r="EO36" i="1" s="1"/>
  <c r="CY37" i="1"/>
  <c r="CZ37" i="1" s="1"/>
  <c r="EO37" i="1" s="1"/>
  <c r="CY38" i="1"/>
  <c r="CZ38" i="1" s="1"/>
  <c r="EO38" i="1" s="1"/>
  <c r="CY39" i="1"/>
  <c r="CZ39" i="1" s="1"/>
  <c r="EO39" i="1" s="1"/>
  <c r="CY40" i="1"/>
  <c r="CZ40" i="1" s="1"/>
  <c r="EO40" i="1" s="1"/>
  <c r="CY41" i="1"/>
  <c r="CZ41" i="1" s="1"/>
  <c r="EO41" i="1" s="1"/>
  <c r="CY42" i="1"/>
  <c r="CZ42" i="1" s="1"/>
  <c r="EO42" i="1" s="1"/>
  <c r="CY43" i="1"/>
  <c r="CZ43" i="1" s="1"/>
  <c r="EO43" i="1" s="1"/>
  <c r="CY44" i="1"/>
  <c r="CZ44" i="1" s="1"/>
  <c r="EO44" i="1" s="1"/>
  <c r="CY45" i="1"/>
  <c r="CZ45" i="1" s="1"/>
  <c r="EO45" i="1" s="1"/>
  <c r="CY46" i="1"/>
  <c r="CZ46" i="1" s="1"/>
  <c r="EO46" i="1" s="1"/>
  <c r="CY47" i="1"/>
  <c r="CZ47" i="1" s="1"/>
  <c r="EO47" i="1" s="1"/>
  <c r="CY48" i="1"/>
  <c r="CZ48" i="1" s="1"/>
  <c r="EO48" i="1" s="1"/>
  <c r="CY49" i="1"/>
  <c r="CZ49" i="1" s="1"/>
  <c r="EO49" i="1" s="1"/>
  <c r="CY50" i="1"/>
  <c r="CZ50" i="1" s="1"/>
  <c r="EO50" i="1" s="1"/>
  <c r="CY51" i="1"/>
  <c r="CZ51" i="1" s="1"/>
  <c r="EO51" i="1" s="1"/>
  <c r="CY52" i="1"/>
  <c r="CZ52" i="1" s="1"/>
  <c r="EO52" i="1" s="1"/>
  <c r="CY53" i="1"/>
  <c r="CZ53" i="1" s="1"/>
  <c r="EO53" i="1" s="1"/>
  <c r="CY54" i="1"/>
  <c r="CZ54" i="1" s="1"/>
  <c r="EO54" i="1" s="1"/>
  <c r="CY55" i="1"/>
  <c r="CZ55" i="1" s="1"/>
  <c r="EO55" i="1" s="1"/>
  <c r="CY56" i="1"/>
  <c r="CZ56" i="1" s="1"/>
  <c r="EO56" i="1" s="1"/>
  <c r="CY57" i="1"/>
  <c r="CZ57" i="1" s="1"/>
  <c r="EO57" i="1" s="1"/>
  <c r="CY58" i="1"/>
  <c r="CZ58" i="1" s="1"/>
  <c r="EO58" i="1" s="1"/>
  <c r="CY59" i="1"/>
  <c r="CZ59" i="1" s="1"/>
  <c r="EO59" i="1" s="1"/>
  <c r="CY60" i="1"/>
  <c r="CZ60" i="1" s="1"/>
  <c r="EO60" i="1" s="1"/>
  <c r="CY61" i="1"/>
  <c r="CZ61" i="1" s="1"/>
  <c r="EO61" i="1" s="1"/>
  <c r="CY62" i="1"/>
  <c r="CZ62" i="1" s="1"/>
  <c r="EO62" i="1" s="1"/>
  <c r="CY63" i="1"/>
  <c r="CZ63" i="1" s="1"/>
  <c r="EO63" i="1" s="1"/>
  <c r="CY64" i="1"/>
  <c r="CZ64" i="1" s="1"/>
  <c r="EO64" i="1" s="1"/>
  <c r="CY65" i="1"/>
  <c r="CZ65" i="1" s="1"/>
  <c r="EO65" i="1" s="1"/>
  <c r="CY66" i="1"/>
  <c r="CZ66" i="1" s="1"/>
  <c r="EO66" i="1" s="1"/>
  <c r="CY67" i="1"/>
  <c r="CZ67" i="1" s="1"/>
  <c r="EO67" i="1" s="1"/>
  <c r="CY68" i="1"/>
  <c r="CZ68" i="1" s="1"/>
  <c r="EO68" i="1" s="1"/>
  <c r="CY69" i="1"/>
  <c r="CZ69" i="1" s="1"/>
  <c r="EO69" i="1" s="1"/>
  <c r="CY70" i="1"/>
  <c r="CZ70" i="1" s="1"/>
  <c r="EO70" i="1" s="1"/>
  <c r="CY71" i="1"/>
  <c r="CZ71" i="1" s="1"/>
  <c r="EO71" i="1" s="1"/>
  <c r="CY72" i="1"/>
  <c r="CZ72" i="1" s="1"/>
  <c r="EO72" i="1" s="1"/>
  <c r="CY73" i="1"/>
  <c r="CZ73" i="1" s="1"/>
  <c r="EO73" i="1" s="1"/>
  <c r="CY74" i="1"/>
  <c r="CZ74" i="1" s="1"/>
  <c r="EO74" i="1" s="1"/>
  <c r="CY75" i="1"/>
  <c r="CZ75" i="1" s="1"/>
  <c r="EO75" i="1" s="1"/>
  <c r="CY76" i="1"/>
  <c r="CZ76" i="1" s="1"/>
  <c r="EO76" i="1" s="1"/>
  <c r="CY77" i="1"/>
  <c r="CZ77" i="1" s="1"/>
  <c r="EO77" i="1" s="1"/>
  <c r="CY78" i="1"/>
  <c r="CZ78" i="1" s="1"/>
  <c r="EO78" i="1" s="1"/>
  <c r="CY79" i="1"/>
  <c r="CZ79" i="1" s="1"/>
  <c r="EO79" i="1" s="1"/>
  <c r="CY80" i="1"/>
  <c r="CZ80" i="1" s="1"/>
  <c r="EO80" i="1" s="1"/>
  <c r="CY81" i="1"/>
  <c r="CZ81" i="1" s="1"/>
  <c r="EO81" i="1" s="1"/>
  <c r="CY82" i="1"/>
  <c r="CZ82" i="1" s="1"/>
  <c r="EO82" i="1" s="1"/>
  <c r="CY83" i="1"/>
  <c r="CZ83" i="1"/>
  <c r="EO83" i="1" s="1"/>
  <c r="CY84" i="1"/>
  <c r="CZ84" i="1" s="1"/>
  <c r="EO84" i="1" s="1"/>
  <c r="CY85" i="1"/>
  <c r="CZ85" i="1" s="1"/>
  <c r="EO85" i="1" s="1"/>
  <c r="CY86" i="1"/>
  <c r="CZ86" i="1" s="1"/>
  <c r="EO86" i="1" s="1"/>
  <c r="CY87" i="1"/>
  <c r="CZ87" i="1" s="1"/>
  <c r="EO87" i="1" s="1"/>
  <c r="CY88" i="1"/>
  <c r="CZ88" i="1" s="1"/>
  <c r="EO88" i="1" s="1"/>
  <c r="CY89" i="1"/>
  <c r="CZ89" i="1" s="1"/>
  <c r="EO89" i="1" s="1"/>
  <c r="CY90" i="1"/>
  <c r="CZ90" i="1" s="1"/>
  <c r="EO90" i="1" s="1"/>
  <c r="CY91" i="1"/>
  <c r="CZ91" i="1" s="1"/>
  <c r="EO91" i="1" s="1"/>
  <c r="CY92" i="1"/>
  <c r="CZ92" i="1" s="1"/>
  <c r="EO92" i="1" s="1"/>
  <c r="CY93" i="1"/>
  <c r="CZ93" i="1" s="1"/>
  <c r="EO93" i="1" s="1"/>
  <c r="CY94" i="1"/>
  <c r="CZ94" i="1" s="1"/>
  <c r="EO94" i="1" s="1"/>
  <c r="CY95" i="1"/>
  <c r="CZ95" i="1" s="1"/>
  <c r="EO95" i="1" s="1"/>
  <c r="CY96" i="1"/>
  <c r="CZ96" i="1" s="1"/>
  <c r="EO96" i="1" s="1"/>
  <c r="CY97" i="1"/>
  <c r="CZ97" i="1" s="1"/>
  <c r="EO97" i="1" s="1"/>
  <c r="CY98" i="1"/>
  <c r="CZ98" i="1" s="1"/>
  <c r="EO98" i="1" s="1"/>
  <c r="CY99" i="1"/>
  <c r="CZ99" i="1" s="1"/>
  <c r="EO99" i="1" s="1"/>
  <c r="CY100" i="1"/>
  <c r="CZ100" i="1" s="1"/>
  <c r="EO100" i="1" s="1"/>
  <c r="CY101" i="1"/>
  <c r="CZ101" i="1" s="1"/>
  <c r="EO101" i="1" s="1"/>
  <c r="CY102" i="1"/>
  <c r="CZ102" i="1" s="1"/>
  <c r="EO102" i="1" s="1"/>
  <c r="CY103" i="1"/>
  <c r="CZ103" i="1" s="1"/>
  <c r="EO103" i="1" s="1"/>
  <c r="CY104" i="1"/>
  <c r="CZ104" i="1" s="1"/>
  <c r="EO104" i="1" s="1"/>
  <c r="CY105" i="1"/>
  <c r="CZ105" i="1" s="1"/>
  <c r="EO105" i="1" s="1"/>
  <c r="CY106" i="1"/>
  <c r="CZ106" i="1" s="1"/>
  <c r="EO106" i="1" s="1"/>
  <c r="CY107" i="1"/>
  <c r="CZ107" i="1" s="1"/>
  <c r="EO107" i="1" s="1"/>
  <c r="CY108" i="1"/>
  <c r="CZ108" i="1" s="1"/>
  <c r="EO108" i="1" s="1"/>
  <c r="CY109" i="1"/>
  <c r="CZ109" i="1" s="1"/>
  <c r="EO109" i="1" s="1"/>
  <c r="CY110" i="1"/>
  <c r="CZ110" i="1" s="1"/>
  <c r="EO110" i="1" s="1"/>
  <c r="CY111" i="1"/>
  <c r="CZ111" i="1" s="1"/>
  <c r="EO111" i="1" s="1"/>
  <c r="CY5" i="1"/>
  <c r="CZ5" i="1" s="1"/>
  <c r="EO5" i="1" s="1"/>
  <c r="CW5" i="1"/>
  <c r="CV5" i="1"/>
  <c r="CU5" i="1"/>
  <c r="CQ6" i="1"/>
  <c r="CR6" i="1"/>
  <c r="CS6" i="1"/>
  <c r="CQ7" i="1"/>
  <c r="CR7" i="1"/>
  <c r="CS7" i="1"/>
  <c r="CQ8" i="1"/>
  <c r="CR8" i="1"/>
  <c r="CS8" i="1"/>
  <c r="CQ9" i="1"/>
  <c r="CR9" i="1"/>
  <c r="CS9" i="1"/>
  <c r="CQ10" i="1"/>
  <c r="CR10" i="1"/>
  <c r="CS10" i="1"/>
  <c r="CQ11" i="1"/>
  <c r="CR11" i="1"/>
  <c r="CS11" i="1"/>
  <c r="CQ12" i="1"/>
  <c r="CR12" i="1"/>
  <c r="CS12" i="1"/>
  <c r="CQ13" i="1"/>
  <c r="CR13" i="1"/>
  <c r="CS13" i="1"/>
  <c r="CQ14" i="1"/>
  <c r="CR14" i="1"/>
  <c r="CS14" i="1"/>
  <c r="CQ15" i="1"/>
  <c r="CR15" i="1"/>
  <c r="CS15" i="1"/>
  <c r="CQ16" i="1"/>
  <c r="CR16" i="1"/>
  <c r="CS16" i="1"/>
  <c r="CQ17" i="1"/>
  <c r="CR17" i="1"/>
  <c r="CS17" i="1"/>
  <c r="CQ18" i="1"/>
  <c r="CR18" i="1"/>
  <c r="CS18" i="1"/>
  <c r="CQ19" i="1"/>
  <c r="CR19" i="1"/>
  <c r="CS19" i="1"/>
  <c r="CQ20" i="1"/>
  <c r="CR20" i="1"/>
  <c r="CS20" i="1"/>
  <c r="CQ21" i="1"/>
  <c r="CR21" i="1"/>
  <c r="CS21" i="1"/>
  <c r="CQ22" i="1"/>
  <c r="CR22" i="1"/>
  <c r="CS22" i="1"/>
  <c r="CQ23" i="1"/>
  <c r="CR23" i="1"/>
  <c r="CS23" i="1"/>
  <c r="CQ24" i="1"/>
  <c r="CR24" i="1"/>
  <c r="CS24" i="1"/>
  <c r="CQ25" i="1"/>
  <c r="CR25" i="1"/>
  <c r="CS25" i="1"/>
  <c r="CQ26" i="1"/>
  <c r="CR26" i="1"/>
  <c r="CS26" i="1"/>
  <c r="CQ27" i="1"/>
  <c r="CR27" i="1"/>
  <c r="CS27" i="1"/>
  <c r="CQ28" i="1"/>
  <c r="CR28" i="1"/>
  <c r="CS28" i="1"/>
  <c r="CQ29" i="1"/>
  <c r="CR29" i="1"/>
  <c r="CS29" i="1"/>
  <c r="CQ30" i="1"/>
  <c r="CR30" i="1"/>
  <c r="CS30" i="1"/>
  <c r="CQ31" i="1"/>
  <c r="CR31" i="1"/>
  <c r="CS31" i="1"/>
  <c r="CQ32" i="1"/>
  <c r="CR32" i="1"/>
  <c r="CS32" i="1"/>
  <c r="CQ33" i="1"/>
  <c r="CR33" i="1"/>
  <c r="CS33" i="1"/>
  <c r="CQ34" i="1"/>
  <c r="CR34" i="1"/>
  <c r="CS34" i="1"/>
  <c r="CQ35" i="1"/>
  <c r="CR35" i="1"/>
  <c r="CS35" i="1"/>
  <c r="CQ36" i="1"/>
  <c r="CR36" i="1"/>
  <c r="CS36" i="1"/>
  <c r="CQ37" i="1"/>
  <c r="CR37" i="1"/>
  <c r="CS37" i="1"/>
  <c r="CQ38" i="1"/>
  <c r="CR38" i="1"/>
  <c r="CS38" i="1"/>
  <c r="CQ39" i="1"/>
  <c r="CR39" i="1"/>
  <c r="CS39" i="1"/>
  <c r="CQ40" i="1"/>
  <c r="CR40" i="1"/>
  <c r="CS40" i="1"/>
  <c r="CQ41" i="1"/>
  <c r="CR41" i="1"/>
  <c r="CS41" i="1"/>
  <c r="CQ42" i="1"/>
  <c r="CR42" i="1"/>
  <c r="CS42" i="1"/>
  <c r="CQ43" i="1"/>
  <c r="CR43" i="1"/>
  <c r="CS43" i="1"/>
  <c r="CQ44" i="1"/>
  <c r="CR44" i="1"/>
  <c r="CS44" i="1"/>
  <c r="CQ45" i="1"/>
  <c r="CR45" i="1"/>
  <c r="CS45" i="1"/>
  <c r="CQ46" i="1"/>
  <c r="CR46" i="1"/>
  <c r="CS46" i="1"/>
  <c r="CQ47" i="1"/>
  <c r="CR47" i="1"/>
  <c r="CS47" i="1"/>
  <c r="CQ48" i="1"/>
  <c r="CR48" i="1"/>
  <c r="CS48" i="1"/>
  <c r="CQ49" i="1"/>
  <c r="CR49" i="1"/>
  <c r="CS49" i="1"/>
  <c r="CQ50" i="1"/>
  <c r="CR50" i="1"/>
  <c r="CS50" i="1"/>
  <c r="CQ51" i="1"/>
  <c r="CR51" i="1"/>
  <c r="CS51" i="1"/>
  <c r="CQ52" i="1"/>
  <c r="CR52" i="1"/>
  <c r="CS52" i="1"/>
  <c r="CQ53" i="1"/>
  <c r="CR53" i="1"/>
  <c r="CS53" i="1"/>
  <c r="CQ54" i="1"/>
  <c r="CR54" i="1"/>
  <c r="CS54" i="1"/>
  <c r="CQ55" i="1"/>
  <c r="CR55" i="1"/>
  <c r="CS55" i="1"/>
  <c r="CQ56" i="1"/>
  <c r="CR56" i="1"/>
  <c r="CS56" i="1"/>
  <c r="CQ57" i="1"/>
  <c r="CR57" i="1"/>
  <c r="CS57" i="1"/>
  <c r="CQ58" i="1"/>
  <c r="CR58" i="1"/>
  <c r="CS58" i="1"/>
  <c r="CQ59" i="1"/>
  <c r="CR59" i="1"/>
  <c r="CS59" i="1"/>
  <c r="CQ60" i="1"/>
  <c r="CR60" i="1"/>
  <c r="CS60" i="1"/>
  <c r="CQ61" i="1"/>
  <c r="CR61" i="1"/>
  <c r="CS61" i="1"/>
  <c r="CQ62" i="1"/>
  <c r="CR62" i="1"/>
  <c r="CS62" i="1"/>
  <c r="CQ63" i="1"/>
  <c r="CR63" i="1"/>
  <c r="CS63" i="1"/>
  <c r="CQ64" i="1"/>
  <c r="CR64" i="1"/>
  <c r="CS64" i="1"/>
  <c r="CQ65" i="1"/>
  <c r="CR65" i="1"/>
  <c r="CS65" i="1"/>
  <c r="CQ66" i="1"/>
  <c r="CR66" i="1"/>
  <c r="CS66" i="1"/>
  <c r="CQ67" i="1"/>
  <c r="CR67" i="1"/>
  <c r="CS67" i="1"/>
  <c r="CQ68" i="1"/>
  <c r="CR68" i="1"/>
  <c r="CS68" i="1"/>
  <c r="CQ69" i="1"/>
  <c r="CR69" i="1"/>
  <c r="CS69" i="1"/>
  <c r="CQ70" i="1"/>
  <c r="CR70" i="1"/>
  <c r="CS70" i="1"/>
  <c r="CQ71" i="1"/>
  <c r="CR71" i="1"/>
  <c r="CS71" i="1"/>
  <c r="CQ72" i="1"/>
  <c r="CR72" i="1"/>
  <c r="CS72" i="1"/>
  <c r="CQ73" i="1"/>
  <c r="CR73" i="1"/>
  <c r="CS73" i="1"/>
  <c r="CQ74" i="1"/>
  <c r="CR74" i="1"/>
  <c r="CS74" i="1"/>
  <c r="CQ75" i="1"/>
  <c r="CR75" i="1"/>
  <c r="CS75" i="1"/>
  <c r="CQ76" i="1"/>
  <c r="CR76" i="1"/>
  <c r="CS76" i="1"/>
  <c r="CQ77" i="1"/>
  <c r="CR77" i="1"/>
  <c r="CS77" i="1"/>
  <c r="CQ78" i="1"/>
  <c r="CR78" i="1"/>
  <c r="CS78" i="1"/>
  <c r="CQ79" i="1"/>
  <c r="CR79" i="1"/>
  <c r="CS79" i="1"/>
  <c r="CQ80" i="1"/>
  <c r="CR80" i="1"/>
  <c r="CS80" i="1"/>
  <c r="CQ81" i="1"/>
  <c r="CR81" i="1"/>
  <c r="CS81" i="1"/>
  <c r="CQ82" i="1"/>
  <c r="CR82" i="1"/>
  <c r="CS82" i="1"/>
  <c r="CQ83" i="1"/>
  <c r="CR83" i="1"/>
  <c r="CS83" i="1"/>
  <c r="CQ84" i="1"/>
  <c r="CR84" i="1"/>
  <c r="CS84" i="1"/>
  <c r="CQ85" i="1"/>
  <c r="CR85" i="1"/>
  <c r="CS85" i="1"/>
  <c r="CQ86" i="1"/>
  <c r="CR86" i="1"/>
  <c r="CS86" i="1"/>
  <c r="CQ87" i="1"/>
  <c r="CR87" i="1"/>
  <c r="CS87" i="1"/>
  <c r="CQ88" i="1"/>
  <c r="CR88" i="1"/>
  <c r="CS88" i="1"/>
  <c r="CQ89" i="1"/>
  <c r="CR89" i="1"/>
  <c r="CS89" i="1"/>
  <c r="CQ90" i="1"/>
  <c r="CR90" i="1"/>
  <c r="CS90" i="1"/>
  <c r="CQ91" i="1"/>
  <c r="CR91" i="1"/>
  <c r="CS91" i="1"/>
  <c r="CQ92" i="1"/>
  <c r="CR92" i="1"/>
  <c r="CS92" i="1"/>
  <c r="CQ93" i="1"/>
  <c r="CR93" i="1"/>
  <c r="CS93" i="1"/>
  <c r="CQ94" i="1"/>
  <c r="CR94" i="1"/>
  <c r="CS94" i="1"/>
  <c r="CQ95" i="1"/>
  <c r="CR95" i="1"/>
  <c r="CS95" i="1"/>
  <c r="CQ96" i="1"/>
  <c r="CR96" i="1"/>
  <c r="CS96" i="1"/>
  <c r="CQ97" i="1"/>
  <c r="CR97" i="1"/>
  <c r="CS97" i="1"/>
  <c r="CQ98" i="1"/>
  <c r="CR98" i="1"/>
  <c r="CS98" i="1"/>
  <c r="CQ99" i="1"/>
  <c r="CR99" i="1"/>
  <c r="CS99" i="1"/>
  <c r="CQ100" i="1"/>
  <c r="CR100" i="1"/>
  <c r="CS100" i="1"/>
  <c r="CQ101" i="1"/>
  <c r="CR101" i="1"/>
  <c r="CS101" i="1"/>
  <c r="CQ102" i="1"/>
  <c r="CR102" i="1"/>
  <c r="CS102" i="1"/>
  <c r="CQ103" i="1"/>
  <c r="CR103" i="1"/>
  <c r="CS103" i="1"/>
  <c r="CQ104" i="1"/>
  <c r="CR104" i="1"/>
  <c r="CS104" i="1"/>
  <c r="CQ105" i="1"/>
  <c r="CR105" i="1"/>
  <c r="CS105" i="1"/>
  <c r="CQ106" i="1"/>
  <c r="CR106" i="1"/>
  <c r="CS106" i="1"/>
  <c r="CQ107" i="1"/>
  <c r="CR107" i="1"/>
  <c r="CS107" i="1"/>
  <c r="CQ108" i="1"/>
  <c r="CR108" i="1"/>
  <c r="CS108" i="1"/>
  <c r="CQ109" i="1"/>
  <c r="CR109" i="1"/>
  <c r="CS109" i="1"/>
  <c r="CQ110" i="1"/>
  <c r="CR110" i="1"/>
  <c r="CS110" i="1"/>
  <c r="CQ111" i="1"/>
  <c r="CR111" i="1"/>
  <c r="CS111" i="1"/>
  <c r="CS5" i="1"/>
  <c r="CR5" i="1"/>
  <c r="CQ5" i="1"/>
  <c r="CT5" i="1" s="1"/>
  <c r="EM5" i="1" s="1"/>
  <c r="CM6" i="1"/>
  <c r="CN6" i="1"/>
  <c r="CO6" i="1"/>
  <c r="CM7" i="1"/>
  <c r="CN7" i="1"/>
  <c r="CO7" i="1"/>
  <c r="CM8" i="1"/>
  <c r="CN8" i="1"/>
  <c r="CO8" i="1"/>
  <c r="CM9" i="1"/>
  <c r="CN9" i="1"/>
  <c r="CO9" i="1"/>
  <c r="CM10" i="1"/>
  <c r="CN10" i="1"/>
  <c r="CO10" i="1"/>
  <c r="CM11" i="1"/>
  <c r="CN11" i="1"/>
  <c r="CO11" i="1"/>
  <c r="CM12" i="1"/>
  <c r="CN12" i="1"/>
  <c r="CO12" i="1"/>
  <c r="CM13" i="1"/>
  <c r="CN13" i="1"/>
  <c r="CO13" i="1"/>
  <c r="CM14" i="1"/>
  <c r="CN14" i="1"/>
  <c r="CO14" i="1"/>
  <c r="CM15" i="1"/>
  <c r="CN15" i="1"/>
  <c r="CO15" i="1"/>
  <c r="CM16" i="1"/>
  <c r="CN16" i="1"/>
  <c r="CO16" i="1"/>
  <c r="CM17" i="1"/>
  <c r="CN17" i="1"/>
  <c r="CO17" i="1"/>
  <c r="CM18" i="1"/>
  <c r="CN18" i="1"/>
  <c r="CO18" i="1"/>
  <c r="CM19" i="1"/>
  <c r="CN19" i="1"/>
  <c r="CO19" i="1"/>
  <c r="CM20" i="1"/>
  <c r="CN20" i="1"/>
  <c r="CO20" i="1"/>
  <c r="CM21" i="1"/>
  <c r="CN21" i="1"/>
  <c r="CO21" i="1"/>
  <c r="CM22" i="1"/>
  <c r="CN22" i="1"/>
  <c r="CO22" i="1"/>
  <c r="CM23" i="1"/>
  <c r="CN23" i="1"/>
  <c r="CO23" i="1"/>
  <c r="CM24" i="1"/>
  <c r="CN24" i="1"/>
  <c r="CO24" i="1"/>
  <c r="CM25" i="1"/>
  <c r="CN25" i="1"/>
  <c r="CO25" i="1"/>
  <c r="CM26" i="1"/>
  <c r="CN26" i="1"/>
  <c r="CO26" i="1"/>
  <c r="CM27" i="1"/>
  <c r="CN27" i="1"/>
  <c r="CO27" i="1"/>
  <c r="CM28" i="1"/>
  <c r="CN28" i="1"/>
  <c r="CO28" i="1"/>
  <c r="CM29" i="1"/>
  <c r="CN29" i="1"/>
  <c r="CO29" i="1"/>
  <c r="CM30" i="1"/>
  <c r="CN30" i="1"/>
  <c r="CO30" i="1"/>
  <c r="CM31" i="1"/>
  <c r="CN31" i="1"/>
  <c r="CO31" i="1"/>
  <c r="CM32" i="1"/>
  <c r="CN32" i="1"/>
  <c r="CO32" i="1"/>
  <c r="CM33" i="1"/>
  <c r="CN33" i="1"/>
  <c r="CO33" i="1"/>
  <c r="CM34" i="1"/>
  <c r="CN34" i="1"/>
  <c r="CO34" i="1"/>
  <c r="CM35" i="1"/>
  <c r="CN35" i="1"/>
  <c r="CO35" i="1"/>
  <c r="CM36" i="1"/>
  <c r="CN36" i="1"/>
  <c r="CO36" i="1"/>
  <c r="CM37" i="1"/>
  <c r="CN37" i="1"/>
  <c r="CO37" i="1"/>
  <c r="CM38" i="1"/>
  <c r="CN38" i="1"/>
  <c r="CO38" i="1"/>
  <c r="CM39" i="1"/>
  <c r="CN39" i="1"/>
  <c r="CO39" i="1"/>
  <c r="CM40" i="1"/>
  <c r="CN40" i="1"/>
  <c r="CO40" i="1"/>
  <c r="CM41" i="1"/>
  <c r="CN41" i="1"/>
  <c r="CO41" i="1"/>
  <c r="CM42" i="1"/>
  <c r="CN42" i="1"/>
  <c r="CO42" i="1"/>
  <c r="CM43" i="1"/>
  <c r="CN43" i="1"/>
  <c r="CO43" i="1"/>
  <c r="CM44" i="1"/>
  <c r="CN44" i="1"/>
  <c r="CO44" i="1"/>
  <c r="CM45" i="1"/>
  <c r="CN45" i="1"/>
  <c r="CO45" i="1"/>
  <c r="CM46" i="1"/>
  <c r="CN46" i="1"/>
  <c r="CO46" i="1"/>
  <c r="CM47" i="1"/>
  <c r="CN47" i="1"/>
  <c r="CO47" i="1"/>
  <c r="CM48" i="1"/>
  <c r="CN48" i="1"/>
  <c r="CO48" i="1"/>
  <c r="CM49" i="1"/>
  <c r="CN49" i="1"/>
  <c r="CO49" i="1"/>
  <c r="CM50" i="1"/>
  <c r="CN50" i="1"/>
  <c r="CO50" i="1"/>
  <c r="CM51" i="1"/>
  <c r="CN51" i="1"/>
  <c r="CO51" i="1"/>
  <c r="CM52" i="1"/>
  <c r="CN52" i="1"/>
  <c r="CO52" i="1"/>
  <c r="CM53" i="1"/>
  <c r="CN53" i="1"/>
  <c r="CO53" i="1"/>
  <c r="CM54" i="1"/>
  <c r="CN54" i="1"/>
  <c r="CO54" i="1"/>
  <c r="CM55" i="1"/>
  <c r="CN55" i="1"/>
  <c r="CO55" i="1"/>
  <c r="CM56" i="1"/>
  <c r="CN56" i="1"/>
  <c r="CO56" i="1"/>
  <c r="CM57" i="1"/>
  <c r="CN57" i="1"/>
  <c r="CO57" i="1"/>
  <c r="CM58" i="1"/>
  <c r="CN58" i="1"/>
  <c r="CO58" i="1"/>
  <c r="CM59" i="1"/>
  <c r="CN59" i="1"/>
  <c r="CO59" i="1"/>
  <c r="CM60" i="1"/>
  <c r="CN60" i="1"/>
  <c r="CO60" i="1"/>
  <c r="CM61" i="1"/>
  <c r="CN61" i="1"/>
  <c r="CO61" i="1"/>
  <c r="CM62" i="1"/>
  <c r="CN62" i="1"/>
  <c r="CO62" i="1"/>
  <c r="CM63" i="1"/>
  <c r="CN63" i="1"/>
  <c r="CO63" i="1"/>
  <c r="CM64" i="1"/>
  <c r="CN64" i="1"/>
  <c r="CO64" i="1"/>
  <c r="CM65" i="1"/>
  <c r="CN65" i="1"/>
  <c r="CO65" i="1"/>
  <c r="CM66" i="1"/>
  <c r="CN66" i="1"/>
  <c r="CO66" i="1"/>
  <c r="CM67" i="1"/>
  <c r="CN67" i="1"/>
  <c r="CO67" i="1"/>
  <c r="CM68" i="1"/>
  <c r="CN68" i="1"/>
  <c r="CO68" i="1"/>
  <c r="CM69" i="1"/>
  <c r="CN69" i="1"/>
  <c r="CO69" i="1"/>
  <c r="CM70" i="1"/>
  <c r="CN70" i="1"/>
  <c r="CO70" i="1"/>
  <c r="CM71" i="1"/>
  <c r="CN71" i="1"/>
  <c r="CO71" i="1"/>
  <c r="CM72" i="1"/>
  <c r="CN72" i="1"/>
  <c r="CO72" i="1"/>
  <c r="CM73" i="1"/>
  <c r="CN73" i="1"/>
  <c r="CO73" i="1"/>
  <c r="CM74" i="1"/>
  <c r="CN74" i="1"/>
  <c r="CO74" i="1"/>
  <c r="CM75" i="1"/>
  <c r="CN75" i="1"/>
  <c r="CO75" i="1"/>
  <c r="CM76" i="1"/>
  <c r="CN76" i="1"/>
  <c r="CO76" i="1"/>
  <c r="CM77" i="1"/>
  <c r="CN77" i="1"/>
  <c r="CO77" i="1"/>
  <c r="CM78" i="1"/>
  <c r="CN78" i="1"/>
  <c r="CO78" i="1"/>
  <c r="CM79" i="1"/>
  <c r="CN79" i="1"/>
  <c r="CO79" i="1"/>
  <c r="CM80" i="1"/>
  <c r="CN80" i="1"/>
  <c r="CO80" i="1"/>
  <c r="CM81" i="1"/>
  <c r="CN81" i="1"/>
  <c r="CO81" i="1"/>
  <c r="CM82" i="1"/>
  <c r="CN82" i="1"/>
  <c r="CO82" i="1"/>
  <c r="CM83" i="1"/>
  <c r="CN83" i="1"/>
  <c r="CO83" i="1"/>
  <c r="CM84" i="1"/>
  <c r="CN84" i="1"/>
  <c r="CO84" i="1"/>
  <c r="CM85" i="1"/>
  <c r="CN85" i="1"/>
  <c r="CO85" i="1"/>
  <c r="CM86" i="1"/>
  <c r="CN86" i="1"/>
  <c r="CO86" i="1"/>
  <c r="CM87" i="1"/>
  <c r="CN87" i="1"/>
  <c r="CO87" i="1"/>
  <c r="CM88" i="1"/>
  <c r="CN88" i="1"/>
  <c r="CO88" i="1"/>
  <c r="CM89" i="1"/>
  <c r="CN89" i="1"/>
  <c r="CO89" i="1"/>
  <c r="CM90" i="1"/>
  <c r="CN90" i="1"/>
  <c r="CO90" i="1"/>
  <c r="CM91" i="1"/>
  <c r="CN91" i="1"/>
  <c r="CO91" i="1"/>
  <c r="CM92" i="1"/>
  <c r="CN92" i="1"/>
  <c r="CO92" i="1"/>
  <c r="CM93" i="1"/>
  <c r="CN93" i="1"/>
  <c r="CO93" i="1"/>
  <c r="CM94" i="1"/>
  <c r="CN94" i="1"/>
  <c r="CO94" i="1"/>
  <c r="CM95" i="1"/>
  <c r="CN95" i="1"/>
  <c r="CO95" i="1"/>
  <c r="CM96" i="1"/>
  <c r="CN96" i="1"/>
  <c r="CO96" i="1"/>
  <c r="CM97" i="1"/>
  <c r="CN97" i="1"/>
  <c r="CO97" i="1"/>
  <c r="CM98" i="1"/>
  <c r="CN98" i="1"/>
  <c r="CO98" i="1"/>
  <c r="CM99" i="1"/>
  <c r="CN99" i="1"/>
  <c r="CO99" i="1"/>
  <c r="CM100" i="1"/>
  <c r="CN100" i="1"/>
  <c r="CO100" i="1"/>
  <c r="CM101" i="1"/>
  <c r="CN101" i="1"/>
  <c r="CO101" i="1"/>
  <c r="CM102" i="1"/>
  <c r="CN102" i="1"/>
  <c r="CO102" i="1"/>
  <c r="CM103" i="1"/>
  <c r="CN103" i="1"/>
  <c r="CO103" i="1"/>
  <c r="CM104" i="1"/>
  <c r="CN104" i="1"/>
  <c r="CO104" i="1"/>
  <c r="CM105" i="1"/>
  <c r="CN105" i="1"/>
  <c r="CO105" i="1"/>
  <c r="CM106" i="1"/>
  <c r="CN106" i="1"/>
  <c r="CO106" i="1"/>
  <c r="CM107" i="1"/>
  <c r="CN107" i="1"/>
  <c r="CO107" i="1"/>
  <c r="CM108" i="1"/>
  <c r="CN108" i="1"/>
  <c r="CO108" i="1"/>
  <c r="CM109" i="1"/>
  <c r="CN109" i="1"/>
  <c r="CO109" i="1"/>
  <c r="CM110" i="1"/>
  <c r="CN110" i="1"/>
  <c r="CO110" i="1"/>
  <c r="CM111" i="1"/>
  <c r="CN111" i="1"/>
  <c r="CO111" i="1"/>
  <c r="EK94" i="1" l="1"/>
  <c r="FB94" i="1" s="1"/>
  <c r="EK74" i="1"/>
  <c r="FB74" i="1" s="1"/>
  <c r="EK50" i="1"/>
  <c r="FB50" i="1" s="1"/>
  <c r="EF111" i="1"/>
  <c r="EZ111" i="1" s="1"/>
  <c r="EF107" i="1"/>
  <c r="EZ107" i="1" s="1"/>
  <c r="EF103" i="1"/>
  <c r="EZ103" i="1" s="1"/>
  <c r="EF99" i="1"/>
  <c r="EZ99" i="1" s="1"/>
  <c r="EF95" i="1"/>
  <c r="EZ95" i="1" s="1"/>
  <c r="EF91" i="1"/>
  <c r="EZ91" i="1" s="1"/>
  <c r="EF83" i="1"/>
  <c r="EZ83" i="1" s="1"/>
  <c r="EF79" i="1"/>
  <c r="EZ79" i="1" s="1"/>
  <c r="EF75" i="1"/>
  <c r="EZ75" i="1" s="1"/>
  <c r="EF71" i="1"/>
  <c r="EZ71" i="1" s="1"/>
  <c r="EK106" i="1"/>
  <c r="FB106" i="1" s="1"/>
  <c r="EK90" i="1"/>
  <c r="FB90" i="1" s="1"/>
  <c r="EK82" i="1"/>
  <c r="FB82" i="1" s="1"/>
  <c r="EK66" i="1"/>
  <c r="FB66" i="1" s="1"/>
  <c r="EK58" i="1"/>
  <c r="FB58" i="1" s="1"/>
  <c r="EK42" i="1"/>
  <c r="FB42" i="1" s="1"/>
  <c r="EK34" i="1"/>
  <c r="FB34" i="1" s="1"/>
  <c r="EK26" i="1"/>
  <c r="FB26" i="1" s="1"/>
  <c r="EK18" i="1"/>
  <c r="FB18" i="1" s="1"/>
  <c r="EK10" i="1"/>
  <c r="FB10" i="1" s="1"/>
  <c r="EK98" i="1"/>
  <c r="FB98" i="1" s="1"/>
  <c r="EK78" i="1"/>
  <c r="FB78" i="1" s="1"/>
  <c r="EK46" i="1"/>
  <c r="FB46" i="1" s="1"/>
  <c r="EF87" i="1"/>
  <c r="EZ87" i="1" s="1"/>
  <c r="EK110" i="1"/>
  <c r="FB110" i="1" s="1"/>
  <c r="EK102" i="1"/>
  <c r="FB102" i="1" s="1"/>
  <c r="EK86" i="1"/>
  <c r="FB86" i="1" s="1"/>
  <c r="EK70" i="1"/>
  <c r="FB70" i="1" s="1"/>
  <c r="EK62" i="1"/>
  <c r="FB62" i="1" s="1"/>
  <c r="EK54" i="1"/>
  <c r="FB54" i="1" s="1"/>
  <c r="EK38" i="1"/>
  <c r="FB38" i="1" s="1"/>
  <c r="EK30" i="1"/>
  <c r="FB30" i="1" s="1"/>
  <c r="EK22" i="1"/>
  <c r="FB22" i="1" s="1"/>
  <c r="EK14" i="1"/>
  <c r="FB14" i="1" s="1"/>
  <c r="EK6" i="1"/>
  <c r="FB6" i="1" s="1"/>
  <c r="DJ103" i="1"/>
  <c r="ES103" i="1" s="1"/>
  <c r="EF37" i="1"/>
  <c r="EZ37" i="1" s="1"/>
  <c r="EF33" i="1"/>
  <c r="EZ33" i="1" s="1"/>
  <c r="EF29" i="1"/>
  <c r="EZ29" i="1" s="1"/>
  <c r="EF25" i="1"/>
  <c r="EZ25" i="1" s="1"/>
  <c r="EF21" i="1"/>
  <c r="EZ21" i="1" s="1"/>
  <c r="EF17" i="1"/>
  <c r="EZ17" i="1" s="1"/>
  <c r="EF13" i="1"/>
  <c r="EZ13" i="1" s="1"/>
  <c r="EF9" i="1"/>
  <c r="EZ9" i="1" s="1"/>
  <c r="EF63" i="1"/>
  <c r="EZ63" i="1" s="1"/>
  <c r="EF43" i="1"/>
  <c r="EZ43" i="1" s="1"/>
  <c r="DJ95" i="1"/>
  <c r="ES95" i="1" s="1"/>
  <c r="DJ79" i="1"/>
  <c r="ES79" i="1" s="1"/>
  <c r="EK109" i="1"/>
  <c r="FB109" i="1" s="1"/>
  <c r="EK97" i="1"/>
  <c r="FB97" i="1" s="1"/>
  <c r="EK77" i="1"/>
  <c r="FB77" i="1" s="1"/>
  <c r="EK57" i="1"/>
  <c r="FB57" i="1" s="1"/>
  <c r="EK41" i="1"/>
  <c r="FB41" i="1" s="1"/>
  <c r="EK25" i="1"/>
  <c r="FB25" i="1" s="1"/>
  <c r="EK9" i="1"/>
  <c r="FB9" i="1" s="1"/>
  <c r="DJ102" i="1"/>
  <c r="ES102" i="1" s="1"/>
  <c r="DJ90" i="1"/>
  <c r="ES90" i="1" s="1"/>
  <c r="DJ78" i="1"/>
  <c r="ES78" i="1" s="1"/>
  <c r="DN109" i="1"/>
  <c r="ET109" i="1" s="1"/>
  <c r="DN93" i="1"/>
  <c r="ET93" i="1" s="1"/>
  <c r="DN77" i="1"/>
  <c r="ET77" i="1" s="1"/>
  <c r="DN57" i="1"/>
  <c r="ET57" i="1" s="1"/>
  <c r="DN37" i="1"/>
  <c r="ET37" i="1" s="1"/>
  <c r="DN25" i="1"/>
  <c r="ET25" i="1" s="1"/>
  <c r="DN9" i="1"/>
  <c r="ET9" i="1" s="1"/>
  <c r="EK100" i="1"/>
  <c r="FB100" i="1" s="1"/>
  <c r="EK84" i="1"/>
  <c r="FB84" i="1" s="1"/>
  <c r="EK68" i="1"/>
  <c r="FB68" i="1" s="1"/>
  <c r="EK52" i="1"/>
  <c r="FB52" i="1" s="1"/>
  <c r="EK36" i="1"/>
  <c r="FB36" i="1" s="1"/>
  <c r="EK16" i="1"/>
  <c r="FB16" i="1" s="1"/>
  <c r="EF55" i="1"/>
  <c r="EZ55" i="1" s="1"/>
  <c r="DJ99" i="1"/>
  <c r="ES99" i="1" s="1"/>
  <c r="DJ83" i="1"/>
  <c r="ES83" i="1" s="1"/>
  <c r="EK105" i="1"/>
  <c r="FB105" i="1" s="1"/>
  <c r="EK89" i="1"/>
  <c r="FB89" i="1" s="1"/>
  <c r="EK73" i="1"/>
  <c r="FB73" i="1" s="1"/>
  <c r="EK61" i="1"/>
  <c r="FB61" i="1" s="1"/>
  <c r="EK45" i="1"/>
  <c r="FB45" i="1" s="1"/>
  <c r="EK17" i="1"/>
  <c r="FB17" i="1" s="1"/>
  <c r="DJ106" i="1"/>
  <c r="ES106" i="1" s="1"/>
  <c r="DJ82" i="1"/>
  <c r="ES82" i="1" s="1"/>
  <c r="DN101" i="1"/>
  <c r="ET101" i="1" s="1"/>
  <c r="DN85" i="1"/>
  <c r="ET85" i="1" s="1"/>
  <c r="DN69" i="1"/>
  <c r="ET69" i="1" s="1"/>
  <c r="DN53" i="1"/>
  <c r="ET53" i="1" s="1"/>
  <c r="DN41" i="1"/>
  <c r="ET41" i="1" s="1"/>
  <c r="DN21" i="1"/>
  <c r="ET21" i="1" s="1"/>
  <c r="EK108" i="1"/>
  <c r="FB108" i="1" s="1"/>
  <c r="EK92" i="1"/>
  <c r="FB92" i="1" s="1"/>
  <c r="EK76" i="1"/>
  <c r="FB76" i="1" s="1"/>
  <c r="EK60" i="1"/>
  <c r="FB60" i="1" s="1"/>
  <c r="EK44" i="1"/>
  <c r="FB44" i="1" s="1"/>
  <c r="EK28" i="1"/>
  <c r="FB28" i="1" s="1"/>
  <c r="EK12" i="1"/>
  <c r="FB12" i="1" s="1"/>
  <c r="EF36" i="1"/>
  <c r="EZ36" i="1" s="1"/>
  <c r="EF32" i="1"/>
  <c r="EZ32" i="1" s="1"/>
  <c r="EF28" i="1"/>
  <c r="EZ28" i="1" s="1"/>
  <c r="EF24" i="1"/>
  <c r="EZ24" i="1" s="1"/>
  <c r="EF20" i="1"/>
  <c r="EZ20" i="1" s="1"/>
  <c r="EF16" i="1"/>
  <c r="EZ16" i="1" s="1"/>
  <c r="EF12" i="1"/>
  <c r="EZ12" i="1" s="1"/>
  <c r="EF8" i="1"/>
  <c r="EZ8" i="1" s="1"/>
  <c r="EF59" i="1"/>
  <c r="EZ59" i="1" s="1"/>
  <c r="EF47" i="1"/>
  <c r="EZ47" i="1" s="1"/>
  <c r="DJ111" i="1"/>
  <c r="ES111" i="1" s="1"/>
  <c r="DJ91" i="1"/>
  <c r="ES91" i="1" s="1"/>
  <c r="DJ75" i="1"/>
  <c r="ES75" i="1" s="1"/>
  <c r="EK101" i="1"/>
  <c r="FB101" i="1" s="1"/>
  <c r="EK85" i="1"/>
  <c r="FB85" i="1" s="1"/>
  <c r="EK69" i="1"/>
  <c r="FB69" i="1" s="1"/>
  <c r="EK53" i="1"/>
  <c r="FB53" i="1" s="1"/>
  <c r="EK37" i="1"/>
  <c r="FB37" i="1" s="1"/>
  <c r="EK21" i="1"/>
  <c r="FB21" i="1" s="1"/>
  <c r="DJ98" i="1"/>
  <c r="ES98" i="1" s="1"/>
  <c r="DJ74" i="1"/>
  <c r="ES74" i="1" s="1"/>
  <c r="DN97" i="1"/>
  <c r="ET97" i="1" s="1"/>
  <c r="DN81" i="1"/>
  <c r="ET81" i="1" s="1"/>
  <c r="DN65" i="1"/>
  <c r="ET65" i="1" s="1"/>
  <c r="DN49" i="1"/>
  <c r="ET49" i="1" s="1"/>
  <c r="DN33" i="1"/>
  <c r="ET33" i="1" s="1"/>
  <c r="DN17" i="1"/>
  <c r="ET17" i="1" s="1"/>
  <c r="EK104" i="1"/>
  <c r="FB104" i="1" s="1"/>
  <c r="EK88" i="1"/>
  <c r="FB88" i="1" s="1"/>
  <c r="EK72" i="1"/>
  <c r="FB72" i="1" s="1"/>
  <c r="EK56" i="1"/>
  <c r="FB56" i="1" s="1"/>
  <c r="EK40" i="1"/>
  <c r="FB40" i="1" s="1"/>
  <c r="EK24" i="1"/>
  <c r="FB24" i="1" s="1"/>
  <c r="EK8" i="1"/>
  <c r="FB8" i="1" s="1"/>
  <c r="CP105" i="1"/>
  <c r="EL105" i="1" s="1"/>
  <c r="CP97" i="1"/>
  <c r="EL97" i="1" s="1"/>
  <c r="CP89" i="1"/>
  <c r="EL89" i="1" s="1"/>
  <c r="CP81" i="1"/>
  <c r="EL81" i="1" s="1"/>
  <c r="CP73" i="1"/>
  <c r="EL73" i="1" s="1"/>
  <c r="DJ109" i="1"/>
  <c r="ES109" i="1" s="1"/>
  <c r="DJ105" i="1"/>
  <c r="ES105" i="1" s="1"/>
  <c r="DJ101" i="1"/>
  <c r="ES101" i="1" s="1"/>
  <c r="DJ97" i="1"/>
  <c r="ES97" i="1" s="1"/>
  <c r="DJ93" i="1"/>
  <c r="ES93" i="1" s="1"/>
  <c r="DJ89" i="1"/>
  <c r="ES89" i="1" s="1"/>
  <c r="DJ85" i="1"/>
  <c r="ES85" i="1" s="1"/>
  <c r="DJ81" i="1"/>
  <c r="ES81" i="1" s="1"/>
  <c r="DJ77" i="1"/>
  <c r="ES77" i="1" s="1"/>
  <c r="DJ73" i="1"/>
  <c r="ES73" i="1" s="1"/>
  <c r="DN108" i="1"/>
  <c r="ET108" i="1" s="1"/>
  <c r="DN104" i="1"/>
  <c r="ET104" i="1" s="1"/>
  <c r="DN100" i="1"/>
  <c r="ET100" i="1" s="1"/>
  <c r="DN96" i="1"/>
  <c r="ET96" i="1" s="1"/>
  <c r="DN92" i="1"/>
  <c r="ET92" i="1" s="1"/>
  <c r="DN88" i="1"/>
  <c r="ET88" i="1" s="1"/>
  <c r="DN84" i="1"/>
  <c r="ET84" i="1" s="1"/>
  <c r="DN80" i="1"/>
  <c r="ET80" i="1" s="1"/>
  <c r="EF5" i="1"/>
  <c r="EZ5" i="1" s="1"/>
  <c r="EK111" i="1"/>
  <c r="FB111" i="1" s="1"/>
  <c r="EK107" i="1"/>
  <c r="FB107" i="1" s="1"/>
  <c r="EK103" i="1"/>
  <c r="FB103" i="1" s="1"/>
  <c r="EK99" i="1"/>
  <c r="FB99" i="1" s="1"/>
  <c r="EK95" i="1"/>
  <c r="FB95" i="1" s="1"/>
  <c r="EK91" i="1"/>
  <c r="FB91" i="1" s="1"/>
  <c r="EK87" i="1"/>
  <c r="FB87" i="1" s="1"/>
  <c r="EK83" i="1"/>
  <c r="FB83" i="1" s="1"/>
  <c r="EK79" i="1"/>
  <c r="FB79" i="1" s="1"/>
  <c r="EK75" i="1"/>
  <c r="FB75" i="1" s="1"/>
  <c r="EK71" i="1"/>
  <c r="FB71" i="1" s="1"/>
  <c r="EK67" i="1"/>
  <c r="FB67" i="1" s="1"/>
  <c r="EK63" i="1"/>
  <c r="FB63" i="1" s="1"/>
  <c r="EK59" i="1"/>
  <c r="FB59" i="1" s="1"/>
  <c r="EK55" i="1"/>
  <c r="FB55" i="1" s="1"/>
  <c r="EK51" i="1"/>
  <c r="FB51" i="1" s="1"/>
  <c r="EK47" i="1"/>
  <c r="FB47" i="1" s="1"/>
  <c r="EK43" i="1"/>
  <c r="FB43" i="1" s="1"/>
  <c r="EK39" i="1"/>
  <c r="FB39" i="1" s="1"/>
  <c r="EK35" i="1"/>
  <c r="FB35" i="1" s="1"/>
  <c r="EK31" i="1"/>
  <c r="FB31" i="1" s="1"/>
  <c r="EK27" i="1"/>
  <c r="FB27" i="1" s="1"/>
  <c r="EK23" i="1"/>
  <c r="FB23" i="1" s="1"/>
  <c r="EK19" i="1"/>
  <c r="FB19" i="1" s="1"/>
  <c r="EK15" i="1"/>
  <c r="FB15" i="1" s="1"/>
  <c r="EK11" i="1"/>
  <c r="FB11" i="1" s="1"/>
  <c r="EK7" i="1"/>
  <c r="FB7" i="1" s="1"/>
  <c r="EF67" i="1"/>
  <c r="EZ67" i="1" s="1"/>
  <c r="EF51" i="1"/>
  <c r="EZ51" i="1" s="1"/>
  <c r="DJ107" i="1"/>
  <c r="ES107" i="1" s="1"/>
  <c r="DJ87" i="1"/>
  <c r="ES87" i="1" s="1"/>
  <c r="DJ71" i="1"/>
  <c r="ES71" i="1" s="1"/>
  <c r="EK93" i="1"/>
  <c r="FB93" i="1" s="1"/>
  <c r="EK81" i="1"/>
  <c r="FB81" i="1" s="1"/>
  <c r="EK65" i="1"/>
  <c r="FB65" i="1" s="1"/>
  <c r="EK49" i="1"/>
  <c r="FB49" i="1" s="1"/>
  <c r="EK33" i="1"/>
  <c r="FB33" i="1" s="1"/>
  <c r="EK29" i="1"/>
  <c r="FB29" i="1" s="1"/>
  <c r="EK13" i="1"/>
  <c r="FB13" i="1" s="1"/>
  <c r="DJ110" i="1"/>
  <c r="ES110" i="1" s="1"/>
  <c r="DJ94" i="1"/>
  <c r="ES94" i="1" s="1"/>
  <c r="DJ86" i="1"/>
  <c r="ES86" i="1" s="1"/>
  <c r="DJ70" i="1"/>
  <c r="ES70" i="1" s="1"/>
  <c r="DN105" i="1"/>
  <c r="ET105" i="1" s="1"/>
  <c r="DN89" i="1"/>
  <c r="ET89" i="1" s="1"/>
  <c r="DN73" i="1"/>
  <c r="ET73" i="1" s="1"/>
  <c r="DN61" i="1"/>
  <c r="ET61" i="1" s="1"/>
  <c r="DN45" i="1"/>
  <c r="ET45" i="1" s="1"/>
  <c r="DN29" i="1"/>
  <c r="ET29" i="1" s="1"/>
  <c r="DN13" i="1"/>
  <c r="ET13" i="1" s="1"/>
  <c r="EK96" i="1"/>
  <c r="FB96" i="1" s="1"/>
  <c r="EK80" i="1"/>
  <c r="FB80" i="1" s="1"/>
  <c r="EK64" i="1"/>
  <c r="FB64" i="1" s="1"/>
  <c r="EK48" i="1"/>
  <c r="FB48" i="1" s="1"/>
  <c r="EK32" i="1"/>
  <c r="FB32" i="1" s="1"/>
  <c r="EK20" i="1"/>
  <c r="FB20" i="1" s="1"/>
  <c r="CP109" i="1"/>
  <c r="EL109" i="1" s="1"/>
  <c r="CP101" i="1"/>
  <c r="EL101" i="1" s="1"/>
  <c r="CP93" i="1"/>
  <c r="EL93" i="1" s="1"/>
  <c r="CP85" i="1"/>
  <c r="EL85" i="1" s="1"/>
  <c r="CP77" i="1"/>
  <c r="EL77" i="1" s="1"/>
  <c r="CP108" i="1"/>
  <c r="EL108" i="1" s="1"/>
  <c r="CP104" i="1"/>
  <c r="EL104" i="1" s="1"/>
  <c r="CP100" i="1"/>
  <c r="EL100" i="1" s="1"/>
  <c r="CP96" i="1"/>
  <c r="EL96" i="1" s="1"/>
  <c r="CP92" i="1"/>
  <c r="EL92" i="1" s="1"/>
  <c r="CP88" i="1"/>
  <c r="EL88" i="1" s="1"/>
  <c r="CP84" i="1"/>
  <c r="EL84" i="1" s="1"/>
  <c r="EF109" i="1"/>
  <c r="EZ109" i="1" s="1"/>
  <c r="EF105" i="1"/>
  <c r="EZ105" i="1" s="1"/>
  <c r="EF101" i="1"/>
  <c r="EZ101" i="1" s="1"/>
  <c r="EF97" i="1"/>
  <c r="EZ97" i="1" s="1"/>
  <c r="EF93" i="1"/>
  <c r="EZ93" i="1" s="1"/>
  <c r="EF89" i="1"/>
  <c r="EZ89" i="1" s="1"/>
  <c r="EF85" i="1"/>
  <c r="EZ85" i="1" s="1"/>
  <c r="EF81" i="1"/>
  <c r="EZ81" i="1" s="1"/>
  <c r="EF77" i="1"/>
  <c r="EZ77" i="1" s="1"/>
  <c r="EF73" i="1"/>
  <c r="EZ73" i="1" s="1"/>
  <c r="EF69" i="1"/>
  <c r="EZ69" i="1" s="1"/>
  <c r="EF65" i="1"/>
  <c r="EZ65" i="1" s="1"/>
  <c r="EF61" i="1"/>
  <c r="EZ61" i="1" s="1"/>
  <c r="EF57" i="1"/>
  <c r="EZ57" i="1" s="1"/>
  <c r="EF53" i="1"/>
  <c r="EZ53" i="1" s="1"/>
  <c r="EF49" i="1"/>
  <c r="EZ49" i="1" s="1"/>
  <c r="EF45" i="1"/>
  <c r="EZ45" i="1" s="1"/>
  <c r="EF41" i="1"/>
  <c r="EZ41" i="1" s="1"/>
  <c r="EF110" i="1"/>
  <c r="EZ110" i="1" s="1"/>
  <c r="EF106" i="1"/>
  <c r="EZ106" i="1" s="1"/>
  <c r="EF102" i="1"/>
  <c r="EZ102" i="1" s="1"/>
  <c r="EF98" i="1"/>
  <c r="EZ98" i="1" s="1"/>
  <c r="EF94" i="1"/>
  <c r="EZ94" i="1" s="1"/>
  <c r="EF90" i="1"/>
  <c r="EZ90" i="1" s="1"/>
  <c r="EF86" i="1"/>
  <c r="EZ86" i="1" s="1"/>
  <c r="EF82" i="1"/>
  <c r="EZ82" i="1" s="1"/>
  <c r="EF78" i="1"/>
  <c r="EZ78" i="1" s="1"/>
  <c r="EF74" i="1"/>
  <c r="EZ74" i="1" s="1"/>
  <c r="EF70" i="1"/>
  <c r="EZ70" i="1" s="1"/>
  <c r="EF66" i="1"/>
  <c r="EZ66" i="1" s="1"/>
  <c r="EF62" i="1"/>
  <c r="EZ62" i="1" s="1"/>
  <c r="EF58" i="1"/>
  <c r="EZ58" i="1" s="1"/>
  <c r="EF54" i="1"/>
  <c r="EZ54" i="1" s="1"/>
  <c r="EF50" i="1"/>
  <c r="EZ50" i="1" s="1"/>
  <c r="EF46" i="1"/>
  <c r="EZ46" i="1" s="1"/>
  <c r="EF42" i="1"/>
  <c r="EZ42" i="1" s="1"/>
  <c r="EK5" i="1"/>
  <c r="FB5" i="1" s="1"/>
  <c r="CP80" i="1"/>
  <c r="EL80" i="1" s="1"/>
  <c r="CP76" i="1"/>
  <c r="EL76" i="1" s="1"/>
  <c r="CP72" i="1"/>
  <c r="EL72" i="1" s="1"/>
  <c r="CP68" i="1"/>
  <c r="EL68" i="1" s="1"/>
  <c r="CP64" i="1"/>
  <c r="EL64" i="1" s="1"/>
  <c r="CT111" i="1"/>
  <c r="EM111" i="1" s="1"/>
  <c r="CT107" i="1"/>
  <c r="EM107" i="1" s="1"/>
  <c r="CT103" i="1"/>
  <c r="EM103" i="1" s="1"/>
  <c r="CT99" i="1"/>
  <c r="EM99" i="1" s="1"/>
  <c r="CT95" i="1"/>
  <c r="EM95" i="1" s="1"/>
  <c r="CT91" i="1"/>
  <c r="EM91" i="1" s="1"/>
  <c r="CX110" i="1"/>
  <c r="EN110" i="1" s="1"/>
  <c r="CX106" i="1"/>
  <c r="EN106" i="1" s="1"/>
  <c r="CX102" i="1"/>
  <c r="EN102" i="1" s="1"/>
  <c r="CX98" i="1"/>
  <c r="EN98" i="1" s="1"/>
  <c r="CX94" i="1"/>
  <c r="EN94" i="1" s="1"/>
  <c r="DJ67" i="1"/>
  <c r="ES67" i="1" s="1"/>
  <c r="DJ63" i="1"/>
  <c r="ES63" i="1" s="1"/>
  <c r="DJ59" i="1"/>
  <c r="ES59" i="1" s="1"/>
  <c r="DJ55" i="1"/>
  <c r="ES55" i="1" s="1"/>
  <c r="DJ51" i="1"/>
  <c r="ES51" i="1" s="1"/>
  <c r="DJ47" i="1"/>
  <c r="ES47" i="1" s="1"/>
  <c r="DJ43" i="1"/>
  <c r="ES43" i="1" s="1"/>
  <c r="DJ39" i="1"/>
  <c r="ES39" i="1" s="1"/>
  <c r="DJ35" i="1"/>
  <c r="ES35" i="1" s="1"/>
  <c r="DJ31" i="1"/>
  <c r="ES31" i="1" s="1"/>
  <c r="DJ27" i="1"/>
  <c r="ES27" i="1" s="1"/>
  <c r="DJ23" i="1"/>
  <c r="ES23" i="1" s="1"/>
  <c r="DJ19" i="1"/>
  <c r="ES19" i="1" s="1"/>
  <c r="DJ15" i="1"/>
  <c r="ES15" i="1" s="1"/>
  <c r="DJ11" i="1"/>
  <c r="ES11" i="1" s="1"/>
  <c r="DJ7" i="1"/>
  <c r="ES7" i="1" s="1"/>
  <c r="DN110" i="1"/>
  <c r="ET110" i="1" s="1"/>
  <c r="DN106" i="1"/>
  <c r="ET106" i="1" s="1"/>
  <c r="DN102" i="1"/>
  <c r="ET102" i="1" s="1"/>
  <c r="DN98" i="1"/>
  <c r="ET98" i="1" s="1"/>
  <c r="DN94" i="1"/>
  <c r="ET94" i="1" s="1"/>
  <c r="DN90" i="1"/>
  <c r="ET90" i="1" s="1"/>
  <c r="DN86" i="1"/>
  <c r="ET86" i="1" s="1"/>
  <c r="DN82" i="1"/>
  <c r="ET82" i="1" s="1"/>
  <c r="DN78" i="1"/>
  <c r="ET78" i="1" s="1"/>
  <c r="CP69" i="1"/>
  <c r="EL69" i="1" s="1"/>
  <c r="CP65" i="1"/>
  <c r="EL65" i="1" s="1"/>
  <c r="CP58" i="1"/>
  <c r="EL58" i="1" s="1"/>
  <c r="CP54" i="1"/>
  <c r="EL54" i="1" s="1"/>
  <c r="CP50" i="1"/>
  <c r="EL50" i="1" s="1"/>
  <c r="CP46" i="1"/>
  <c r="EL46" i="1" s="1"/>
  <c r="CP42" i="1"/>
  <c r="EL42" i="1" s="1"/>
  <c r="CP38" i="1"/>
  <c r="EL38" i="1" s="1"/>
  <c r="CP34" i="1"/>
  <c r="EL34" i="1" s="1"/>
  <c r="CP30" i="1"/>
  <c r="EL30" i="1" s="1"/>
  <c r="CP26" i="1"/>
  <c r="EL26" i="1" s="1"/>
  <c r="CP22" i="1"/>
  <c r="EL22" i="1" s="1"/>
  <c r="CP18" i="1"/>
  <c r="EL18" i="1" s="1"/>
  <c r="CP14" i="1"/>
  <c r="EL14" i="1" s="1"/>
  <c r="CP10" i="1"/>
  <c r="EL10" i="1" s="1"/>
  <c r="CP9" i="1"/>
  <c r="EL9" i="1" s="1"/>
  <c r="CX5" i="1"/>
  <c r="EN5" i="1" s="1"/>
  <c r="DN111" i="1"/>
  <c r="ET111" i="1" s="1"/>
  <c r="DN107" i="1"/>
  <c r="ET107" i="1" s="1"/>
  <c r="DN103" i="1"/>
  <c r="ET103" i="1" s="1"/>
  <c r="DN99" i="1"/>
  <c r="ET99" i="1" s="1"/>
  <c r="DN95" i="1"/>
  <c r="ET95" i="1" s="1"/>
  <c r="DN91" i="1"/>
  <c r="ET91" i="1" s="1"/>
  <c r="DN87" i="1"/>
  <c r="ET87" i="1" s="1"/>
  <c r="DN83" i="1"/>
  <c r="ET83" i="1" s="1"/>
  <c r="DN79" i="1"/>
  <c r="ET79" i="1" s="1"/>
  <c r="DN75" i="1"/>
  <c r="ET75" i="1" s="1"/>
  <c r="DN71" i="1"/>
  <c r="ET71" i="1" s="1"/>
  <c r="DN67" i="1"/>
  <c r="ET67" i="1" s="1"/>
  <c r="DN63" i="1"/>
  <c r="ET63" i="1" s="1"/>
  <c r="DN59" i="1"/>
  <c r="ET59" i="1" s="1"/>
  <c r="DN55" i="1"/>
  <c r="ET55" i="1" s="1"/>
  <c r="DN51" i="1"/>
  <c r="ET51" i="1" s="1"/>
  <c r="DN47" i="1"/>
  <c r="ET47" i="1" s="1"/>
  <c r="DN43" i="1"/>
  <c r="ET43" i="1" s="1"/>
  <c r="DN39" i="1"/>
  <c r="ET39" i="1" s="1"/>
  <c r="DN35" i="1"/>
  <c r="ET35" i="1" s="1"/>
  <c r="DN31" i="1"/>
  <c r="ET31" i="1" s="1"/>
  <c r="DN27" i="1"/>
  <c r="ET27" i="1" s="1"/>
  <c r="DN23" i="1"/>
  <c r="ET23" i="1" s="1"/>
  <c r="DN19" i="1"/>
  <c r="ET19" i="1" s="1"/>
  <c r="DN15" i="1"/>
  <c r="ET15" i="1" s="1"/>
  <c r="DN11" i="1"/>
  <c r="ET11" i="1" s="1"/>
  <c r="DN7" i="1"/>
  <c r="ET7" i="1" s="1"/>
  <c r="CP110" i="1"/>
  <c r="EL110" i="1" s="1"/>
  <c r="CP102" i="1"/>
  <c r="EL102" i="1" s="1"/>
  <c r="CP94" i="1"/>
  <c r="EL94" i="1" s="1"/>
  <c r="CP86" i="1"/>
  <c r="EL86" i="1" s="1"/>
  <c r="CP55" i="1"/>
  <c r="EL55" i="1" s="1"/>
  <c r="CP47" i="1"/>
  <c r="EL47" i="1" s="1"/>
  <c r="CP43" i="1"/>
  <c r="EL43" i="1" s="1"/>
  <c r="CP31" i="1"/>
  <c r="EL31" i="1" s="1"/>
  <c r="CP19" i="1"/>
  <c r="EL19" i="1" s="1"/>
  <c r="CP15" i="1"/>
  <c r="EL15" i="1" s="1"/>
  <c r="CP106" i="1"/>
  <c r="EL106" i="1" s="1"/>
  <c r="CP98" i="1"/>
  <c r="EL98" i="1" s="1"/>
  <c r="CP90" i="1"/>
  <c r="EL90" i="1" s="1"/>
  <c r="CP59" i="1"/>
  <c r="EL59" i="1" s="1"/>
  <c r="CP51" i="1"/>
  <c r="EL51" i="1" s="1"/>
  <c r="CP39" i="1"/>
  <c r="EL39" i="1" s="1"/>
  <c r="CP35" i="1"/>
  <c r="EL35" i="1" s="1"/>
  <c r="CP27" i="1"/>
  <c r="EL27" i="1" s="1"/>
  <c r="CP23" i="1"/>
  <c r="EL23" i="1" s="1"/>
  <c r="CP11" i="1"/>
  <c r="EL11" i="1" s="1"/>
  <c r="CP111" i="1"/>
  <c r="EL111" i="1" s="1"/>
  <c r="CP107" i="1"/>
  <c r="EL107" i="1" s="1"/>
  <c r="CP103" i="1"/>
  <c r="EL103" i="1" s="1"/>
  <c r="CP99" i="1"/>
  <c r="EL99" i="1" s="1"/>
  <c r="CP95" i="1"/>
  <c r="EL95" i="1" s="1"/>
  <c r="CP91" i="1"/>
  <c r="EL91" i="1" s="1"/>
  <c r="CP87" i="1"/>
  <c r="EL87" i="1" s="1"/>
  <c r="CP60" i="1"/>
  <c r="EL60" i="1" s="1"/>
  <c r="CP56" i="1"/>
  <c r="EL56" i="1" s="1"/>
  <c r="CP52" i="1"/>
  <c r="EL52" i="1" s="1"/>
  <c r="CP48" i="1"/>
  <c r="EL48" i="1" s="1"/>
  <c r="CP44" i="1"/>
  <c r="EL44" i="1" s="1"/>
  <c r="CP40" i="1"/>
  <c r="EL40" i="1" s="1"/>
  <c r="CP36" i="1"/>
  <c r="EL36" i="1" s="1"/>
  <c r="CP32" i="1"/>
  <c r="EL32" i="1" s="1"/>
  <c r="CP28" i="1"/>
  <c r="EL28" i="1" s="1"/>
  <c r="CP24" i="1"/>
  <c r="EL24" i="1" s="1"/>
  <c r="CP20" i="1"/>
  <c r="EL20" i="1" s="1"/>
  <c r="CP16" i="1"/>
  <c r="EL16" i="1" s="1"/>
  <c r="CP12" i="1"/>
  <c r="EL12" i="1" s="1"/>
  <c r="CP61" i="1"/>
  <c r="EL61" i="1" s="1"/>
  <c r="CP57" i="1"/>
  <c r="EL57" i="1" s="1"/>
  <c r="CP53" i="1"/>
  <c r="EL53" i="1" s="1"/>
  <c r="CP49" i="1"/>
  <c r="EL49" i="1" s="1"/>
  <c r="CP45" i="1"/>
  <c r="EL45" i="1" s="1"/>
  <c r="CP41" i="1"/>
  <c r="EL41" i="1" s="1"/>
  <c r="CP37" i="1"/>
  <c r="EL37" i="1" s="1"/>
  <c r="CP33" i="1"/>
  <c r="EL33" i="1" s="1"/>
  <c r="CP29" i="1"/>
  <c r="EL29" i="1" s="1"/>
  <c r="CP25" i="1"/>
  <c r="EL25" i="1" s="1"/>
  <c r="CP21" i="1"/>
  <c r="EL21" i="1" s="1"/>
  <c r="CP17" i="1"/>
  <c r="EL17" i="1" s="1"/>
  <c r="CP13" i="1"/>
  <c r="EL13" i="1" s="1"/>
  <c r="CT87" i="1"/>
  <c r="EM87" i="1" s="1"/>
  <c r="CT83" i="1"/>
  <c r="EM83" i="1" s="1"/>
  <c r="CT79" i="1"/>
  <c r="EM79" i="1" s="1"/>
  <c r="CT75" i="1"/>
  <c r="EM75" i="1" s="1"/>
  <c r="CT71" i="1"/>
  <c r="EM71" i="1" s="1"/>
  <c r="CT67" i="1"/>
  <c r="EM67" i="1" s="1"/>
  <c r="CT63" i="1"/>
  <c r="EM63" i="1" s="1"/>
  <c r="CT59" i="1"/>
  <c r="EM59" i="1" s="1"/>
  <c r="CT55" i="1"/>
  <c r="EM55" i="1" s="1"/>
  <c r="CT51" i="1"/>
  <c r="EM51" i="1" s="1"/>
  <c r="CT47" i="1"/>
  <c r="EM47" i="1" s="1"/>
  <c r="CT43" i="1"/>
  <c r="EM43" i="1" s="1"/>
  <c r="CT39" i="1"/>
  <c r="EM39" i="1" s="1"/>
  <c r="CT35" i="1"/>
  <c r="EM35" i="1" s="1"/>
  <c r="CT31" i="1"/>
  <c r="EM31" i="1" s="1"/>
  <c r="CT27" i="1"/>
  <c r="EM27" i="1" s="1"/>
  <c r="CT23" i="1"/>
  <c r="EM23" i="1" s="1"/>
  <c r="CT19" i="1"/>
  <c r="EM19" i="1" s="1"/>
  <c r="CT15" i="1"/>
  <c r="EM15" i="1" s="1"/>
  <c r="CT11" i="1"/>
  <c r="EM11" i="1" s="1"/>
  <c r="CT7" i="1"/>
  <c r="EM7" i="1" s="1"/>
  <c r="DJ5" i="1"/>
  <c r="ES5" i="1" s="1"/>
  <c r="DJ68" i="1"/>
  <c r="ES68" i="1" s="1"/>
  <c r="DJ64" i="1"/>
  <c r="ES64" i="1" s="1"/>
  <c r="DJ60" i="1"/>
  <c r="ES60" i="1" s="1"/>
  <c r="DJ56" i="1"/>
  <c r="ES56" i="1" s="1"/>
  <c r="DJ52" i="1"/>
  <c r="ES52" i="1" s="1"/>
  <c r="DJ48" i="1"/>
  <c r="ES48" i="1" s="1"/>
  <c r="DJ44" i="1"/>
  <c r="ES44" i="1" s="1"/>
  <c r="DJ40" i="1"/>
  <c r="ES40" i="1" s="1"/>
  <c r="DJ36" i="1"/>
  <c r="ES36" i="1" s="1"/>
  <c r="DJ32" i="1"/>
  <c r="ES32" i="1" s="1"/>
  <c r="DJ28" i="1"/>
  <c r="ES28" i="1" s="1"/>
  <c r="DJ24" i="1"/>
  <c r="ES24" i="1" s="1"/>
  <c r="DJ20" i="1"/>
  <c r="ES20" i="1" s="1"/>
  <c r="DJ16" i="1"/>
  <c r="ES16" i="1" s="1"/>
  <c r="DJ12" i="1"/>
  <c r="ES12" i="1" s="1"/>
  <c r="DJ8" i="1"/>
  <c r="ES8" i="1" s="1"/>
  <c r="DN76" i="1"/>
  <c r="ET76" i="1" s="1"/>
  <c r="DN72" i="1"/>
  <c r="ET72" i="1" s="1"/>
  <c r="DN68" i="1"/>
  <c r="ET68" i="1" s="1"/>
  <c r="DN64" i="1"/>
  <c r="ET64" i="1" s="1"/>
  <c r="DN60" i="1"/>
  <c r="ET60" i="1" s="1"/>
  <c r="DN56" i="1"/>
  <c r="ET56" i="1" s="1"/>
  <c r="DN52" i="1"/>
  <c r="ET52" i="1" s="1"/>
  <c r="DN48" i="1"/>
  <c r="ET48" i="1" s="1"/>
  <c r="DN44" i="1"/>
  <c r="ET44" i="1" s="1"/>
  <c r="DN40" i="1"/>
  <c r="ET40" i="1" s="1"/>
  <c r="DN36" i="1"/>
  <c r="ET36" i="1" s="1"/>
  <c r="DN32" i="1"/>
  <c r="ET32" i="1" s="1"/>
  <c r="DN28" i="1"/>
  <c r="ET28" i="1" s="1"/>
  <c r="DN24" i="1"/>
  <c r="ET24" i="1" s="1"/>
  <c r="DN20" i="1"/>
  <c r="ET20" i="1" s="1"/>
  <c r="DN16" i="1"/>
  <c r="ET16" i="1" s="1"/>
  <c r="DN12" i="1"/>
  <c r="ET12" i="1" s="1"/>
  <c r="DN8" i="1"/>
  <c r="ET8" i="1" s="1"/>
  <c r="CX90" i="1"/>
  <c r="EN90" i="1" s="1"/>
  <c r="CX86" i="1"/>
  <c r="EN86" i="1" s="1"/>
  <c r="CX82" i="1"/>
  <c r="EN82" i="1" s="1"/>
  <c r="CX78" i="1"/>
  <c r="EN78" i="1" s="1"/>
  <c r="CX74" i="1"/>
  <c r="EN74" i="1" s="1"/>
  <c r="CX70" i="1"/>
  <c r="EN70" i="1" s="1"/>
  <c r="CX66" i="1"/>
  <c r="EN66" i="1" s="1"/>
  <c r="CX62" i="1"/>
  <c r="EN62" i="1" s="1"/>
  <c r="CX58" i="1"/>
  <c r="EN58" i="1" s="1"/>
  <c r="CX54" i="1"/>
  <c r="EN54" i="1" s="1"/>
  <c r="CX50" i="1"/>
  <c r="EN50" i="1" s="1"/>
  <c r="CX46" i="1"/>
  <c r="EN46" i="1" s="1"/>
  <c r="CX42" i="1"/>
  <c r="EN42" i="1" s="1"/>
  <c r="CX38" i="1"/>
  <c r="EN38" i="1" s="1"/>
  <c r="CX34" i="1"/>
  <c r="EN34" i="1" s="1"/>
  <c r="CX30" i="1"/>
  <c r="EN30" i="1" s="1"/>
  <c r="CX26" i="1"/>
  <c r="EN26" i="1" s="1"/>
  <c r="CX22" i="1"/>
  <c r="EN22" i="1" s="1"/>
  <c r="CX18" i="1"/>
  <c r="EN18" i="1" s="1"/>
  <c r="CX14" i="1"/>
  <c r="EN14" i="1" s="1"/>
  <c r="CX10" i="1"/>
  <c r="EN10" i="1" s="1"/>
  <c r="CX6" i="1"/>
  <c r="EN6" i="1" s="1"/>
  <c r="DJ69" i="1"/>
  <c r="ES69" i="1" s="1"/>
  <c r="DJ65" i="1"/>
  <c r="ES65" i="1" s="1"/>
  <c r="DJ61" i="1"/>
  <c r="ES61" i="1" s="1"/>
  <c r="DJ57" i="1"/>
  <c r="ES57" i="1" s="1"/>
  <c r="DJ53" i="1"/>
  <c r="ES53" i="1" s="1"/>
  <c r="DJ49" i="1"/>
  <c r="ES49" i="1" s="1"/>
  <c r="DJ45" i="1"/>
  <c r="ES45" i="1" s="1"/>
  <c r="DJ41" i="1"/>
  <c r="ES41" i="1" s="1"/>
  <c r="DJ37" i="1"/>
  <c r="ES37" i="1" s="1"/>
  <c r="DJ33" i="1"/>
  <c r="ES33" i="1" s="1"/>
  <c r="DJ29" i="1"/>
  <c r="ES29" i="1" s="1"/>
  <c r="DJ25" i="1"/>
  <c r="ES25" i="1" s="1"/>
  <c r="DJ21" i="1"/>
  <c r="ES21" i="1" s="1"/>
  <c r="DJ17" i="1"/>
  <c r="ES17" i="1" s="1"/>
  <c r="DJ13" i="1"/>
  <c r="ES13" i="1" s="1"/>
  <c r="DJ9" i="1"/>
  <c r="ES9" i="1" s="1"/>
  <c r="CX111" i="1"/>
  <c r="EN111" i="1" s="1"/>
  <c r="CX107" i="1"/>
  <c r="EN107" i="1" s="1"/>
  <c r="CX103" i="1"/>
  <c r="EN103" i="1" s="1"/>
  <c r="CX99" i="1"/>
  <c r="EN99" i="1" s="1"/>
  <c r="CX95" i="1"/>
  <c r="EN95" i="1" s="1"/>
  <c r="CX91" i="1"/>
  <c r="EN91" i="1" s="1"/>
  <c r="CX87" i="1"/>
  <c r="EN87" i="1" s="1"/>
  <c r="CX83" i="1"/>
  <c r="EN83" i="1" s="1"/>
  <c r="CX79" i="1"/>
  <c r="EN79" i="1" s="1"/>
  <c r="CX75" i="1"/>
  <c r="EN75" i="1" s="1"/>
  <c r="CX71" i="1"/>
  <c r="EN71" i="1" s="1"/>
  <c r="CX67" i="1"/>
  <c r="EN67" i="1" s="1"/>
  <c r="CX63" i="1"/>
  <c r="EN63" i="1" s="1"/>
  <c r="CX59" i="1"/>
  <c r="EN59" i="1" s="1"/>
  <c r="CX55" i="1"/>
  <c r="EN55" i="1" s="1"/>
  <c r="CX51" i="1"/>
  <c r="EN51" i="1" s="1"/>
  <c r="CX47" i="1"/>
  <c r="EN47" i="1" s="1"/>
  <c r="CX43" i="1"/>
  <c r="EN43" i="1" s="1"/>
  <c r="CX39" i="1"/>
  <c r="EN39" i="1" s="1"/>
  <c r="CX35" i="1"/>
  <c r="EN35" i="1" s="1"/>
  <c r="CX31" i="1"/>
  <c r="EN31" i="1" s="1"/>
  <c r="CX27" i="1"/>
  <c r="EN27" i="1" s="1"/>
  <c r="CX23" i="1"/>
  <c r="EN23" i="1" s="1"/>
  <c r="CX19" i="1"/>
  <c r="EN19" i="1" s="1"/>
  <c r="CX15" i="1"/>
  <c r="EN15" i="1" s="1"/>
  <c r="CX11" i="1"/>
  <c r="EN11" i="1" s="1"/>
  <c r="CX7" i="1"/>
  <c r="EN7" i="1" s="1"/>
  <c r="DJ66" i="1"/>
  <c r="ES66" i="1" s="1"/>
  <c r="DJ62" i="1"/>
  <c r="ES62" i="1" s="1"/>
  <c r="DJ58" i="1"/>
  <c r="ES58" i="1" s="1"/>
  <c r="DJ54" i="1"/>
  <c r="ES54" i="1" s="1"/>
  <c r="DJ50" i="1"/>
  <c r="ES50" i="1" s="1"/>
  <c r="DJ46" i="1"/>
  <c r="ES46" i="1" s="1"/>
  <c r="DJ42" i="1"/>
  <c r="ES42" i="1" s="1"/>
  <c r="DJ38" i="1"/>
  <c r="ES38" i="1" s="1"/>
  <c r="DJ34" i="1"/>
  <c r="ES34" i="1" s="1"/>
  <c r="DJ30" i="1"/>
  <c r="ES30" i="1" s="1"/>
  <c r="DJ26" i="1"/>
  <c r="ES26" i="1" s="1"/>
  <c r="DJ22" i="1"/>
  <c r="ES22" i="1" s="1"/>
  <c r="DJ18" i="1"/>
  <c r="ES18" i="1" s="1"/>
  <c r="DJ14" i="1"/>
  <c r="ES14" i="1" s="1"/>
  <c r="DJ10" i="1"/>
  <c r="ES10" i="1" s="1"/>
  <c r="DJ6" i="1"/>
  <c r="ES6" i="1" s="1"/>
  <c r="DN74" i="1"/>
  <c r="ET74" i="1" s="1"/>
  <c r="DN70" i="1"/>
  <c r="ET70" i="1" s="1"/>
  <c r="DN66" i="1"/>
  <c r="ET66" i="1" s="1"/>
  <c r="DN62" i="1"/>
  <c r="ET62" i="1" s="1"/>
  <c r="DN58" i="1"/>
  <c r="ET58" i="1" s="1"/>
  <c r="DN54" i="1"/>
  <c r="ET54" i="1" s="1"/>
  <c r="DN50" i="1"/>
  <c r="ET50" i="1" s="1"/>
  <c r="DN46" i="1"/>
  <c r="ET46" i="1" s="1"/>
  <c r="DN42" i="1"/>
  <c r="ET42" i="1" s="1"/>
  <c r="DN38" i="1"/>
  <c r="ET38" i="1" s="1"/>
  <c r="DN34" i="1"/>
  <c r="ET34" i="1" s="1"/>
  <c r="DN30" i="1"/>
  <c r="ET30" i="1" s="1"/>
  <c r="DN26" i="1"/>
  <c r="ET26" i="1" s="1"/>
  <c r="DN22" i="1"/>
  <c r="ET22" i="1" s="1"/>
  <c r="DN18" i="1"/>
  <c r="ET18" i="1" s="1"/>
  <c r="DN14" i="1"/>
  <c r="ET14" i="1" s="1"/>
  <c r="DN10" i="1"/>
  <c r="ET10" i="1" s="1"/>
  <c r="DN6" i="1"/>
  <c r="ET6" i="1" s="1"/>
  <c r="DR110" i="1"/>
  <c r="EU110" i="1" s="1"/>
  <c r="DR106" i="1"/>
  <c r="EU106" i="1" s="1"/>
  <c r="DR102" i="1"/>
  <c r="EU102" i="1" s="1"/>
  <c r="DR98" i="1"/>
  <c r="EU98" i="1" s="1"/>
  <c r="DR94" i="1"/>
  <c r="EU94" i="1" s="1"/>
  <c r="DR89" i="1"/>
  <c r="EU89" i="1" s="1"/>
  <c r="DR85" i="1"/>
  <c r="EU85" i="1" s="1"/>
  <c r="DR81" i="1"/>
  <c r="EU81" i="1" s="1"/>
  <c r="DR77" i="1"/>
  <c r="EU77" i="1" s="1"/>
  <c r="DR73" i="1"/>
  <c r="EU73" i="1" s="1"/>
  <c r="DR69" i="1"/>
  <c r="EU69" i="1" s="1"/>
  <c r="DR65" i="1"/>
  <c r="EU65" i="1" s="1"/>
  <c r="DR61" i="1"/>
  <c r="EU61" i="1" s="1"/>
  <c r="DR57" i="1"/>
  <c r="EU57" i="1" s="1"/>
  <c r="DR53" i="1"/>
  <c r="EU53" i="1" s="1"/>
  <c r="DR49" i="1"/>
  <c r="EU49" i="1" s="1"/>
  <c r="DR45" i="1"/>
  <c r="EU45" i="1" s="1"/>
  <c r="DR41" i="1"/>
  <c r="EU41" i="1" s="1"/>
  <c r="DR37" i="1"/>
  <c r="EU37" i="1" s="1"/>
  <c r="DR33" i="1"/>
  <c r="EU33" i="1" s="1"/>
  <c r="DR29" i="1"/>
  <c r="EU29" i="1" s="1"/>
  <c r="DR25" i="1"/>
  <c r="EU25" i="1" s="1"/>
  <c r="DR21" i="1"/>
  <c r="EU21" i="1" s="1"/>
  <c r="DR17" i="1"/>
  <c r="EU17" i="1" s="1"/>
  <c r="DR13" i="1"/>
  <c r="EU13" i="1" s="1"/>
  <c r="DR9" i="1"/>
  <c r="EU9" i="1" s="1"/>
  <c r="DR5" i="1"/>
  <c r="EU5" i="1" s="1"/>
  <c r="DN5" i="1"/>
  <c r="ET5" i="1" s="1"/>
  <c r="DR108" i="1"/>
  <c r="EU108" i="1" s="1"/>
  <c r="DR104" i="1"/>
  <c r="EU104" i="1" s="1"/>
  <c r="DR100" i="1"/>
  <c r="EU100" i="1" s="1"/>
  <c r="DR96" i="1"/>
  <c r="EU96" i="1" s="1"/>
  <c r="DR92" i="1"/>
  <c r="EU92" i="1" s="1"/>
  <c r="CP82" i="1"/>
  <c r="EL82" i="1" s="1"/>
  <c r="CP78" i="1"/>
  <c r="EL78" i="1" s="1"/>
  <c r="CP74" i="1"/>
  <c r="EL74" i="1" s="1"/>
  <c r="CP70" i="1"/>
  <c r="EL70" i="1" s="1"/>
  <c r="CP66" i="1"/>
  <c r="EL66" i="1" s="1"/>
  <c r="CP62" i="1"/>
  <c r="EL62" i="1" s="1"/>
  <c r="CP83" i="1"/>
  <c r="EL83" i="1" s="1"/>
  <c r="CP79" i="1"/>
  <c r="EL79" i="1" s="1"/>
  <c r="CP75" i="1"/>
  <c r="EL75" i="1" s="1"/>
  <c r="CP71" i="1"/>
  <c r="EL71" i="1" s="1"/>
  <c r="CP67" i="1"/>
  <c r="EL67" i="1" s="1"/>
  <c r="CP63" i="1"/>
  <c r="EL63" i="1" s="1"/>
  <c r="CP6" i="1"/>
  <c r="EL6" i="1" s="1"/>
  <c r="CT108" i="1"/>
  <c r="EM108" i="1" s="1"/>
  <c r="CT104" i="1"/>
  <c r="EM104" i="1" s="1"/>
  <c r="CT100" i="1"/>
  <c r="EM100" i="1" s="1"/>
  <c r="CT96" i="1"/>
  <c r="EM96" i="1" s="1"/>
  <c r="CT92" i="1"/>
  <c r="EM92" i="1" s="1"/>
  <c r="CT88" i="1"/>
  <c r="EM88" i="1" s="1"/>
  <c r="CT84" i="1"/>
  <c r="EM84" i="1" s="1"/>
  <c r="CT80" i="1"/>
  <c r="EM80" i="1" s="1"/>
  <c r="CT76" i="1"/>
  <c r="EM76" i="1" s="1"/>
  <c r="CT72" i="1"/>
  <c r="EM72" i="1" s="1"/>
  <c r="CT68" i="1"/>
  <c r="EM68" i="1" s="1"/>
  <c r="CT64" i="1"/>
  <c r="EM64" i="1" s="1"/>
  <c r="CT60" i="1"/>
  <c r="EM60" i="1" s="1"/>
  <c r="CT56" i="1"/>
  <c r="EM56" i="1" s="1"/>
  <c r="CT52" i="1"/>
  <c r="EM52" i="1" s="1"/>
  <c r="CT48" i="1"/>
  <c r="EM48" i="1" s="1"/>
  <c r="CT44" i="1"/>
  <c r="EM44" i="1" s="1"/>
  <c r="CT40" i="1"/>
  <c r="EM40" i="1" s="1"/>
  <c r="CT36" i="1"/>
  <c r="EM36" i="1" s="1"/>
  <c r="CT32" i="1"/>
  <c r="EM32" i="1" s="1"/>
  <c r="CT28" i="1"/>
  <c r="EM28" i="1" s="1"/>
  <c r="CT24" i="1"/>
  <c r="EM24" i="1" s="1"/>
  <c r="CT20" i="1"/>
  <c r="EM20" i="1" s="1"/>
  <c r="CT16" i="1"/>
  <c r="EM16" i="1" s="1"/>
  <c r="CT12" i="1"/>
  <c r="EM12" i="1" s="1"/>
  <c r="CT8" i="1"/>
  <c r="EM8" i="1" s="1"/>
  <c r="CT105" i="1"/>
  <c r="EM105" i="1" s="1"/>
  <c r="CT101" i="1"/>
  <c r="EM101" i="1" s="1"/>
  <c r="CT89" i="1"/>
  <c r="EM89" i="1" s="1"/>
  <c r="CT81" i="1"/>
  <c r="EM81" i="1" s="1"/>
  <c r="CT73" i="1"/>
  <c r="EM73" i="1" s="1"/>
  <c r="CT69" i="1"/>
  <c r="EM69" i="1" s="1"/>
  <c r="CT65" i="1"/>
  <c r="EM65" i="1" s="1"/>
  <c r="CT61" i="1"/>
  <c r="EM61" i="1" s="1"/>
  <c r="CT57" i="1"/>
  <c r="EM57" i="1" s="1"/>
  <c r="CT53" i="1"/>
  <c r="EM53" i="1" s="1"/>
  <c r="CT49" i="1"/>
  <c r="EM49" i="1" s="1"/>
  <c r="CT45" i="1"/>
  <c r="EM45" i="1" s="1"/>
  <c r="CT41" i="1"/>
  <c r="EM41" i="1" s="1"/>
  <c r="CT37" i="1"/>
  <c r="EM37" i="1" s="1"/>
  <c r="CT33" i="1"/>
  <c r="EM33" i="1" s="1"/>
  <c r="CT29" i="1"/>
  <c r="EM29" i="1" s="1"/>
  <c r="CT25" i="1"/>
  <c r="EM25" i="1" s="1"/>
  <c r="CT21" i="1"/>
  <c r="EM21" i="1" s="1"/>
  <c r="CT17" i="1"/>
  <c r="EM17" i="1" s="1"/>
  <c r="CT13" i="1"/>
  <c r="EM13" i="1" s="1"/>
  <c r="CT9" i="1"/>
  <c r="EM9" i="1" s="1"/>
  <c r="CX108" i="1"/>
  <c r="EN108" i="1" s="1"/>
  <c r="CX104" i="1"/>
  <c r="EN104" i="1" s="1"/>
  <c r="CX100" i="1"/>
  <c r="EN100" i="1" s="1"/>
  <c r="CX96" i="1"/>
  <c r="EN96" i="1" s="1"/>
  <c r="CX92" i="1"/>
  <c r="EN92" i="1" s="1"/>
  <c r="CX88" i="1"/>
  <c r="EN88" i="1" s="1"/>
  <c r="CX84" i="1"/>
  <c r="EN84" i="1" s="1"/>
  <c r="CX80" i="1"/>
  <c r="EN80" i="1" s="1"/>
  <c r="CX76" i="1"/>
  <c r="EN76" i="1" s="1"/>
  <c r="CX72" i="1"/>
  <c r="EN72" i="1" s="1"/>
  <c r="CX68" i="1"/>
  <c r="EN68" i="1" s="1"/>
  <c r="CX64" i="1"/>
  <c r="EN64" i="1" s="1"/>
  <c r="CX60" i="1"/>
  <c r="EN60" i="1" s="1"/>
  <c r="CX56" i="1"/>
  <c r="EN56" i="1" s="1"/>
  <c r="CX52" i="1"/>
  <c r="EN52" i="1" s="1"/>
  <c r="CX48" i="1"/>
  <c r="EN48" i="1" s="1"/>
  <c r="CX44" i="1"/>
  <c r="EN44" i="1" s="1"/>
  <c r="CX40" i="1"/>
  <c r="EN40" i="1" s="1"/>
  <c r="CX36" i="1"/>
  <c r="EN36" i="1" s="1"/>
  <c r="CX32" i="1"/>
  <c r="EN32" i="1" s="1"/>
  <c r="CX28" i="1"/>
  <c r="EN28" i="1" s="1"/>
  <c r="CX24" i="1"/>
  <c r="EN24" i="1" s="1"/>
  <c r="CX20" i="1"/>
  <c r="EN20" i="1" s="1"/>
  <c r="CX16" i="1"/>
  <c r="EN16" i="1" s="1"/>
  <c r="CX12" i="1"/>
  <c r="EN12" i="1" s="1"/>
  <c r="CX8" i="1"/>
  <c r="EN8" i="1" s="1"/>
  <c r="CP7" i="1"/>
  <c r="EL7" i="1" s="1"/>
  <c r="CT109" i="1"/>
  <c r="EM109" i="1" s="1"/>
  <c r="CT97" i="1"/>
  <c r="EM97" i="1" s="1"/>
  <c r="CT93" i="1"/>
  <c r="EM93" i="1" s="1"/>
  <c r="CT85" i="1"/>
  <c r="EM85" i="1" s="1"/>
  <c r="CT77" i="1"/>
  <c r="EM77" i="1" s="1"/>
  <c r="CP8" i="1"/>
  <c r="EL8" i="1" s="1"/>
  <c r="CT110" i="1"/>
  <c r="EM110" i="1" s="1"/>
  <c r="CT106" i="1"/>
  <c r="EM106" i="1" s="1"/>
  <c r="CT102" i="1"/>
  <c r="EM102" i="1" s="1"/>
  <c r="CT98" i="1"/>
  <c r="EM98" i="1" s="1"/>
  <c r="CT94" i="1"/>
  <c r="EM94" i="1" s="1"/>
  <c r="CT90" i="1"/>
  <c r="EM90" i="1" s="1"/>
  <c r="CT86" i="1"/>
  <c r="EM86" i="1" s="1"/>
  <c r="CT82" i="1"/>
  <c r="EM82" i="1" s="1"/>
  <c r="CT78" i="1"/>
  <c r="EM78" i="1" s="1"/>
  <c r="CT74" i="1"/>
  <c r="EM74" i="1" s="1"/>
  <c r="CT70" i="1"/>
  <c r="EM70" i="1" s="1"/>
  <c r="CT66" i="1"/>
  <c r="EM66" i="1" s="1"/>
  <c r="CT62" i="1"/>
  <c r="EM62" i="1" s="1"/>
  <c r="CT58" i="1"/>
  <c r="EM58" i="1" s="1"/>
  <c r="CT54" i="1"/>
  <c r="EM54" i="1" s="1"/>
  <c r="CT50" i="1"/>
  <c r="EM50" i="1" s="1"/>
  <c r="CT46" i="1"/>
  <c r="EM46" i="1" s="1"/>
  <c r="CT42" i="1"/>
  <c r="EM42" i="1" s="1"/>
  <c r="CT38" i="1"/>
  <c r="EM38" i="1" s="1"/>
  <c r="CT34" i="1"/>
  <c r="EM34" i="1" s="1"/>
  <c r="CT30" i="1"/>
  <c r="EM30" i="1" s="1"/>
  <c r="CT26" i="1"/>
  <c r="EM26" i="1" s="1"/>
  <c r="CT22" i="1"/>
  <c r="EM22" i="1" s="1"/>
  <c r="CT18" i="1"/>
  <c r="EM18" i="1" s="1"/>
  <c r="CT14" i="1"/>
  <c r="EM14" i="1" s="1"/>
  <c r="CT10" i="1"/>
  <c r="EM10" i="1" s="1"/>
  <c r="CT6" i="1"/>
  <c r="EM6" i="1" s="1"/>
  <c r="CX109" i="1"/>
  <c r="EN109" i="1" s="1"/>
  <c r="CX105" i="1"/>
  <c r="EN105" i="1" s="1"/>
  <c r="CX101" i="1"/>
  <c r="EN101" i="1" s="1"/>
  <c r="CX97" i="1"/>
  <c r="EN97" i="1" s="1"/>
  <c r="CX93" i="1"/>
  <c r="EN93" i="1" s="1"/>
  <c r="CX89" i="1"/>
  <c r="EN89" i="1" s="1"/>
  <c r="CX85" i="1"/>
  <c r="EN85" i="1" s="1"/>
  <c r="CX81" i="1"/>
  <c r="EN81" i="1" s="1"/>
  <c r="CX77" i="1"/>
  <c r="EN77" i="1" s="1"/>
  <c r="CX73" i="1"/>
  <c r="EN73" i="1" s="1"/>
  <c r="CX69" i="1"/>
  <c r="EN69" i="1" s="1"/>
  <c r="CX65" i="1"/>
  <c r="EN65" i="1" s="1"/>
  <c r="CX61" i="1"/>
  <c r="EN61" i="1" s="1"/>
  <c r="CX57" i="1"/>
  <c r="EN57" i="1" s="1"/>
  <c r="CX53" i="1"/>
  <c r="EN53" i="1" s="1"/>
  <c r="CX49" i="1"/>
  <c r="EN49" i="1" s="1"/>
  <c r="CX45" i="1"/>
  <c r="EN45" i="1" s="1"/>
  <c r="CX41" i="1"/>
  <c r="EN41" i="1" s="1"/>
  <c r="CX37" i="1"/>
  <c r="EN37" i="1" s="1"/>
  <c r="CX33" i="1"/>
  <c r="EN33" i="1" s="1"/>
  <c r="CX29" i="1"/>
  <c r="EN29" i="1" s="1"/>
  <c r="CX25" i="1"/>
  <c r="EN25" i="1" s="1"/>
  <c r="CX21" i="1"/>
  <c r="EN21" i="1" s="1"/>
  <c r="CX17" i="1"/>
  <c r="EN17" i="1" s="1"/>
  <c r="CX13" i="1"/>
  <c r="EN13" i="1" s="1"/>
  <c r="CX9" i="1"/>
  <c r="EN9" i="1" s="1"/>
  <c r="DR111" i="1"/>
  <c r="EU111" i="1" s="1"/>
  <c r="DR107" i="1"/>
  <c r="EU107" i="1" s="1"/>
  <c r="DR103" i="1"/>
  <c r="EU103" i="1" s="1"/>
  <c r="DR99" i="1"/>
  <c r="EU99" i="1" s="1"/>
  <c r="DR95" i="1"/>
  <c r="EU95" i="1" s="1"/>
  <c r="DR91" i="1"/>
  <c r="EU91" i="1" s="1"/>
  <c r="DR38" i="1"/>
  <c r="EU38" i="1" s="1"/>
  <c r="DR34" i="1"/>
  <c r="EU34" i="1" s="1"/>
  <c r="DR30" i="1"/>
  <c r="EU30" i="1" s="1"/>
  <c r="DR26" i="1"/>
  <c r="EU26" i="1" s="1"/>
  <c r="DR22" i="1"/>
  <c r="EU22" i="1" s="1"/>
  <c r="DR18" i="1"/>
  <c r="EU18" i="1" s="1"/>
  <c r="DR14" i="1"/>
  <c r="EU14" i="1" s="1"/>
  <c r="DR109" i="1"/>
  <c r="EU109" i="1" s="1"/>
  <c r="DR105" i="1"/>
  <c r="EU105" i="1" s="1"/>
  <c r="DR101" i="1"/>
  <c r="EU101" i="1" s="1"/>
  <c r="DR97" i="1"/>
  <c r="EU97" i="1" s="1"/>
  <c r="DR93" i="1"/>
  <c r="EU93" i="1" s="1"/>
  <c r="DR84" i="1"/>
  <c r="EU84" i="1" s="1"/>
  <c r="DR80" i="1"/>
  <c r="EU80" i="1" s="1"/>
  <c r="DR76" i="1"/>
  <c r="EU76" i="1" s="1"/>
  <c r="DR72" i="1"/>
  <c r="EU72" i="1" s="1"/>
  <c r="DR68" i="1"/>
  <c r="EU68" i="1" s="1"/>
  <c r="DR64" i="1"/>
  <c r="EU64" i="1" s="1"/>
  <c r="DR60" i="1"/>
  <c r="EU60" i="1" s="1"/>
  <c r="DR56" i="1"/>
  <c r="EU56" i="1" s="1"/>
  <c r="DR52" i="1"/>
  <c r="EU52" i="1" s="1"/>
  <c r="DR48" i="1"/>
  <c r="EU48" i="1" s="1"/>
  <c r="DR44" i="1"/>
  <c r="EU44" i="1" s="1"/>
  <c r="DR40" i="1"/>
  <c r="EU40" i="1" s="1"/>
  <c r="DR10" i="1"/>
  <c r="EU10" i="1" s="1"/>
  <c r="DR6" i="1"/>
  <c r="EU6" i="1" s="1"/>
  <c r="DR36" i="1"/>
  <c r="EU36" i="1" s="1"/>
  <c r="DR32" i="1"/>
  <c r="EU32" i="1" s="1"/>
  <c r="DR28" i="1"/>
  <c r="EU28" i="1" s="1"/>
  <c r="DR24" i="1"/>
  <c r="EU24" i="1" s="1"/>
  <c r="DR87" i="1"/>
  <c r="EU87" i="1" s="1"/>
  <c r="DR83" i="1"/>
  <c r="EU83" i="1" s="1"/>
  <c r="DR79" i="1"/>
  <c r="EU79" i="1" s="1"/>
  <c r="DR75" i="1"/>
  <c r="EU75" i="1" s="1"/>
  <c r="DR71" i="1"/>
  <c r="EU71" i="1" s="1"/>
  <c r="DR67" i="1"/>
  <c r="EU67" i="1" s="1"/>
  <c r="DR63" i="1"/>
  <c r="EU63" i="1" s="1"/>
  <c r="DR59" i="1"/>
  <c r="EU59" i="1" s="1"/>
  <c r="DR55" i="1"/>
  <c r="EU55" i="1" s="1"/>
  <c r="DR51" i="1"/>
  <c r="EU51" i="1" s="1"/>
  <c r="DR47" i="1"/>
  <c r="EU47" i="1" s="1"/>
  <c r="DR43" i="1"/>
  <c r="EU43" i="1" s="1"/>
  <c r="DR39" i="1"/>
  <c r="EU39" i="1" s="1"/>
  <c r="DR35" i="1"/>
  <c r="EU35" i="1" s="1"/>
  <c r="DR31" i="1"/>
  <c r="EU31" i="1" s="1"/>
  <c r="DR27" i="1"/>
  <c r="EU27" i="1" s="1"/>
  <c r="DR23" i="1"/>
  <c r="EU23" i="1" s="1"/>
  <c r="DR19" i="1"/>
  <c r="EU19" i="1" s="1"/>
  <c r="DR15" i="1"/>
  <c r="EU15" i="1" s="1"/>
  <c r="DR11" i="1"/>
  <c r="EU11" i="1" s="1"/>
  <c r="DR7" i="1"/>
  <c r="EU7" i="1" s="1"/>
  <c r="DR88" i="1"/>
  <c r="EU88" i="1" s="1"/>
  <c r="DR20" i="1"/>
  <c r="EU20" i="1" s="1"/>
  <c r="DR16" i="1"/>
  <c r="EU16" i="1" s="1"/>
  <c r="DR12" i="1"/>
  <c r="EU12" i="1" s="1"/>
  <c r="DR8" i="1"/>
  <c r="EU8" i="1" s="1"/>
  <c r="DR90" i="1"/>
  <c r="EU90" i="1" s="1"/>
  <c r="DR86" i="1"/>
  <c r="EU86" i="1" s="1"/>
  <c r="DR82" i="1"/>
  <c r="EU82" i="1" s="1"/>
  <c r="DR78" i="1"/>
  <c r="EU78" i="1" s="1"/>
  <c r="DR74" i="1"/>
  <c r="EU74" i="1" s="1"/>
  <c r="DR70" i="1"/>
  <c r="EU70" i="1" s="1"/>
  <c r="DR66" i="1"/>
  <c r="EU66" i="1" s="1"/>
  <c r="DR62" i="1"/>
  <c r="EU62" i="1" s="1"/>
  <c r="DR58" i="1"/>
  <c r="EU58" i="1" s="1"/>
  <c r="DR54" i="1"/>
  <c r="EU54" i="1" s="1"/>
  <c r="DR50" i="1"/>
  <c r="EU50" i="1" s="1"/>
  <c r="DR46" i="1"/>
  <c r="EU46" i="1" s="1"/>
  <c r="DR42" i="1"/>
  <c r="EU42" i="1" s="1"/>
  <c r="CN5" i="1" l="1"/>
  <c r="CM5" i="1"/>
  <c r="CO5" i="1"/>
  <c r="CP5" i="1" l="1"/>
  <c r="EL5" i="1" s="1"/>
  <c r="BQ6" i="1"/>
  <c r="BR6" i="1"/>
  <c r="R24" i="3" s="1"/>
  <c r="BS6" i="1"/>
  <c r="R25" i="3" s="1"/>
  <c r="BT6" i="1"/>
  <c r="BQ7" i="1"/>
  <c r="BR7" i="1"/>
  <c r="R33" i="3" s="1"/>
  <c r="BS7" i="1"/>
  <c r="R34" i="3" s="1"/>
  <c r="BT7" i="1"/>
  <c r="BQ8" i="1"/>
  <c r="BR8" i="1"/>
  <c r="R42" i="3" s="1"/>
  <c r="BS8" i="1"/>
  <c r="R43" i="3" s="1"/>
  <c r="BT8" i="1"/>
  <c r="BQ9" i="1"/>
  <c r="BR9" i="1"/>
  <c r="R51" i="3" s="1"/>
  <c r="BS9" i="1"/>
  <c r="R52" i="3" s="1"/>
  <c r="BT9" i="1"/>
  <c r="BQ10" i="1"/>
  <c r="BR10" i="1"/>
  <c r="R60" i="3" s="1"/>
  <c r="BS10" i="1"/>
  <c r="R61" i="3" s="1"/>
  <c r="BT10" i="1"/>
  <c r="BQ11" i="1"/>
  <c r="BR11" i="1"/>
  <c r="R69" i="3" s="1"/>
  <c r="BS11" i="1"/>
  <c r="R70" i="3" s="1"/>
  <c r="BT11" i="1"/>
  <c r="BQ12" i="1"/>
  <c r="BR12" i="1"/>
  <c r="R78" i="3" s="1"/>
  <c r="BS12" i="1"/>
  <c r="R79" i="3" s="1"/>
  <c r="BT12" i="1"/>
  <c r="BQ13" i="1"/>
  <c r="BR13" i="1"/>
  <c r="R87" i="3" s="1"/>
  <c r="BS13" i="1"/>
  <c r="R88" i="3" s="1"/>
  <c r="BT13" i="1"/>
  <c r="BQ14" i="1"/>
  <c r="BR14" i="1"/>
  <c r="R96" i="3" s="1"/>
  <c r="BS14" i="1"/>
  <c r="R97" i="3" s="1"/>
  <c r="BT14" i="1"/>
  <c r="BQ15" i="1"/>
  <c r="BR15" i="1"/>
  <c r="R105" i="3" s="1"/>
  <c r="BS15" i="1"/>
  <c r="R106" i="3" s="1"/>
  <c r="BT15" i="1"/>
  <c r="BQ16" i="1"/>
  <c r="BR16" i="1"/>
  <c r="R114" i="3" s="1"/>
  <c r="BS16" i="1"/>
  <c r="R115" i="3" s="1"/>
  <c r="BT16" i="1"/>
  <c r="BQ17" i="1"/>
  <c r="BR17" i="1"/>
  <c r="R123" i="3" s="1"/>
  <c r="BS17" i="1"/>
  <c r="R124" i="3" s="1"/>
  <c r="BT17" i="1"/>
  <c r="BQ18" i="1"/>
  <c r="BR18" i="1"/>
  <c r="R132" i="3" s="1"/>
  <c r="BS18" i="1"/>
  <c r="R133" i="3" s="1"/>
  <c r="BT18" i="1"/>
  <c r="BQ19" i="1"/>
  <c r="BR19" i="1"/>
  <c r="R141" i="3" s="1"/>
  <c r="BS19" i="1"/>
  <c r="R142" i="3" s="1"/>
  <c r="BT19" i="1"/>
  <c r="BQ20" i="1"/>
  <c r="BR20" i="1"/>
  <c r="R150" i="3" s="1"/>
  <c r="BS20" i="1"/>
  <c r="R151" i="3" s="1"/>
  <c r="BT20" i="1"/>
  <c r="BQ21" i="1"/>
  <c r="BR21" i="1"/>
  <c r="R159" i="3" s="1"/>
  <c r="BS21" i="1"/>
  <c r="R160" i="3" s="1"/>
  <c r="BT21" i="1"/>
  <c r="BQ22" i="1"/>
  <c r="BR22" i="1"/>
  <c r="R168" i="3" s="1"/>
  <c r="BS22" i="1"/>
  <c r="R169" i="3" s="1"/>
  <c r="BT22" i="1"/>
  <c r="BQ23" i="1"/>
  <c r="BR23" i="1"/>
  <c r="R177" i="3" s="1"/>
  <c r="BS23" i="1"/>
  <c r="R178" i="3" s="1"/>
  <c r="BT23" i="1"/>
  <c r="BQ24" i="1"/>
  <c r="BR24" i="1"/>
  <c r="R186" i="3" s="1"/>
  <c r="BS24" i="1"/>
  <c r="R187" i="3" s="1"/>
  <c r="BT24" i="1"/>
  <c r="BQ25" i="1"/>
  <c r="BR25" i="1"/>
  <c r="R195" i="3" s="1"/>
  <c r="BS25" i="1"/>
  <c r="R196" i="3" s="1"/>
  <c r="BT25" i="1"/>
  <c r="BQ26" i="1"/>
  <c r="BR26" i="1"/>
  <c r="R204" i="3" s="1"/>
  <c r="BS26" i="1"/>
  <c r="R205" i="3" s="1"/>
  <c r="BT26" i="1"/>
  <c r="BQ27" i="1"/>
  <c r="BR27" i="1"/>
  <c r="R213" i="3" s="1"/>
  <c r="BS27" i="1"/>
  <c r="R214" i="3" s="1"/>
  <c r="BT27" i="1"/>
  <c r="BQ28" i="1"/>
  <c r="BR28" i="1"/>
  <c r="R222" i="3" s="1"/>
  <c r="BS28" i="1"/>
  <c r="R223" i="3" s="1"/>
  <c r="BT28" i="1"/>
  <c r="BQ29" i="1"/>
  <c r="BR29" i="1"/>
  <c r="R231" i="3" s="1"/>
  <c r="BS29" i="1"/>
  <c r="R232" i="3" s="1"/>
  <c r="BT29" i="1"/>
  <c r="BQ30" i="1"/>
  <c r="BR30" i="1"/>
  <c r="R240" i="3" s="1"/>
  <c r="BS30" i="1"/>
  <c r="R241" i="3" s="1"/>
  <c r="BT30" i="1"/>
  <c r="BQ31" i="1"/>
  <c r="BR31" i="1"/>
  <c r="R249" i="3" s="1"/>
  <c r="BS31" i="1"/>
  <c r="R250" i="3" s="1"/>
  <c r="BT31" i="1"/>
  <c r="BQ32" i="1"/>
  <c r="BR32" i="1"/>
  <c r="R258" i="3" s="1"/>
  <c r="BS32" i="1"/>
  <c r="R259" i="3" s="1"/>
  <c r="BT32" i="1"/>
  <c r="BQ33" i="1"/>
  <c r="BR33" i="1"/>
  <c r="R267" i="3" s="1"/>
  <c r="BS33" i="1"/>
  <c r="R268" i="3" s="1"/>
  <c r="BT33" i="1"/>
  <c r="BQ34" i="1"/>
  <c r="BR34" i="1"/>
  <c r="R276" i="3" s="1"/>
  <c r="BS34" i="1"/>
  <c r="R277" i="3" s="1"/>
  <c r="BT34" i="1"/>
  <c r="BQ35" i="1"/>
  <c r="BR35" i="1"/>
  <c r="R285" i="3" s="1"/>
  <c r="BS35" i="1"/>
  <c r="R286" i="3" s="1"/>
  <c r="BT35" i="1"/>
  <c r="BQ36" i="1"/>
  <c r="BR36" i="1"/>
  <c r="R294" i="3" s="1"/>
  <c r="BS36" i="1"/>
  <c r="R295" i="3" s="1"/>
  <c r="BT36" i="1"/>
  <c r="BQ37" i="1"/>
  <c r="BR37" i="1"/>
  <c r="R303" i="3" s="1"/>
  <c r="BS37" i="1"/>
  <c r="R304" i="3" s="1"/>
  <c r="BT37" i="1"/>
  <c r="BQ38" i="1"/>
  <c r="BR38" i="1"/>
  <c r="R312" i="3" s="1"/>
  <c r="BS38" i="1"/>
  <c r="R313" i="3" s="1"/>
  <c r="BT38" i="1"/>
  <c r="BQ39" i="1"/>
  <c r="BR39" i="1"/>
  <c r="R321" i="3" s="1"/>
  <c r="BS39" i="1"/>
  <c r="R322" i="3" s="1"/>
  <c r="BT39" i="1"/>
  <c r="BQ40" i="1"/>
  <c r="BR40" i="1"/>
  <c r="R330" i="3" s="1"/>
  <c r="BS40" i="1"/>
  <c r="R331" i="3" s="1"/>
  <c r="BT40" i="1"/>
  <c r="BQ41" i="1"/>
  <c r="BR41" i="1"/>
  <c r="R339" i="3" s="1"/>
  <c r="BS41" i="1"/>
  <c r="R340" i="3" s="1"/>
  <c r="BT41" i="1"/>
  <c r="BQ42" i="1"/>
  <c r="BR42" i="1"/>
  <c r="R348" i="3" s="1"/>
  <c r="BS42" i="1"/>
  <c r="R349" i="3" s="1"/>
  <c r="BT42" i="1"/>
  <c r="BQ43" i="1"/>
  <c r="BR43" i="1"/>
  <c r="R357" i="3" s="1"/>
  <c r="BS43" i="1"/>
  <c r="R358" i="3" s="1"/>
  <c r="BT43" i="1"/>
  <c r="BQ44" i="1"/>
  <c r="BR44" i="1"/>
  <c r="R366" i="3" s="1"/>
  <c r="BS44" i="1"/>
  <c r="R367" i="3" s="1"/>
  <c r="BT44" i="1"/>
  <c r="BQ45" i="1"/>
  <c r="BR45" i="1"/>
  <c r="R375" i="3" s="1"/>
  <c r="BS45" i="1"/>
  <c r="R376" i="3" s="1"/>
  <c r="BT45" i="1"/>
  <c r="BQ46" i="1"/>
  <c r="BR46" i="1"/>
  <c r="R384" i="3" s="1"/>
  <c r="BS46" i="1"/>
  <c r="R385" i="3" s="1"/>
  <c r="BT46" i="1"/>
  <c r="BQ47" i="1"/>
  <c r="BR47" i="1"/>
  <c r="R393" i="3" s="1"/>
  <c r="BS47" i="1"/>
  <c r="R394" i="3" s="1"/>
  <c r="BT47" i="1"/>
  <c r="BQ48" i="1"/>
  <c r="BR48" i="1"/>
  <c r="R402" i="3" s="1"/>
  <c r="BS48" i="1"/>
  <c r="R403" i="3" s="1"/>
  <c r="BT48" i="1"/>
  <c r="BQ49" i="1"/>
  <c r="BR49" i="1"/>
  <c r="R411" i="3" s="1"/>
  <c r="BS49" i="1"/>
  <c r="R412" i="3" s="1"/>
  <c r="BT49" i="1"/>
  <c r="BQ50" i="1"/>
  <c r="BR50" i="1"/>
  <c r="R420" i="3" s="1"/>
  <c r="BS50" i="1"/>
  <c r="R421" i="3" s="1"/>
  <c r="BT50" i="1"/>
  <c r="BQ51" i="1"/>
  <c r="BR51" i="1"/>
  <c r="R429" i="3" s="1"/>
  <c r="BS51" i="1"/>
  <c r="R430" i="3" s="1"/>
  <c r="BT51" i="1"/>
  <c r="DZ51" i="1" s="1"/>
  <c r="BQ52" i="1"/>
  <c r="BR52" i="1"/>
  <c r="R438" i="3" s="1"/>
  <c r="BS52" i="1"/>
  <c r="R439" i="3" s="1"/>
  <c r="BT52" i="1"/>
  <c r="BQ53" i="1"/>
  <c r="BR53" i="1"/>
  <c r="R447" i="3" s="1"/>
  <c r="BS53" i="1"/>
  <c r="R448" i="3" s="1"/>
  <c r="BT53" i="1"/>
  <c r="BQ54" i="1"/>
  <c r="BR54" i="1"/>
  <c r="R456" i="3" s="1"/>
  <c r="BS54" i="1"/>
  <c r="R457" i="3" s="1"/>
  <c r="BT54" i="1"/>
  <c r="BQ55" i="1"/>
  <c r="BR55" i="1"/>
  <c r="R465" i="3" s="1"/>
  <c r="BS55" i="1"/>
  <c r="R466" i="3" s="1"/>
  <c r="BT55" i="1"/>
  <c r="BQ56" i="1"/>
  <c r="BR56" i="1"/>
  <c r="R474" i="3" s="1"/>
  <c r="BS56" i="1"/>
  <c r="R475" i="3" s="1"/>
  <c r="BT56" i="1"/>
  <c r="BQ57" i="1"/>
  <c r="BR57" i="1"/>
  <c r="R483" i="3" s="1"/>
  <c r="BS57" i="1"/>
  <c r="R484" i="3" s="1"/>
  <c r="BT57" i="1"/>
  <c r="BQ58" i="1"/>
  <c r="BR58" i="1"/>
  <c r="R492" i="3" s="1"/>
  <c r="BS58" i="1"/>
  <c r="R493" i="3" s="1"/>
  <c r="BT58" i="1"/>
  <c r="BQ59" i="1"/>
  <c r="BR59" i="1"/>
  <c r="R501" i="3" s="1"/>
  <c r="BS59" i="1"/>
  <c r="R502" i="3" s="1"/>
  <c r="BT59" i="1"/>
  <c r="BQ60" i="1"/>
  <c r="BR60" i="1"/>
  <c r="R510" i="3" s="1"/>
  <c r="BS60" i="1"/>
  <c r="R511" i="3" s="1"/>
  <c r="BT60" i="1"/>
  <c r="BQ61" i="1"/>
  <c r="BR61" i="1"/>
  <c r="R519" i="3" s="1"/>
  <c r="BS61" i="1"/>
  <c r="R520" i="3" s="1"/>
  <c r="BT61" i="1"/>
  <c r="BQ62" i="1"/>
  <c r="BR62" i="1"/>
  <c r="R528" i="3" s="1"/>
  <c r="BS62" i="1"/>
  <c r="R529" i="3" s="1"/>
  <c r="BT62" i="1"/>
  <c r="BQ63" i="1"/>
  <c r="BR63" i="1"/>
  <c r="R537" i="3" s="1"/>
  <c r="BS63" i="1"/>
  <c r="R538" i="3" s="1"/>
  <c r="BT63" i="1"/>
  <c r="BQ64" i="1"/>
  <c r="BR64" i="1"/>
  <c r="R546" i="3" s="1"/>
  <c r="BS64" i="1"/>
  <c r="R547" i="3" s="1"/>
  <c r="BT64" i="1"/>
  <c r="BQ65" i="1"/>
  <c r="BR65" i="1"/>
  <c r="R555" i="3" s="1"/>
  <c r="BS65" i="1"/>
  <c r="R556" i="3" s="1"/>
  <c r="BT65" i="1"/>
  <c r="BQ66" i="1"/>
  <c r="BR66" i="1"/>
  <c r="R564" i="3" s="1"/>
  <c r="BS66" i="1"/>
  <c r="R565" i="3" s="1"/>
  <c r="BT66" i="1"/>
  <c r="BQ67" i="1"/>
  <c r="BR67" i="1"/>
  <c r="R573" i="3" s="1"/>
  <c r="BS67" i="1"/>
  <c r="R574" i="3" s="1"/>
  <c r="BT67" i="1"/>
  <c r="BQ68" i="1"/>
  <c r="BR68" i="1"/>
  <c r="R582" i="3" s="1"/>
  <c r="BS68" i="1"/>
  <c r="R583" i="3" s="1"/>
  <c r="BT68" i="1"/>
  <c r="BQ69" i="1"/>
  <c r="BR69" i="1"/>
  <c r="R591" i="3" s="1"/>
  <c r="BS69" i="1"/>
  <c r="R592" i="3" s="1"/>
  <c r="BT69" i="1"/>
  <c r="BQ70" i="1"/>
  <c r="BR70" i="1"/>
  <c r="R600" i="3" s="1"/>
  <c r="BS70" i="1"/>
  <c r="R601" i="3" s="1"/>
  <c r="BT70" i="1"/>
  <c r="BQ71" i="1"/>
  <c r="BR71" i="1"/>
  <c r="R609" i="3" s="1"/>
  <c r="BS71" i="1"/>
  <c r="R610" i="3" s="1"/>
  <c r="BT71" i="1"/>
  <c r="BQ72" i="1"/>
  <c r="BR72" i="1"/>
  <c r="R618" i="3" s="1"/>
  <c r="BS72" i="1"/>
  <c r="R619" i="3" s="1"/>
  <c r="BT72" i="1"/>
  <c r="BQ73" i="1"/>
  <c r="BR73" i="1"/>
  <c r="R627" i="3" s="1"/>
  <c r="BS73" i="1"/>
  <c r="R628" i="3" s="1"/>
  <c r="BT73" i="1"/>
  <c r="BQ74" i="1"/>
  <c r="BR74" i="1"/>
  <c r="R636" i="3" s="1"/>
  <c r="BS74" i="1"/>
  <c r="R637" i="3" s="1"/>
  <c r="BT74" i="1"/>
  <c r="BQ75" i="1"/>
  <c r="BR75" i="1"/>
  <c r="R645" i="3" s="1"/>
  <c r="BS75" i="1"/>
  <c r="R646" i="3" s="1"/>
  <c r="BT75" i="1"/>
  <c r="BQ76" i="1"/>
  <c r="BR76" i="1"/>
  <c r="R654" i="3" s="1"/>
  <c r="BS76" i="1"/>
  <c r="R655" i="3" s="1"/>
  <c r="BT76" i="1"/>
  <c r="BQ77" i="1"/>
  <c r="BR77" i="1"/>
  <c r="R663" i="3" s="1"/>
  <c r="BS77" i="1"/>
  <c r="R664" i="3" s="1"/>
  <c r="BT77" i="1"/>
  <c r="BQ78" i="1"/>
  <c r="BR78" i="1"/>
  <c r="R672" i="3" s="1"/>
  <c r="BS78" i="1"/>
  <c r="R673" i="3" s="1"/>
  <c r="BT78" i="1"/>
  <c r="BQ79" i="1"/>
  <c r="BR79" i="1"/>
  <c r="R681" i="3" s="1"/>
  <c r="BS79" i="1"/>
  <c r="R682" i="3" s="1"/>
  <c r="BT79" i="1"/>
  <c r="BQ80" i="1"/>
  <c r="BR80" i="1"/>
  <c r="R690" i="3" s="1"/>
  <c r="BS80" i="1"/>
  <c r="R691" i="3" s="1"/>
  <c r="BT80" i="1"/>
  <c r="BQ81" i="1"/>
  <c r="BR81" i="1"/>
  <c r="R699" i="3" s="1"/>
  <c r="BS81" i="1"/>
  <c r="R700" i="3" s="1"/>
  <c r="BT81" i="1"/>
  <c r="BQ82" i="1"/>
  <c r="BR82" i="1"/>
  <c r="R708" i="3" s="1"/>
  <c r="BS82" i="1"/>
  <c r="R709" i="3" s="1"/>
  <c r="BT82" i="1"/>
  <c r="BQ83" i="1"/>
  <c r="BR83" i="1"/>
  <c r="R717" i="3" s="1"/>
  <c r="BS83" i="1"/>
  <c r="R718" i="3" s="1"/>
  <c r="BT83" i="1"/>
  <c r="BQ84" i="1"/>
  <c r="BR84" i="1"/>
  <c r="R726" i="3" s="1"/>
  <c r="BS84" i="1"/>
  <c r="R727" i="3" s="1"/>
  <c r="BT84" i="1"/>
  <c r="BQ85" i="1"/>
  <c r="BR85" i="1"/>
  <c r="R735" i="3" s="1"/>
  <c r="BS85" i="1"/>
  <c r="R736" i="3" s="1"/>
  <c r="BT85" i="1"/>
  <c r="BQ86" i="1"/>
  <c r="BR86" i="1"/>
  <c r="R744" i="3" s="1"/>
  <c r="BS86" i="1"/>
  <c r="R745" i="3" s="1"/>
  <c r="BT86" i="1"/>
  <c r="BQ87" i="1"/>
  <c r="BR87" i="1"/>
  <c r="R753" i="3" s="1"/>
  <c r="BS87" i="1"/>
  <c r="R754" i="3" s="1"/>
  <c r="BT87" i="1"/>
  <c r="BQ88" i="1"/>
  <c r="BR88" i="1"/>
  <c r="R762" i="3" s="1"/>
  <c r="BS88" i="1"/>
  <c r="R763" i="3" s="1"/>
  <c r="BT88" i="1"/>
  <c r="BQ89" i="1"/>
  <c r="BR89" i="1"/>
  <c r="R771" i="3" s="1"/>
  <c r="BS89" i="1"/>
  <c r="R772" i="3" s="1"/>
  <c r="BT89" i="1"/>
  <c r="BQ90" i="1"/>
  <c r="BR90" i="1"/>
  <c r="R780" i="3" s="1"/>
  <c r="BS90" i="1"/>
  <c r="R781" i="3" s="1"/>
  <c r="BT90" i="1"/>
  <c r="BQ91" i="1"/>
  <c r="BR91" i="1"/>
  <c r="R789" i="3" s="1"/>
  <c r="BS91" i="1"/>
  <c r="R790" i="3" s="1"/>
  <c r="BT91" i="1"/>
  <c r="BQ92" i="1"/>
  <c r="BR92" i="1"/>
  <c r="R798" i="3" s="1"/>
  <c r="BS92" i="1"/>
  <c r="R799" i="3" s="1"/>
  <c r="BT92" i="1"/>
  <c r="BQ93" i="1"/>
  <c r="BR93" i="1"/>
  <c r="R807" i="3" s="1"/>
  <c r="BS93" i="1"/>
  <c r="R808" i="3" s="1"/>
  <c r="BT93" i="1"/>
  <c r="BQ94" i="1"/>
  <c r="BR94" i="1"/>
  <c r="R816" i="3" s="1"/>
  <c r="BS94" i="1"/>
  <c r="R817" i="3" s="1"/>
  <c r="BT94" i="1"/>
  <c r="BQ95" i="1"/>
  <c r="BR95" i="1"/>
  <c r="R825" i="3" s="1"/>
  <c r="BS95" i="1"/>
  <c r="R826" i="3" s="1"/>
  <c r="BT95" i="1"/>
  <c r="BQ96" i="1"/>
  <c r="BR96" i="1"/>
  <c r="R834" i="3" s="1"/>
  <c r="BS96" i="1"/>
  <c r="R835" i="3" s="1"/>
  <c r="BT96" i="1"/>
  <c r="BQ97" i="1"/>
  <c r="BR97" i="1"/>
  <c r="R843" i="3" s="1"/>
  <c r="BS97" i="1"/>
  <c r="R844" i="3" s="1"/>
  <c r="BT97" i="1"/>
  <c r="BQ98" i="1"/>
  <c r="BR98" i="1"/>
  <c r="R852" i="3" s="1"/>
  <c r="BS98" i="1"/>
  <c r="R853" i="3" s="1"/>
  <c r="BT98" i="1"/>
  <c r="BQ99" i="1"/>
  <c r="BR99" i="1"/>
  <c r="R861" i="3" s="1"/>
  <c r="BS99" i="1"/>
  <c r="R862" i="3" s="1"/>
  <c r="BT99" i="1"/>
  <c r="BQ100" i="1"/>
  <c r="BR100" i="1"/>
  <c r="R870" i="3" s="1"/>
  <c r="BS100" i="1"/>
  <c r="R871" i="3" s="1"/>
  <c r="BT100" i="1"/>
  <c r="BQ101" i="1"/>
  <c r="BR101" i="1"/>
  <c r="R879" i="3" s="1"/>
  <c r="BS101" i="1"/>
  <c r="R880" i="3" s="1"/>
  <c r="BT101" i="1"/>
  <c r="BQ102" i="1"/>
  <c r="BR102" i="1"/>
  <c r="R888" i="3" s="1"/>
  <c r="BS102" i="1"/>
  <c r="R889" i="3" s="1"/>
  <c r="BT102" i="1"/>
  <c r="BQ103" i="1"/>
  <c r="BR103" i="1"/>
  <c r="R897" i="3" s="1"/>
  <c r="BS103" i="1"/>
  <c r="R898" i="3" s="1"/>
  <c r="BT103" i="1"/>
  <c r="BQ104" i="1"/>
  <c r="BR104" i="1"/>
  <c r="R906" i="3" s="1"/>
  <c r="BS104" i="1"/>
  <c r="R907" i="3" s="1"/>
  <c r="BT104" i="1"/>
  <c r="BQ105" i="1"/>
  <c r="BR105" i="1"/>
  <c r="R915" i="3" s="1"/>
  <c r="BS105" i="1"/>
  <c r="R916" i="3" s="1"/>
  <c r="BT105" i="1"/>
  <c r="BQ106" i="1"/>
  <c r="BR106" i="1"/>
  <c r="R924" i="3" s="1"/>
  <c r="BS106" i="1"/>
  <c r="R925" i="3" s="1"/>
  <c r="BT106" i="1"/>
  <c r="BQ107" i="1"/>
  <c r="BR107" i="1"/>
  <c r="R933" i="3" s="1"/>
  <c r="BS107" i="1"/>
  <c r="R934" i="3" s="1"/>
  <c r="BT107" i="1"/>
  <c r="BQ108" i="1"/>
  <c r="BR108" i="1"/>
  <c r="R942" i="3" s="1"/>
  <c r="BS108" i="1"/>
  <c r="R943" i="3" s="1"/>
  <c r="BT108" i="1"/>
  <c r="BQ109" i="1"/>
  <c r="BR109" i="1"/>
  <c r="R951" i="3" s="1"/>
  <c r="BS109" i="1"/>
  <c r="R952" i="3" s="1"/>
  <c r="BT109" i="1"/>
  <c r="BQ110" i="1"/>
  <c r="BR110" i="1"/>
  <c r="R960" i="3" s="1"/>
  <c r="BS110" i="1"/>
  <c r="R961" i="3" s="1"/>
  <c r="BT110" i="1"/>
  <c r="BQ111" i="1"/>
  <c r="BR111" i="1"/>
  <c r="R969" i="3" s="1"/>
  <c r="BS111" i="1"/>
  <c r="R970" i="3" s="1"/>
  <c r="BT111" i="1"/>
  <c r="BT5" i="1"/>
  <c r="BS5" i="1"/>
  <c r="R16" i="3" s="1"/>
  <c r="BR5" i="1"/>
  <c r="R15" i="3" s="1"/>
  <c r="BQ5" i="1"/>
  <c r="R959" i="3" l="1"/>
  <c r="R962" i="3" s="1"/>
  <c r="R965" i="3" s="1"/>
  <c r="V965" i="3" s="1"/>
  <c r="DY110" i="1"/>
  <c r="R824" i="3"/>
  <c r="R827" i="3" s="1"/>
  <c r="DY95" i="1"/>
  <c r="R635" i="3"/>
  <c r="R638" i="3" s="1"/>
  <c r="DY74" i="1"/>
  <c r="R500" i="3"/>
  <c r="R503" i="3" s="1"/>
  <c r="R506" i="3" s="1"/>
  <c r="V506" i="3" s="1"/>
  <c r="DY59" i="1"/>
  <c r="R365" i="3"/>
  <c r="R368" i="3" s="1"/>
  <c r="DY44" i="1"/>
  <c r="R230" i="3"/>
  <c r="R233" i="3" s="1"/>
  <c r="DY29" i="1"/>
  <c r="R95" i="3"/>
  <c r="R98" i="3" s="1"/>
  <c r="DY14" i="1"/>
  <c r="DY5" i="1"/>
  <c r="R14" i="3"/>
  <c r="R17" i="3" s="1"/>
  <c r="DZ94" i="1"/>
  <c r="R819" i="3"/>
  <c r="DZ79" i="1"/>
  <c r="R684" i="3"/>
  <c r="DZ64" i="1"/>
  <c r="EB64" i="1" s="1"/>
  <c r="EY64" i="1" s="1"/>
  <c r="FC64" i="1" s="1"/>
  <c r="R549" i="3"/>
  <c r="R950" i="3"/>
  <c r="R953" i="3" s="1"/>
  <c r="R956" i="3" s="1"/>
  <c r="V956" i="3" s="1"/>
  <c r="DY109" i="1"/>
  <c r="R923" i="3"/>
  <c r="R926" i="3" s="1"/>
  <c r="R929" i="3" s="1"/>
  <c r="V929" i="3" s="1"/>
  <c r="DY106" i="1"/>
  <c r="R896" i="3"/>
  <c r="R899" i="3" s="1"/>
  <c r="DY103" i="1"/>
  <c r="R869" i="3"/>
  <c r="R872" i="3" s="1"/>
  <c r="DY100" i="1"/>
  <c r="R842" i="3"/>
  <c r="R845" i="3" s="1"/>
  <c r="DY97" i="1"/>
  <c r="R815" i="3"/>
  <c r="R818" i="3" s="1"/>
  <c r="DY94" i="1"/>
  <c r="R788" i="3"/>
  <c r="R791" i="3" s="1"/>
  <c r="DY91" i="1"/>
  <c r="R761" i="3"/>
  <c r="R764" i="3" s="1"/>
  <c r="DY88" i="1"/>
  <c r="R734" i="3"/>
  <c r="R737" i="3" s="1"/>
  <c r="DY85" i="1"/>
  <c r="R707" i="3"/>
  <c r="R710" i="3" s="1"/>
  <c r="DY82" i="1"/>
  <c r="R680" i="3"/>
  <c r="R683" i="3" s="1"/>
  <c r="R686" i="3" s="1"/>
  <c r="V686" i="3" s="1"/>
  <c r="DY79" i="1"/>
  <c r="R653" i="3"/>
  <c r="R656" i="3" s="1"/>
  <c r="DY76" i="1"/>
  <c r="R626" i="3"/>
  <c r="R629" i="3" s="1"/>
  <c r="R632" i="3" s="1"/>
  <c r="V632" i="3" s="1"/>
  <c r="DY73" i="1"/>
  <c r="R599" i="3"/>
  <c r="R602" i="3" s="1"/>
  <c r="DY70" i="1"/>
  <c r="R572" i="3"/>
  <c r="R575" i="3" s="1"/>
  <c r="DY67" i="1"/>
  <c r="R545" i="3"/>
  <c r="R548" i="3" s="1"/>
  <c r="DY64" i="1"/>
  <c r="R518" i="3"/>
  <c r="R521" i="3" s="1"/>
  <c r="DY61" i="1"/>
  <c r="R491" i="3"/>
  <c r="R494" i="3" s="1"/>
  <c r="DY58" i="1"/>
  <c r="R464" i="3"/>
  <c r="R467" i="3" s="1"/>
  <c r="R470" i="3" s="1"/>
  <c r="V470" i="3" s="1"/>
  <c r="DY55" i="1"/>
  <c r="R437" i="3"/>
  <c r="R440" i="3" s="1"/>
  <c r="DY52" i="1"/>
  <c r="R410" i="3"/>
  <c r="R413" i="3" s="1"/>
  <c r="DY49" i="1"/>
  <c r="R383" i="3"/>
  <c r="R386" i="3" s="1"/>
  <c r="DY46" i="1"/>
  <c r="R356" i="3"/>
  <c r="R359" i="3" s="1"/>
  <c r="DY43" i="1"/>
  <c r="R329" i="3"/>
  <c r="R332" i="3" s="1"/>
  <c r="R335" i="3" s="1"/>
  <c r="V335" i="3" s="1"/>
  <c r="DY40" i="1"/>
  <c r="R302" i="3"/>
  <c r="R305" i="3" s="1"/>
  <c r="R308" i="3" s="1"/>
  <c r="V308" i="3" s="1"/>
  <c r="DY37" i="1"/>
  <c r="R275" i="3"/>
  <c r="R278" i="3" s="1"/>
  <c r="R281" i="3" s="1"/>
  <c r="V281" i="3" s="1"/>
  <c r="DY34" i="1"/>
  <c r="R248" i="3"/>
  <c r="R251" i="3" s="1"/>
  <c r="DY31" i="1"/>
  <c r="R221" i="3"/>
  <c r="R224" i="3" s="1"/>
  <c r="DY28" i="1"/>
  <c r="R194" i="3"/>
  <c r="R197" i="3" s="1"/>
  <c r="DY25" i="1"/>
  <c r="R167" i="3"/>
  <c r="R170" i="3" s="1"/>
  <c r="DY22" i="1"/>
  <c r="R140" i="3"/>
  <c r="R143" i="3" s="1"/>
  <c r="DY19" i="1"/>
  <c r="R113" i="3"/>
  <c r="R116" i="3" s="1"/>
  <c r="DY16" i="1"/>
  <c r="R86" i="3"/>
  <c r="R89" i="3" s="1"/>
  <c r="DY13" i="1"/>
  <c r="R59" i="3"/>
  <c r="R62" i="3" s="1"/>
  <c r="DY10" i="1"/>
  <c r="R32" i="3"/>
  <c r="R35" i="3" s="1"/>
  <c r="DY7" i="1"/>
  <c r="DZ111" i="1"/>
  <c r="EB111" i="1" s="1"/>
  <c r="EY111" i="1" s="1"/>
  <c r="FC111" i="1" s="1"/>
  <c r="R972" i="3"/>
  <c r="R974" i="3" s="1"/>
  <c r="V974" i="3" s="1"/>
  <c r="DZ108" i="1"/>
  <c r="EB108" i="1" s="1"/>
  <c r="EY108" i="1" s="1"/>
  <c r="FC108" i="1" s="1"/>
  <c r="R945" i="3"/>
  <c r="R947" i="3" s="1"/>
  <c r="V947" i="3" s="1"/>
  <c r="DZ105" i="1"/>
  <c r="R918" i="3"/>
  <c r="DZ102" i="1"/>
  <c r="R891" i="3"/>
  <c r="DZ99" i="1"/>
  <c r="R864" i="3"/>
  <c r="DZ96" i="1"/>
  <c r="EB96" i="1" s="1"/>
  <c r="EY96" i="1" s="1"/>
  <c r="FC96" i="1" s="1"/>
  <c r="R837" i="3"/>
  <c r="DZ93" i="1"/>
  <c r="EB93" i="1" s="1"/>
  <c r="EY93" i="1" s="1"/>
  <c r="FC93" i="1" s="1"/>
  <c r="R810" i="3"/>
  <c r="R812" i="3" s="1"/>
  <c r="V812" i="3" s="1"/>
  <c r="DZ90" i="1"/>
  <c r="EB90" i="1" s="1"/>
  <c r="EY90" i="1" s="1"/>
  <c r="FC90" i="1" s="1"/>
  <c r="R783" i="3"/>
  <c r="R785" i="3" s="1"/>
  <c r="V785" i="3" s="1"/>
  <c r="DZ87" i="1"/>
  <c r="R756" i="3"/>
  <c r="DZ84" i="1"/>
  <c r="R729" i="3"/>
  <c r="DZ81" i="1"/>
  <c r="R702" i="3"/>
  <c r="DZ78" i="1"/>
  <c r="EB78" i="1" s="1"/>
  <c r="EY78" i="1" s="1"/>
  <c r="FC78" i="1" s="1"/>
  <c r="R675" i="3"/>
  <c r="DZ75" i="1"/>
  <c r="EB75" i="1" s="1"/>
  <c r="EY75" i="1" s="1"/>
  <c r="FC75" i="1" s="1"/>
  <c r="R648" i="3"/>
  <c r="R650" i="3" s="1"/>
  <c r="V650" i="3" s="1"/>
  <c r="DZ72" i="1"/>
  <c r="EB72" i="1" s="1"/>
  <c r="EY72" i="1" s="1"/>
  <c r="FC72" i="1" s="1"/>
  <c r="R621" i="3"/>
  <c r="R623" i="3" s="1"/>
  <c r="V623" i="3" s="1"/>
  <c r="DZ69" i="1"/>
  <c r="R594" i="3"/>
  <c r="DZ66" i="1"/>
  <c r="R567" i="3"/>
  <c r="DZ63" i="1"/>
  <c r="R540" i="3"/>
  <c r="DZ60" i="1"/>
  <c r="EB60" i="1" s="1"/>
  <c r="EY60" i="1" s="1"/>
  <c r="FC60" i="1" s="1"/>
  <c r="R513" i="3"/>
  <c r="DZ57" i="1"/>
  <c r="EB57" i="1" s="1"/>
  <c r="EY57" i="1" s="1"/>
  <c r="FC57" i="1" s="1"/>
  <c r="R486" i="3"/>
  <c r="EB51" i="1"/>
  <c r="EY51" i="1" s="1"/>
  <c r="FC51" i="1" s="1"/>
  <c r="R878" i="3"/>
  <c r="R881" i="3" s="1"/>
  <c r="R884" i="3" s="1"/>
  <c r="V884" i="3" s="1"/>
  <c r="DY101" i="1"/>
  <c r="R770" i="3"/>
  <c r="R773" i="3" s="1"/>
  <c r="R776" i="3" s="1"/>
  <c r="V776" i="3" s="1"/>
  <c r="DY89" i="1"/>
  <c r="R716" i="3"/>
  <c r="R719" i="3" s="1"/>
  <c r="R722" i="3" s="1"/>
  <c r="V722" i="3" s="1"/>
  <c r="DY83" i="1"/>
  <c r="R581" i="3"/>
  <c r="R584" i="3" s="1"/>
  <c r="DY68" i="1"/>
  <c r="R392" i="3"/>
  <c r="R395" i="3" s="1"/>
  <c r="R398" i="3" s="1"/>
  <c r="V398" i="3" s="1"/>
  <c r="DY47" i="1"/>
  <c r="R203" i="3"/>
  <c r="R206" i="3" s="1"/>
  <c r="DY26" i="1"/>
  <c r="R41" i="3"/>
  <c r="R44" i="3" s="1"/>
  <c r="DY8" i="1"/>
  <c r="DZ100" i="1"/>
  <c r="EB100" i="1" s="1"/>
  <c r="EY100" i="1" s="1"/>
  <c r="FC100" i="1" s="1"/>
  <c r="R873" i="3"/>
  <c r="DZ91" i="1"/>
  <c r="R792" i="3"/>
  <c r="DZ73" i="1"/>
  <c r="R630" i="3"/>
  <c r="DZ58" i="1"/>
  <c r="R495" i="3"/>
  <c r="R932" i="3"/>
  <c r="R935" i="3" s="1"/>
  <c r="R938" i="3" s="1"/>
  <c r="V938" i="3" s="1"/>
  <c r="DY107" i="1"/>
  <c r="R797" i="3"/>
  <c r="R800" i="3" s="1"/>
  <c r="R803" i="3" s="1"/>
  <c r="V803" i="3" s="1"/>
  <c r="DY92" i="1"/>
  <c r="R662" i="3"/>
  <c r="R665" i="3" s="1"/>
  <c r="R668" i="3" s="1"/>
  <c r="V668" i="3" s="1"/>
  <c r="DY77" i="1"/>
  <c r="R527" i="3"/>
  <c r="R530" i="3" s="1"/>
  <c r="DY62" i="1"/>
  <c r="R419" i="3"/>
  <c r="R422" i="3" s="1"/>
  <c r="DY50" i="1"/>
  <c r="R284" i="3"/>
  <c r="R287" i="3" s="1"/>
  <c r="R290" i="3" s="1"/>
  <c r="V290" i="3" s="1"/>
  <c r="DY35" i="1"/>
  <c r="R68" i="3"/>
  <c r="R71" i="3" s="1"/>
  <c r="DY11" i="1"/>
  <c r="DZ109" i="1"/>
  <c r="EB109" i="1" s="1"/>
  <c r="EY109" i="1" s="1"/>
  <c r="FC109" i="1" s="1"/>
  <c r="R954" i="3"/>
  <c r="DZ97" i="1"/>
  <c r="EB97" i="1" s="1"/>
  <c r="EY97" i="1" s="1"/>
  <c r="FC97" i="1" s="1"/>
  <c r="R846" i="3"/>
  <c r="DZ82" i="1"/>
  <c r="EB82" i="1" s="1"/>
  <c r="EY82" i="1" s="1"/>
  <c r="FC82" i="1" s="1"/>
  <c r="R711" i="3"/>
  <c r="DZ70" i="1"/>
  <c r="R603" i="3"/>
  <c r="DZ61" i="1"/>
  <c r="EB61" i="1" s="1"/>
  <c r="EY61" i="1" s="1"/>
  <c r="FC61" i="1" s="1"/>
  <c r="R522" i="3"/>
  <c r="R905" i="3"/>
  <c r="R908" i="3" s="1"/>
  <c r="R911" i="3" s="1"/>
  <c r="V911" i="3" s="1"/>
  <c r="DY104" i="1"/>
  <c r="R743" i="3"/>
  <c r="R746" i="3" s="1"/>
  <c r="DY86" i="1"/>
  <c r="R608" i="3"/>
  <c r="R611" i="3" s="1"/>
  <c r="DY71" i="1"/>
  <c r="R473" i="3"/>
  <c r="R476" i="3" s="1"/>
  <c r="DY56" i="1"/>
  <c r="R311" i="3"/>
  <c r="R314" i="3" s="1"/>
  <c r="DY38" i="1"/>
  <c r="R149" i="3"/>
  <c r="R152" i="3" s="1"/>
  <c r="DY20" i="1"/>
  <c r="DZ106" i="1"/>
  <c r="EB106" i="1" s="1"/>
  <c r="EY106" i="1" s="1"/>
  <c r="FC106" i="1" s="1"/>
  <c r="R927" i="3"/>
  <c r="DZ85" i="1"/>
  <c r="EB85" i="1" s="1"/>
  <c r="EY85" i="1" s="1"/>
  <c r="FC85" i="1" s="1"/>
  <c r="R738" i="3"/>
  <c r="DZ67" i="1"/>
  <c r="EB67" i="1" s="1"/>
  <c r="EY67" i="1" s="1"/>
  <c r="FC67" i="1" s="1"/>
  <c r="R576" i="3"/>
  <c r="R968" i="3"/>
  <c r="R971" i="3" s="1"/>
  <c r="DY111" i="1"/>
  <c r="R941" i="3"/>
  <c r="R944" i="3" s="1"/>
  <c r="DY108" i="1"/>
  <c r="R914" i="3"/>
  <c r="R917" i="3" s="1"/>
  <c r="R920" i="3" s="1"/>
  <c r="V920" i="3" s="1"/>
  <c r="DY105" i="1"/>
  <c r="R887" i="3"/>
  <c r="R890" i="3" s="1"/>
  <c r="R893" i="3" s="1"/>
  <c r="V893" i="3" s="1"/>
  <c r="DY102" i="1"/>
  <c r="R860" i="3"/>
  <c r="R863" i="3" s="1"/>
  <c r="R866" i="3" s="1"/>
  <c r="V866" i="3" s="1"/>
  <c r="DY99" i="1"/>
  <c r="R833" i="3"/>
  <c r="R836" i="3" s="1"/>
  <c r="DY96" i="1"/>
  <c r="R806" i="3"/>
  <c r="R809" i="3" s="1"/>
  <c r="DY93" i="1"/>
  <c r="R779" i="3"/>
  <c r="R782" i="3" s="1"/>
  <c r="DY90" i="1"/>
  <c r="R752" i="3"/>
  <c r="R755" i="3" s="1"/>
  <c r="DY87" i="1"/>
  <c r="R725" i="3"/>
  <c r="R728" i="3" s="1"/>
  <c r="DY84" i="1"/>
  <c r="R698" i="3"/>
  <c r="R701" i="3" s="1"/>
  <c r="R704" i="3" s="1"/>
  <c r="V704" i="3" s="1"/>
  <c r="DY81" i="1"/>
  <c r="R671" i="3"/>
  <c r="R674" i="3" s="1"/>
  <c r="DY78" i="1"/>
  <c r="R644" i="3"/>
  <c r="R647" i="3" s="1"/>
  <c r="DY75" i="1"/>
  <c r="R617" i="3"/>
  <c r="R620" i="3" s="1"/>
  <c r="DY72" i="1"/>
  <c r="R590" i="3"/>
  <c r="R593" i="3" s="1"/>
  <c r="DY69" i="1"/>
  <c r="R563" i="3"/>
  <c r="R566" i="3" s="1"/>
  <c r="DY66" i="1"/>
  <c r="R536" i="3"/>
  <c r="R539" i="3" s="1"/>
  <c r="R542" i="3" s="1"/>
  <c r="V542" i="3" s="1"/>
  <c r="DY63" i="1"/>
  <c r="R509" i="3"/>
  <c r="R512" i="3" s="1"/>
  <c r="DY60" i="1"/>
  <c r="R482" i="3"/>
  <c r="R485" i="3" s="1"/>
  <c r="R488" i="3" s="1"/>
  <c r="V488" i="3" s="1"/>
  <c r="DY57" i="1"/>
  <c r="R455" i="3"/>
  <c r="R458" i="3" s="1"/>
  <c r="DY54" i="1"/>
  <c r="R428" i="3"/>
  <c r="R431" i="3" s="1"/>
  <c r="DY51" i="1"/>
  <c r="R401" i="3"/>
  <c r="R404" i="3" s="1"/>
  <c r="DY48" i="1"/>
  <c r="R374" i="3"/>
  <c r="R377" i="3" s="1"/>
  <c r="R380" i="3" s="1"/>
  <c r="V380" i="3" s="1"/>
  <c r="DY45" i="1"/>
  <c r="R347" i="3"/>
  <c r="R350" i="3" s="1"/>
  <c r="R353" i="3" s="1"/>
  <c r="V353" i="3" s="1"/>
  <c r="DY42" i="1"/>
  <c r="R320" i="3"/>
  <c r="R323" i="3" s="1"/>
  <c r="DY39" i="1"/>
  <c r="R293" i="3"/>
  <c r="R296" i="3" s="1"/>
  <c r="DY36" i="1"/>
  <c r="R266" i="3"/>
  <c r="R269" i="3" s="1"/>
  <c r="DY33" i="1"/>
  <c r="R239" i="3"/>
  <c r="R242" i="3" s="1"/>
  <c r="DY30" i="1"/>
  <c r="R212" i="3"/>
  <c r="R215" i="3" s="1"/>
  <c r="DY27" i="1"/>
  <c r="R185" i="3"/>
  <c r="R188" i="3" s="1"/>
  <c r="DY24" i="1"/>
  <c r="R158" i="3"/>
  <c r="R161" i="3" s="1"/>
  <c r="DY21" i="1"/>
  <c r="R131" i="3"/>
  <c r="R134" i="3" s="1"/>
  <c r="DY18" i="1"/>
  <c r="R104" i="3"/>
  <c r="R107" i="3" s="1"/>
  <c r="DY15" i="1"/>
  <c r="R77" i="3"/>
  <c r="R80" i="3" s="1"/>
  <c r="DY12" i="1"/>
  <c r="R50" i="3"/>
  <c r="R53" i="3" s="1"/>
  <c r="DY9" i="1"/>
  <c r="R23" i="3"/>
  <c r="R26" i="3" s="1"/>
  <c r="DY6" i="1"/>
  <c r="R851" i="3"/>
  <c r="R854" i="3" s="1"/>
  <c r="DY98" i="1"/>
  <c r="R689" i="3"/>
  <c r="R692" i="3" s="1"/>
  <c r="DY80" i="1"/>
  <c r="R554" i="3"/>
  <c r="R557" i="3" s="1"/>
  <c r="R560" i="3" s="1"/>
  <c r="V560" i="3" s="1"/>
  <c r="DY65" i="1"/>
  <c r="R446" i="3"/>
  <c r="R449" i="3" s="1"/>
  <c r="DY53" i="1"/>
  <c r="R338" i="3"/>
  <c r="R341" i="3" s="1"/>
  <c r="DY41" i="1"/>
  <c r="R257" i="3"/>
  <c r="R260" i="3" s="1"/>
  <c r="DY32" i="1"/>
  <c r="R176" i="3"/>
  <c r="R179" i="3" s="1"/>
  <c r="DY23" i="1"/>
  <c r="R122" i="3"/>
  <c r="R125" i="3" s="1"/>
  <c r="DY17" i="1"/>
  <c r="DZ103" i="1"/>
  <c r="EB103" i="1" s="1"/>
  <c r="EY103" i="1" s="1"/>
  <c r="FC103" i="1" s="1"/>
  <c r="R900" i="3"/>
  <c r="R902" i="3" s="1"/>
  <c r="V902" i="3" s="1"/>
  <c r="DZ88" i="1"/>
  <c r="EB88" i="1" s="1"/>
  <c r="EY88" i="1" s="1"/>
  <c r="FC88" i="1" s="1"/>
  <c r="R765" i="3"/>
  <c r="R767" i="3" s="1"/>
  <c r="V767" i="3" s="1"/>
  <c r="DZ76" i="1"/>
  <c r="EB76" i="1" s="1"/>
  <c r="EY76" i="1" s="1"/>
  <c r="FC76" i="1" s="1"/>
  <c r="R657" i="3"/>
  <c r="DZ110" i="1"/>
  <c r="EB110" i="1" s="1"/>
  <c r="EY110" i="1" s="1"/>
  <c r="FC110" i="1" s="1"/>
  <c r="R963" i="3"/>
  <c r="DZ107" i="1"/>
  <c r="R936" i="3"/>
  <c r="DZ104" i="1"/>
  <c r="R909" i="3"/>
  <c r="DZ101" i="1"/>
  <c r="R882" i="3"/>
  <c r="DZ98" i="1"/>
  <c r="EB98" i="1" s="1"/>
  <c r="EY98" i="1" s="1"/>
  <c r="FC98" i="1" s="1"/>
  <c r="R855" i="3"/>
  <c r="R857" i="3" s="1"/>
  <c r="DZ95" i="1"/>
  <c r="EB95" i="1" s="1"/>
  <c r="EY95" i="1" s="1"/>
  <c r="FC95" i="1" s="1"/>
  <c r="R828" i="3"/>
  <c r="DZ92" i="1"/>
  <c r="EB92" i="1" s="1"/>
  <c r="EY92" i="1" s="1"/>
  <c r="FC92" i="1" s="1"/>
  <c r="R801" i="3"/>
  <c r="DZ89" i="1"/>
  <c r="EB89" i="1" s="1"/>
  <c r="EY89" i="1" s="1"/>
  <c r="FC89" i="1" s="1"/>
  <c r="R774" i="3"/>
  <c r="DZ86" i="1"/>
  <c r="R747" i="3"/>
  <c r="DZ83" i="1"/>
  <c r="EB83" i="1" s="1"/>
  <c r="EY83" i="1" s="1"/>
  <c r="FC83" i="1" s="1"/>
  <c r="R720" i="3"/>
  <c r="DZ80" i="1"/>
  <c r="EB80" i="1" s="1"/>
  <c r="EY80" i="1" s="1"/>
  <c r="FC80" i="1" s="1"/>
  <c r="R693" i="3"/>
  <c r="DZ77" i="1"/>
  <c r="EB77" i="1" s="1"/>
  <c r="EY77" i="1" s="1"/>
  <c r="FC77" i="1" s="1"/>
  <c r="R666" i="3"/>
  <c r="DZ74" i="1"/>
  <c r="EB74" i="1" s="1"/>
  <c r="EY74" i="1" s="1"/>
  <c r="FC74" i="1" s="1"/>
  <c r="R639" i="3"/>
  <c r="DZ71" i="1"/>
  <c r="EB71" i="1" s="1"/>
  <c r="EY71" i="1" s="1"/>
  <c r="FC71" i="1" s="1"/>
  <c r="R612" i="3"/>
  <c r="DZ68" i="1"/>
  <c r="R585" i="3"/>
  <c r="DZ65" i="1"/>
  <c r="R558" i="3"/>
  <c r="DZ62" i="1"/>
  <c r="EB62" i="1" s="1"/>
  <c r="EY62" i="1" s="1"/>
  <c r="FC62" i="1" s="1"/>
  <c r="R531" i="3"/>
  <c r="DZ59" i="1"/>
  <c r="EB59" i="1" s="1"/>
  <c r="EY59" i="1" s="1"/>
  <c r="FC59" i="1" s="1"/>
  <c r="R504" i="3"/>
  <c r="DZ56" i="1"/>
  <c r="EB56" i="1" s="1"/>
  <c r="EY56" i="1" s="1"/>
  <c r="FC56" i="1" s="1"/>
  <c r="R477" i="3"/>
  <c r="DZ47" i="1"/>
  <c r="R396" i="3"/>
  <c r="DZ41" i="1"/>
  <c r="R342" i="3"/>
  <c r="DZ36" i="1"/>
  <c r="EB36" i="1" s="1"/>
  <c r="EY36" i="1" s="1"/>
  <c r="FC36" i="1" s="1"/>
  <c r="R297" i="3"/>
  <c r="R299" i="3" s="1"/>
  <c r="V299" i="3" s="1"/>
  <c r="DZ32" i="1"/>
  <c r="EB32" i="1" s="1"/>
  <c r="EY32" i="1" s="1"/>
  <c r="FC32" i="1" s="1"/>
  <c r="R261" i="3"/>
  <c r="R263" i="3" s="1"/>
  <c r="V263" i="3" s="1"/>
  <c r="DZ54" i="1"/>
  <c r="EB54" i="1" s="1"/>
  <c r="EY54" i="1" s="1"/>
  <c r="FC54" i="1" s="1"/>
  <c r="R459" i="3"/>
  <c r="DZ50" i="1"/>
  <c r="EB50" i="1" s="1"/>
  <c r="EY50" i="1" s="1"/>
  <c r="FC50" i="1" s="1"/>
  <c r="R423" i="3"/>
  <c r="DZ46" i="1"/>
  <c r="EB46" i="1" s="1"/>
  <c r="EY46" i="1" s="1"/>
  <c r="FC46" i="1" s="1"/>
  <c r="R387" i="3"/>
  <c r="DZ42" i="1"/>
  <c r="EB42" i="1" s="1"/>
  <c r="EY42" i="1" s="1"/>
  <c r="FC42" i="1" s="1"/>
  <c r="R351" i="3"/>
  <c r="DZ38" i="1"/>
  <c r="EB38" i="1" s="1"/>
  <c r="EY38" i="1" s="1"/>
  <c r="FC38" i="1" s="1"/>
  <c r="R315" i="3"/>
  <c r="R317" i="3" s="1"/>
  <c r="V317" i="3" s="1"/>
  <c r="DZ34" i="1"/>
  <c r="EB34" i="1" s="1"/>
  <c r="EY34" i="1" s="1"/>
  <c r="FC34" i="1" s="1"/>
  <c r="R279" i="3"/>
  <c r="DZ55" i="1"/>
  <c r="EB55" i="1" s="1"/>
  <c r="EY55" i="1" s="1"/>
  <c r="FC55" i="1" s="1"/>
  <c r="R468" i="3"/>
  <c r="DZ52" i="1"/>
  <c r="EB52" i="1" s="1"/>
  <c r="EY52" i="1" s="1"/>
  <c r="FC52" i="1" s="1"/>
  <c r="R441" i="3"/>
  <c r="DZ48" i="1"/>
  <c r="R405" i="3"/>
  <c r="DZ44" i="1"/>
  <c r="R369" i="3"/>
  <c r="DZ40" i="1"/>
  <c r="R333" i="3"/>
  <c r="DZ39" i="1"/>
  <c r="EB39" i="1" s="1"/>
  <c r="EY39" i="1" s="1"/>
  <c r="FC39" i="1" s="1"/>
  <c r="R324" i="3"/>
  <c r="R326" i="3" s="1"/>
  <c r="V326" i="3" s="1"/>
  <c r="DZ35" i="1"/>
  <c r="EB35" i="1" s="1"/>
  <c r="EY35" i="1" s="1"/>
  <c r="FC35" i="1" s="1"/>
  <c r="R288" i="3"/>
  <c r="DZ31" i="1"/>
  <c r="EB31" i="1" s="1"/>
  <c r="EY31" i="1" s="1"/>
  <c r="FC31" i="1" s="1"/>
  <c r="R252" i="3"/>
  <c r="R254" i="3" s="1"/>
  <c r="V254" i="3" s="1"/>
  <c r="DZ53" i="1"/>
  <c r="R450" i="3"/>
  <c r="DZ49" i="1"/>
  <c r="EB49" i="1" s="1"/>
  <c r="EY49" i="1" s="1"/>
  <c r="FC49" i="1" s="1"/>
  <c r="R414" i="3"/>
  <c r="R416" i="3" s="1"/>
  <c r="V416" i="3" s="1"/>
  <c r="DZ45" i="1"/>
  <c r="R378" i="3"/>
  <c r="DZ43" i="1"/>
  <c r="EB43" i="1" s="1"/>
  <c r="EY43" i="1" s="1"/>
  <c r="FC43" i="1" s="1"/>
  <c r="R360" i="3"/>
  <c r="R362" i="3" s="1"/>
  <c r="V362" i="3" s="1"/>
  <c r="DZ37" i="1"/>
  <c r="EB37" i="1" s="1"/>
  <c r="EY37" i="1" s="1"/>
  <c r="FC37" i="1" s="1"/>
  <c r="R306" i="3"/>
  <c r="DZ33" i="1"/>
  <c r="EB33" i="1" s="1"/>
  <c r="EY33" i="1" s="1"/>
  <c r="FC33" i="1" s="1"/>
  <c r="R270" i="3"/>
  <c r="DZ27" i="1"/>
  <c r="R216" i="3"/>
  <c r="DZ23" i="1"/>
  <c r="EB23" i="1" s="1"/>
  <c r="EY23" i="1" s="1"/>
  <c r="FC23" i="1" s="1"/>
  <c r="R180" i="3"/>
  <c r="R182" i="3" s="1"/>
  <c r="V182" i="3" s="1"/>
  <c r="DZ19" i="1"/>
  <c r="R144" i="3"/>
  <c r="DZ16" i="1"/>
  <c r="EB16" i="1" s="1"/>
  <c r="EY16" i="1" s="1"/>
  <c r="FC16" i="1" s="1"/>
  <c r="R117" i="3"/>
  <c r="R119" i="3" s="1"/>
  <c r="V119" i="3" s="1"/>
  <c r="DZ13" i="1"/>
  <c r="EB13" i="1" s="1"/>
  <c r="EY13" i="1" s="1"/>
  <c r="FC13" i="1" s="1"/>
  <c r="R90" i="3"/>
  <c r="R92" i="3" s="1"/>
  <c r="V92" i="3" s="1"/>
  <c r="DZ9" i="1"/>
  <c r="EB9" i="1" s="1"/>
  <c r="EY9" i="1" s="1"/>
  <c r="FC9" i="1" s="1"/>
  <c r="R54" i="3"/>
  <c r="DZ6" i="1"/>
  <c r="EB6" i="1" s="1"/>
  <c r="EY6" i="1" s="1"/>
  <c r="FC6" i="1" s="1"/>
  <c r="R27" i="3"/>
  <c r="DZ29" i="1"/>
  <c r="R234" i="3"/>
  <c r="DZ25" i="1"/>
  <c r="EB25" i="1" s="1"/>
  <c r="EY25" i="1" s="1"/>
  <c r="FC25" i="1" s="1"/>
  <c r="R198" i="3"/>
  <c r="R200" i="3" s="1"/>
  <c r="V200" i="3" s="1"/>
  <c r="DZ20" i="1"/>
  <c r="EB20" i="1" s="1"/>
  <c r="EY20" i="1" s="1"/>
  <c r="FC20" i="1" s="1"/>
  <c r="R153" i="3"/>
  <c r="R155" i="3" s="1"/>
  <c r="V155" i="3" s="1"/>
  <c r="DZ17" i="1"/>
  <c r="EB17" i="1" s="1"/>
  <c r="EY17" i="1" s="1"/>
  <c r="FC17" i="1" s="1"/>
  <c r="R126" i="3"/>
  <c r="R128" i="3" s="1"/>
  <c r="V128" i="3" s="1"/>
  <c r="DZ14" i="1"/>
  <c r="EB14" i="1" s="1"/>
  <c r="EY14" i="1" s="1"/>
  <c r="FC14" i="1" s="1"/>
  <c r="R99" i="3"/>
  <c r="DZ10" i="1"/>
  <c r="EB10" i="1" s="1"/>
  <c r="EY10" i="1" s="1"/>
  <c r="FC10" i="1" s="1"/>
  <c r="R63" i="3"/>
  <c r="R65" i="3" s="1"/>
  <c r="V65" i="3" s="1"/>
  <c r="DZ7" i="1"/>
  <c r="R36" i="3"/>
  <c r="R38" i="3" s="1"/>
  <c r="V38" i="3" s="1"/>
  <c r="DZ28" i="1"/>
  <c r="EB28" i="1" s="1"/>
  <c r="EY28" i="1" s="1"/>
  <c r="FC28" i="1" s="1"/>
  <c r="R225" i="3"/>
  <c r="R227" i="3" s="1"/>
  <c r="V227" i="3" s="1"/>
  <c r="DZ24" i="1"/>
  <c r="EB24" i="1" s="1"/>
  <c r="EY24" i="1" s="1"/>
  <c r="FC24" i="1" s="1"/>
  <c r="R189" i="3"/>
  <c r="R191" i="3" s="1"/>
  <c r="V191" i="3" s="1"/>
  <c r="DZ22" i="1"/>
  <c r="EB22" i="1" s="1"/>
  <c r="EY22" i="1" s="1"/>
  <c r="FC22" i="1" s="1"/>
  <c r="R171" i="3"/>
  <c r="R173" i="3" s="1"/>
  <c r="V173" i="3" s="1"/>
  <c r="DZ18" i="1"/>
  <c r="EB18" i="1" s="1"/>
  <c r="EY18" i="1" s="1"/>
  <c r="FC18" i="1" s="1"/>
  <c r="R135" i="3"/>
  <c r="DZ15" i="1"/>
  <c r="R108" i="3"/>
  <c r="DZ12" i="1"/>
  <c r="R81" i="3"/>
  <c r="DZ8" i="1"/>
  <c r="R45" i="3"/>
  <c r="DZ30" i="1"/>
  <c r="R243" i="3"/>
  <c r="R245" i="3" s="1"/>
  <c r="V245" i="3" s="1"/>
  <c r="DZ26" i="1"/>
  <c r="EB26" i="1" s="1"/>
  <c r="EY26" i="1" s="1"/>
  <c r="FC26" i="1" s="1"/>
  <c r="R207" i="3"/>
  <c r="DZ21" i="1"/>
  <c r="EB21" i="1" s="1"/>
  <c r="EY21" i="1" s="1"/>
  <c r="FC21" i="1" s="1"/>
  <c r="R162" i="3"/>
  <c r="DZ11" i="1"/>
  <c r="R72" i="3"/>
  <c r="DZ5" i="1"/>
  <c r="EB5" i="1" s="1"/>
  <c r="EY5" i="1" s="1"/>
  <c r="FC5" i="1" s="1"/>
  <c r="R839" i="3"/>
  <c r="V839" i="3" s="1"/>
  <c r="R605" i="3"/>
  <c r="V605" i="3" s="1"/>
  <c r="R587" i="3"/>
  <c r="V587" i="3" s="1"/>
  <c r="R551" i="3"/>
  <c r="V551" i="3" s="1"/>
  <c r="R461" i="3"/>
  <c r="V461" i="3" s="1"/>
  <c r="R432" i="3"/>
  <c r="R434" i="3" s="1"/>
  <c r="V434" i="3" s="1"/>
  <c r="R407" i="3"/>
  <c r="V407" i="3" s="1"/>
  <c r="R848" i="3"/>
  <c r="V848" i="3" s="1"/>
  <c r="R830" i="3"/>
  <c r="V830" i="3" s="1"/>
  <c r="R731" i="3"/>
  <c r="V731" i="3" s="1"/>
  <c r="R695" i="3"/>
  <c r="V695" i="3" s="1"/>
  <c r="R659" i="3"/>
  <c r="V659" i="3" s="1"/>
  <c r="R614" i="3"/>
  <c r="V614" i="3" s="1"/>
  <c r="R389" i="3"/>
  <c r="V389" i="3" s="1"/>
  <c r="R821" i="3"/>
  <c r="V821" i="3" s="1"/>
  <c r="R794" i="3"/>
  <c r="V794" i="3" s="1"/>
  <c r="R749" i="3"/>
  <c r="V749" i="3" s="1"/>
  <c r="V533" i="3"/>
  <c r="R515" i="3"/>
  <c r="V515" i="3" s="1"/>
  <c r="R875" i="3"/>
  <c r="V875" i="3" s="1"/>
  <c r="R713" i="3"/>
  <c r="V713" i="3" s="1"/>
  <c r="R677" i="3"/>
  <c r="V677" i="3" s="1"/>
  <c r="R596" i="3"/>
  <c r="V596" i="3" s="1"/>
  <c r="R497" i="3"/>
  <c r="V497" i="3" s="1"/>
  <c r="R452" i="3"/>
  <c r="V452" i="3" s="1"/>
  <c r="R371" i="3"/>
  <c r="V371" i="3" s="1"/>
  <c r="R758" i="3"/>
  <c r="V758" i="3" s="1"/>
  <c r="R740" i="3"/>
  <c r="V740" i="3" s="1"/>
  <c r="R641" i="3"/>
  <c r="V641" i="3" s="1"/>
  <c r="R578" i="3"/>
  <c r="V578" i="3" s="1"/>
  <c r="R569" i="3"/>
  <c r="V569" i="3" s="1"/>
  <c r="R524" i="3"/>
  <c r="V524" i="3" s="1"/>
  <c r="R479" i="3"/>
  <c r="V479" i="3" s="1"/>
  <c r="R18" i="3"/>
  <c r="R20" i="3" s="1"/>
  <c r="V20" i="3" s="1"/>
  <c r="EH1" i="1"/>
  <c r="EC1" i="1"/>
  <c r="DW1" i="1"/>
  <c r="DU1" i="1"/>
  <c r="DS1" i="1"/>
  <c r="DO1" i="1"/>
  <c r="DK1" i="1"/>
  <c r="DG1" i="1"/>
  <c r="DE1" i="1"/>
  <c r="DC1" i="1"/>
  <c r="DA1" i="1"/>
  <c r="CY1" i="1"/>
  <c r="CU1" i="1"/>
  <c r="CQ1" i="1"/>
  <c r="CM1" i="1"/>
  <c r="EB30" i="1" l="1"/>
  <c r="EY30" i="1" s="1"/>
  <c r="FC30" i="1" s="1"/>
  <c r="EB8" i="1"/>
  <c r="EY8" i="1" s="1"/>
  <c r="FC8" i="1" s="1"/>
  <c r="EB45" i="1"/>
  <c r="EY45" i="1" s="1"/>
  <c r="FC45" i="1" s="1"/>
  <c r="EB101" i="1"/>
  <c r="EY101" i="1" s="1"/>
  <c r="FC101" i="1" s="1"/>
  <c r="EB12" i="1"/>
  <c r="EY12" i="1" s="1"/>
  <c r="FC12" i="1" s="1"/>
  <c r="EB7" i="1"/>
  <c r="EY7" i="1" s="1"/>
  <c r="FC7" i="1" s="1"/>
  <c r="EB29" i="1"/>
  <c r="EY29" i="1" s="1"/>
  <c r="FC29" i="1" s="1"/>
  <c r="EB44" i="1"/>
  <c r="EY44" i="1" s="1"/>
  <c r="FC44" i="1" s="1"/>
  <c r="EB41" i="1"/>
  <c r="EY41" i="1" s="1"/>
  <c r="FC41" i="1" s="1"/>
  <c r="EB68" i="1"/>
  <c r="EY68" i="1" s="1"/>
  <c r="FC68" i="1" s="1"/>
  <c r="EB86" i="1"/>
  <c r="EY86" i="1" s="1"/>
  <c r="FC86" i="1" s="1"/>
  <c r="EB104" i="1"/>
  <c r="EY104" i="1" s="1"/>
  <c r="FC104" i="1" s="1"/>
  <c r="EB70" i="1"/>
  <c r="EY70" i="1" s="1"/>
  <c r="FC70" i="1" s="1"/>
  <c r="EB73" i="1"/>
  <c r="EY73" i="1" s="1"/>
  <c r="FC73" i="1" s="1"/>
  <c r="R74" i="3"/>
  <c r="V74" i="3" s="1"/>
  <c r="R110" i="3"/>
  <c r="V110" i="3" s="1"/>
  <c r="R29" i="3"/>
  <c r="V29" i="3" s="1"/>
  <c r="R218" i="3"/>
  <c r="V218" i="3" s="1"/>
  <c r="EB63" i="1"/>
  <c r="EY63" i="1" s="1"/>
  <c r="FC63" i="1" s="1"/>
  <c r="EB81" i="1"/>
  <c r="EY81" i="1" s="1"/>
  <c r="FC81" i="1" s="1"/>
  <c r="EB99" i="1"/>
  <c r="EY99" i="1" s="1"/>
  <c r="FC99" i="1" s="1"/>
  <c r="EB94" i="1"/>
  <c r="EY94" i="1" s="1"/>
  <c r="FC94" i="1" s="1"/>
  <c r="R47" i="3"/>
  <c r="V47" i="3" s="1"/>
  <c r="R146" i="3"/>
  <c r="V146" i="3" s="1"/>
  <c r="EB19" i="1"/>
  <c r="EY19" i="1" s="1"/>
  <c r="FC19" i="1" s="1"/>
  <c r="EB40" i="1"/>
  <c r="EY40" i="1" s="1"/>
  <c r="FC40" i="1" s="1"/>
  <c r="EB65" i="1"/>
  <c r="EY65" i="1" s="1"/>
  <c r="FC65" i="1" s="1"/>
  <c r="EB58" i="1"/>
  <c r="EY58" i="1" s="1"/>
  <c r="FC58" i="1" s="1"/>
  <c r="R83" i="3"/>
  <c r="V83" i="3" s="1"/>
  <c r="R236" i="3"/>
  <c r="V236" i="3" s="1"/>
  <c r="R344" i="3"/>
  <c r="V344" i="3" s="1"/>
  <c r="EB79" i="1"/>
  <c r="EY79" i="1" s="1"/>
  <c r="FC79" i="1" s="1"/>
  <c r="EB11" i="1"/>
  <c r="EY11" i="1" s="1"/>
  <c r="FC11" i="1" s="1"/>
  <c r="EB15" i="1"/>
  <c r="EY15" i="1" s="1"/>
  <c r="FC15" i="1" s="1"/>
  <c r="EB27" i="1"/>
  <c r="EY27" i="1" s="1"/>
  <c r="FC27" i="1" s="1"/>
  <c r="EB53" i="1"/>
  <c r="EY53" i="1" s="1"/>
  <c r="FC53" i="1" s="1"/>
  <c r="EB48" i="1"/>
  <c r="EY48" i="1" s="1"/>
  <c r="FC48" i="1" s="1"/>
  <c r="EB47" i="1"/>
  <c r="EY47" i="1" s="1"/>
  <c r="FC47" i="1" s="1"/>
  <c r="EB107" i="1"/>
  <c r="EY107" i="1" s="1"/>
  <c r="FC107" i="1" s="1"/>
  <c r="EB91" i="1"/>
  <c r="EY91" i="1" s="1"/>
  <c r="FC91" i="1" s="1"/>
  <c r="R164" i="3"/>
  <c r="V164" i="3" s="1"/>
  <c r="R137" i="3"/>
  <c r="V137" i="3" s="1"/>
  <c r="R101" i="3"/>
  <c r="V101" i="3" s="1"/>
  <c r="R56" i="3"/>
  <c r="R272" i="3"/>
  <c r="V272" i="3" s="1"/>
  <c r="R443" i="3"/>
  <c r="V443" i="3" s="1"/>
  <c r="R425" i="3"/>
  <c r="V425" i="3" s="1"/>
  <c r="EB66" i="1"/>
  <c r="EY66" i="1" s="1"/>
  <c r="FC66" i="1" s="1"/>
  <c r="EB84" i="1"/>
  <c r="EY84" i="1" s="1"/>
  <c r="FC84" i="1" s="1"/>
  <c r="EB102" i="1"/>
  <c r="EY102" i="1" s="1"/>
  <c r="FC102" i="1" s="1"/>
  <c r="R209" i="3"/>
  <c r="V209" i="3" s="1"/>
  <c r="EB69" i="1"/>
  <c r="EY69" i="1" s="1"/>
  <c r="FC69" i="1" s="1"/>
  <c r="EB87" i="1"/>
  <c r="EY87" i="1" s="1"/>
  <c r="FC87" i="1" s="1"/>
  <c r="EB105" i="1"/>
  <c r="EY105" i="1" s="1"/>
  <c r="FC105" i="1" s="1"/>
  <c r="U56" i="3"/>
  <c r="M56" i="3"/>
  <c r="G56" i="3"/>
  <c r="N56" i="3"/>
  <c r="F56" i="3"/>
  <c r="L56" i="3"/>
  <c r="V56" i="3" s="1"/>
  <c r="E56" i="3"/>
  <c r="G56" i="13"/>
  <c r="N56" i="13"/>
  <c r="U56" i="13"/>
  <c r="F56" i="13"/>
  <c r="M56" i="13"/>
  <c r="E56" i="13"/>
  <c r="L56" i="13"/>
  <c r="L857" i="3"/>
  <c r="N857" i="3"/>
  <c r="M857" i="3"/>
  <c r="U857" i="3"/>
  <c r="G857" i="3"/>
  <c r="F857" i="3"/>
  <c r="E857" i="3"/>
  <c r="V857" i="3" l="1"/>
  <c r="V56" i="13"/>
  <c r="V92" i="13"/>
  <c r="J92" i="13"/>
  <c r="L170" i="13"/>
  <c r="L173" i="13"/>
  <c r="P92" i="13"/>
  <c r="O92" i="13"/>
  <c r="N170" i="13"/>
  <c r="N173" i="13"/>
  <c r="V164" i="13"/>
  <c r="E164" i="13"/>
  <c r="E161" i="13"/>
  <c r="V173" i="13"/>
  <c r="E173" i="13"/>
  <c r="E170" i="13"/>
  <c r="F161" i="13"/>
  <c r="F164" i="13"/>
  <c r="N164" i="13"/>
  <c r="N161" i="13"/>
  <c r="U173" i="13"/>
  <c r="U170" i="13"/>
  <c r="M173" i="13"/>
  <c r="M170" i="13"/>
  <c r="R161" i="13"/>
  <c r="R164" i="13"/>
  <c r="G161" i="13"/>
  <c r="G164" i="13"/>
  <c r="Q92" i="13"/>
  <c r="L164" i="13"/>
  <c r="L161" i="13"/>
  <c r="G170" i="13"/>
  <c r="G173" i="13"/>
  <c r="U164" i="13"/>
  <c r="U161" i="13"/>
  <c r="M161" i="13"/>
  <c r="M164" i="13"/>
  <c r="S164" i="13"/>
  <c r="S161" i="13"/>
  <c r="F170" i="13"/>
  <c r="F173" i="13"/>
</calcChain>
</file>

<file path=xl/sharedStrings.xml><?xml version="1.0" encoding="utf-8"?>
<sst xmlns="http://schemas.openxmlformats.org/spreadsheetml/2006/main" count="4716" uniqueCount="750">
  <si>
    <t>NO</t>
  </si>
  <si>
    <t>NIS</t>
  </si>
  <si>
    <t>NAMA PESERTA</t>
  </si>
  <si>
    <t>KELAS</t>
  </si>
  <si>
    <t>TEKNIK JARINGAN KOMPUTER DAN TELEKOMUNIKASI</t>
  </si>
  <si>
    <t>MAPEL KONSENTRASI KEAHLIAN</t>
  </si>
  <si>
    <t>NILAI UJIAN SEKOLAH</t>
  </si>
  <si>
    <t>16.PKL</t>
  </si>
  <si>
    <t>NILAI IJAZAH / SKL</t>
  </si>
  <si>
    <t>1.Pendidikan Agama Islam (PAI)</t>
  </si>
  <si>
    <t>2.Pendidikan Pancasila</t>
  </si>
  <si>
    <t>3.Bahasa Indonesia</t>
  </si>
  <si>
    <t>4.Pendidikan Jasmani Olahraga dan Kesehatan</t>
  </si>
  <si>
    <t>5.Sejarah</t>
  </si>
  <si>
    <t>6.Seni Budaya (Seni Tari)</t>
  </si>
  <si>
    <t>7.Bahasa Sunda</t>
  </si>
  <si>
    <t>8.Public speaking</t>
  </si>
  <si>
    <t>9.Matematika</t>
  </si>
  <si>
    <t>10.Bahasa Inggris</t>
  </si>
  <si>
    <t>11.Informatika</t>
  </si>
  <si>
    <t>12.Projek Ilmu Pengetahuan Alam dan Sosial</t>
  </si>
  <si>
    <t>13.Dasar - dasar Program Keahlian</t>
  </si>
  <si>
    <t>14.Administrasi Infrastruktur Jaringan &amp; Teknologi WAN</t>
  </si>
  <si>
    <t>14.Administrasi Sistem Jaringan</t>
  </si>
  <si>
    <t>14.Teknologi Jaringan Kabel dan Nirkabel</t>
  </si>
  <si>
    <t>KONS</t>
  </si>
  <si>
    <t xml:space="preserve">15.Projek Kreatif dan Kewirausahaan </t>
  </si>
  <si>
    <t>17.Bahasa Jepang</t>
  </si>
  <si>
    <t>1.Pendidikan Agama dan Budi Pekerti</t>
  </si>
  <si>
    <t>14.Konsentrasi Keahlian</t>
  </si>
  <si>
    <t>16.Praktik Kerja Lapangan</t>
  </si>
  <si>
    <t>17.Mepel Pilihan (Bahasa Jepang)</t>
  </si>
  <si>
    <t>RATA-RATA</t>
  </si>
  <si>
    <t>ST1</t>
  </si>
  <si>
    <t>ST2</t>
  </si>
  <si>
    <t>ST3</t>
  </si>
  <si>
    <t>ST4</t>
  </si>
  <si>
    <t>ST5</t>
  </si>
  <si>
    <t>ST6</t>
  </si>
  <si>
    <t>PAI</t>
  </si>
  <si>
    <t>PKN</t>
  </si>
  <si>
    <t>B IND</t>
  </si>
  <si>
    <t>P. SPEAKING</t>
  </si>
  <si>
    <t>MTK</t>
  </si>
  <si>
    <t>B ING</t>
  </si>
  <si>
    <t>B JPN</t>
  </si>
  <si>
    <t>PKK</t>
  </si>
  <si>
    <t>KONST</t>
  </si>
  <si>
    <t>PORT</t>
  </si>
  <si>
    <t>US</t>
  </si>
  <si>
    <t>NA</t>
  </si>
  <si>
    <t>0072443045</t>
  </si>
  <si>
    <t>ADINDA DWI RAHMADANI</t>
  </si>
  <si>
    <t>12 TKJ 1</t>
  </si>
  <si>
    <t>0072963743</t>
  </si>
  <si>
    <t>ADITYA MAULANA P</t>
  </si>
  <si>
    <t>0067882915</t>
  </si>
  <si>
    <t>AKBAR ALFRIYAWAN</t>
  </si>
  <si>
    <t>0076314605</t>
  </si>
  <si>
    <t>AMANDA APRILIANTI</t>
  </si>
  <si>
    <t>0066257670</t>
  </si>
  <si>
    <t>ARJUNA RAFI ABBAD</t>
  </si>
  <si>
    <t>0077051979</t>
  </si>
  <si>
    <t>AULIYA AZZAHRA SALASATUN SALMA</t>
  </si>
  <si>
    <t>0067309902</t>
  </si>
  <si>
    <t>AY GRACE JIREHANAFI</t>
  </si>
  <si>
    <t>0079318854</t>
  </si>
  <si>
    <t>AYUDIAH YETTI TRIARINI</t>
  </si>
  <si>
    <t>0071152117</t>
  </si>
  <si>
    <t>B'RIEW ONGARTA KAYANA</t>
  </si>
  <si>
    <t>0073896303</t>
  </si>
  <si>
    <t>CALSABIIKHA VIDIA WIENDI</t>
  </si>
  <si>
    <t>0068217242</t>
  </si>
  <si>
    <t>CINTHYA AYU VINASIH PURNOMO</t>
  </si>
  <si>
    <t>0069010815</t>
  </si>
  <si>
    <t>DAFFA RIZKI AZZIKRA</t>
  </si>
  <si>
    <t>0075824561</t>
  </si>
  <si>
    <t>DEVI AFPRILIA PUTRI</t>
  </si>
  <si>
    <t>0074811299</t>
  </si>
  <si>
    <t>ERVIN ALVINO</t>
  </si>
  <si>
    <t>0054263230</t>
  </si>
  <si>
    <t>GHIFARI RAJIB ARDHIANSYAH</t>
  </si>
  <si>
    <t>0072494222</t>
  </si>
  <si>
    <t>GRACE CALLISTA MONINGKA</t>
  </si>
  <si>
    <t>0076599152</t>
  </si>
  <si>
    <t>INDRAYANA PANGESTU</t>
  </si>
  <si>
    <t>0068935821</t>
  </si>
  <si>
    <t>JOAN ADITYA NATANAEL</t>
  </si>
  <si>
    <t>0069849431</t>
  </si>
  <si>
    <t>KHAIRUNNISA SAFITRI</t>
  </si>
  <si>
    <t>9713356491</t>
  </si>
  <si>
    <t>MARSYA HUMAIRA</t>
  </si>
  <si>
    <t>0071690422</t>
  </si>
  <si>
    <t>MARSYA SYAFA KHALISA</t>
  </si>
  <si>
    <t>0072743472</t>
  </si>
  <si>
    <t>MELANI</t>
  </si>
  <si>
    <t>0063509830</t>
  </si>
  <si>
    <t>MUHAMMAD LUTHFI HAKIM</t>
  </si>
  <si>
    <t>0068804424</t>
  </si>
  <si>
    <t>MUHAMMAD NUR FACHRIANSYAH</t>
  </si>
  <si>
    <t>0073150761</t>
  </si>
  <si>
    <t>MUTIA SAPITRI</t>
  </si>
  <si>
    <t>0083074894</t>
  </si>
  <si>
    <t>NAYLA AULIA NISSA</t>
  </si>
  <si>
    <t>0071089039</t>
  </si>
  <si>
    <t>NINA NUR NAZWA</t>
  </si>
  <si>
    <t>0066127840</t>
  </si>
  <si>
    <t>NITA AMELIA</t>
  </si>
  <si>
    <t>0071224457</t>
  </si>
  <si>
    <t>PRASANDYA FAHROSIN PUTRA</t>
  </si>
  <si>
    <t>0075752738</t>
  </si>
  <si>
    <t>PUSPA DWI CAHYANI</t>
  </si>
  <si>
    <t>0079850599</t>
  </si>
  <si>
    <t>RAISYA AYU AMALIA</t>
  </si>
  <si>
    <t>0072862556</t>
  </si>
  <si>
    <t>RHAKA APRILIANSYAH PUTRA</t>
  </si>
  <si>
    <t>0078792805</t>
  </si>
  <si>
    <t>RYZKYNTA MARCELLO KARO KARO</t>
  </si>
  <si>
    <t>0075316378</t>
  </si>
  <si>
    <t>SATRIA HAYUDHIN ASADEL HARAHAP</t>
  </si>
  <si>
    <t>0069816417</t>
  </si>
  <si>
    <t>SITI DIYANTI</t>
  </si>
  <si>
    <t>0078046717</t>
  </si>
  <si>
    <t>ZAHRA NUR AZIZAH</t>
  </si>
  <si>
    <t>0075949681</t>
  </si>
  <si>
    <t>AFIANA DWI JUNIANTI</t>
  </si>
  <si>
    <t>12 TKJ 2</t>
  </si>
  <si>
    <t>0067087814</t>
  </si>
  <si>
    <t>AGUNG SETIA BUDI</t>
  </si>
  <si>
    <t>0068064368</t>
  </si>
  <si>
    <t>ANEZ ANGELINA</t>
  </si>
  <si>
    <t>0072279514</t>
  </si>
  <si>
    <t>AUREL CIKA NOVIYANTI</t>
  </si>
  <si>
    <t>0051826430</t>
  </si>
  <si>
    <t>BAYU PRATAMA</t>
  </si>
  <si>
    <t>0075836848</t>
  </si>
  <si>
    <t>BILQIS NAZWA SAFIRA</t>
  </si>
  <si>
    <t>0072952993</t>
  </si>
  <si>
    <t>CATUR AJI PAMUNGKAS</t>
  </si>
  <si>
    <t>0074487845</t>
  </si>
  <si>
    <t>CKHALISTA ANA TASYA</t>
  </si>
  <si>
    <t>0072268004</t>
  </si>
  <si>
    <t>DAVON DANIEL SEMBIRING</t>
  </si>
  <si>
    <t>0074254643</t>
  </si>
  <si>
    <t>DITA ROSALINDA</t>
  </si>
  <si>
    <t>0072217810</t>
  </si>
  <si>
    <t>FADHIL MUHAMMAD</t>
  </si>
  <si>
    <t>0073864887</t>
  </si>
  <si>
    <t>FIRJATULLAH ADIS BUDIONA</t>
  </si>
  <si>
    <t>0078923683</t>
  </si>
  <si>
    <t>HALIM DAFA ANDIKA</t>
  </si>
  <si>
    <t>0077473826</t>
  </si>
  <si>
    <t>IQBAL YOGI ARMANTO</t>
  </si>
  <si>
    <t>0071842278</t>
  </si>
  <si>
    <t>IRMA NUR CAHYANI</t>
  </si>
  <si>
    <t>3060565156</t>
  </si>
  <si>
    <t>KEMALA DEWI</t>
  </si>
  <si>
    <t>0077589962</t>
  </si>
  <si>
    <t>M. ESQIRIZQY MISADI</t>
  </si>
  <si>
    <t>0068866451</t>
  </si>
  <si>
    <t>MELISSA AYU SHAFIRA</t>
  </si>
  <si>
    <t>0076282977</t>
  </si>
  <si>
    <t>MUHAMMAD AL GHAZALI</t>
  </si>
  <si>
    <t>0078746281</t>
  </si>
  <si>
    <t>MUHAMMAD NASHOR EL MARWAZI</t>
  </si>
  <si>
    <t>0065387438</t>
  </si>
  <si>
    <t>MUHAMMAD SYARIF ALTHAFAH</t>
  </si>
  <si>
    <t>0077890962</t>
  </si>
  <si>
    <t>NADIA PRATIWI</t>
  </si>
  <si>
    <t>3062833502</t>
  </si>
  <si>
    <t>NURIN ARISTI SYAFINATUN QOLBI</t>
  </si>
  <si>
    <t>0071058055</t>
  </si>
  <si>
    <t>PUTRA SYAMIRA ALGHANI</t>
  </si>
  <si>
    <t>0076214098</t>
  </si>
  <si>
    <t>PUTRI AMELIA</t>
  </si>
  <si>
    <t>0075937089</t>
  </si>
  <si>
    <t>QYAARA ANISSA SUPRAPTO</t>
  </si>
  <si>
    <t>0075555273</t>
  </si>
  <si>
    <t>RAYZHAN FEBIAN SYAM</t>
  </si>
  <si>
    <t>0075229550</t>
  </si>
  <si>
    <t>REIHAN RIZKI PUTRA</t>
  </si>
  <si>
    <t>0063016924</t>
  </si>
  <si>
    <t>RETNO PUTRI AMELIA</t>
  </si>
  <si>
    <t>0066836218</t>
  </si>
  <si>
    <t>RISKI ADE PUTRA RAMADHAN</t>
  </si>
  <si>
    <t>0079400438</t>
  </si>
  <si>
    <t>SALMA TIANA</t>
  </si>
  <si>
    <t>0072729218</t>
  </si>
  <si>
    <t>SALMAN AJI NUGRAHA</t>
  </si>
  <si>
    <t>0064481209</t>
  </si>
  <si>
    <t>SYAFIRA RAMADANI</t>
  </si>
  <si>
    <t>0068846811</t>
  </si>
  <si>
    <t>SYECHKA ANANDA AGUTA</t>
  </si>
  <si>
    <t>0076121737</t>
  </si>
  <si>
    <t>ZAHRA MAULIDAH</t>
  </si>
  <si>
    <t>0062512065</t>
  </si>
  <si>
    <t>AHMAD RAMDANI</t>
  </si>
  <si>
    <t>12 TKJ 3</t>
  </si>
  <si>
    <t>0077316880</t>
  </si>
  <si>
    <t>AL ZAHRA ELAN SUNANDAR</t>
  </si>
  <si>
    <t>0079227218</t>
  </si>
  <si>
    <t>AQILAH NURIYA HIDAYAT</t>
  </si>
  <si>
    <t>0074218642</t>
  </si>
  <si>
    <t>BAYU SAMARA TUNGGA</t>
  </si>
  <si>
    <t>0073222316</t>
  </si>
  <si>
    <t>BUNGA OLIVIA FITRI YANI</t>
  </si>
  <si>
    <t>0066070050</t>
  </si>
  <si>
    <t>CHRESVO LEONARDO TAMBUN</t>
  </si>
  <si>
    <t>0074091922</t>
  </si>
  <si>
    <t>DESVINA MAHARANI</t>
  </si>
  <si>
    <t>0066920142</t>
  </si>
  <si>
    <t>DUWI SETIAWATI</t>
  </si>
  <si>
    <t>0073117477</t>
  </si>
  <si>
    <t>EGA AQILLA SAPITRA</t>
  </si>
  <si>
    <t>0065573097</t>
  </si>
  <si>
    <t>FADILAH AZAHRA</t>
  </si>
  <si>
    <t>0073648634</t>
  </si>
  <si>
    <t>GALAN JUANAR ALI TEBAR</t>
  </si>
  <si>
    <t>0063406543</t>
  </si>
  <si>
    <t>IHSAN NUR RAHMAN</t>
  </si>
  <si>
    <t>0074597210</t>
  </si>
  <si>
    <t>KHAIRAH SYAFA SUMAYYAH</t>
  </si>
  <si>
    <t>0071177933</t>
  </si>
  <si>
    <t>LUVINTYA NOVINDA</t>
  </si>
  <si>
    <t>0063759086</t>
  </si>
  <si>
    <t>MAULITA APIYANTI</t>
  </si>
  <si>
    <t>0062622033</t>
  </si>
  <si>
    <t>MUHAMMAD ARRON SYABTRIAN</t>
  </si>
  <si>
    <t>0063385301</t>
  </si>
  <si>
    <t>MUHAMMAD NIZAR FAZARI</t>
  </si>
  <si>
    <t>0078815561</t>
  </si>
  <si>
    <t>MUHAMMAD RAIHAN JAMIL SYA'BAN</t>
  </si>
  <si>
    <t>0051567318</t>
  </si>
  <si>
    <t>MUHAMMAD RIFKI HIDAYAT</t>
  </si>
  <si>
    <t>0069308696</t>
  </si>
  <si>
    <t>NAILA NUR ASIH</t>
  </si>
  <si>
    <t>0067698663</t>
  </si>
  <si>
    <t>NANDA FARREL NUR WICAKSONO</t>
  </si>
  <si>
    <t>0079842384</t>
  </si>
  <si>
    <t>NINDYA PUTRI AMANDA</t>
  </si>
  <si>
    <t>3079853284</t>
  </si>
  <si>
    <t>PINGKI PIRNANDA</t>
  </si>
  <si>
    <t>0067414767</t>
  </si>
  <si>
    <t>PUTRI NABILA</t>
  </si>
  <si>
    <t>0077297024</t>
  </si>
  <si>
    <t>RAFIF NAJMI KAMAL</t>
  </si>
  <si>
    <t>0073982400</t>
  </si>
  <si>
    <t>RAHMAH ADAWIYYAH</t>
  </si>
  <si>
    <t>0074961089</t>
  </si>
  <si>
    <t>REZA ADITYA ALFIANI</t>
  </si>
  <si>
    <t>0073401089</t>
  </si>
  <si>
    <t>RIZKY FADILLAH</t>
  </si>
  <si>
    <t>0071868730</t>
  </si>
  <si>
    <t>SALWA SALSABILA</t>
  </si>
  <si>
    <t>0078729425</t>
  </si>
  <si>
    <t>SAMANDA</t>
  </si>
  <si>
    <t>0081420081</t>
  </si>
  <si>
    <t>SATRIA DEKA PUTRA</t>
  </si>
  <si>
    <t>0067930095</t>
  </si>
  <si>
    <t>SHOYIBATUL ASLAMIYYAH</t>
  </si>
  <si>
    <t>0075813077</t>
  </si>
  <si>
    <t>SITI ZASKIA PUTRI ANDINI</t>
  </si>
  <si>
    <t>0074293691</t>
  </si>
  <si>
    <t>VALENTINO VAN ENST</t>
  </si>
  <si>
    <t>0073872247</t>
  </si>
  <si>
    <t>VIRYANDA ALVIANDHIKA</t>
  </si>
  <si>
    <t>0075424499</t>
  </si>
  <si>
    <t>WIDIA SARI</t>
  </si>
  <si>
    <t>MATA PELAJARAN UMUM</t>
  </si>
  <si>
    <t>MUATAN LOKAL</t>
  </si>
  <si>
    <t>MATA PELAJARAN KEJURUAN</t>
  </si>
  <si>
    <t>IPAS</t>
  </si>
  <si>
    <t>PENGOLAHAN NILAI UJIAN SATUAN PENDIDIKAN</t>
  </si>
  <si>
    <t>TAHUN PELAJARAN 2024 / 2025</t>
  </si>
  <si>
    <t xml:space="preserve">NAMA SEKOLAH      </t>
  </si>
  <si>
    <t>ALAMAT</t>
  </si>
  <si>
    <t>NOMOR</t>
  </si>
  <si>
    <t>NAMA SISWA</t>
  </si>
  <si>
    <t>NILAI RATA-RATA</t>
  </si>
  <si>
    <t>JENIS NILAI</t>
  </si>
  <si>
    <t>Pend. Agama dan Budi Pekerti</t>
  </si>
  <si>
    <t>PendIdikan Pancasila</t>
  </si>
  <si>
    <t>Bahasa Indonesia</t>
  </si>
  <si>
    <t>Pendidikan Jasmani, Olah Raga dan Kesehatan</t>
  </si>
  <si>
    <t xml:space="preserve">Sejarah </t>
  </si>
  <si>
    <t>Seni Budaya</t>
  </si>
  <si>
    <t>Bahasa Sunda</t>
  </si>
  <si>
    <t>Matematika</t>
  </si>
  <si>
    <t>Bahasa Inggris</t>
  </si>
  <si>
    <t>Informatika</t>
  </si>
  <si>
    <t>Dasar-Dasar Program Keahlian</t>
  </si>
  <si>
    <t>Konsentrasi Keahlian</t>
  </si>
  <si>
    <t>Projek Kreatif dan Kewirausahaan</t>
  </si>
  <si>
    <t>Praktek Kerja Lapangan</t>
  </si>
  <si>
    <t>SMT 1</t>
  </si>
  <si>
    <t>SMT 2</t>
  </si>
  <si>
    <t>SMT 3</t>
  </si>
  <si>
    <t>SMT 4</t>
  </si>
  <si>
    <t>SMT 5</t>
  </si>
  <si>
    <t>PORTOPOLIO</t>
  </si>
  <si>
    <t>PENUGASAN</t>
  </si>
  <si>
    <t>Nilai US</t>
  </si>
  <si>
    <t>Nilai Akhir</t>
  </si>
  <si>
    <t>Mengetahui/Menyetujui</t>
  </si>
  <si>
    <t>Pengawas Pembina SMK,</t>
  </si>
  <si>
    <t>Sumarno, S.Pd, M.Pd</t>
  </si>
  <si>
    <t>NIP. 197109152008011003</t>
  </si>
  <si>
    <t>: SMKS TINTA EMAS INDONESIA</t>
  </si>
  <si>
    <t>: JL. ASEM RAYA NO.1 KP. CIKETING KEL./KEC. MUSTIKA JAYA KOTA BEKASI 17158</t>
  </si>
  <si>
    <t>Publik Speaking</t>
  </si>
  <si>
    <t>Mata Pelajaran Pilihan (Bahasa Jepang)</t>
  </si>
  <si>
    <t>14. Konsentrasi Keahlian</t>
  </si>
  <si>
    <t>222310055</t>
  </si>
  <si>
    <t>222310056</t>
  </si>
  <si>
    <t>222310057</t>
  </si>
  <si>
    <t>222310058</t>
  </si>
  <si>
    <t>242512173</t>
  </si>
  <si>
    <t>222310059</t>
  </si>
  <si>
    <t>222310060</t>
  </si>
  <si>
    <t>222310061</t>
  </si>
  <si>
    <t>222310062</t>
  </si>
  <si>
    <t>222310063</t>
  </si>
  <si>
    <t>222310098</t>
  </si>
  <si>
    <t>222310064</t>
  </si>
  <si>
    <t>222310065</t>
  </si>
  <si>
    <t>222310066</t>
  </si>
  <si>
    <t>222310067</t>
  </si>
  <si>
    <t>222310068</t>
  </si>
  <si>
    <t>222310069</t>
  </si>
  <si>
    <t>222310070</t>
  </si>
  <si>
    <t>222310072</t>
  </si>
  <si>
    <t>222310073</t>
  </si>
  <si>
    <t>222310074</t>
  </si>
  <si>
    <t>222310075</t>
  </si>
  <si>
    <t>222310076</t>
  </si>
  <si>
    <t>222310077</t>
  </si>
  <si>
    <t>222310078</t>
  </si>
  <si>
    <t>222310079</t>
  </si>
  <si>
    <t>222310080</t>
  </si>
  <si>
    <t>222310081</t>
  </si>
  <si>
    <t>222310082</t>
  </si>
  <si>
    <t>222310083</t>
  </si>
  <si>
    <t>222310085</t>
  </si>
  <si>
    <t>222310086</t>
  </si>
  <si>
    <t>222310087</t>
  </si>
  <si>
    <t>222310088</t>
  </si>
  <si>
    <t>222310089</t>
  </si>
  <si>
    <t>222310090</t>
  </si>
  <si>
    <t>222310091</t>
  </si>
  <si>
    <t>222310092</t>
  </si>
  <si>
    <t>222310093</t>
  </si>
  <si>
    <t>222310094</t>
  </si>
  <si>
    <t>222310095</t>
  </si>
  <si>
    <t>222310096</t>
  </si>
  <si>
    <t>222310097</t>
  </si>
  <si>
    <t>222310099</t>
  </si>
  <si>
    <t>222310100</t>
  </si>
  <si>
    <t>222310101</t>
  </si>
  <si>
    <t>222310102</t>
  </si>
  <si>
    <t>222310103</t>
  </si>
  <si>
    <t>222310104</t>
  </si>
  <si>
    <t>222310105</t>
  </si>
  <si>
    <t>222310106</t>
  </si>
  <si>
    <t>222310107</t>
  </si>
  <si>
    <t>222310108</t>
  </si>
  <si>
    <t>222310110</t>
  </si>
  <si>
    <t>222310111</t>
  </si>
  <si>
    <t>222310112</t>
  </si>
  <si>
    <t>222310113</t>
  </si>
  <si>
    <t>222310114</t>
  </si>
  <si>
    <t>222310115</t>
  </si>
  <si>
    <t>222310116</t>
  </si>
  <si>
    <t>222310117</t>
  </si>
  <si>
    <t>222310118</t>
  </si>
  <si>
    <t>222310119</t>
  </si>
  <si>
    <t>222310120</t>
  </si>
  <si>
    <t>222310121</t>
  </si>
  <si>
    <t>222310122</t>
  </si>
  <si>
    <t>222310123</t>
  </si>
  <si>
    <t>222310124</t>
  </si>
  <si>
    <t>222310125</t>
  </si>
  <si>
    <t>222310126</t>
  </si>
  <si>
    <t>222310127</t>
  </si>
  <si>
    <t>222310128</t>
  </si>
  <si>
    <t>222310129</t>
  </si>
  <si>
    <t>222310130</t>
  </si>
  <si>
    <t>222310131</t>
  </si>
  <si>
    <t>222310132</t>
  </si>
  <si>
    <t>222310133</t>
  </si>
  <si>
    <t>222310134</t>
  </si>
  <si>
    <t>222310135</t>
  </si>
  <si>
    <t>222310136</t>
  </si>
  <si>
    <t>222310137</t>
  </si>
  <si>
    <t>222310138</t>
  </si>
  <si>
    <t>222310139</t>
  </si>
  <si>
    <t>222310140</t>
  </si>
  <si>
    <t>222310141</t>
  </si>
  <si>
    <t>222310143</t>
  </si>
  <si>
    <t>222310144</t>
  </si>
  <si>
    <t>222310145</t>
  </si>
  <si>
    <t>222310142</t>
  </si>
  <si>
    <t>222310146</t>
  </si>
  <si>
    <t>222310147</t>
  </si>
  <si>
    <t>222310148</t>
  </si>
  <si>
    <t>222310149</t>
  </si>
  <si>
    <t>222310150</t>
  </si>
  <si>
    <t>222310151</t>
  </si>
  <si>
    <t>222310152</t>
  </si>
  <si>
    <t>222310153</t>
  </si>
  <si>
    <t>222310154</t>
  </si>
  <si>
    <t>222310155</t>
  </si>
  <si>
    <t>222310156</t>
  </si>
  <si>
    <t>222310157</t>
  </si>
  <si>
    <t>222310158</t>
  </si>
  <si>
    <t>222310159</t>
  </si>
  <si>
    <t>232411212</t>
  </si>
  <si>
    <t>222310160</t>
  </si>
  <si>
    <t>222310162</t>
  </si>
  <si>
    <t>222310163</t>
  </si>
  <si>
    <t>Kepala SMK Tinta Emas Indonesia</t>
  </si>
  <si>
    <t>Supriyatin ,S.Pd</t>
  </si>
  <si>
    <t>NIP: --</t>
  </si>
  <si>
    <t>14.Teknik Dasar Memprogram</t>
  </si>
  <si>
    <t>15.Rekayasa Elektronika Digital</t>
  </si>
  <si>
    <t>16.Proses Produksi &amp; Rekayasa Elektronika</t>
  </si>
  <si>
    <t>17.Penerapan Teknik Pemograman Digital</t>
  </si>
  <si>
    <t>18.Penerapan Sistem Radio dan Televisi</t>
  </si>
  <si>
    <t>19.Perencanaan &amp; Instalasi Rangkaian Elektronika</t>
  </si>
  <si>
    <t>20. Perawatan dan Perbaikan Peralatan Elektronika</t>
  </si>
  <si>
    <t>0067243013</t>
  </si>
  <si>
    <t>ADRIAN FAUZAN</t>
  </si>
  <si>
    <t>12 TAV</t>
  </si>
  <si>
    <t>0062623676</t>
  </si>
  <si>
    <t>AHMAD ZAKI YAMAN</t>
  </si>
  <si>
    <t>0078712500</t>
  </si>
  <si>
    <t>AMANDA ZAHRA FEBRIYANI</t>
  </si>
  <si>
    <t>0076916900</t>
  </si>
  <si>
    <t>ANGGI ISMAYANTI</t>
  </si>
  <si>
    <t>0073506435</t>
  </si>
  <si>
    <t>FAHRI ISNAINI</t>
  </si>
  <si>
    <t>0071025955</t>
  </si>
  <si>
    <t>INDRIYANI</t>
  </si>
  <si>
    <t>0076911645</t>
  </si>
  <si>
    <t>JERICHO AMAZIA AWULLE</t>
  </si>
  <si>
    <t>0078635840</t>
  </si>
  <si>
    <t>KHALIF HONEST TAWADLU</t>
  </si>
  <si>
    <t>0077294980</t>
  </si>
  <si>
    <t>RAFAELINO RUFFUS SERAN</t>
  </si>
  <si>
    <t>0072799712</t>
  </si>
  <si>
    <t>RASYA JULIAN SAPUTRA</t>
  </si>
  <si>
    <t>0071406334</t>
  </si>
  <si>
    <t>RAYHAN ADI SAPUTRA</t>
  </si>
  <si>
    <t>0051828635</t>
  </si>
  <si>
    <t>SELVIA OKTAVIANI</t>
  </si>
  <si>
    <t>0078854637</t>
  </si>
  <si>
    <t>TASYA AULIA AGUSTIN</t>
  </si>
  <si>
    <t>0061447141</t>
  </si>
  <si>
    <t>ZASKIA ZANIAR</t>
  </si>
  <si>
    <t>222310001</t>
  </si>
  <si>
    <t>222310002</t>
  </si>
  <si>
    <t>222310003</t>
  </si>
  <si>
    <t>222310004</t>
  </si>
  <si>
    <t>222310005</t>
  </si>
  <si>
    <t>222310006</t>
  </si>
  <si>
    <t>222310007</t>
  </si>
  <si>
    <t>222310008</t>
  </si>
  <si>
    <t>222310009</t>
  </si>
  <si>
    <t>222310010</t>
  </si>
  <si>
    <t>222310011</t>
  </si>
  <si>
    <t>222310012</t>
  </si>
  <si>
    <t>222310013</t>
  </si>
  <si>
    <t>222310014</t>
  </si>
  <si>
    <t>222310015</t>
  </si>
  <si>
    <t>ACHMAD ALDILAH</t>
  </si>
  <si>
    <t>222310016</t>
  </si>
  <si>
    <t>AKHADI DIKA SATRIAJI</t>
  </si>
  <si>
    <t>222310017</t>
  </si>
  <si>
    <t>ALIYUDIN</t>
  </si>
  <si>
    <t>222310018</t>
  </si>
  <si>
    <t>DANU HARIADI</t>
  </si>
  <si>
    <t>222310019</t>
  </si>
  <si>
    <t>DIMAS PRASETYO</t>
  </si>
  <si>
    <t>222310020</t>
  </si>
  <si>
    <t>GIVEN GERALDO KALIGIS</t>
  </si>
  <si>
    <t>222310021</t>
  </si>
  <si>
    <t>HERU RAMADANA</t>
  </si>
  <si>
    <t>222310022</t>
  </si>
  <si>
    <t>IHSANTOSO DWI NUGROHO</t>
  </si>
  <si>
    <t>222310023</t>
  </si>
  <si>
    <t>KAREEM ABDUL RAHMAN AL AYYUBI</t>
  </si>
  <si>
    <t>222310024</t>
  </si>
  <si>
    <t>M. FASYAH LUKMAN</t>
  </si>
  <si>
    <t>222310025</t>
  </si>
  <si>
    <t>M.RIZKY HARDIANSYAH</t>
  </si>
  <si>
    <t>222310026</t>
  </si>
  <si>
    <t>M. SANJAYA</t>
  </si>
  <si>
    <t>222310027</t>
  </si>
  <si>
    <t>MUHAMAD FAIZAL</t>
  </si>
  <si>
    <t>222310028</t>
  </si>
  <si>
    <t>MUHAMAD REHAN</t>
  </si>
  <si>
    <t>222310029</t>
  </si>
  <si>
    <t>MUHAMMAD ADNAN</t>
  </si>
  <si>
    <t>222310030</t>
  </si>
  <si>
    <t>MUHAMMAD MALIK FAJAR</t>
  </si>
  <si>
    <t>222310031</t>
  </si>
  <si>
    <t>MUHAMMAD RADJA RIFQI WIRAWAN</t>
  </si>
  <si>
    <t>222310032</t>
  </si>
  <si>
    <t>MUHAMMAD RIFKY ARYADI</t>
  </si>
  <si>
    <t>222310033</t>
  </si>
  <si>
    <t>RASYA FIRMANSAH</t>
  </si>
  <si>
    <t>222310034</t>
  </si>
  <si>
    <t>RYDO VIRGIAN</t>
  </si>
  <si>
    <t>222310035</t>
  </si>
  <si>
    <t>AHMAD UBAYDILLAH</t>
  </si>
  <si>
    <t>222310036</t>
  </si>
  <si>
    <t>AL GHANIYYU SYAHRUL PARINDINGAN</t>
  </si>
  <si>
    <t>222310037</t>
  </si>
  <si>
    <t>BAGUS NUGROHO</t>
  </si>
  <si>
    <t>222310038</t>
  </si>
  <si>
    <t>DENI HANGGARA</t>
  </si>
  <si>
    <t>222310039</t>
  </si>
  <si>
    <t>FARHAN RISKY RAMADAN</t>
  </si>
  <si>
    <t>222310040</t>
  </si>
  <si>
    <t>HAYKAL AKBAR</t>
  </si>
  <si>
    <t>222310042</t>
  </si>
  <si>
    <t>JULFIKAR TUARITA</t>
  </si>
  <si>
    <t>222310043</t>
  </si>
  <si>
    <t>KENDRIK AL KWAJA PASA</t>
  </si>
  <si>
    <t>222310045</t>
  </si>
  <si>
    <t>MOCH FAUZAN FIRDAUS</t>
  </si>
  <si>
    <t>222310046</t>
  </si>
  <si>
    <t>MUHAMAD ALFIANSAH AS</t>
  </si>
  <si>
    <t>222310049</t>
  </si>
  <si>
    <t>MUHAMAD MUKHSIN</t>
  </si>
  <si>
    <t>222310047</t>
  </si>
  <si>
    <t>MUHAMMAD ADLIS KAIFA</t>
  </si>
  <si>
    <t>222310048</t>
  </si>
  <si>
    <t>MUHAMMAD FAREL APRIANSYAH</t>
  </si>
  <si>
    <t>222310044</t>
  </si>
  <si>
    <t>MUHAMMAD RAIHAN AL FATIH RIZQI</t>
  </si>
  <si>
    <t>222310050</t>
  </si>
  <si>
    <t>MUHAMMAD RENDY ARYANTO</t>
  </si>
  <si>
    <t>222310051</t>
  </si>
  <si>
    <t>MUHAMMAD RIZKY AKBAR</t>
  </si>
  <si>
    <t>222310052</t>
  </si>
  <si>
    <t>MUHAMMAD ZAKARIA</t>
  </si>
  <si>
    <t>222310053</t>
  </si>
  <si>
    <t>RAYHAN IBNU KHAFI</t>
  </si>
  <si>
    <t>222310054</t>
  </si>
  <si>
    <t>SAFEI MALIK</t>
  </si>
  <si>
    <t>222310164</t>
  </si>
  <si>
    <t>ADE RINA SEPTIANI</t>
  </si>
  <si>
    <t>222310165</t>
  </si>
  <si>
    <t>ADILLA OLIVIA DAMIATI</t>
  </si>
  <si>
    <t>222310166</t>
  </si>
  <si>
    <t>AILA ZAHRA FARADIBA</t>
  </si>
  <si>
    <t>222310167</t>
  </si>
  <si>
    <t>ALIFYA QISTHY LATHIFA GUNAWAN</t>
  </si>
  <si>
    <t>222310168</t>
  </si>
  <si>
    <t>ALYA CINDI ANGGRAENI</t>
  </si>
  <si>
    <t>222310169</t>
  </si>
  <si>
    <t>AMELIA HIKMAH</t>
  </si>
  <si>
    <t>222310170</t>
  </si>
  <si>
    <t>ARLIN NANDA SETIANI</t>
  </si>
  <si>
    <t>222310171</t>
  </si>
  <si>
    <t>ASILA RAMADHANI</t>
  </si>
  <si>
    <t>222310172</t>
  </si>
  <si>
    <t>AULIA RAHMAWATI</t>
  </si>
  <si>
    <t>222310173</t>
  </si>
  <si>
    <t>AURELLIA CANDRAINI</t>
  </si>
  <si>
    <t>222310174</t>
  </si>
  <si>
    <t>CANTIKA PUTRI HAPSARI</t>
  </si>
  <si>
    <t>222310175</t>
  </si>
  <si>
    <t>CHELSI YAELINA YOHANES</t>
  </si>
  <si>
    <t>222310176</t>
  </si>
  <si>
    <t>CINTYA FEBRIANA ALMAR'ATUL AWALIA</t>
  </si>
  <si>
    <t>222310177</t>
  </si>
  <si>
    <t>DAVINA PUTRI MELINDA</t>
  </si>
  <si>
    <t>222310179</t>
  </si>
  <si>
    <t>ELISYA MEIZAHRA</t>
  </si>
  <si>
    <t>222310180</t>
  </si>
  <si>
    <t>FAJRIATUL FITRIA</t>
  </si>
  <si>
    <t>222310181</t>
  </si>
  <si>
    <t>FANDA CHELSIE RUNTUTHOMAS</t>
  </si>
  <si>
    <t>222310183</t>
  </si>
  <si>
    <t>HALUNA SHAFA RAHMADANI</t>
  </si>
  <si>
    <t>222310184</t>
  </si>
  <si>
    <t>HANA SAJIDA HOIRUNISA</t>
  </si>
  <si>
    <t>222310185</t>
  </si>
  <si>
    <t>KARTIKA DEWI UTARI</t>
  </si>
  <si>
    <t>222310186</t>
  </si>
  <si>
    <t>MEVIA ANDARA ARIF</t>
  </si>
  <si>
    <t>222310187</t>
  </si>
  <si>
    <t>NABILA KUSNADI</t>
  </si>
  <si>
    <t>222310188</t>
  </si>
  <si>
    <t>NASYWA SAWALIYAH</t>
  </si>
  <si>
    <t>222310189</t>
  </si>
  <si>
    <t>NAYLA PUTRI</t>
  </si>
  <si>
    <t>222310190</t>
  </si>
  <si>
    <t>NISA DIARAH</t>
  </si>
  <si>
    <t>222310191</t>
  </si>
  <si>
    <t>PUAN MARITO DINDA ELSADAY LUMBANTUNGKUP</t>
  </si>
  <si>
    <t>222310192</t>
  </si>
  <si>
    <t>PUTRI DINAR ISWARI</t>
  </si>
  <si>
    <t>222310193</t>
  </si>
  <si>
    <t>QAYLA SOFIA</t>
  </si>
  <si>
    <t>222310194</t>
  </si>
  <si>
    <t>R. CAYSHIA FEBRILYAN</t>
  </si>
  <si>
    <t>222310195</t>
  </si>
  <si>
    <t>RADEN ANANDA FEBRIYANTI RACHMAN</t>
  </si>
  <si>
    <t>222310196</t>
  </si>
  <si>
    <t>RASYA NAFISHA AZZAHRA</t>
  </si>
  <si>
    <t>222310197</t>
  </si>
  <si>
    <t>RENDA MAWAR RANI</t>
  </si>
  <si>
    <t>222310198</t>
  </si>
  <si>
    <t>REZA APRILA SUGIANTO</t>
  </si>
  <si>
    <t>222310199</t>
  </si>
  <si>
    <t>RISKA IMELDA</t>
  </si>
  <si>
    <t>222310200</t>
  </si>
  <si>
    <t>SABRINA SAFIRA</t>
  </si>
  <si>
    <t>222310201</t>
  </si>
  <si>
    <t>SABRINA SALSABILA</t>
  </si>
  <si>
    <t>222310202</t>
  </si>
  <si>
    <t>SASKIA ARSYINTA BELLA</t>
  </si>
  <si>
    <t>222310203</t>
  </si>
  <si>
    <t>SHINTA AULIA</t>
  </si>
  <si>
    <t>222310204</t>
  </si>
  <si>
    <t>SYIFA AZ ZAHRA</t>
  </si>
  <si>
    <t>222310205</t>
  </si>
  <si>
    <t>TRI RAMAH DANI</t>
  </si>
  <si>
    <t>12 TKR 1</t>
  </si>
  <si>
    <t>12 TKR 2</t>
  </si>
  <si>
    <t>0072600435</t>
  </si>
  <si>
    <t>0078419956</t>
  </si>
  <si>
    <t>0073159676</t>
  </si>
  <si>
    <t>0079173166</t>
  </si>
  <si>
    <t>0065714978</t>
  </si>
  <si>
    <t>0074112763</t>
  </si>
  <si>
    <t>0075760068</t>
  </si>
  <si>
    <t>0074812062</t>
  </si>
  <si>
    <t>0079248453</t>
  </si>
  <si>
    <t>0067297552</t>
  </si>
  <si>
    <t>0063698062</t>
  </si>
  <si>
    <t>3069053002</t>
  </si>
  <si>
    <t>0065554964</t>
  </si>
  <si>
    <t>0033221584</t>
  </si>
  <si>
    <t>0079218286</t>
  </si>
  <si>
    <t>0071018549</t>
  </si>
  <si>
    <t>0074239969</t>
  </si>
  <si>
    <t>0074150660</t>
  </si>
  <si>
    <t>0075309267</t>
  </si>
  <si>
    <t>3076791858</t>
  </si>
  <si>
    <t>0065889344</t>
  </si>
  <si>
    <t>0059919684</t>
  </si>
  <si>
    <t>0078620248</t>
  </si>
  <si>
    <t>0061540240</t>
  </si>
  <si>
    <t>0067651397</t>
  </si>
  <si>
    <t>0079408423</t>
  </si>
  <si>
    <t>0065941921</t>
  </si>
  <si>
    <t>0078529074</t>
  </si>
  <si>
    <t>0071301597</t>
  </si>
  <si>
    <t>0072035750</t>
  </si>
  <si>
    <t>0075458688</t>
  </si>
  <si>
    <t>0072352651</t>
  </si>
  <si>
    <t>0079435292</t>
  </si>
  <si>
    <t>0071493658</t>
  </si>
  <si>
    <t>0077100925</t>
  </si>
  <si>
    <t>0072446713</t>
  </si>
  <si>
    <t>0078862548</t>
  </si>
  <si>
    <t>0071925432</t>
  </si>
  <si>
    <t>0078032496</t>
  </si>
  <si>
    <t>14.Pemeliharaan Mesin Kendaraan Ringan</t>
  </si>
  <si>
    <t>14.Pemeliharaan Cassis &amp; Pemindah Tenaga</t>
  </si>
  <si>
    <t>14.Pemeliharaan Kelistrikan Kendaraan Ringan</t>
  </si>
  <si>
    <t>0078862239</t>
  </si>
  <si>
    <t>12 AKL</t>
  </si>
  <si>
    <t>0079354264</t>
  </si>
  <si>
    <t>0073136346</t>
  </si>
  <si>
    <t>0076932584</t>
  </si>
  <si>
    <t>0055793956</t>
  </si>
  <si>
    <t>0064413084</t>
  </si>
  <si>
    <t>0074477241</t>
  </si>
  <si>
    <t>0065286114</t>
  </si>
  <si>
    <t>0075236726</t>
  </si>
  <si>
    <t>0063122561</t>
  </si>
  <si>
    <t>0071218686</t>
  </si>
  <si>
    <t>0079568320</t>
  </si>
  <si>
    <t>0077865691</t>
  </si>
  <si>
    <t>0074792284</t>
  </si>
  <si>
    <t>0077955069</t>
  </si>
  <si>
    <t>0064918971</t>
  </si>
  <si>
    <t>0079010159</t>
  </si>
  <si>
    <t>0071266100</t>
  </si>
  <si>
    <t>0064534360</t>
  </si>
  <si>
    <t>0077577655</t>
  </si>
  <si>
    <t>3072095238</t>
  </si>
  <si>
    <t>0063299614</t>
  </si>
  <si>
    <t>0078351494</t>
  </si>
  <si>
    <t>0066271961</t>
  </si>
  <si>
    <t>0061478498</t>
  </si>
  <si>
    <t>0085718819</t>
  </si>
  <si>
    <t>0066020474</t>
  </si>
  <si>
    <t>0065593007</t>
  </si>
  <si>
    <t>0072094000</t>
  </si>
  <si>
    <t>0076665478</t>
  </si>
  <si>
    <t>0073805947</t>
  </si>
  <si>
    <t>0076607927</t>
  </si>
  <si>
    <t>0079776503</t>
  </si>
  <si>
    <t>0058977870</t>
  </si>
  <si>
    <t>0061821988</t>
  </si>
  <si>
    <t>0085611369</t>
  </si>
  <si>
    <t>0079994386</t>
  </si>
  <si>
    <t>0075017475</t>
  </si>
  <si>
    <t>0066188156</t>
  </si>
  <si>
    <t>0066054194</t>
  </si>
  <si>
    <t>Bekasi, 21 April 2025</t>
  </si>
  <si>
    <t>NAMA</t>
  </si>
  <si>
    <t>KLS</t>
  </si>
  <si>
    <t>NS</t>
  </si>
  <si>
    <t>RATA2 NILAI AKHIR SEKOLAH</t>
  </si>
  <si>
    <t>KET</t>
  </si>
  <si>
    <t>NAMA SISWA PRESTASI BID. AKADEMIK</t>
  </si>
  <si>
    <t>LAPORAN MASING - MASING WALAS XII</t>
  </si>
  <si>
    <t>XII TE</t>
  </si>
  <si>
    <t>L</t>
  </si>
  <si>
    <t>P</t>
  </si>
  <si>
    <t>XII TO 1</t>
  </si>
  <si>
    <t>JUMLAH SISWA</t>
  </si>
  <si>
    <t>HERLAMBANG PRAMONO, S.Pd</t>
  </si>
  <si>
    <t xml:space="preserve">SISWA YG BERMASALAH </t>
  </si>
  <si>
    <t>IHSANTOSO</t>
  </si>
  <si>
    <t>ABSENSI</t>
  </si>
  <si>
    <t>XII TO 2</t>
  </si>
  <si>
    <t>NURAINI, S.Pd</t>
  </si>
  <si>
    <t>ALGHANIYYU</t>
  </si>
  <si>
    <t>XII TKJ 1</t>
  </si>
  <si>
    <t>SISWA BERMASALAH</t>
  </si>
  <si>
    <t>WAHYU PERDANA, S.Kom</t>
  </si>
  <si>
    <t>JUMLAH</t>
  </si>
  <si>
    <t>XII TKJ 2</t>
  </si>
  <si>
    <t>XII TKJ 3</t>
  </si>
  <si>
    <t>M. Nizar</t>
  </si>
  <si>
    <t>halim hafis</t>
  </si>
  <si>
    <t>siswa bermasalah</t>
  </si>
  <si>
    <t>Jericho</t>
  </si>
  <si>
    <t>Khalip</t>
  </si>
  <si>
    <t>Fatmawaty</t>
  </si>
  <si>
    <t>Listia</t>
  </si>
  <si>
    <t>XII AK</t>
  </si>
  <si>
    <t>Heni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</si>
</sst>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charset val="1"/>
      <scheme val="minor"/>
    </font>
    <font>
      <sz val="11"/>
      <color theme="1"/>
      <name val="Calibri"/>
      <family val="2"/>
      <scheme val="minor"/>
    </font>
    <font>
      <b/>
      <sz val="1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2"/>
      <color theme="1"/>
      <name val="Arial"/>
      <family val="2"/>
    </font>
    <font>
      <sz val="11"/>
      <name val="Calibri"/>
      <family val="2"/>
      <scheme val="minor"/>
    </font>
    <font>
      <sz val="11"/>
      <color theme="1"/>
      <name val="Calibri"/>
      <charset val="134"/>
      <scheme val="minor"/>
    </font>
    <font>
      <b/>
      <sz val="18"/>
      <color theme="1"/>
      <name val="Times New Roman"/>
      <family val="1"/>
    </font>
    <font>
      <b/>
      <sz val="18"/>
      <color theme="1"/>
      <name val="Calibri"/>
      <family val="2"/>
      <scheme val="minor"/>
    </font>
    <font>
      <b/>
      <sz val="11"/>
      <color theme="1"/>
      <name val="Arial Narrow"/>
      <family val="2"/>
    </font>
    <font>
      <sz val="11"/>
      <color theme="1"/>
      <name val="Arial Narrow"/>
      <family val="2"/>
    </font>
    <font>
      <b/>
      <sz val="9"/>
      <color theme="1"/>
      <name val="Arial Narrow"/>
      <family val="2"/>
    </font>
    <font>
      <b/>
      <sz val="12"/>
      <color theme="1"/>
      <name val="Arial Narrow"/>
      <family val="2"/>
    </font>
    <font>
      <b/>
      <sz val="11"/>
      <color indexed="8"/>
      <name val="Calibri"/>
      <family val="2"/>
    </font>
    <font>
      <b/>
      <sz val="10"/>
      <color theme="1"/>
      <name val="Calibri"/>
      <family val="2"/>
      <scheme val="minor"/>
    </font>
    <font>
      <b/>
      <sz val="11"/>
      <name val="Arial Narrow"/>
      <family val="2"/>
    </font>
    <font>
      <b/>
      <sz val="8"/>
      <color theme="1"/>
      <name val="Arial Narrow"/>
      <family val="2"/>
    </font>
    <font>
      <b/>
      <sz val="10"/>
      <color theme="1"/>
      <name val="Arial Narrow"/>
      <family val="2"/>
    </font>
    <font>
      <sz val="11"/>
      <color theme="1" tint="0.499984740745262"/>
      <name val="Arial Narrow"/>
      <family val="2"/>
    </font>
    <font>
      <b/>
      <sz val="10"/>
      <color indexed="8"/>
      <name val="Calibri"/>
      <family val="2"/>
    </font>
    <font>
      <sz val="11"/>
      <name val="Arial Narrow"/>
      <family val="2"/>
    </font>
    <font>
      <sz val="10"/>
      <color indexed="8"/>
      <name val="Calibri"/>
      <family val="2"/>
    </font>
    <font>
      <b/>
      <sz val="8"/>
      <name val="Arial Narrow"/>
      <family val="2"/>
    </font>
    <font>
      <b/>
      <sz val="10"/>
      <name val="Arial Narrow"/>
      <family val="2"/>
    </font>
    <font>
      <sz val="12"/>
      <color theme="1"/>
      <name val="Times New Roman"/>
      <family val="1"/>
    </font>
    <font>
      <sz val="11"/>
      <color theme="1"/>
      <name val="Arial"/>
      <family val="2"/>
    </font>
    <font>
      <sz val="11"/>
      <color theme="1"/>
      <name val="Calibri"/>
      <family val="2"/>
    </font>
    <font>
      <sz val="11"/>
      <color rgb="FF000000"/>
      <name val="Calibri"/>
      <family val="2"/>
      <scheme val="minor"/>
    </font>
  </fonts>
  <fills count="30">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rgb="FFFF0000"/>
        <bgColor indexed="64"/>
      </patternFill>
    </fill>
    <fill>
      <patternFill patternType="solid">
        <fgColor rgb="FF00B050"/>
        <bgColor indexed="64"/>
      </patternFill>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theme="7" tint="0.59999389629810485"/>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rgb="FF00B0F0"/>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5" tint="0.79995117038483843"/>
        <bgColor indexed="64"/>
      </patternFill>
    </fill>
    <fill>
      <patternFill patternType="solid">
        <fgColor theme="7" tint="0.79995117038483843"/>
        <bgColor indexed="64"/>
      </patternFill>
    </fill>
    <fill>
      <patternFill patternType="solid">
        <fgColor theme="4" tint="0.39994506668294322"/>
        <bgColor indexed="64"/>
      </patternFill>
    </fill>
    <fill>
      <patternFill patternType="solid">
        <fgColor theme="9" tint="0.79995117038483843"/>
        <bgColor indexed="64"/>
      </patternFill>
    </fill>
    <fill>
      <patternFill patternType="solid">
        <fgColor theme="7" tint="0.3999450666829432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227ACB"/>
        <bgColor indexed="64"/>
      </patternFill>
    </fill>
    <fill>
      <patternFill patternType="solid">
        <fgColor rgb="FF29B95C"/>
        <bgColor indexed="64"/>
      </patternFill>
    </fill>
    <fill>
      <patternFill patternType="solid">
        <fgColor theme="8" tint="0.39997558519241921"/>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auto="1"/>
      </left>
      <right style="medium">
        <color auto="1"/>
      </right>
      <top/>
      <bottom/>
      <diagonal/>
    </border>
    <border>
      <left style="medium">
        <color auto="1"/>
      </left>
      <right/>
      <top/>
      <bottom/>
      <diagonal/>
    </border>
    <border>
      <left style="thin">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style="thin">
        <color auto="1"/>
      </bottom>
      <diagonal/>
    </border>
    <border>
      <left style="medium">
        <color auto="1"/>
      </left>
      <right style="medium">
        <color auto="1"/>
      </right>
      <top/>
      <bottom style="double">
        <color auto="1"/>
      </bottom>
      <diagonal/>
    </border>
    <border>
      <left style="medium">
        <color auto="1"/>
      </left>
      <right style="medium">
        <color auto="1"/>
      </right>
      <top style="thin">
        <color auto="1"/>
      </top>
      <bottom style="double">
        <color auto="1"/>
      </bottom>
      <diagonal/>
    </border>
    <border>
      <left style="medium">
        <color auto="1"/>
      </left>
      <right style="medium">
        <color auto="1"/>
      </right>
      <top style="double">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4">
    <xf numFmtId="0" fontId="0" fillId="0" borderId="0"/>
    <xf numFmtId="0" fontId="4" fillId="0" borderId="0"/>
    <xf numFmtId="0" fontId="4" fillId="0" borderId="0">
      <alignment vertical="center"/>
    </xf>
    <xf numFmtId="0" fontId="3" fillId="0" borderId="0"/>
    <xf numFmtId="0" fontId="4" fillId="0" borderId="0">
      <alignment vertical="center"/>
    </xf>
    <xf numFmtId="0" fontId="2" fillId="0" borderId="0">
      <alignment vertical="center"/>
    </xf>
    <xf numFmtId="0" fontId="2" fillId="0" borderId="0"/>
    <xf numFmtId="0" fontId="1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cellStyleXfs>
  <cellXfs count="290">
    <xf numFmtId="0" fontId="0" fillId="0" borderId="0" xfId="0"/>
    <xf numFmtId="0" fontId="5" fillId="0" borderId="1" xfId="1" applyFont="1" applyBorder="1" applyAlignment="1">
      <alignment horizontal="center" vertical="center"/>
    </xf>
    <xf numFmtId="0" fontId="4" fillId="0" borderId="0" xfId="2">
      <alignment vertical="center"/>
    </xf>
    <xf numFmtId="0" fontId="5" fillId="2" borderId="2" xfId="1" applyFont="1" applyFill="1" applyBorder="1" applyAlignment="1">
      <alignment horizontal="center" vertical="center" wrapText="1"/>
    </xf>
    <xf numFmtId="0" fontId="4" fillId="0" borderId="0" xfId="2" applyAlignment="1">
      <alignment vertical="center" wrapText="1"/>
    </xf>
    <xf numFmtId="0" fontId="5" fillId="8" borderId="1" xfId="1" applyFont="1" applyFill="1" applyBorder="1" applyAlignment="1">
      <alignment horizontal="center" vertical="center"/>
    </xf>
    <xf numFmtId="0" fontId="6" fillId="8" borderId="2" xfId="2" applyFont="1" applyFill="1" applyBorder="1" applyAlignment="1">
      <alignment horizontal="center" vertical="center"/>
    </xf>
    <xf numFmtId="0" fontId="8" fillId="4" borderId="2" xfId="2" applyFont="1" applyFill="1" applyBorder="1" applyAlignment="1">
      <alignment horizontal="center" vertical="center"/>
    </xf>
    <xf numFmtId="0" fontId="6" fillId="8" borderId="15" xfId="2" applyFont="1" applyFill="1" applyBorder="1" applyAlignment="1">
      <alignment horizontal="center" vertical="center"/>
    </xf>
    <xf numFmtId="0" fontId="8" fillId="4" borderId="15" xfId="2" applyFont="1" applyFill="1" applyBorder="1" applyAlignment="1">
      <alignment horizontal="center" vertical="center"/>
    </xf>
    <xf numFmtId="1" fontId="5" fillId="8" borderId="1" xfId="1" applyNumberFormat="1" applyFont="1" applyFill="1" applyBorder="1" applyAlignment="1">
      <alignment horizontal="center" vertical="center"/>
    </xf>
    <xf numFmtId="0" fontId="4" fillId="0" borderId="1" xfId="2" applyBorder="1" applyAlignment="1">
      <alignment horizontal="center"/>
    </xf>
    <xf numFmtId="0" fontId="9" fillId="0" borderId="1" xfId="4" applyFont="1" applyBorder="1" applyAlignment="1">
      <alignment horizontal="center"/>
    </xf>
    <xf numFmtId="0" fontId="9" fillId="0" borderId="1" xfId="4" applyFont="1" applyBorder="1" applyAlignment="1"/>
    <xf numFmtId="0" fontId="4" fillId="11" borderId="1" xfId="2" applyFill="1" applyBorder="1" applyAlignment="1">
      <alignment horizontal="center" vertical="center"/>
    </xf>
    <xf numFmtId="1" fontId="4" fillId="11" borderId="1" xfId="2" applyNumberFormat="1" applyFill="1" applyBorder="1" applyAlignment="1">
      <alignment horizontal="center" vertical="center"/>
    </xf>
    <xf numFmtId="1" fontId="4" fillId="11" borderId="1" xfId="2" applyNumberFormat="1" applyFill="1" applyBorder="1" applyAlignment="1">
      <alignment horizontal="center" vertical="center" shrinkToFit="1"/>
    </xf>
    <xf numFmtId="2" fontId="4" fillId="11" borderId="1" xfId="2" applyNumberFormat="1" applyFill="1" applyBorder="1" applyAlignment="1">
      <alignment horizontal="center" vertical="center" shrinkToFit="1"/>
    </xf>
    <xf numFmtId="2" fontId="4" fillId="11" borderId="1" xfId="2" applyNumberFormat="1" applyFill="1" applyBorder="1" applyAlignment="1">
      <alignment horizontal="center" vertical="center"/>
    </xf>
    <xf numFmtId="2" fontId="7" fillId="11" borderId="1" xfId="2" applyNumberFormat="1" applyFont="1" applyFill="1" applyBorder="1" applyAlignment="1">
      <alignment horizontal="center" vertical="center"/>
    </xf>
    <xf numFmtId="0" fontId="4" fillId="0" borderId="0" xfId="2" applyAlignment="1">
      <alignment horizontal="center" vertical="center"/>
    </xf>
    <xf numFmtId="0" fontId="10" fillId="12" borderId="1" xfId="2" applyFont="1" applyFill="1" applyBorder="1" applyAlignment="1">
      <alignment horizontal="center" vertical="center"/>
    </xf>
    <xf numFmtId="0" fontId="9" fillId="13" borderId="1" xfId="4" applyFont="1" applyFill="1" applyBorder="1" applyAlignment="1">
      <alignment horizontal="center"/>
    </xf>
    <xf numFmtId="0" fontId="9" fillId="13" borderId="1" xfId="4" applyFont="1" applyFill="1" applyBorder="1" applyAlignment="1"/>
    <xf numFmtId="0" fontId="9" fillId="13" borderId="1" xfId="4" applyFont="1" applyFill="1" applyBorder="1" applyAlignment="1">
      <alignment horizontal="center" vertical="center"/>
    </xf>
    <xf numFmtId="0" fontId="9" fillId="0" borderId="1" xfId="4" applyFont="1" applyBorder="1" applyAlignment="1">
      <alignment horizontal="center" vertical="center"/>
    </xf>
    <xf numFmtId="0" fontId="4" fillId="0" borderId="1" xfId="2" applyBorder="1" applyAlignment="1">
      <alignment horizontal="center" vertical="center"/>
    </xf>
    <xf numFmtId="1" fontId="4" fillId="0" borderId="1" xfId="2" applyNumberFormat="1" applyBorder="1" applyAlignment="1">
      <alignment horizontal="center" vertical="center"/>
    </xf>
    <xf numFmtId="0" fontId="4" fillId="2" borderId="1" xfId="2" applyFill="1" applyBorder="1" applyAlignment="1">
      <alignment horizontal="center"/>
    </xf>
    <xf numFmtId="0" fontId="9" fillId="2" borderId="1" xfId="4" applyFont="1" applyFill="1" applyBorder="1" applyAlignment="1">
      <alignment horizontal="center"/>
    </xf>
    <xf numFmtId="0" fontId="9" fillId="2" borderId="1" xfId="4" applyFont="1" applyFill="1" applyBorder="1" applyAlignment="1"/>
    <xf numFmtId="0" fontId="9" fillId="2" borderId="1" xfId="4" applyFont="1" applyFill="1" applyBorder="1" applyAlignment="1">
      <alignment horizontal="center" vertical="center"/>
    </xf>
    <xf numFmtId="0" fontId="4" fillId="2" borderId="1" xfId="2" applyFill="1" applyBorder="1" applyAlignment="1">
      <alignment horizontal="center" vertical="center"/>
    </xf>
    <xf numFmtId="1" fontId="4" fillId="2" borderId="1" xfId="2" applyNumberFormat="1" applyFill="1" applyBorder="1" applyAlignment="1">
      <alignment horizontal="center" vertical="center"/>
    </xf>
    <xf numFmtId="0" fontId="4" fillId="2" borderId="0" xfId="2" applyFill="1">
      <alignment vertical="center"/>
    </xf>
    <xf numFmtId="0" fontId="4" fillId="0" borderId="0" xfId="2" applyAlignment="1">
      <alignment horizontal="left" vertical="center"/>
    </xf>
    <xf numFmtId="0" fontId="4" fillId="0" borderId="0" xfId="2" applyAlignment="1">
      <alignment vertical="center" shrinkToFit="1"/>
    </xf>
    <xf numFmtId="0" fontId="4" fillId="14" borderId="1" xfId="2" applyFill="1" applyBorder="1" applyAlignment="1">
      <alignment horizontal="center" vertical="center"/>
    </xf>
    <xf numFmtId="1" fontId="4" fillId="14" borderId="1" xfId="2" applyNumberFormat="1" applyFill="1" applyBorder="1" applyAlignment="1">
      <alignment horizontal="center" vertical="center"/>
    </xf>
    <xf numFmtId="1" fontId="4" fillId="16" borderId="1" xfId="2" applyNumberFormat="1" applyFill="1" applyBorder="1" applyAlignment="1">
      <alignment horizontal="center" vertical="center"/>
    </xf>
    <xf numFmtId="0" fontId="4" fillId="16" borderId="1" xfId="2" applyFill="1" applyBorder="1" applyAlignment="1">
      <alignment horizontal="center" vertical="center"/>
    </xf>
    <xf numFmtId="3" fontId="4" fillId="11" borderId="1" xfId="2" applyNumberFormat="1" applyFill="1" applyBorder="1" applyAlignment="1">
      <alignment horizontal="center" vertical="center" shrinkToFit="1"/>
    </xf>
    <xf numFmtId="0" fontId="2" fillId="0" borderId="0" xfId="6"/>
    <xf numFmtId="0" fontId="12" fillId="0" borderId="0" xfId="6" applyFont="1" applyAlignment="1">
      <alignment horizontal="center" vertical="center"/>
    </xf>
    <xf numFmtId="0" fontId="14" fillId="12" borderId="0" xfId="6" applyFont="1" applyFill="1" applyAlignment="1">
      <alignment vertical="center"/>
    </xf>
    <xf numFmtId="0" fontId="15" fillId="12" borderId="0" xfId="6" applyFont="1" applyFill="1" applyAlignment="1">
      <alignment vertical="center"/>
    </xf>
    <xf numFmtId="0" fontId="2" fillId="0" borderId="0" xfId="6" applyAlignment="1">
      <alignment vertical="center"/>
    </xf>
    <xf numFmtId="0" fontId="6" fillId="0" borderId="0" xfId="6" applyFont="1"/>
    <xf numFmtId="0" fontId="6" fillId="0" borderId="0" xfId="6" applyFont="1" applyAlignment="1">
      <alignment horizontal="left"/>
    </xf>
    <xf numFmtId="0" fontId="6" fillId="0" borderId="19" xfId="6" applyFont="1" applyBorder="1" applyAlignment="1">
      <alignment vertical="center"/>
    </xf>
    <xf numFmtId="0" fontId="2" fillId="12" borderId="0" xfId="6" applyFill="1"/>
    <xf numFmtId="0" fontId="18" fillId="12" borderId="0" xfId="6" applyFont="1" applyFill="1"/>
    <xf numFmtId="2" fontId="21" fillId="12" borderId="16" xfId="6" applyNumberFormat="1" applyFont="1" applyFill="1" applyBorder="1" applyAlignment="1">
      <alignment horizontal="left" vertical="center"/>
    </xf>
    <xf numFmtId="1" fontId="15" fillId="12" borderId="18" xfId="6" applyNumberFormat="1" applyFont="1" applyFill="1" applyBorder="1" applyAlignment="1">
      <alignment horizontal="center"/>
    </xf>
    <xf numFmtId="1" fontId="15" fillId="12" borderId="28" xfId="6" applyNumberFormat="1" applyFont="1" applyFill="1" applyBorder="1" applyAlignment="1">
      <alignment horizontal="center"/>
    </xf>
    <xf numFmtId="1" fontId="15" fillId="17" borderId="28" xfId="6" applyNumberFormat="1" applyFont="1" applyFill="1" applyBorder="1" applyAlignment="1">
      <alignment horizontal="center"/>
    </xf>
    <xf numFmtId="0" fontId="2" fillId="0" borderId="11" xfId="6" applyBorder="1"/>
    <xf numFmtId="0" fontId="18" fillId="12" borderId="0" xfId="6" applyFont="1" applyFill="1" applyAlignment="1">
      <alignment horizontal="center"/>
    </xf>
    <xf numFmtId="2" fontId="22" fillId="12" borderId="13" xfId="6" applyNumberFormat="1" applyFont="1" applyFill="1" applyBorder="1" applyAlignment="1">
      <alignment horizontal="center" vertical="center"/>
    </xf>
    <xf numFmtId="1" fontId="23" fillId="17" borderId="28" xfId="6" applyNumberFormat="1" applyFont="1" applyFill="1" applyBorder="1" applyAlignment="1">
      <alignment horizontal="center"/>
    </xf>
    <xf numFmtId="0" fontId="18" fillId="12" borderId="0" xfId="6" applyFont="1" applyFill="1" applyAlignment="1">
      <alignment horizontal="center" vertical="center" textRotation="90" wrapText="1"/>
    </xf>
    <xf numFmtId="0" fontId="24" fillId="12" borderId="0" xfId="6" applyFont="1" applyFill="1" applyAlignment="1">
      <alignment horizontal="center" vertical="center" textRotation="90" wrapText="1"/>
    </xf>
    <xf numFmtId="2" fontId="21" fillId="12" borderId="24" xfId="6" applyNumberFormat="1" applyFont="1" applyFill="1" applyBorder="1" applyAlignment="1">
      <alignment horizontal="left" vertical="center"/>
    </xf>
    <xf numFmtId="1" fontId="25" fillId="17" borderId="17" xfId="6" applyNumberFormat="1" applyFont="1" applyFill="1" applyBorder="1" applyAlignment="1" applyProtection="1">
      <alignment horizontal="center"/>
      <protection locked="0"/>
    </xf>
    <xf numFmtId="1" fontId="26" fillId="12" borderId="0" xfId="6" applyNumberFormat="1" applyFont="1" applyFill="1" applyAlignment="1">
      <alignment horizontal="center"/>
    </xf>
    <xf numFmtId="1" fontId="15" fillId="17" borderId="18" xfId="6" applyNumberFormat="1" applyFont="1" applyFill="1" applyBorder="1" applyAlignment="1">
      <alignment horizontal="center"/>
    </xf>
    <xf numFmtId="2" fontId="21" fillId="18" borderId="24" xfId="6" applyNumberFormat="1" applyFont="1" applyFill="1" applyBorder="1" applyAlignment="1">
      <alignment horizontal="center" vertical="center"/>
    </xf>
    <xf numFmtId="1" fontId="25" fillId="15" borderId="16" xfId="6" applyNumberFormat="1" applyFont="1" applyFill="1" applyBorder="1" applyAlignment="1" applyProtection="1">
      <alignment horizontal="center"/>
      <protection locked="0"/>
    </xf>
    <xf numFmtId="1" fontId="25" fillId="17" borderId="16" xfId="6" applyNumberFormat="1" applyFont="1" applyFill="1" applyBorder="1" applyAlignment="1" applyProtection="1">
      <alignment horizontal="center"/>
      <protection locked="0"/>
    </xf>
    <xf numFmtId="1" fontId="23" fillId="17" borderId="17" xfId="6" applyNumberFormat="1" applyFont="1" applyFill="1" applyBorder="1" applyAlignment="1" applyProtection="1">
      <alignment horizontal="center"/>
      <protection locked="0"/>
    </xf>
    <xf numFmtId="2" fontId="21" fillId="19" borderId="24" xfId="6" applyNumberFormat="1" applyFont="1" applyFill="1" applyBorder="1" applyAlignment="1">
      <alignment horizontal="center" vertical="center"/>
    </xf>
    <xf numFmtId="1" fontId="15" fillId="20" borderId="16" xfId="6" applyNumberFormat="1" applyFont="1" applyFill="1" applyBorder="1" applyAlignment="1">
      <alignment horizontal="center"/>
    </xf>
    <xf numFmtId="1" fontId="15" fillId="17" borderId="16" xfId="6" applyNumberFormat="1" applyFont="1" applyFill="1" applyBorder="1" applyAlignment="1">
      <alignment horizontal="center"/>
    </xf>
    <xf numFmtId="1" fontId="23" fillId="17" borderId="17" xfId="6" applyNumberFormat="1" applyFont="1" applyFill="1" applyBorder="1" applyAlignment="1">
      <alignment horizontal="center"/>
    </xf>
    <xf numFmtId="1" fontId="15" fillId="17" borderId="17" xfId="6" applyNumberFormat="1" applyFont="1" applyFill="1" applyBorder="1" applyAlignment="1">
      <alignment horizontal="center"/>
    </xf>
    <xf numFmtId="1" fontId="15" fillId="19" borderId="17" xfId="6" applyNumberFormat="1" applyFont="1" applyFill="1" applyBorder="1" applyAlignment="1">
      <alignment horizontal="center"/>
    </xf>
    <xf numFmtId="2" fontId="21" fillId="21" borderId="24" xfId="6" applyNumberFormat="1" applyFont="1" applyFill="1" applyBorder="1" applyAlignment="1">
      <alignment horizontal="center" vertical="center"/>
    </xf>
    <xf numFmtId="1" fontId="15" fillId="22" borderId="16" xfId="6" applyNumberFormat="1" applyFont="1" applyFill="1" applyBorder="1" applyAlignment="1">
      <alignment horizontal="center"/>
    </xf>
    <xf numFmtId="2" fontId="27" fillId="2" borderId="30" xfId="6" applyNumberFormat="1" applyFont="1" applyFill="1" applyBorder="1" applyAlignment="1">
      <alignment horizontal="center" vertical="center"/>
    </xf>
    <xf numFmtId="2" fontId="20" fillId="2" borderId="30" xfId="6" applyNumberFormat="1" applyFont="1" applyFill="1" applyBorder="1" applyAlignment="1">
      <alignment horizontal="center"/>
    </xf>
    <xf numFmtId="2" fontId="28" fillId="2" borderId="25" xfId="6" applyNumberFormat="1" applyFont="1" applyFill="1" applyBorder="1" applyAlignment="1">
      <alignment horizontal="center" vertical="center"/>
    </xf>
    <xf numFmtId="0" fontId="14" fillId="12" borderId="0" xfId="0" applyFont="1" applyFill="1" applyAlignment="1">
      <alignment vertical="center"/>
    </xf>
    <xf numFmtId="0" fontId="15" fillId="12" borderId="0" xfId="0" applyFont="1" applyFill="1" applyAlignment="1">
      <alignment vertical="center"/>
    </xf>
    <xf numFmtId="0" fontId="14" fillId="12" borderId="0" xfId="0" applyFont="1" applyFill="1" applyAlignment="1">
      <alignment horizontal="left" vertical="center"/>
    </xf>
    <xf numFmtId="1" fontId="25" fillId="15" borderId="17" xfId="6" applyNumberFormat="1" applyFont="1" applyFill="1" applyBorder="1" applyAlignment="1" applyProtection="1">
      <alignment horizontal="center"/>
      <protection locked="0"/>
    </xf>
    <xf numFmtId="1" fontId="15" fillId="23" borderId="17" xfId="6" applyNumberFormat="1" applyFont="1" applyFill="1" applyBorder="1" applyAlignment="1">
      <alignment horizontal="center"/>
    </xf>
    <xf numFmtId="1" fontId="15" fillId="24" borderId="17" xfId="6" applyNumberFormat="1" applyFont="1" applyFill="1" applyBorder="1" applyAlignment="1">
      <alignment horizontal="center"/>
    </xf>
    <xf numFmtId="0" fontId="18" fillId="0" borderId="0" xfId="6" applyFont="1"/>
    <xf numFmtId="0" fontId="18" fillId="0" borderId="0" xfId="6" applyFont="1" applyAlignment="1">
      <alignment horizontal="center"/>
    </xf>
    <xf numFmtId="0" fontId="18" fillId="0" borderId="0" xfId="6" applyFont="1" applyAlignment="1">
      <alignment horizontal="center" vertical="center" textRotation="90" wrapText="1"/>
    </xf>
    <xf numFmtId="1" fontId="26" fillId="0" borderId="0" xfId="6" applyNumberFormat="1" applyFont="1" applyAlignment="1">
      <alignment horizontal="center"/>
    </xf>
    <xf numFmtId="0" fontId="8" fillId="0" borderId="0" xfId="1" applyFont="1"/>
    <xf numFmtId="0" fontId="7" fillId="0" borderId="0" xfId="1" applyFont="1"/>
    <xf numFmtId="0" fontId="9" fillId="0" borderId="1" xfId="10" applyFont="1" applyBorder="1" applyAlignment="1">
      <alignment horizontal="center"/>
    </xf>
    <xf numFmtId="0" fontId="9" fillId="0" borderId="1" xfId="10" applyFont="1" applyBorder="1" applyAlignment="1"/>
    <xf numFmtId="1" fontId="1" fillId="11" borderId="1" xfId="9" applyNumberFormat="1" applyFill="1" applyBorder="1" applyAlignment="1">
      <alignment horizontal="center" vertical="center"/>
    </xf>
    <xf numFmtId="0" fontId="1" fillId="11" borderId="1" xfId="9" applyFill="1" applyBorder="1" applyAlignment="1">
      <alignment horizontal="center" vertical="center"/>
    </xf>
    <xf numFmtId="0" fontId="10" fillId="12" borderId="1" xfId="9" applyFont="1" applyFill="1" applyBorder="1" applyAlignment="1">
      <alignment horizontal="center" vertical="center"/>
    </xf>
    <xf numFmtId="0" fontId="1" fillId="0" borderId="0" xfId="8"/>
    <xf numFmtId="0" fontId="1" fillId="0" borderId="0" xfId="8" applyAlignment="1">
      <alignment horizontal="center"/>
    </xf>
    <xf numFmtId="1" fontId="10" fillId="12" borderId="1" xfId="9" applyNumberFormat="1" applyFont="1" applyFill="1" applyBorder="1" applyAlignment="1">
      <alignment horizontal="center" vertical="center"/>
    </xf>
    <xf numFmtId="0" fontId="9" fillId="13" borderId="1" xfId="10" applyFont="1" applyFill="1" applyBorder="1" applyAlignment="1">
      <alignment horizontal="center"/>
    </xf>
    <xf numFmtId="0" fontId="9" fillId="13" borderId="1" xfId="10" applyFont="1" applyFill="1" applyBorder="1" applyAlignment="1"/>
    <xf numFmtId="0" fontId="9" fillId="13" borderId="1" xfId="10" applyFont="1" applyFill="1" applyBorder="1" applyAlignment="1">
      <alignment horizontal="center" vertical="center"/>
    </xf>
    <xf numFmtId="0" fontId="29" fillId="0" borderId="1" xfId="0" applyFont="1" applyBorder="1" applyAlignment="1">
      <alignment horizontal="center"/>
    </xf>
    <xf numFmtId="0" fontId="30" fillId="0" borderId="1" xfId="0" applyFont="1" applyBorder="1"/>
    <xf numFmtId="0" fontId="30" fillId="0" borderId="1" xfId="0" applyFont="1" applyBorder="1" applyAlignment="1">
      <alignment horizontal="center" vertical="center"/>
    </xf>
    <xf numFmtId="1" fontId="2" fillId="12" borderId="1" xfId="5" applyNumberFormat="1" applyFill="1" applyBorder="1" applyAlignment="1" applyProtection="1">
      <alignment horizontal="center" vertical="center"/>
      <protection locked="0"/>
    </xf>
    <xf numFmtId="1" fontId="10" fillId="12" borderId="1" xfId="5" applyNumberFormat="1" applyFont="1" applyFill="1" applyBorder="1" applyAlignment="1" applyProtection="1">
      <alignment horizontal="center" vertical="center"/>
      <protection locked="0"/>
    </xf>
    <xf numFmtId="1" fontId="31" fillId="12" borderId="32" xfId="5" applyNumberFormat="1" applyFont="1" applyFill="1" applyBorder="1" applyAlignment="1" applyProtection="1">
      <alignment horizontal="center" vertical="center"/>
      <protection locked="0"/>
    </xf>
    <xf numFmtId="1" fontId="31" fillId="12" borderId="33" xfId="5" applyNumberFormat="1" applyFont="1" applyFill="1" applyBorder="1" applyAlignment="1" applyProtection="1">
      <alignment horizontal="center" vertical="center"/>
      <protection locked="0"/>
    </xf>
    <xf numFmtId="0" fontId="31" fillId="12" borderId="1" xfId="11" applyFont="1" applyFill="1" applyBorder="1" applyAlignment="1">
      <alignment horizontal="center" vertical="center" wrapText="1"/>
    </xf>
    <xf numFmtId="1" fontId="2" fillId="12" borderId="3" xfId="5" applyNumberFormat="1" applyFill="1" applyBorder="1" applyAlignment="1" applyProtection="1">
      <alignment horizontal="center" vertical="center"/>
      <protection locked="0"/>
    </xf>
    <xf numFmtId="1" fontId="32" fillId="12" borderId="1" xfId="12" applyNumberFormat="1" applyFont="1" applyFill="1" applyBorder="1" applyAlignment="1" applyProtection="1">
      <alignment horizontal="center"/>
      <protection locked="0"/>
    </xf>
    <xf numFmtId="1" fontId="2" fillId="0" borderId="1" xfId="5" applyNumberFormat="1" applyBorder="1" applyAlignment="1" applyProtection="1">
      <alignment horizontal="center" vertical="center"/>
      <protection locked="0"/>
    </xf>
    <xf numFmtId="1" fontId="10" fillId="0" borderId="1" xfId="5" applyNumberFormat="1" applyFont="1" applyBorder="1" applyAlignment="1" applyProtection="1">
      <alignment horizontal="center" vertical="center"/>
      <protection locked="0"/>
    </xf>
    <xf numFmtId="1" fontId="31" fillId="0" borderId="32" xfId="5" applyNumberFormat="1" applyFont="1" applyBorder="1" applyAlignment="1" applyProtection="1">
      <alignment horizontal="center" vertical="center"/>
      <protection locked="0"/>
    </xf>
    <xf numFmtId="1" fontId="31" fillId="0" borderId="33" xfId="5" applyNumberFormat="1" applyFont="1" applyBorder="1" applyAlignment="1" applyProtection="1">
      <alignment horizontal="center" vertical="center"/>
      <protection locked="0"/>
    </xf>
    <xf numFmtId="0" fontId="31" fillId="0" borderId="1" xfId="11" applyFont="1" applyBorder="1" applyAlignment="1">
      <alignment horizontal="center" vertical="center" wrapText="1"/>
    </xf>
    <xf numFmtId="1" fontId="2" fillId="0" borderId="3" xfId="5" applyNumberFormat="1" applyBorder="1" applyAlignment="1" applyProtection="1">
      <alignment horizontal="center" vertical="center"/>
      <protection locked="0"/>
    </xf>
    <xf numFmtId="0" fontId="2" fillId="0" borderId="1" xfId="5" applyBorder="1" applyAlignment="1" applyProtection="1">
      <alignment horizontal="center"/>
      <protection locked="0"/>
    </xf>
    <xf numFmtId="1" fontId="10" fillId="0" borderId="1" xfId="6" applyNumberFormat="1" applyFont="1" applyBorder="1" applyAlignment="1" applyProtection="1">
      <alignment horizontal="center" vertical="center"/>
      <protection locked="0"/>
    </xf>
    <xf numFmtId="1" fontId="31" fillId="0" borderId="32" xfId="6" applyNumberFormat="1" applyFont="1" applyBorder="1" applyAlignment="1" applyProtection="1">
      <alignment horizontal="center" vertical="center"/>
      <protection locked="0"/>
    </xf>
    <xf numFmtId="1" fontId="31" fillId="0" borderId="32" xfId="13" applyNumberFormat="1" applyFont="1" applyBorder="1" applyAlignment="1" applyProtection="1">
      <alignment horizontal="center" vertical="center"/>
      <protection locked="0"/>
    </xf>
    <xf numFmtId="0" fontId="2" fillId="0" borderId="1" xfId="5" applyBorder="1" applyAlignment="1" applyProtection="1">
      <alignment horizontal="center" vertical="center"/>
      <protection locked="0"/>
    </xf>
    <xf numFmtId="1" fontId="31" fillId="0" borderId="1" xfId="6" applyNumberFormat="1" applyFont="1" applyBorder="1" applyAlignment="1" applyProtection="1">
      <alignment horizontal="center" vertical="center"/>
      <protection locked="0"/>
    </xf>
    <xf numFmtId="0" fontId="2" fillId="12" borderId="1" xfId="5" applyFill="1" applyBorder="1" applyAlignment="1" applyProtection="1">
      <alignment horizontal="center" vertical="center"/>
      <protection locked="0"/>
    </xf>
    <xf numFmtId="0" fontId="10" fillId="0" borderId="1" xfId="5" applyFont="1" applyBorder="1" applyAlignment="1" applyProtection="1">
      <alignment horizontal="center" vertical="center"/>
      <protection locked="0"/>
    </xf>
    <xf numFmtId="1" fontId="32" fillId="0" borderId="1" xfId="12" applyNumberFormat="1" applyFont="1" applyBorder="1" applyAlignment="1" applyProtection="1">
      <alignment horizontal="center"/>
      <protection locked="0"/>
    </xf>
    <xf numFmtId="1" fontId="10" fillId="0" borderId="1" xfId="5" applyNumberFormat="1" applyFont="1" applyBorder="1" applyAlignment="1">
      <alignment horizontal="center" vertical="center"/>
    </xf>
    <xf numFmtId="0" fontId="2" fillId="12" borderId="1" xfId="5" applyFill="1" applyBorder="1" applyAlignment="1">
      <alignment horizontal="center" vertical="center"/>
    </xf>
    <xf numFmtId="0" fontId="2" fillId="0" borderId="1" xfId="5" applyBorder="1" applyAlignment="1">
      <alignment horizontal="center" vertical="center"/>
    </xf>
    <xf numFmtId="2" fontId="0" fillId="0" borderId="1" xfId="0" applyNumberFormat="1" applyBorder="1" applyAlignment="1">
      <alignment horizontal="center" vertical="center"/>
    </xf>
    <xf numFmtId="0" fontId="0" fillId="26" borderId="0" xfId="0" applyFill="1" applyAlignment="1">
      <alignment horizontal="center"/>
    </xf>
    <xf numFmtId="0" fontId="0" fillId="0" borderId="1" xfId="0" applyBorder="1" applyAlignment="1">
      <alignment horizontal="center"/>
    </xf>
    <xf numFmtId="0" fontId="0" fillId="26" borderId="1" xfId="0" applyFill="1" applyBorder="1" applyAlignment="1">
      <alignment horizontal="center"/>
    </xf>
    <xf numFmtId="0" fontId="30" fillId="26" borderId="1" xfId="0" applyFont="1" applyFill="1" applyBorder="1"/>
    <xf numFmtId="0" fontId="30" fillId="26" borderId="1" xfId="0" applyFont="1" applyFill="1" applyBorder="1" applyAlignment="1">
      <alignment horizontal="center" vertical="center"/>
    </xf>
    <xf numFmtId="2" fontId="0" fillId="26" borderId="1" xfId="0" applyNumberFormat="1" applyFill="1" applyBorder="1" applyAlignment="1">
      <alignment horizontal="center" vertical="center"/>
    </xf>
    <xf numFmtId="0" fontId="0" fillId="27" borderId="1" xfId="0" applyFill="1" applyBorder="1" applyAlignment="1">
      <alignment horizontal="center"/>
    </xf>
    <xf numFmtId="0" fontId="9" fillId="27" borderId="1" xfId="4" applyFont="1" applyFill="1" applyBorder="1" applyAlignment="1"/>
    <xf numFmtId="0" fontId="9" fillId="27" borderId="1" xfId="4" applyFont="1" applyFill="1" applyBorder="1" applyAlignment="1">
      <alignment horizontal="center" vertical="center"/>
    </xf>
    <xf numFmtId="2" fontId="0" fillId="27" borderId="1" xfId="0" applyNumberFormat="1" applyFill="1" applyBorder="1" applyAlignment="1">
      <alignment horizontal="center" vertical="center"/>
    </xf>
    <xf numFmtId="0" fontId="0" fillId="4" borderId="1" xfId="0" applyFill="1" applyBorder="1" applyAlignment="1">
      <alignment horizontal="center"/>
    </xf>
    <xf numFmtId="0" fontId="9" fillId="4" borderId="1" xfId="10" applyFont="1" applyFill="1" applyBorder="1" applyAlignment="1"/>
    <xf numFmtId="0" fontId="9" fillId="4" borderId="1" xfId="10" applyFont="1" applyFill="1" applyBorder="1" applyAlignment="1">
      <alignment horizontal="center"/>
    </xf>
    <xf numFmtId="2" fontId="0" fillId="4" borderId="1" xfId="0" applyNumberFormat="1" applyFill="1" applyBorder="1" applyAlignment="1">
      <alignment horizontal="center" vertical="center"/>
    </xf>
    <xf numFmtId="0" fontId="0" fillId="28" borderId="1" xfId="0" applyFill="1" applyBorder="1" applyAlignment="1">
      <alignment horizontal="center"/>
    </xf>
    <xf numFmtId="0" fontId="9" fillId="28" borderId="1" xfId="10" applyFont="1" applyFill="1" applyBorder="1" applyAlignment="1"/>
    <xf numFmtId="0" fontId="9" fillId="28" borderId="1" xfId="10" applyFont="1" applyFill="1" applyBorder="1" applyAlignment="1">
      <alignment horizontal="center"/>
    </xf>
    <xf numFmtId="2" fontId="0" fillId="28" borderId="1" xfId="0" applyNumberFormat="1" applyFill="1" applyBorder="1" applyAlignment="1">
      <alignment horizontal="center" vertical="center"/>
    </xf>
    <xf numFmtId="0" fontId="0" fillId="0" borderId="1" xfId="0" applyBorder="1"/>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2" fontId="0" fillId="29" borderId="1" xfId="0" applyNumberFormat="1" applyFill="1" applyBorder="1" applyAlignment="1">
      <alignment horizontal="center" vertical="center"/>
    </xf>
    <xf numFmtId="0" fontId="9" fillId="29" borderId="1" xfId="4" applyFont="1" applyFill="1" applyBorder="1" applyAlignment="1"/>
    <xf numFmtId="0" fontId="9" fillId="29" borderId="1" xfId="4" applyFont="1" applyFill="1" applyBorder="1" applyAlignment="1">
      <alignment horizontal="center" vertical="center"/>
    </xf>
    <xf numFmtId="0" fontId="9" fillId="29" borderId="1" xfId="10" applyFont="1" applyFill="1" applyBorder="1" applyAlignment="1"/>
    <xf numFmtId="0" fontId="9" fillId="29" borderId="1" xfId="10" applyFont="1" applyFill="1" applyBorder="1" applyAlignment="1">
      <alignment horizontal="center"/>
    </xf>
    <xf numFmtId="0" fontId="1" fillId="0" borderId="0" xfId="8" applyAlignment="1">
      <alignment horizontal="center" vertical="center"/>
    </xf>
    <xf numFmtId="49" fontId="1" fillId="0" borderId="0" xfId="8" applyNumberFormat="1" applyAlignment="1">
      <alignment horizontal="center" vertical="center"/>
    </xf>
    <xf numFmtId="0" fontId="1" fillId="2" borderId="0" xfId="8" applyFill="1" applyAlignment="1">
      <alignment horizontal="center" vertical="center"/>
    </xf>
    <xf numFmtId="0" fontId="5" fillId="0" borderId="1" xfId="1" applyFont="1" applyBorder="1" applyAlignment="1">
      <alignment horizontal="center" vertical="center"/>
    </xf>
    <xf numFmtId="0" fontId="5" fillId="0" borderId="2" xfId="1" applyFont="1" applyBorder="1" applyAlignment="1">
      <alignment horizontal="left" vertical="center"/>
    </xf>
    <xf numFmtId="0" fontId="5" fillId="0" borderId="8" xfId="1" applyFont="1" applyBorder="1" applyAlignment="1">
      <alignment horizontal="left" vertical="center"/>
    </xf>
    <xf numFmtId="0" fontId="5" fillId="0" borderId="15" xfId="1" applyFont="1" applyBorder="1" applyAlignment="1">
      <alignment horizontal="left" vertical="center"/>
    </xf>
    <xf numFmtId="0" fontId="5" fillId="7" borderId="2" xfId="1" applyFont="1" applyFill="1" applyBorder="1" applyAlignment="1">
      <alignment horizontal="center" vertical="center"/>
    </xf>
    <xf numFmtId="0" fontId="5" fillId="7" borderId="15" xfId="1" applyFont="1" applyFill="1" applyBorder="1" applyAlignment="1">
      <alignment horizontal="center" vertical="center"/>
    </xf>
    <xf numFmtId="0" fontId="5" fillId="6" borderId="2" xfId="1" applyFont="1" applyFill="1" applyBorder="1" applyAlignment="1">
      <alignment horizontal="center" vertical="center"/>
    </xf>
    <xf numFmtId="0" fontId="5" fillId="6" borderId="15" xfId="1" applyFont="1" applyFill="1" applyBorder="1" applyAlignment="1">
      <alignment horizontal="center" vertical="center"/>
    </xf>
    <xf numFmtId="0" fontId="6" fillId="0" borderId="0" xfId="2" applyFont="1" applyAlignment="1">
      <alignment horizontal="center" vertical="center"/>
    </xf>
    <xf numFmtId="0" fontId="6" fillId="0" borderId="10" xfId="2" applyFont="1" applyBorder="1" applyAlignment="1">
      <alignment horizontal="center" vertical="center"/>
    </xf>
    <xf numFmtId="0" fontId="5" fillId="0" borderId="3" xfId="1" applyFont="1" applyBorder="1" applyAlignment="1">
      <alignment horizontal="center" vertical="center"/>
    </xf>
    <xf numFmtId="0" fontId="5" fillId="0" borderId="4" xfId="1" applyFont="1" applyBorder="1" applyAlignment="1">
      <alignment horizontal="center" vertical="center"/>
    </xf>
    <xf numFmtId="0" fontId="5" fillId="0" borderId="5" xfId="1" applyFont="1" applyBorder="1" applyAlignment="1">
      <alignment horizontal="center" vertical="center"/>
    </xf>
    <xf numFmtId="0" fontId="5" fillId="2" borderId="3" xfId="8" applyFont="1" applyFill="1" applyBorder="1" applyAlignment="1">
      <alignment horizontal="center" vertical="center" wrapText="1"/>
    </xf>
    <xf numFmtId="0" fontId="5" fillId="2" borderId="5" xfId="8" applyFont="1" applyFill="1" applyBorder="1" applyAlignment="1">
      <alignment horizontal="center" vertical="center" wrapText="1"/>
    </xf>
    <xf numFmtId="0" fontId="5" fillId="4" borderId="3" xfId="8" applyFont="1" applyFill="1" applyBorder="1" applyAlignment="1">
      <alignment horizontal="center" vertical="center" wrapText="1"/>
    </xf>
    <xf numFmtId="0" fontId="5" fillId="4" borderId="5" xfId="8" applyFont="1" applyFill="1" applyBorder="1" applyAlignment="1">
      <alignment horizontal="center" vertical="center" wrapText="1"/>
    </xf>
    <xf numFmtId="0" fontId="5" fillId="2" borderId="3" xfId="8" applyFont="1" applyFill="1" applyBorder="1" applyAlignment="1">
      <alignment horizontal="left" vertical="top" wrapText="1"/>
    </xf>
    <xf numFmtId="0" fontId="5" fillId="2" borderId="5" xfId="8" applyFont="1" applyFill="1" applyBorder="1" applyAlignment="1">
      <alignment horizontal="left" vertical="top" wrapText="1"/>
    </xf>
    <xf numFmtId="0" fontId="6" fillId="0" borderId="7" xfId="3" applyFont="1" applyBorder="1" applyAlignment="1">
      <alignment horizontal="center" vertical="center"/>
    </xf>
    <xf numFmtId="0" fontId="5" fillId="0" borderId="3" xfId="1" applyFont="1" applyBorder="1" applyAlignment="1">
      <alignment horizontal="center" vertical="center" wrapText="1"/>
    </xf>
    <xf numFmtId="0" fontId="5" fillId="0" borderId="4" xfId="1" applyFont="1" applyBorder="1" applyAlignment="1">
      <alignment horizontal="center" vertical="center" wrapText="1"/>
    </xf>
    <xf numFmtId="0" fontId="5" fillId="0" borderId="1" xfId="1" applyFont="1" applyBorder="1" applyAlignment="1">
      <alignment horizontal="center" vertical="center" wrapText="1"/>
    </xf>
    <xf numFmtId="0" fontId="6" fillId="0" borderId="6" xfId="2" applyFont="1" applyBorder="1" applyAlignment="1">
      <alignment horizontal="center" vertical="center" wrapText="1" shrinkToFit="1"/>
    </xf>
    <xf numFmtId="0" fontId="6" fillId="0" borderId="0" xfId="2" applyFont="1" applyAlignment="1">
      <alignment horizontal="center" vertical="center" wrapText="1" shrinkToFit="1"/>
    </xf>
    <xf numFmtId="0" fontId="6" fillId="0" borderId="9" xfId="2" applyFont="1" applyBorder="1" applyAlignment="1">
      <alignment horizontal="center" vertical="center" wrapText="1" shrinkToFit="1"/>
    </xf>
    <xf numFmtId="0" fontId="6" fillId="0" borderId="10" xfId="2" applyFont="1" applyBorder="1" applyAlignment="1">
      <alignment horizontal="center" vertical="center" wrapText="1" shrinkToFit="1"/>
    </xf>
    <xf numFmtId="0" fontId="6" fillId="3" borderId="6" xfId="2" applyFont="1" applyFill="1" applyBorder="1" applyAlignment="1">
      <alignment horizontal="center" vertical="center" shrinkToFit="1"/>
    </xf>
    <xf numFmtId="0" fontId="6" fillId="3" borderId="0" xfId="2" applyFont="1" applyFill="1" applyAlignment="1">
      <alignment horizontal="center" vertical="center" shrinkToFit="1"/>
    </xf>
    <xf numFmtId="0" fontId="6" fillId="3" borderId="9" xfId="2" applyFont="1" applyFill="1" applyBorder="1" applyAlignment="1">
      <alignment horizontal="center" vertical="center" shrinkToFit="1"/>
    </xf>
    <xf numFmtId="0" fontId="6" fillId="3" borderId="10" xfId="2" applyFont="1" applyFill="1" applyBorder="1" applyAlignment="1">
      <alignment horizontal="center" vertical="center" shrinkToFit="1"/>
    </xf>
    <xf numFmtId="0" fontId="6" fillId="0" borderId="0" xfId="2" applyFont="1" applyAlignment="1">
      <alignment horizontal="center" vertical="center" shrinkToFit="1"/>
    </xf>
    <xf numFmtId="0" fontId="6" fillId="0" borderId="10" xfId="2" applyFont="1" applyBorder="1" applyAlignment="1">
      <alignment horizontal="center" vertical="center" shrinkToFit="1"/>
    </xf>
    <xf numFmtId="0" fontId="6" fillId="0" borderId="6" xfId="2" applyFont="1" applyBorder="1" applyAlignment="1">
      <alignment horizontal="center" vertical="center" shrinkToFit="1"/>
    </xf>
    <xf numFmtId="0" fontId="6" fillId="0" borderId="9" xfId="2" applyFont="1" applyBorder="1" applyAlignment="1">
      <alignment horizontal="center" vertical="center" shrinkToFit="1"/>
    </xf>
    <xf numFmtId="0" fontId="6" fillId="2" borderId="6" xfId="2" applyFont="1" applyFill="1" applyBorder="1" applyAlignment="1">
      <alignment horizontal="center" vertical="center"/>
    </xf>
    <xf numFmtId="0" fontId="6" fillId="2" borderId="0" xfId="2" applyFont="1" applyFill="1" applyAlignment="1">
      <alignment horizontal="center" vertical="center"/>
    </xf>
    <xf numFmtId="0" fontId="6" fillId="2" borderId="9" xfId="2" applyFont="1" applyFill="1" applyBorder="1" applyAlignment="1">
      <alignment horizontal="center" vertical="center"/>
    </xf>
    <xf numFmtId="0" fontId="6" fillId="2" borderId="10" xfId="2" applyFont="1" applyFill="1" applyBorder="1" applyAlignment="1">
      <alignment horizontal="center" vertical="center"/>
    </xf>
    <xf numFmtId="0" fontId="7" fillId="0" borderId="1" xfId="2" applyFont="1" applyBorder="1" applyAlignment="1">
      <alignment horizontal="center" vertical="center" wrapText="1"/>
    </xf>
    <xf numFmtId="0" fontId="5" fillId="2" borderId="2" xfId="1" applyFont="1" applyFill="1" applyBorder="1" applyAlignment="1">
      <alignment horizontal="center" vertical="center"/>
    </xf>
    <xf numFmtId="0" fontId="5" fillId="2" borderId="15" xfId="1" applyFont="1" applyFill="1" applyBorder="1" applyAlignment="1">
      <alignment horizontal="center" vertical="center"/>
    </xf>
    <xf numFmtId="0" fontId="6" fillId="0" borderId="7" xfId="3" applyFont="1" applyBorder="1" applyAlignment="1">
      <alignment horizontal="center" vertical="center" wrapText="1"/>
    </xf>
    <xf numFmtId="0" fontId="6" fillId="0" borderId="11" xfId="3" applyFont="1" applyBorder="1" applyAlignment="1">
      <alignment horizontal="center" vertical="center" wrapText="1"/>
    </xf>
    <xf numFmtId="0" fontId="6" fillId="0" borderId="13" xfId="3" applyFont="1" applyBorder="1" applyAlignment="1">
      <alignment horizontal="center" vertical="center" wrapText="1"/>
    </xf>
    <xf numFmtId="0" fontId="6" fillId="0" borderId="16" xfId="3" applyFont="1" applyBorder="1" applyAlignment="1">
      <alignment horizontal="center" vertical="center" wrapText="1"/>
    </xf>
    <xf numFmtId="0" fontId="5" fillId="5" borderId="3" xfId="1" applyFont="1" applyFill="1" applyBorder="1" applyAlignment="1">
      <alignment horizontal="center" vertical="center" wrapText="1"/>
    </xf>
    <xf numFmtId="0" fontId="5" fillId="5" borderId="4" xfId="1" applyFont="1" applyFill="1" applyBorder="1" applyAlignment="1">
      <alignment horizontal="center" vertical="center" wrapText="1"/>
    </xf>
    <xf numFmtId="0" fontId="5" fillId="5" borderId="5" xfId="1" applyFont="1" applyFill="1" applyBorder="1" applyAlignment="1">
      <alignment horizontal="center" vertical="center" wrapText="1"/>
    </xf>
    <xf numFmtId="0" fontId="5" fillId="0" borderId="5" xfId="1" applyFont="1" applyBorder="1" applyAlignment="1">
      <alignment horizontal="center" vertical="center" wrapText="1"/>
    </xf>
    <xf numFmtId="0" fontId="5" fillId="2" borderId="3" xfId="1" applyFont="1" applyFill="1" applyBorder="1" applyAlignment="1">
      <alignment horizontal="center" vertical="center" wrapText="1"/>
    </xf>
    <xf numFmtId="0" fontId="5" fillId="2" borderId="4" xfId="1" applyFont="1" applyFill="1" applyBorder="1" applyAlignment="1">
      <alignment horizontal="center" vertical="center" wrapText="1"/>
    </xf>
    <xf numFmtId="0" fontId="5" fillId="2" borderId="5" xfId="1" applyFont="1" applyFill="1" applyBorder="1" applyAlignment="1">
      <alignment horizontal="center" vertical="center" wrapText="1"/>
    </xf>
    <xf numFmtId="0" fontId="5" fillId="8" borderId="2" xfId="1" applyFont="1" applyFill="1" applyBorder="1" applyAlignment="1">
      <alignment horizontal="center" vertical="center"/>
    </xf>
    <xf numFmtId="0" fontId="5" fillId="8" borderId="15" xfId="1" applyFont="1" applyFill="1" applyBorder="1" applyAlignment="1">
      <alignment horizontal="center" vertical="center"/>
    </xf>
    <xf numFmtId="0" fontId="6" fillId="0" borderId="12" xfId="3" applyFont="1" applyBorder="1" applyAlignment="1">
      <alignment horizontal="center" vertical="center" wrapText="1"/>
    </xf>
    <xf numFmtId="0" fontId="6" fillId="0" borderId="14" xfId="3" applyFont="1" applyBorder="1" applyAlignment="1">
      <alignment horizontal="center" vertical="center" wrapText="1"/>
    </xf>
    <xf numFmtId="0" fontId="6" fillId="0" borderId="17" xfId="3" applyFont="1" applyBorder="1" applyAlignment="1">
      <alignment horizontal="center" vertical="center" wrapText="1"/>
    </xf>
    <xf numFmtId="0" fontId="5" fillId="10" borderId="2" xfId="1" applyFont="1" applyFill="1" applyBorder="1" applyAlignment="1">
      <alignment horizontal="center" vertical="center"/>
    </xf>
    <xf numFmtId="0" fontId="5" fillId="10" borderId="15" xfId="1" applyFont="1" applyFill="1" applyBorder="1" applyAlignment="1">
      <alignment horizontal="center" vertical="center"/>
    </xf>
    <xf numFmtId="0" fontId="5" fillId="2" borderId="4" xfId="8" applyFont="1" applyFill="1" applyBorder="1" applyAlignment="1">
      <alignment horizontal="center" vertical="center" wrapText="1"/>
    </xf>
    <xf numFmtId="0" fontId="5" fillId="25" borderId="4" xfId="8" applyFont="1" applyFill="1" applyBorder="1" applyAlignment="1">
      <alignment horizontal="center" vertical="center" wrapText="1"/>
    </xf>
    <xf numFmtId="0" fontId="5" fillId="9" borderId="2" xfId="1" applyFont="1" applyFill="1" applyBorder="1" applyAlignment="1">
      <alignment horizontal="center" vertical="center"/>
    </xf>
    <xf numFmtId="0" fontId="5" fillId="9" borderId="15" xfId="1" applyFont="1" applyFill="1" applyBorder="1" applyAlignment="1">
      <alignment horizontal="center" vertical="center"/>
    </xf>
    <xf numFmtId="0" fontId="5" fillId="4" borderId="2" xfId="8" applyFont="1" applyFill="1" applyBorder="1" applyAlignment="1">
      <alignment horizontal="center" vertical="center"/>
    </xf>
    <xf numFmtId="0" fontId="5" fillId="4" borderId="15" xfId="8" applyFont="1" applyFill="1" applyBorder="1" applyAlignment="1">
      <alignment horizontal="center" vertical="center"/>
    </xf>
    <xf numFmtId="0" fontId="5" fillId="2" borderId="2" xfId="8" applyFont="1" applyFill="1" applyBorder="1" applyAlignment="1">
      <alignment horizontal="center" vertical="center"/>
    </xf>
    <xf numFmtId="0" fontId="5" fillId="2" borderId="15" xfId="8" applyFont="1" applyFill="1" applyBorder="1" applyAlignment="1">
      <alignment horizontal="center" vertical="center"/>
    </xf>
    <xf numFmtId="0" fontId="5" fillId="25" borderId="2" xfId="8" applyFont="1" applyFill="1" applyBorder="1" applyAlignment="1">
      <alignment horizontal="center" vertical="center"/>
    </xf>
    <xf numFmtId="0" fontId="5" fillId="25" borderId="15" xfId="8" applyFont="1" applyFill="1" applyBorder="1" applyAlignment="1">
      <alignment horizontal="center" vertical="center"/>
    </xf>
    <xf numFmtId="0" fontId="8" fillId="4" borderId="2" xfId="2" applyFont="1" applyFill="1" applyBorder="1" applyAlignment="1">
      <alignment horizontal="center" vertical="center"/>
    </xf>
    <xf numFmtId="0" fontId="8" fillId="4" borderId="15" xfId="2" applyFont="1" applyFill="1" applyBorder="1" applyAlignment="1">
      <alignment horizontal="center" vertical="center"/>
    </xf>
    <xf numFmtId="0" fontId="5" fillId="8" borderId="1" xfId="1" applyFont="1" applyFill="1" applyBorder="1" applyAlignment="1">
      <alignment horizontal="center" vertical="center"/>
    </xf>
    <xf numFmtId="0" fontId="6" fillId="8" borderId="2" xfId="2" applyFont="1" applyFill="1" applyBorder="1" applyAlignment="1">
      <alignment horizontal="center" vertical="center"/>
    </xf>
    <xf numFmtId="0" fontId="6" fillId="8" borderId="15" xfId="2" applyFont="1" applyFill="1" applyBorder="1" applyAlignment="1">
      <alignment horizontal="center" vertical="center"/>
    </xf>
    <xf numFmtId="0" fontId="5" fillId="2" borderId="2" xfId="1" applyFont="1" applyFill="1" applyBorder="1" applyAlignment="1">
      <alignment horizontal="center" vertical="center" wrapText="1" shrinkToFit="1"/>
    </xf>
    <xf numFmtId="0" fontId="5" fillId="2" borderId="15" xfId="1" applyFont="1" applyFill="1" applyBorder="1" applyAlignment="1">
      <alignment horizontal="center" vertical="center" wrapText="1" shrinkToFit="1"/>
    </xf>
    <xf numFmtId="0" fontId="5" fillId="0" borderId="2" xfId="1" applyFont="1" applyBorder="1" applyAlignment="1">
      <alignment horizontal="center" vertical="center" shrinkToFit="1"/>
    </xf>
    <xf numFmtId="0" fontId="5" fillId="0" borderId="15" xfId="1" applyFont="1" applyBorder="1" applyAlignment="1">
      <alignment horizontal="center" vertical="center" shrinkToFit="1"/>
    </xf>
    <xf numFmtId="0" fontId="5" fillId="2" borderId="2" xfId="1" applyFont="1" applyFill="1" applyBorder="1" applyAlignment="1">
      <alignment horizontal="center" vertical="center" shrinkToFit="1"/>
    </xf>
    <xf numFmtId="0" fontId="5" fillId="2" borderId="15" xfId="1" applyFont="1" applyFill="1" applyBorder="1" applyAlignment="1">
      <alignment horizontal="center" vertical="center" shrinkToFit="1"/>
    </xf>
    <xf numFmtId="0" fontId="5" fillId="3" borderId="8" xfId="1" applyFont="1" applyFill="1" applyBorder="1" applyAlignment="1">
      <alignment horizontal="center" vertical="center" wrapText="1"/>
    </xf>
    <xf numFmtId="0" fontId="5" fillId="3" borderId="15" xfId="1" applyFont="1" applyFill="1" applyBorder="1" applyAlignment="1">
      <alignment horizontal="center" vertical="center" wrapText="1"/>
    </xf>
    <xf numFmtId="0" fontId="12" fillId="0" borderId="0" xfId="6" applyFont="1" applyAlignment="1">
      <alignment horizontal="center" vertical="center"/>
    </xf>
    <xf numFmtId="0" fontId="13" fillId="0" borderId="0" xfId="6" applyFont="1" applyAlignment="1">
      <alignment horizontal="center"/>
    </xf>
    <xf numFmtId="0" fontId="16" fillId="12" borderId="18" xfId="6" applyFont="1" applyFill="1" applyBorder="1" applyAlignment="1">
      <alignment horizontal="center" vertical="center" textRotation="90"/>
    </xf>
    <xf numFmtId="0" fontId="16" fillId="12" borderId="24" xfId="6" applyFont="1" applyFill="1" applyBorder="1" applyAlignment="1">
      <alignment horizontal="center" vertical="center" textRotation="90"/>
    </xf>
    <xf numFmtId="0" fontId="16" fillId="12" borderId="25" xfId="6" applyFont="1" applyFill="1" applyBorder="1" applyAlignment="1">
      <alignment horizontal="center" vertical="center" textRotation="90"/>
    </xf>
    <xf numFmtId="0" fontId="16" fillId="12" borderId="18" xfId="6" applyFont="1" applyFill="1" applyBorder="1" applyAlignment="1">
      <alignment horizontal="center" vertical="center"/>
    </xf>
    <xf numFmtId="0" fontId="16" fillId="12" borderId="24" xfId="6" applyFont="1" applyFill="1" applyBorder="1" applyAlignment="1">
      <alignment horizontal="center" vertical="center"/>
    </xf>
    <xf numFmtId="0" fontId="16" fillId="12" borderId="25" xfId="6" applyFont="1" applyFill="1" applyBorder="1" applyAlignment="1">
      <alignment horizontal="center" vertical="center"/>
    </xf>
    <xf numFmtId="0" fontId="6" fillId="0" borderId="20" xfId="6" applyFont="1" applyBorder="1" applyAlignment="1">
      <alignment horizontal="center" vertical="center"/>
    </xf>
    <xf numFmtId="0" fontId="6" fillId="0" borderId="21" xfId="6" applyFont="1" applyBorder="1" applyAlignment="1">
      <alignment horizontal="center"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11" xfId="6" applyFont="1" applyBorder="1" applyAlignment="1">
      <alignment horizontal="center" vertical="center" textRotation="90"/>
    </xf>
    <xf numFmtId="0" fontId="6" fillId="0" borderId="13" xfId="6" applyFont="1" applyBorder="1" applyAlignment="1">
      <alignment horizontal="center" vertical="center" textRotation="90"/>
    </xf>
    <xf numFmtId="0" fontId="6" fillId="0" borderId="26" xfId="6" applyFont="1" applyBorder="1" applyAlignment="1">
      <alignment horizontal="center" vertical="center" textRotation="90"/>
    </xf>
    <xf numFmtId="0" fontId="17" fillId="12" borderId="13" xfId="6" applyFont="1" applyFill="1" applyBorder="1" applyAlignment="1">
      <alignment horizontal="center" vertical="center" wrapText="1"/>
    </xf>
    <xf numFmtId="0" fontId="17" fillId="12" borderId="26" xfId="6" applyFont="1" applyFill="1" applyBorder="1" applyAlignment="1">
      <alignment horizontal="center" vertical="center" wrapText="1"/>
    </xf>
    <xf numFmtId="0" fontId="17" fillId="2" borderId="11" xfId="6" applyFont="1" applyFill="1" applyBorder="1" applyAlignment="1">
      <alignment horizontal="center" vertical="center" wrapText="1"/>
    </xf>
    <xf numFmtId="0" fontId="17" fillId="2" borderId="13" xfId="6" applyFont="1" applyFill="1" applyBorder="1" applyAlignment="1">
      <alignment horizontal="center" vertical="center" wrapText="1"/>
    </xf>
    <xf numFmtId="0" fontId="17" fillId="2" borderId="26" xfId="6" applyFont="1" applyFill="1" applyBorder="1" applyAlignment="1">
      <alignment horizontal="center" vertical="center" wrapText="1"/>
    </xf>
    <xf numFmtId="0" fontId="17" fillId="12" borderId="11" xfId="6" applyFont="1" applyFill="1" applyBorder="1" applyAlignment="1">
      <alignment horizontal="center" vertical="center" wrapText="1"/>
    </xf>
    <xf numFmtId="0" fontId="17" fillId="12" borderId="14" xfId="6" applyFont="1" applyFill="1" applyBorder="1" applyAlignment="1">
      <alignment horizontal="center" vertical="center" wrapText="1"/>
    </xf>
    <xf numFmtId="0" fontId="17" fillId="12" borderId="27" xfId="6" applyFont="1" applyFill="1" applyBorder="1" applyAlignment="1">
      <alignment horizontal="center" vertical="center" wrapText="1"/>
    </xf>
    <xf numFmtId="0" fontId="6" fillId="12" borderId="13" xfId="6" applyFont="1" applyFill="1" applyBorder="1" applyAlignment="1">
      <alignment horizontal="center" vertical="center"/>
    </xf>
    <xf numFmtId="0" fontId="6" fillId="12" borderId="29" xfId="6" applyFont="1" applyFill="1" applyBorder="1" applyAlignment="1">
      <alignment horizontal="center" vertical="center"/>
    </xf>
    <xf numFmtId="49" fontId="19" fillId="12" borderId="31" xfId="6" applyNumberFormat="1" applyFont="1" applyFill="1" applyBorder="1" applyAlignment="1">
      <alignment horizontal="center" vertical="center" wrapText="1"/>
    </xf>
    <xf numFmtId="49" fontId="19" fillId="12" borderId="13" xfId="6" applyNumberFormat="1" applyFont="1" applyFill="1" applyBorder="1" applyAlignment="1">
      <alignment horizontal="center" vertical="center" wrapText="1"/>
    </xf>
    <xf numFmtId="49" fontId="19" fillId="12" borderId="29" xfId="6" applyNumberFormat="1" applyFont="1" applyFill="1" applyBorder="1" applyAlignment="1">
      <alignment horizontal="center" vertical="center" wrapText="1"/>
    </xf>
    <xf numFmtId="0" fontId="20" fillId="12" borderId="31" xfId="6" applyFont="1" applyFill="1" applyBorder="1" applyAlignment="1">
      <alignment horizontal="center" vertical="center" wrapText="1"/>
    </xf>
    <xf numFmtId="0" fontId="20" fillId="12" borderId="13" xfId="6" applyFont="1" applyFill="1" applyBorder="1" applyAlignment="1">
      <alignment horizontal="center" vertical="center" wrapText="1"/>
    </xf>
    <xf numFmtId="0" fontId="20" fillId="12" borderId="29" xfId="6" applyFont="1" applyFill="1" applyBorder="1" applyAlignment="1">
      <alignment horizontal="center" vertical="center" wrapText="1"/>
    </xf>
    <xf numFmtId="49" fontId="19" fillId="12" borderId="11" xfId="6" applyNumberFormat="1" applyFont="1" applyFill="1" applyBorder="1" applyAlignment="1">
      <alignment horizontal="center" vertical="center" wrapText="1"/>
    </xf>
    <xf numFmtId="0" fontId="20" fillId="12" borderId="11" xfId="6" applyFont="1" applyFill="1" applyBorder="1" applyAlignment="1">
      <alignment horizontal="center" vertical="center" wrapText="1"/>
    </xf>
    <xf numFmtId="0" fontId="0" fillId="5" borderId="0" xfId="0" applyFill="1" applyAlignment="1">
      <alignment horizontal="center" vertical="center"/>
    </xf>
    <xf numFmtId="0" fontId="0" fillId="0" borderId="0" xfId="0" applyAlignment="1">
      <alignment horizontal="center" vertical="center"/>
    </xf>
    <xf numFmtId="0" fontId="5" fillId="0" borderId="2" xfId="1" applyFont="1" applyBorder="1" applyAlignment="1">
      <alignment horizontal="center" vertical="center"/>
    </xf>
    <xf numFmtId="0" fontId="5" fillId="0" borderId="8" xfId="1" applyFont="1" applyBorder="1" applyAlignment="1">
      <alignment horizontal="center" vertical="center"/>
    </xf>
    <xf numFmtId="0" fontId="5" fillId="0" borderId="15" xfId="1" applyFont="1" applyBorder="1" applyAlignment="1">
      <alignment horizontal="center" vertical="center"/>
    </xf>
    <xf numFmtId="0" fontId="5" fillId="4" borderId="1" xfId="8" applyFont="1" applyFill="1" applyBorder="1" applyAlignment="1">
      <alignment horizontal="center" vertical="center" wrapText="1"/>
    </xf>
    <xf numFmtId="0" fontId="5" fillId="10" borderId="2" xfId="8" applyFont="1" applyFill="1" applyBorder="1" applyAlignment="1">
      <alignment horizontal="center" vertical="center"/>
    </xf>
    <xf numFmtId="0" fontId="5" fillId="10" borderId="15" xfId="8" applyFont="1" applyFill="1" applyBorder="1" applyAlignment="1">
      <alignment horizontal="center" vertical="center"/>
    </xf>
    <xf numFmtId="0" fontId="5" fillId="6" borderId="2" xfId="8" applyFont="1" applyFill="1" applyBorder="1" applyAlignment="1">
      <alignment horizontal="center" vertical="center"/>
    </xf>
    <xf numFmtId="0" fontId="5" fillId="6" borderId="15" xfId="8" applyFont="1" applyFill="1" applyBorder="1" applyAlignment="1">
      <alignment horizontal="center" vertical="center"/>
    </xf>
    <xf numFmtId="0" fontId="0" fillId="4" borderId="0" xfId="0" applyFill="1" applyAlignment="1">
      <alignment horizontal="center" vertical="center"/>
    </xf>
    <xf numFmtId="0" fontId="5" fillId="4" borderId="1" xfId="1" applyFont="1" applyFill="1" applyBorder="1" applyAlignment="1">
      <alignment horizontal="center" vertical="center" wrapText="1"/>
    </xf>
  </cellXfs>
  <cellStyles count="14">
    <cellStyle name="Normal" xfId="0" builtinId="0"/>
    <cellStyle name="Normal 2" xfId="2" xr:uid="{B36C1204-6747-4A7F-A33C-D2D7882F499B}"/>
    <cellStyle name="Normal 2 2" xfId="9" xr:uid="{EDBE81B5-EEB6-4170-8C6F-A7D98B0A283C}"/>
    <cellStyle name="Normal 2 4" xfId="1" xr:uid="{0FDEC3FA-31A7-4C99-B747-8663656EB12E}"/>
    <cellStyle name="Normal 2 4 2" xfId="8" xr:uid="{02FC4AED-A156-4D1F-95A0-AC858CA613E0}"/>
    <cellStyle name="Normal 2 5" xfId="6" xr:uid="{4C31C91E-6CA8-4425-8469-CCA003FF1BAB}"/>
    <cellStyle name="Normal 3" xfId="4" xr:uid="{612A28F1-C9E3-43E8-A47B-FAC4F7F885EC}"/>
    <cellStyle name="Normal 3 2" xfId="3" xr:uid="{9479CA72-9798-430E-9DF0-1D51D6789807}"/>
    <cellStyle name="Normal 3 3" xfId="10" xr:uid="{A2FCC101-FB68-47D9-B4B7-4617ECA94490}"/>
    <cellStyle name="Normal 4" xfId="7" xr:uid="{733C51A6-4593-4FAE-83EC-C5D6D249D8E8}"/>
    <cellStyle name="Normal 4 2" xfId="13" xr:uid="{73869667-108A-48D9-AA1F-69A1C35E5161}"/>
    <cellStyle name="Normal 5 2" xfId="12" xr:uid="{FA7A5799-8E08-46AB-9B91-10396D22F1D1}"/>
    <cellStyle name="Normal 6 2" xfId="11" xr:uid="{02429981-038D-4202-8D58-926C177AD308}"/>
    <cellStyle name="Normal 7" xfId="5" xr:uid="{61DD58A6-47B9-4C34-BAF0-F86A93128328}"/>
  </cellStyles>
  <dxfs count="1304">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color indexed="10"/>
      </font>
    </dxf>
    <dxf>
      <font>
        <b/>
        <i val="0"/>
      </font>
      <fill>
        <patternFill patternType="solid">
          <bgColor indexed="10"/>
        </patternFill>
      </fill>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color indexed="10"/>
      </font>
    </dxf>
    <dxf>
      <font>
        <b/>
        <i val="0"/>
      </font>
      <fill>
        <patternFill patternType="solid">
          <bgColor indexed="10"/>
        </patternFill>
      </fill>
    </dxf>
    <dxf>
      <font>
        <color indexed="10"/>
      </font>
    </dxf>
    <dxf>
      <font>
        <b/>
        <i val="0"/>
      </font>
      <fill>
        <patternFill patternType="solid">
          <bgColor indexed="10"/>
        </patternFill>
      </fill>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s>
  <tableStyles count="0" defaultTableStyle="TableStyleMedium2" defaultPivotStyle="PivotStyleLight16"/>
  <colors>
    <mruColors>
      <color rgb="FFFF0066"/>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23</xdr:col>
      <xdr:colOff>0</xdr:colOff>
      <xdr:row>1</xdr:row>
      <xdr:rowOff>0</xdr:rowOff>
    </xdr:from>
    <xdr:to>
      <xdr:col>23</xdr:col>
      <xdr:colOff>600075</xdr:colOff>
      <xdr:row>3</xdr:row>
      <xdr:rowOff>19050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AF00DBF-677E-48D5-ABAC-6697DB5E61F3}"/>
            </a:ext>
          </a:extLst>
        </xdr:cNvPr>
        <xdr:cNvSpPr/>
      </xdr:nvSpPr>
      <xdr:spPr>
        <a:xfrm>
          <a:off x="17792700" y="314325"/>
          <a:ext cx="600075" cy="466725"/>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100"/>
            <a:t>MENU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0</xdr:colOff>
      <xdr:row>1</xdr:row>
      <xdr:rowOff>0</xdr:rowOff>
    </xdr:from>
    <xdr:to>
      <xdr:col>23</xdr:col>
      <xdr:colOff>600075</xdr:colOff>
      <xdr:row>3</xdr:row>
      <xdr:rowOff>19050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7A5BAE-B4B0-4BC7-8BFE-4067FA66AA00}"/>
            </a:ext>
          </a:extLst>
        </xdr:cNvPr>
        <xdr:cNvSpPr/>
      </xdr:nvSpPr>
      <xdr:spPr>
        <a:xfrm>
          <a:off x="17792700" y="314325"/>
          <a:ext cx="600075" cy="466725"/>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100"/>
            <a:t>MENU</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0</xdr:colOff>
      <xdr:row>1</xdr:row>
      <xdr:rowOff>0</xdr:rowOff>
    </xdr:from>
    <xdr:to>
      <xdr:col>23</xdr:col>
      <xdr:colOff>600075</xdr:colOff>
      <xdr:row>3</xdr:row>
      <xdr:rowOff>19050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943E83A-7CBB-4FA4-ACB8-B9EBC5B0B319}"/>
            </a:ext>
          </a:extLst>
        </xdr:cNvPr>
        <xdr:cNvSpPr/>
      </xdr:nvSpPr>
      <xdr:spPr>
        <a:xfrm>
          <a:off x="18821400" y="314325"/>
          <a:ext cx="600075" cy="466725"/>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100"/>
            <a:t>MENU</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23</xdr:col>
      <xdr:colOff>0</xdr:colOff>
      <xdr:row>1</xdr:row>
      <xdr:rowOff>0</xdr:rowOff>
    </xdr:from>
    <xdr:to>
      <xdr:col>23</xdr:col>
      <xdr:colOff>600075</xdr:colOff>
      <xdr:row>3</xdr:row>
      <xdr:rowOff>19050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0F43CC8-7C0E-4B53-B573-A2E3447D21FC}"/>
            </a:ext>
          </a:extLst>
        </xdr:cNvPr>
        <xdr:cNvSpPr/>
      </xdr:nvSpPr>
      <xdr:spPr>
        <a:xfrm>
          <a:off x="17792700" y="314325"/>
          <a:ext cx="600075" cy="466725"/>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100"/>
            <a:t>MENU</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4A491-141F-4EDB-8ED6-37DDAED7A251}">
  <dimension ref="A1:D1800"/>
  <sheetViews>
    <sheetView topLeftCell="A115" zoomScale="90" zoomScaleNormal="90" workbookViewId="0">
      <selection activeCell="B127" sqref="B127:B477"/>
    </sheetView>
  </sheetViews>
  <sheetFormatPr defaultColWidth="9.109375" defaultRowHeight="14.4"/>
  <cols>
    <col min="1" max="1" width="9.109375" style="99"/>
    <col min="2" max="2" width="16.5546875" style="98" customWidth="1"/>
    <col min="3" max="3" width="27.44140625" style="98" customWidth="1"/>
    <col min="4" max="16384" width="9.109375" style="98"/>
  </cols>
  <sheetData>
    <row r="1" spans="1:4">
      <c r="A1" s="159">
        <v>1</v>
      </c>
      <c r="B1" s="160" t="s">
        <v>458</v>
      </c>
      <c r="C1" s="159" t="s">
        <v>430</v>
      </c>
      <c r="D1" s="98">
        <v>1</v>
      </c>
    </row>
    <row r="2" spans="1:4">
      <c r="A2" s="159"/>
      <c r="B2" s="160"/>
      <c r="C2" s="159"/>
      <c r="D2" s="98">
        <v>2</v>
      </c>
    </row>
    <row r="3" spans="1:4">
      <c r="A3" s="159"/>
      <c r="B3" s="160"/>
      <c r="C3" s="159"/>
      <c r="D3" s="98">
        <v>3</v>
      </c>
    </row>
    <row r="4" spans="1:4">
      <c r="A4" s="159"/>
      <c r="B4" s="160"/>
      <c r="C4" s="159"/>
      <c r="D4" s="98">
        <v>4</v>
      </c>
    </row>
    <row r="5" spans="1:4">
      <c r="A5" s="159"/>
      <c r="B5" s="160"/>
      <c r="C5" s="159"/>
      <c r="D5" s="98">
        <v>5</v>
      </c>
    </row>
    <row r="6" spans="1:4">
      <c r="A6" s="159"/>
      <c r="B6" s="160"/>
      <c r="C6" s="159"/>
      <c r="D6" s="98">
        <v>6</v>
      </c>
    </row>
    <row r="7" spans="1:4">
      <c r="A7" s="159"/>
      <c r="B7" s="160"/>
      <c r="C7" s="159"/>
      <c r="D7" s="98">
        <v>7</v>
      </c>
    </row>
    <row r="8" spans="1:4">
      <c r="A8" s="159"/>
      <c r="B8" s="160"/>
      <c r="C8" s="159"/>
      <c r="D8" s="98">
        <v>8</v>
      </c>
    </row>
    <row r="9" spans="1:4">
      <c r="A9" s="159"/>
      <c r="B9" s="160"/>
      <c r="C9" s="159"/>
      <c r="D9" s="98">
        <v>9</v>
      </c>
    </row>
    <row r="10" spans="1:4">
      <c r="A10" s="159">
        <v>2</v>
      </c>
      <c r="B10" s="160" t="s">
        <v>459</v>
      </c>
      <c r="C10" s="159" t="s">
        <v>433</v>
      </c>
    </row>
    <row r="11" spans="1:4">
      <c r="A11" s="159">
        <v>2</v>
      </c>
      <c r="B11" s="160"/>
      <c r="C11" s="159"/>
    </row>
    <row r="12" spans="1:4">
      <c r="A12" s="159">
        <v>2</v>
      </c>
      <c r="B12" s="160"/>
      <c r="C12" s="159"/>
    </row>
    <row r="13" spans="1:4">
      <c r="A13" s="159">
        <v>2</v>
      </c>
      <c r="B13" s="160"/>
      <c r="C13" s="159"/>
    </row>
    <row r="14" spans="1:4">
      <c r="A14" s="159">
        <v>2</v>
      </c>
      <c r="B14" s="160"/>
      <c r="C14" s="159"/>
    </row>
    <row r="15" spans="1:4">
      <c r="A15" s="159">
        <v>2</v>
      </c>
      <c r="B15" s="160"/>
      <c r="C15" s="159"/>
    </row>
    <row r="16" spans="1:4">
      <c r="A16" s="159">
        <v>2</v>
      </c>
      <c r="B16" s="160"/>
      <c r="C16" s="159"/>
    </row>
    <row r="17" spans="1:3">
      <c r="A17" s="159">
        <v>2</v>
      </c>
      <c r="B17" s="160"/>
      <c r="C17" s="159"/>
    </row>
    <row r="18" spans="1:3">
      <c r="A18" s="159">
        <v>2</v>
      </c>
      <c r="B18" s="160"/>
      <c r="C18" s="159"/>
    </row>
    <row r="19" spans="1:3">
      <c r="A19" s="159">
        <v>3</v>
      </c>
      <c r="B19" s="160" t="s">
        <v>460</v>
      </c>
      <c r="C19" s="159" t="s">
        <v>435</v>
      </c>
    </row>
    <row r="20" spans="1:3">
      <c r="A20" s="159">
        <v>3</v>
      </c>
      <c r="B20" s="160"/>
      <c r="C20" s="159"/>
    </row>
    <row r="21" spans="1:3">
      <c r="A21" s="159">
        <v>3</v>
      </c>
      <c r="B21" s="160"/>
      <c r="C21" s="159"/>
    </row>
    <row r="22" spans="1:3">
      <c r="A22" s="159">
        <v>3</v>
      </c>
      <c r="B22" s="160"/>
      <c r="C22" s="159"/>
    </row>
    <row r="23" spans="1:3">
      <c r="A23" s="159">
        <v>3</v>
      </c>
      <c r="B23" s="160"/>
      <c r="C23" s="159"/>
    </row>
    <row r="24" spans="1:3">
      <c r="A24" s="159">
        <v>3</v>
      </c>
      <c r="B24" s="160"/>
      <c r="C24" s="159"/>
    </row>
    <row r="25" spans="1:3">
      <c r="A25" s="159">
        <v>3</v>
      </c>
      <c r="B25" s="160"/>
      <c r="C25" s="159"/>
    </row>
    <row r="26" spans="1:3">
      <c r="A26" s="159">
        <v>3</v>
      </c>
      <c r="B26" s="160"/>
      <c r="C26" s="159"/>
    </row>
    <row r="27" spans="1:3">
      <c r="A27" s="159">
        <v>3</v>
      </c>
      <c r="B27" s="160"/>
      <c r="C27" s="159"/>
    </row>
    <row r="28" spans="1:3">
      <c r="A28" s="159">
        <v>4</v>
      </c>
      <c r="B28" s="160" t="s">
        <v>461</v>
      </c>
      <c r="C28" s="159" t="s">
        <v>437</v>
      </c>
    </row>
    <row r="29" spans="1:3">
      <c r="A29" s="159">
        <v>4</v>
      </c>
      <c r="B29" s="160"/>
      <c r="C29" s="159"/>
    </row>
    <row r="30" spans="1:3">
      <c r="A30" s="159">
        <v>4</v>
      </c>
      <c r="B30" s="160"/>
      <c r="C30" s="159"/>
    </row>
    <row r="31" spans="1:3">
      <c r="A31" s="159">
        <v>4</v>
      </c>
      <c r="B31" s="160"/>
      <c r="C31" s="159"/>
    </row>
    <row r="32" spans="1:3">
      <c r="A32" s="159">
        <v>4</v>
      </c>
      <c r="B32" s="160"/>
      <c r="C32" s="159"/>
    </row>
    <row r="33" spans="1:3">
      <c r="A33" s="159">
        <v>4</v>
      </c>
      <c r="B33" s="160"/>
      <c r="C33" s="159"/>
    </row>
    <row r="34" spans="1:3">
      <c r="A34" s="159">
        <v>4</v>
      </c>
      <c r="B34" s="160"/>
      <c r="C34" s="159"/>
    </row>
    <row r="35" spans="1:3">
      <c r="A35" s="159">
        <v>4</v>
      </c>
      <c r="B35" s="160"/>
      <c r="C35" s="159"/>
    </row>
    <row r="36" spans="1:3">
      <c r="A36" s="159">
        <v>4</v>
      </c>
      <c r="B36" s="160"/>
      <c r="C36" s="159"/>
    </row>
    <row r="37" spans="1:3">
      <c r="A37" s="159">
        <v>5</v>
      </c>
      <c r="B37" s="160" t="s">
        <v>462</v>
      </c>
      <c r="C37" s="159" t="s">
        <v>439</v>
      </c>
    </row>
    <row r="38" spans="1:3">
      <c r="A38" s="159">
        <v>5</v>
      </c>
      <c r="B38" s="160"/>
      <c r="C38" s="159"/>
    </row>
    <row r="39" spans="1:3">
      <c r="A39" s="159">
        <v>5</v>
      </c>
      <c r="B39" s="160"/>
      <c r="C39" s="159"/>
    </row>
    <row r="40" spans="1:3">
      <c r="A40" s="159">
        <v>5</v>
      </c>
      <c r="B40" s="160"/>
      <c r="C40" s="159"/>
    </row>
    <row r="41" spans="1:3">
      <c r="A41" s="159">
        <v>5</v>
      </c>
      <c r="B41" s="160"/>
      <c r="C41" s="159"/>
    </row>
    <row r="42" spans="1:3">
      <c r="A42" s="159">
        <v>5</v>
      </c>
      <c r="B42" s="160"/>
      <c r="C42" s="159"/>
    </row>
    <row r="43" spans="1:3">
      <c r="A43" s="159">
        <v>5</v>
      </c>
      <c r="B43" s="160"/>
      <c r="C43" s="159"/>
    </row>
    <row r="44" spans="1:3">
      <c r="A44" s="159">
        <v>5</v>
      </c>
      <c r="B44" s="160"/>
      <c r="C44" s="159"/>
    </row>
    <row r="45" spans="1:3">
      <c r="A45" s="159">
        <v>5</v>
      </c>
      <c r="B45" s="160"/>
      <c r="C45" s="159"/>
    </row>
    <row r="46" spans="1:3">
      <c r="A46" s="159">
        <v>6</v>
      </c>
      <c r="B46" s="160" t="s">
        <v>463</v>
      </c>
      <c r="C46" s="159" t="s">
        <v>441</v>
      </c>
    </row>
    <row r="47" spans="1:3">
      <c r="A47" s="159">
        <v>6</v>
      </c>
      <c r="B47" s="160"/>
      <c r="C47" s="159"/>
    </row>
    <row r="48" spans="1:3">
      <c r="A48" s="159">
        <v>6</v>
      </c>
      <c r="B48" s="160"/>
      <c r="C48" s="159"/>
    </row>
    <row r="49" spans="1:3">
      <c r="A49" s="159">
        <v>6</v>
      </c>
      <c r="B49" s="160"/>
      <c r="C49" s="159"/>
    </row>
    <row r="50" spans="1:3">
      <c r="A50" s="159">
        <v>6</v>
      </c>
      <c r="B50" s="160"/>
      <c r="C50" s="159"/>
    </row>
    <row r="51" spans="1:3">
      <c r="A51" s="159">
        <v>6</v>
      </c>
      <c r="B51" s="160"/>
      <c r="C51" s="159"/>
    </row>
    <row r="52" spans="1:3">
      <c r="A52" s="159">
        <v>6</v>
      </c>
      <c r="B52" s="160"/>
      <c r="C52" s="159"/>
    </row>
    <row r="53" spans="1:3">
      <c r="A53" s="159">
        <v>6</v>
      </c>
      <c r="B53" s="160"/>
      <c r="C53" s="159"/>
    </row>
    <row r="54" spans="1:3">
      <c r="A54" s="159">
        <v>6</v>
      </c>
      <c r="B54" s="160"/>
      <c r="C54" s="159"/>
    </row>
    <row r="55" spans="1:3">
      <c r="A55" s="159">
        <v>7</v>
      </c>
      <c r="B55" s="160" t="s">
        <v>464</v>
      </c>
      <c r="C55" s="159" t="s">
        <v>443</v>
      </c>
    </row>
    <row r="56" spans="1:3">
      <c r="A56" s="159">
        <v>7</v>
      </c>
      <c r="B56" s="160"/>
      <c r="C56" s="159"/>
    </row>
    <row r="57" spans="1:3">
      <c r="A57" s="159">
        <v>7</v>
      </c>
      <c r="B57" s="160"/>
      <c r="C57" s="159"/>
    </row>
    <row r="58" spans="1:3">
      <c r="A58" s="159">
        <v>7</v>
      </c>
      <c r="B58" s="160"/>
      <c r="C58" s="159"/>
    </row>
    <row r="59" spans="1:3">
      <c r="A59" s="159">
        <v>7</v>
      </c>
      <c r="B59" s="160"/>
      <c r="C59" s="159"/>
    </row>
    <row r="60" spans="1:3">
      <c r="A60" s="159">
        <v>7</v>
      </c>
      <c r="B60" s="160"/>
      <c r="C60" s="159"/>
    </row>
    <row r="61" spans="1:3">
      <c r="A61" s="159">
        <v>7</v>
      </c>
      <c r="B61" s="160"/>
      <c r="C61" s="159"/>
    </row>
    <row r="62" spans="1:3">
      <c r="A62" s="159">
        <v>7</v>
      </c>
      <c r="B62" s="160"/>
      <c r="C62" s="159"/>
    </row>
    <row r="63" spans="1:3">
      <c r="A63" s="159">
        <v>7</v>
      </c>
      <c r="B63" s="160"/>
      <c r="C63" s="159"/>
    </row>
    <row r="64" spans="1:3">
      <c r="A64" s="159">
        <v>8</v>
      </c>
      <c r="B64" s="160" t="s">
        <v>465</v>
      </c>
      <c r="C64" s="159" t="s">
        <v>445</v>
      </c>
    </row>
    <row r="65" spans="1:3">
      <c r="A65" s="159">
        <v>8</v>
      </c>
      <c r="B65" s="160"/>
      <c r="C65" s="159"/>
    </row>
    <row r="66" spans="1:3">
      <c r="A66" s="159">
        <v>8</v>
      </c>
      <c r="B66" s="160"/>
      <c r="C66" s="159"/>
    </row>
    <row r="67" spans="1:3">
      <c r="A67" s="159">
        <v>8</v>
      </c>
      <c r="B67" s="160"/>
      <c r="C67" s="159"/>
    </row>
    <row r="68" spans="1:3">
      <c r="A68" s="159">
        <v>8</v>
      </c>
      <c r="B68" s="160"/>
      <c r="C68" s="159"/>
    </row>
    <row r="69" spans="1:3">
      <c r="A69" s="159">
        <v>8</v>
      </c>
      <c r="B69" s="160"/>
      <c r="C69" s="159"/>
    </row>
    <row r="70" spans="1:3">
      <c r="A70" s="159">
        <v>8</v>
      </c>
      <c r="B70" s="160"/>
      <c r="C70" s="159"/>
    </row>
    <row r="71" spans="1:3">
      <c r="A71" s="159">
        <v>8</v>
      </c>
      <c r="B71" s="160"/>
      <c r="C71" s="159"/>
    </row>
    <row r="72" spans="1:3">
      <c r="A72" s="159">
        <v>8</v>
      </c>
      <c r="B72" s="160"/>
      <c r="C72" s="159"/>
    </row>
    <row r="73" spans="1:3">
      <c r="A73" s="159">
        <v>9</v>
      </c>
      <c r="B73" s="160" t="s">
        <v>466</v>
      </c>
      <c r="C73" s="159" t="s">
        <v>447</v>
      </c>
    </row>
    <row r="74" spans="1:3">
      <c r="A74" s="159">
        <v>9</v>
      </c>
      <c r="B74" s="160"/>
      <c r="C74" s="159"/>
    </row>
    <row r="75" spans="1:3">
      <c r="A75" s="159">
        <v>9</v>
      </c>
      <c r="B75" s="160"/>
      <c r="C75" s="159"/>
    </row>
    <row r="76" spans="1:3">
      <c r="A76" s="159">
        <v>9</v>
      </c>
      <c r="B76" s="160"/>
      <c r="C76" s="159"/>
    </row>
    <row r="77" spans="1:3">
      <c r="A77" s="159">
        <v>9</v>
      </c>
      <c r="B77" s="160"/>
      <c r="C77" s="159"/>
    </row>
    <row r="78" spans="1:3">
      <c r="A78" s="159">
        <v>9</v>
      </c>
      <c r="B78" s="160"/>
      <c r="C78" s="159"/>
    </row>
    <row r="79" spans="1:3">
      <c r="A79" s="159">
        <v>9</v>
      </c>
      <c r="B79" s="160"/>
      <c r="C79" s="159"/>
    </row>
    <row r="80" spans="1:3">
      <c r="A80" s="159">
        <v>9</v>
      </c>
      <c r="B80" s="160"/>
      <c r="C80" s="159"/>
    </row>
    <row r="81" spans="1:3">
      <c r="A81" s="159">
        <v>9</v>
      </c>
      <c r="B81" s="160"/>
      <c r="C81" s="159"/>
    </row>
    <row r="82" spans="1:3">
      <c r="A82" s="159">
        <v>10</v>
      </c>
      <c r="B82" s="160" t="s">
        <v>467</v>
      </c>
      <c r="C82" s="159" t="s">
        <v>449</v>
      </c>
    </row>
    <row r="83" spans="1:3">
      <c r="A83" s="159">
        <v>10</v>
      </c>
      <c r="B83" s="160"/>
      <c r="C83" s="159"/>
    </row>
    <row r="84" spans="1:3">
      <c r="A84" s="159">
        <v>10</v>
      </c>
      <c r="B84" s="160"/>
      <c r="C84" s="159"/>
    </row>
    <row r="85" spans="1:3">
      <c r="A85" s="159">
        <v>10</v>
      </c>
      <c r="B85" s="160"/>
      <c r="C85" s="159"/>
    </row>
    <row r="86" spans="1:3">
      <c r="A86" s="159">
        <v>10</v>
      </c>
      <c r="B86" s="160"/>
      <c r="C86" s="159"/>
    </row>
    <row r="87" spans="1:3">
      <c r="A87" s="159">
        <v>10</v>
      </c>
      <c r="B87" s="160"/>
      <c r="C87" s="159"/>
    </row>
    <row r="88" spans="1:3">
      <c r="A88" s="159">
        <v>10</v>
      </c>
      <c r="B88" s="160"/>
      <c r="C88" s="159"/>
    </row>
    <row r="89" spans="1:3">
      <c r="A89" s="159">
        <v>10</v>
      </c>
      <c r="B89" s="160"/>
      <c r="C89" s="159"/>
    </row>
    <row r="90" spans="1:3">
      <c r="A90" s="159">
        <v>10</v>
      </c>
      <c r="B90" s="160"/>
      <c r="C90" s="159"/>
    </row>
    <row r="91" spans="1:3">
      <c r="A91" s="159">
        <v>11</v>
      </c>
      <c r="B91" s="160" t="s">
        <v>468</v>
      </c>
      <c r="C91" s="159" t="s">
        <v>451</v>
      </c>
    </row>
    <row r="92" spans="1:3">
      <c r="A92" s="159">
        <v>11</v>
      </c>
      <c r="B92" s="160"/>
      <c r="C92" s="159"/>
    </row>
    <row r="93" spans="1:3">
      <c r="A93" s="159">
        <v>11</v>
      </c>
      <c r="B93" s="160"/>
      <c r="C93" s="159"/>
    </row>
    <row r="94" spans="1:3">
      <c r="A94" s="159">
        <v>11</v>
      </c>
      <c r="B94" s="160"/>
      <c r="C94" s="159"/>
    </row>
    <row r="95" spans="1:3">
      <c r="A95" s="159">
        <v>11</v>
      </c>
      <c r="B95" s="160"/>
      <c r="C95" s="159"/>
    </row>
    <row r="96" spans="1:3">
      <c r="A96" s="159">
        <v>11</v>
      </c>
      <c r="B96" s="160"/>
      <c r="C96" s="159"/>
    </row>
    <row r="97" spans="1:3">
      <c r="A97" s="159">
        <v>11</v>
      </c>
      <c r="B97" s="160"/>
      <c r="C97" s="159"/>
    </row>
    <row r="98" spans="1:3">
      <c r="A98" s="159">
        <v>11</v>
      </c>
      <c r="B98" s="160"/>
      <c r="C98" s="159"/>
    </row>
    <row r="99" spans="1:3">
      <c r="A99" s="159">
        <v>11</v>
      </c>
      <c r="B99" s="160"/>
      <c r="C99" s="159"/>
    </row>
    <row r="100" spans="1:3">
      <c r="A100" s="159">
        <v>12</v>
      </c>
      <c r="B100" s="160" t="s">
        <v>469</v>
      </c>
      <c r="C100" s="159" t="s">
        <v>453</v>
      </c>
    </row>
    <row r="101" spans="1:3">
      <c r="A101" s="159">
        <v>12</v>
      </c>
      <c r="B101" s="160"/>
      <c r="C101" s="159"/>
    </row>
    <row r="102" spans="1:3">
      <c r="A102" s="159">
        <v>12</v>
      </c>
      <c r="B102" s="160"/>
      <c r="C102" s="159"/>
    </row>
    <row r="103" spans="1:3">
      <c r="A103" s="159">
        <v>12</v>
      </c>
      <c r="B103" s="160"/>
      <c r="C103" s="159"/>
    </row>
    <row r="104" spans="1:3">
      <c r="A104" s="159">
        <v>12</v>
      </c>
      <c r="B104" s="160"/>
      <c r="C104" s="159"/>
    </row>
    <row r="105" spans="1:3">
      <c r="A105" s="159">
        <v>12</v>
      </c>
      <c r="B105" s="160"/>
      <c r="C105" s="159"/>
    </row>
    <row r="106" spans="1:3">
      <c r="A106" s="159">
        <v>12</v>
      </c>
      <c r="B106" s="160"/>
      <c r="C106" s="159"/>
    </row>
    <row r="107" spans="1:3">
      <c r="A107" s="159">
        <v>12</v>
      </c>
      <c r="B107" s="160"/>
      <c r="C107" s="159"/>
    </row>
    <row r="108" spans="1:3">
      <c r="A108" s="159">
        <v>12</v>
      </c>
      <c r="B108" s="160"/>
      <c r="C108" s="159"/>
    </row>
    <row r="109" spans="1:3">
      <c r="A109" s="159">
        <v>13</v>
      </c>
      <c r="B109" s="160" t="s">
        <v>470</v>
      </c>
      <c r="C109" s="159" t="s">
        <v>455</v>
      </c>
    </row>
    <row r="110" spans="1:3">
      <c r="A110" s="159">
        <v>13</v>
      </c>
      <c r="B110" s="160"/>
      <c r="C110" s="159"/>
    </row>
    <row r="111" spans="1:3">
      <c r="A111" s="159">
        <v>13</v>
      </c>
      <c r="B111" s="160"/>
      <c r="C111" s="159"/>
    </row>
    <row r="112" spans="1:3">
      <c r="A112" s="159">
        <v>13</v>
      </c>
      <c r="B112" s="160"/>
      <c r="C112" s="159"/>
    </row>
    <row r="113" spans="1:3">
      <c r="A113" s="159">
        <v>13</v>
      </c>
      <c r="B113" s="160"/>
      <c r="C113" s="159"/>
    </row>
    <row r="114" spans="1:3">
      <c r="A114" s="159">
        <v>13</v>
      </c>
      <c r="B114" s="160"/>
      <c r="C114" s="159"/>
    </row>
    <row r="115" spans="1:3">
      <c r="A115" s="159">
        <v>13</v>
      </c>
      <c r="B115" s="160"/>
      <c r="C115" s="159"/>
    </row>
    <row r="116" spans="1:3">
      <c r="A116" s="159">
        <v>13</v>
      </c>
      <c r="B116" s="160"/>
      <c r="C116" s="159"/>
    </row>
    <row r="117" spans="1:3">
      <c r="A117" s="159">
        <v>13</v>
      </c>
      <c r="B117" s="160"/>
      <c r="C117" s="159"/>
    </row>
    <row r="118" spans="1:3">
      <c r="A118" s="159">
        <v>14</v>
      </c>
      <c r="B118" s="160" t="s">
        <v>471</v>
      </c>
      <c r="C118" s="159" t="s">
        <v>457</v>
      </c>
    </row>
    <row r="119" spans="1:3">
      <c r="A119" s="159">
        <v>14</v>
      </c>
      <c r="B119" s="160"/>
      <c r="C119" s="159"/>
    </row>
    <row r="120" spans="1:3">
      <c r="A120" s="159">
        <v>14</v>
      </c>
      <c r="B120" s="160"/>
      <c r="C120" s="159"/>
    </row>
    <row r="121" spans="1:3">
      <c r="A121" s="159">
        <v>14</v>
      </c>
      <c r="B121" s="160"/>
      <c r="C121" s="159"/>
    </row>
    <row r="122" spans="1:3">
      <c r="A122" s="159">
        <v>14</v>
      </c>
      <c r="B122" s="160"/>
      <c r="C122" s="159"/>
    </row>
    <row r="123" spans="1:3">
      <c r="A123" s="159">
        <v>14</v>
      </c>
      <c r="B123" s="160"/>
      <c r="C123" s="159"/>
    </row>
    <row r="124" spans="1:3">
      <c r="A124" s="159">
        <v>14</v>
      </c>
      <c r="B124" s="160"/>
      <c r="C124" s="159"/>
    </row>
    <row r="125" spans="1:3">
      <c r="A125" s="159">
        <v>14</v>
      </c>
      <c r="B125" s="160"/>
      <c r="C125" s="159"/>
    </row>
    <row r="126" spans="1:3">
      <c r="A126" s="159">
        <v>14</v>
      </c>
      <c r="B126" s="160"/>
      <c r="C126" s="159"/>
    </row>
    <row r="127" spans="1:3">
      <c r="A127" s="159">
        <v>15</v>
      </c>
      <c r="B127" s="160" t="s">
        <v>472</v>
      </c>
      <c r="C127" s="161" t="s">
        <v>473</v>
      </c>
    </row>
    <row r="128" spans="1:3">
      <c r="A128" s="159">
        <v>15</v>
      </c>
      <c r="B128" s="160"/>
      <c r="C128" s="161"/>
    </row>
    <row r="129" spans="1:3">
      <c r="A129" s="159">
        <v>15</v>
      </c>
      <c r="B129" s="160"/>
      <c r="C129" s="161"/>
    </row>
    <row r="130" spans="1:3">
      <c r="A130" s="159">
        <v>15</v>
      </c>
      <c r="B130" s="160"/>
      <c r="C130" s="161"/>
    </row>
    <row r="131" spans="1:3">
      <c r="A131" s="159">
        <v>15</v>
      </c>
      <c r="B131" s="160"/>
      <c r="C131" s="161"/>
    </row>
    <row r="132" spans="1:3">
      <c r="A132" s="159">
        <v>15</v>
      </c>
      <c r="B132" s="160"/>
      <c r="C132" s="161"/>
    </row>
    <row r="133" spans="1:3">
      <c r="A133" s="159">
        <v>15</v>
      </c>
      <c r="B133" s="160"/>
      <c r="C133" s="161"/>
    </row>
    <row r="134" spans="1:3">
      <c r="A134" s="159">
        <v>15</v>
      </c>
      <c r="B134" s="160"/>
      <c r="C134" s="161"/>
    </row>
    <row r="135" spans="1:3">
      <c r="A135" s="159">
        <v>15</v>
      </c>
      <c r="B135" s="160"/>
      <c r="C135" s="161"/>
    </row>
    <row r="136" spans="1:3">
      <c r="A136" s="159">
        <v>16</v>
      </c>
      <c r="B136" s="160" t="s">
        <v>474</v>
      </c>
      <c r="C136" s="159" t="s">
        <v>475</v>
      </c>
    </row>
    <row r="137" spans="1:3">
      <c r="A137" s="159">
        <v>16</v>
      </c>
      <c r="B137" s="160"/>
      <c r="C137" s="159"/>
    </row>
    <row r="138" spans="1:3">
      <c r="A138" s="159">
        <v>16</v>
      </c>
      <c r="B138" s="160"/>
      <c r="C138" s="159"/>
    </row>
    <row r="139" spans="1:3">
      <c r="A139" s="159">
        <v>16</v>
      </c>
      <c r="B139" s="160"/>
      <c r="C139" s="159"/>
    </row>
    <row r="140" spans="1:3">
      <c r="A140" s="159">
        <v>16</v>
      </c>
      <c r="B140" s="160"/>
      <c r="C140" s="159"/>
    </row>
    <row r="141" spans="1:3">
      <c r="A141" s="159">
        <v>16</v>
      </c>
      <c r="B141" s="160"/>
      <c r="C141" s="159"/>
    </row>
    <row r="142" spans="1:3">
      <c r="A142" s="159">
        <v>16</v>
      </c>
      <c r="B142" s="160"/>
      <c r="C142" s="159"/>
    </row>
    <row r="143" spans="1:3">
      <c r="A143" s="159">
        <v>16</v>
      </c>
      <c r="B143" s="160"/>
      <c r="C143" s="159"/>
    </row>
    <row r="144" spans="1:3">
      <c r="A144" s="159">
        <v>16</v>
      </c>
      <c r="B144" s="160"/>
      <c r="C144" s="159"/>
    </row>
    <row r="145" spans="1:3">
      <c r="A145" s="159">
        <v>17</v>
      </c>
      <c r="B145" s="160" t="s">
        <v>476</v>
      </c>
      <c r="C145" s="159" t="s">
        <v>477</v>
      </c>
    </row>
    <row r="146" spans="1:3">
      <c r="A146" s="159">
        <v>17</v>
      </c>
      <c r="B146" s="160"/>
      <c r="C146" s="159"/>
    </row>
    <row r="147" spans="1:3">
      <c r="A147" s="159">
        <v>17</v>
      </c>
      <c r="B147" s="160"/>
      <c r="C147" s="159"/>
    </row>
    <row r="148" spans="1:3">
      <c r="A148" s="159">
        <v>17</v>
      </c>
      <c r="B148" s="160"/>
      <c r="C148" s="159"/>
    </row>
    <row r="149" spans="1:3">
      <c r="A149" s="159">
        <v>17</v>
      </c>
      <c r="B149" s="160"/>
      <c r="C149" s="159"/>
    </row>
    <row r="150" spans="1:3">
      <c r="A150" s="159">
        <v>17</v>
      </c>
      <c r="B150" s="160"/>
      <c r="C150" s="159"/>
    </row>
    <row r="151" spans="1:3">
      <c r="A151" s="159">
        <v>17</v>
      </c>
      <c r="B151" s="160"/>
      <c r="C151" s="159"/>
    </row>
    <row r="152" spans="1:3">
      <c r="A152" s="159">
        <v>17</v>
      </c>
      <c r="B152" s="160"/>
      <c r="C152" s="159"/>
    </row>
    <row r="153" spans="1:3">
      <c r="A153" s="159">
        <v>17</v>
      </c>
      <c r="B153" s="160"/>
      <c r="C153" s="159"/>
    </row>
    <row r="154" spans="1:3">
      <c r="A154" s="159">
        <v>18</v>
      </c>
      <c r="B154" s="160" t="s">
        <v>478</v>
      </c>
      <c r="C154" s="159" t="s">
        <v>479</v>
      </c>
    </row>
    <row r="155" spans="1:3">
      <c r="A155" s="159">
        <v>18</v>
      </c>
      <c r="B155" s="160"/>
      <c r="C155" s="159"/>
    </row>
    <row r="156" spans="1:3">
      <c r="A156" s="159">
        <v>18</v>
      </c>
      <c r="B156" s="160"/>
      <c r="C156" s="159"/>
    </row>
    <row r="157" spans="1:3">
      <c r="A157" s="159">
        <v>18</v>
      </c>
      <c r="B157" s="160"/>
      <c r="C157" s="159"/>
    </row>
    <row r="158" spans="1:3">
      <c r="A158" s="159">
        <v>18</v>
      </c>
      <c r="B158" s="160"/>
      <c r="C158" s="159"/>
    </row>
    <row r="159" spans="1:3">
      <c r="A159" s="159">
        <v>18</v>
      </c>
      <c r="B159" s="160"/>
      <c r="C159" s="159"/>
    </row>
    <row r="160" spans="1:3">
      <c r="A160" s="159">
        <v>18</v>
      </c>
      <c r="B160" s="160"/>
      <c r="C160" s="159"/>
    </row>
    <row r="161" spans="1:3">
      <c r="A161" s="159">
        <v>18</v>
      </c>
      <c r="B161" s="160"/>
      <c r="C161" s="159"/>
    </row>
    <row r="162" spans="1:3">
      <c r="A162" s="159">
        <v>18</v>
      </c>
      <c r="B162" s="160"/>
      <c r="C162" s="159"/>
    </row>
    <row r="163" spans="1:3">
      <c r="A163" s="159">
        <v>19</v>
      </c>
      <c r="B163" s="160" t="s">
        <v>480</v>
      </c>
      <c r="C163" s="159" t="s">
        <v>481</v>
      </c>
    </row>
    <row r="164" spans="1:3">
      <c r="A164" s="159">
        <v>19</v>
      </c>
      <c r="B164" s="160"/>
      <c r="C164" s="159"/>
    </row>
    <row r="165" spans="1:3">
      <c r="A165" s="159">
        <v>19</v>
      </c>
      <c r="B165" s="160"/>
      <c r="C165" s="159"/>
    </row>
    <row r="166" spans="1:3">
      <c r="A166" s="159">
        <v>19</v>
      </c>
      <c r="B166" s="160"/>
      <c r="C166" s="159"/>
    </row>
    <row r="167" spans="1:3">
      <c r="A167" s="159">
        <v>19</v>
      </c>
      <c r="B167" s="160"/>
      <c r="C167" s="159"/>
    </row>
    <row r="168" spans="1:3">
      <c r="A168" s="159">
        <v>19</v>
      </c>
      <c r="B168" s="160"/>
      <c r="C168" s="159"/>
    </row>
    <row r="169" spans="1:3">
      <c r="A169" s="159">
        <v>19</v>
      </c>
      <c r="B169" s="160"/>
      <c r="C169" s="159"/>
    </row>
    <row r="170" spans="1:3">
      <c r="A170" s="159">
        <v>19</v>
      </c>
      <c r="B170" s="160"/>
      <c r="C170" s="159"/>
    </row>
    <row r="171" spans="1:3">
      <c r="A171" s="159">
        <v>19</v>
      </c>
      <c r="B171" s="160"/>
      <c r="C171" s="159"/>
    </row>
    <row r="172" spans="1:3">
      <c r="A172" s="159">
        <v>20</v>
      </c>
      <c r="B172" s="160" t="s">
        <v>482</v>
      </c>
      <c r="C172" s="159" t="s">
        <v>483</v>
      </c>
    </row>
    <row r="173" spans="1:3">
      <c r="A173" s="159">
        <v>20</v>
      </c>
      <c r="B173" s="160"/>
      <c r="C173" s="159"/>
    </row>
    <row r="174" spans="1:3">
      <c r="A174" s="159">
        <v>20</v>
      </c>
      <c r="B174" s="160"/>
      <c r="C174" s="159"/>
    </row>
    <row r="175" spans="1:3">
      <c r="A175" s="159">
        <v>20</v>
      </c>
      <c r="B175" s="160"/>
      <c r="C175" s="159"/>
    </row>
    <row r="176" spans="1:3">
      <c r="A176" s="159">
        <v>20</v>
      </c>
      <c r="B176" s="160"/>
      <c r="C176" s="159"/>
    </row>
    <row r="177" spans="1:3">
      <c r="A177" s="159">
        <v>20</v>
      </c>
      <c r="B177" s="160"/>
      <c r="C177" s="159"/>
    </row>
    <row r="178" spans="1:3">
      <c r="A178" s="159">
        <v>20</v>
      </c>
      <c r="B178" s="160"/>
      <c r="C178" s="159"/>
    </row>
    <row r="179" spans="1:3">
      <c r="A179" s="159">
        <v>20</v>
      </c>
      <c r="B179" s="160"/>
      <c r="C179" s="159"/>
    </row>
    <row r="180" spans="1:3">
      <c r="A180" s="159">
        <v>20</v>
      </c>
      <c r="B180" s="160"/>
      <c r="C180" s="159"/>
    </row>
    <row r="181" spans="1:3">
      <c r="A181" s="159">
        <v>21</v>
      </c>
      <c r="B181" s="160" t="s">
        <v>484</v>
      </c>
      <c r="C181" s="159" t="s">
        <v>485</v>
      </c>
    </row>
    <row r="182" spans="1:3">
      <c r="A182" s="159">
        <v>21</v>
      </c>
      <c r="B182" s="160"/>
      <c r="C182" s="159"/>
    </row>
    <row r="183" spans="1:3">
      <c r="A183" s="159">
        <v>21</v>
      </c>
      <c r="B183" s="160"/>
      <c r="C183" s="159"/>
    </row>
    <row r="184" spans="1:3">
      <c r="A184" s="159">
        <v>21</v>
      </c>
      <c r="B184" s="160"/>
      <c r="C184" s="159"/>
    </row>
    <row r="185" spans="1:3">
      <c r="A185" s="159">
        <v>21</v>
      </c>
      <c r="B185" s="160"/>
      <c r="C185" s="159"/>
    </row>
    <row r="186" spans="1:3">
      <c r="A186" s="159">
        <v>21</v>
      </c>
      <c r="B186" s="160"/>
      <c r="C186" s="159"/>
    </row>
    <row r="187" spans="1:3">
      <c r="A187" s="159">
        <v>21</v>
      </c>
      <c r="B187" s="160"/>
      <c r="C187" s="159"/>
    </row>
    <row r="188" spans="1:3">
      <c r="A188" s="159">
        <v>21</v>
      </c>
      <c r="B188" s="160"/>
      <c r="C188" s="159"/>
    </row>
    <row r="189" spans="1:3">
      <c r="A189" s="159">
        <v>21</v>
      </c>
      <c r="B189" s="160"/>
      <c r="C189" s="159"/>
    </row>
    <row r="190" spans="1:3">
      <c r="A190" s="159">
        <v>22</v>
      </c>
      <c r="B190" s="160" t="s">
        <v>486</v>
      </c>
      <c r="C190" s="159" t="s">
        <v>487</v>
      </c>
    </row>
    <row r="191" spans="1:3">
      <c r="A191" s="159">
        <v>22</v>
      </c>
      <c r="B191" s="160"/>
      <c r="C191" s="159"/>
    </row>
    <row r="192" spans="1:3">
      <c r="A192" s="159">
        <v>22</v>
      </c>
      <c r="B192" s="160"/>
      <c r="C192" s="159"/>
    </row>
    <row r="193" spans="1:3">
      <c r="A193" s="159">
        <v>22</v>
      </c>
      <c r="B193" s="160"/>
      <c r="C193" s="159"/>
    </row>
    <row r="194" spans="1:3">
      <c r="A194" s="159">
        <v>22</v>
      </c>
      <c r="B194" s="160"/>
      <c r="C194" s="159"/>
    </row>
    <row r="195" spans="1:3">
      <c r="A195" s="159">
        <v>22</v>
      </c>
      <c r="B195" s="160"/>
      <c r="C195" s="159"/>
    </row>
    <row r="196" spans="1:3">
      <c r="A196" s="159">
        <v>22</v>
      </c>
      <c r="B196" s="160"/>
      <c r="C196" s="159"/>
    </row>
    <row r="197" spans="1:3">
      <c r="A197" s="159">
        <v>22</v>
      </c>
      <c r="B197" s="160"/>
      <c r="C197" s="159"/>
    </row>
    <row r="198" spans="1:3">
      <c r="A198" s="159">
        <v>22</v>
      </c>
      <c r="B198" s="160"/>
      <c r="C198" s="159"/>
    </row>
    <row r="199" spans="1:3">
      <c r="A199" s="159">
        <v>23</v>
      </c>
      <c r="B199" s="160" t="s">
        <v>488</v>
      </c>
      <c r="C199" s="159" t="s">
        <v>489</v>
      </c>
    </row>
    <row r="200" spans="1:3">
      <c r="A200" s="159">
        <v>23</v>
      </c>
      <c r="B200" s="160"/>
      <c r="C200" s="159"/>
    </row>
    <row r="201" spans="1:3">
      <c r="A201" s="159">
        <v>23</v>
      </c>
      <c r="B201" s="160"/>
      <c r="C201" s="159"/>
    </row>
    <row r="202" spans="1:3">
      <c r="A202" s="159">
        <v>23</v>
      </c>
      <c r="B202" s="160"/>
      <c r="C202" s="159"/>
    </row>
    <row r="203" spans="1:3">
      <c r="A203" s="159">
        <v>23</v>
      </c>
      <c r="B203" s="160"/>
      <c r="C203" s="159"/>
    </row>
    <row r="204" spans="1:3">
      <c r="A204" s="159">
        <v>23</v>
      </c>
      <c r="B204" s="160"/>
      <c r="C204" s="159"/>
    </row>
    <row r="205" spans="1:3">
      <c r="A205" s="159">
        <v>23</v>
      </c>
      <c r="B205" s="160"/>
      <c r="C205" s="159"/>
    </row>
    <row r="206" spans="1:3">
      <c r="A206" s="159">
        <v>23</v>
      </c>
      <c r="B206" s="160"/>
      <c r="C206" s="159"/>
    </row>
    <row r="207" spans="1:3">
      <c r="A207" s="159">
        <v>23</v>
      </c>
      <c r="B207" s="160"/>
      <c r="C207" s="159"/>
    </row>
    <row r="208" spans="1:3">
      <c r="A208" s="159">
        <v>24</v>
      </c>
      <c r="B208" s="160" t="s">
        <v>490</v>
      </c>
      <c r="C208" s="159" t="s">
        <v>491</v>
      </c>
    </row>
    <row r="209" spans="1:3">
      <c r="A209" s="159">
        <v>24</v>
      </c>
      <c r="B209" s="160"/>
      <c r="C209" s="159"/>
    </row>
    <row r="210" spans="1:3">
      <c r="A210" s="159">
        <v>24</v>
      </c>
      <c r="B210" s="160"/>
      <c r="C210" s="159"/>
    </row>
    <row r="211" spans="1:3">
      <c r="A211" s="159">
        <v>24</v>
      </c>
      <c r="B211" s="160"/>
      <c r="C211" s="159"/>
    </row>
    <row r="212" spans="1:3">
      <c r="A212" s="159">
        <v>24</v>
      </c>
      <c r="B212" s="160"/>
      <c r="C212" s="159"/>
    </row>
    <row r="213" spans="1:3">
      <c r="A213" s="159">
        <v>24</v>
      </c>
      <c r="B213" s="160"/>
      <c r="C213" s="159"/>
    </row>
    <row r="214" spans="1:3">
      <c r="A214" s="159">
        <v>24</v>
      </c>
      <c r="B214" s="160"/>
      <c r="C214" s="159"/>
    </row>
    <row r="215" spans="1:3">
      <c r="A215" s="159">
        <v>24</v>
      </c>
      <c r="B215" s="160"/>
      <c r="C215" s="159"/>
    </row>
    <row r="216" spans="1:3">
      <c r="A216" s="159">
        <v>24</v>
      </c>
      <c r="B216" s="160"/>
      <c r="C216" s="159"/>
    </row>
    <row r="217" spans="1:3">
      <c r="A217" s="159">
        <v>25</v>
      </c>
      <c r="B217" s="160" t="s">
        <v>492</v>
      </c>
      <c r="C217" s="159" t="s">
        <v>493</v>
      </c>
    </row>
    <row r="218" spans="1:3">
      <c r="A218" s="159">
        <v>25</v>
      </c>
      <c r="B218" s="160"/>
      <c r="C218" s="159"/>
    </row>
    <row r="219" spans="1:3">
      <c r="A219" s="159">
        <v>25</v>
      </c>
      <c r="B219" s="160"/>
      <c r="C219" s="159"/>
    </row>
    <row r="220" spans="1:3">
      <c r="A220" s="159">
        <v>25</v>
      </c>
      <c r="B220" s="160"/>
      <c r="C220" s="159"/>
    </row>
    <row r="221" spans="1:3">
      <c r="A221" s="159">
        <v>25</v>
      </c>
      <c r="B221" s="160"/>
      <c r="C221" s="159"/>
    </row>
    <row r="222" spans="1:3">
      <c r="A222" s="159">
        <v>25</v>
      </c>
      <c r="B222" s="160"/>
      <c r="C222" s="159"/>
    </row>
    <row r="223" spans="1:3">
      <c r="A223" s="159">
        <v>25</v>
      </c>
      <c r="B223" s="160"/>
      <c r="C223" s="159"/>
    </row>
    <row r="224" spans="1:3">
      <c r="A224" s="159">
        <v>25</v>
      </c>
      <c r="B224" s="160"/>
      <c r="C224" s="159"/>
    </row>
    <row r="225" spans="1:3">
      <c r="A225" s="159">
        <v>25</v>
      </c>
      <c r="B225" s="160"/>
      <c r="C225" s="159"/>
    </row>
    <row r="226" spans="1:3">
      <c r="A226" s="159">
        <v>26</v>
      </c>
      <c r="B226" s="160" t="s">
        <v>494</v>
      </c>
      <c r="C226" s="159" t="s">
        <v>495</v>
      </c>
    </row>
    <row r="227" spans="1:3">
      <c r="A227" s="159">
        <v>26</v>
      </c>
      <c r="B227" s="160"/>
      <c r="C227" s="159"/>
    </row>
    <row r="228" spans="1:3">
      <c r="A228" s="159">
        <v>26</v>
      </c>
      <c r="B228" s="160"/>
      <c r="C228" s="159"/>
    </row>
    <row r="229" spans="1:3">
      <c r="A229" s="159">
        <v>26</v>
      </c>
      <c r="B229" s="160"/>
      <c r="C229" s="159"/>
    </row>
    <row r="230" spans="1:3">
      <c r="A230" s="159">
        <v>26</v>
      </c>
      <c r="B230" s="160"/>
      <c r="C230" s="159"/>
    </row>
    <row r="231" spans="1:3">
      <c r="A231" s="159">
        <v>26</v>
      </c>
      <c r="B231" s="160"/>
      <c r="C231" s="159"/>
    </row>
    <row r="232" spans="1:3">
      <c r="A232" s="159">
        <v>26</v>
      </c>
      <c r="B232" s="160"/>
      <c r="C232" s="159"/>
    </row>
    <row r="233" spans="1:3">
      <c r="A233" s="159">
        <v>26</v>
      </c>
      <c r="B233" s="160"/>
      <c r="C233" s="159"/>
    </row>
    <row r="234" spans="1:3">
      <c r="A234" s="159">
        <v>26</v>
      </c>
      <c r="B234" s="160"/>
      <c r="C234" s="159"/>
    </row>
    <row r="235" spans="1:3">
      <c r="A235" s="159">
        <v>27</v>
      </c>
      <c r="B235" s="160" t="s">
        <v>496</v>
      </c>
      <c r="C235" s="159" t="s">
        <v>497</v>
      </c>
    </row>
    <row r="236" spans="1:3">
      <c r="A236" s="159">
        <v>27</v>
      </c>
      <c r="B236" s="160"/>
      <c r="C236" s="159"/>
    </row>
    <row r="237" spans="1:3">
      <c r="A237" s="159">
        <v>27</v>
      </c>
      <c r="B237" s="160"/>
      <c r="C237" s="159"/>
    </row>
    <row r="238" spans="1:3">
      <c r="A238" s="159">
        <v>27</v>
      </c>
      <c r="B238" s="160"/>
      <c r="C238" s="159"/>
    </row>
    <row r="239" spans="1:3">
      <c r="A239" s="159">
        <v>27</v>
      </c>
      <c r="B239" s="160"/>
      <c r="C239" s="159"/>
    </row>
    <row r="240" spans="1:3">
      <c r="A240" s="159">
        <v>27</v>
      </c>
      <c r="B240" s="160"/>
      <c r="C240" s="159"/>
    </row>
    <row r="241" spans="1:3">
      <c r="A241" s="159">
        <v>27</v>
      </c>
      <c r="B241" s="160"/>
      <c r="C241" s="159"/>
    </row>
    <row r="242" spans="1:3">
      <c r="A242" s="159">
        <v>27</v>
      </c>
      <c r="B242" s="160"/>
      <c r="C242" s="159"/>
    </row>
    <row r="243" spans="1:3">
      <c r="A243" s="159">
        <v>27</v>
      </c>
      <c r="B243" s="160"/>
      <c r="C243" s="159"/>
    </row>
    <row r="244" spans="1:3">
      <c r="A244" s="159">
        <v>28</v>
      </c>
      <c r="B244" s="160" t="s">
        <v>498</v>
      </c>
      <c r="C244" s="159" t="s">
        <v>499</v>
      </c>
    </row>
    <row r="245" spans="1:3">
      <c r="A245" s="159">
        <v>28</v>
      </c>
      <c r="B245" s="160"/>
      <c r="C245" s="159"/>
    </row>
    <row r="246" spans="1:3">
      <c r="A246" s="159">
        <v>28</v>
      </c>
      <c r="B246" s="160"/>
      <c r="C246" s="159"/>
    </row>
    <row r="247" spans="1:3">
      <c r="A247" s="159">
        <v>28</v>
      </c>
      <c r="B247" s="160"/>
      <c r="C247" s="159"/>
    </row>
    <row r="248" spans="1:3">
      <c r="A248" s="159">
        <v>28</v>
      </c>
      <c r="B248" s="160"/>
      <c r="C248" s="159"/>
    </row>
    <row r="249" spans="1:3">
      <c r="A249" s="159">
        <v>28</v>
      </c>
      <c r="B249" s="160"/>
      <c r="C249" s="159"/>
    </row>
    <row r="250" spans="1:3">
      <c r="A250" s="159">
        <v>28</v>
      </c>
      <c r="B250" s="160"/>
      <c r="C250" s="159"/>
    </row>
    <row r="251" spans="1:3">
      <c r="A251" s="159">
        <v>28</v>
      </c>
      <c r="B251" s="160"/>
      <c r="C251" s="159"/>
    </row>
    <row r="252" spans="1:3">
      <c r="A252" s="159">
        <v>28</v>
      </c>
      <c r="B252" s="160"/>
      <c r="C252" s="159"/>
    </row>
    <row r="253" spans="1:3">
      <c r="A253" s="159">
        <v>29</v>
      </c>
      <c r="B253" s="160" t="s">
        <v>500</v>
      </c>
      <c r="C253" s="159" t="s">
        <v>501</v>
      </c>
    </row>
    <row r="254" spans="1:3">
      <c r="A254" s="159">
        <v>29</v>
      </c>
      <c r="B254" s="160"/>
      <c r="C254" s="159"/>
    </row>
    <row r="255" spans="1:3">
      <c r="A255" s="159">
        <v>29</v>
      </c>
      <c r="B255" s="160"/>
      <c r="C255" s="159"/>
    </row>
    <row r="256" spans="1:3">
      <c r="A256" s="159">
        <v>29</v>
      </c>
      <c r="B256" s="160"/>
      <c r="C256" s="159"/>
    </row>
    <row r="257" spans="1:3">
      <c r="A257" s="159">
        <v>29</v>
      </c>
      <c r="B257" s="160"/>
      <c r="C257" s="159"/>
    </row>
    <row r="258" spans="1:3">
      <c r="A258" s="159">
        <v>29</v>
      </c>
      <c r="B258" s="160"/>
      <c r="C258" s="159"/>
    </row>
    <row r="259" spans="1:3">
      <c r="A259" s="159">
        <v>29</v>
      </c>
      <c r="B259" s="160"/>
      <c r="C259" s="159"/>
    </row>
    <row r="260" spans="1:3">
      <c r="A260" s="159">
        <v>29</v>
      </c>
      <c r="B260" s="160"/>
      <c r="C260" s="159"/>
    </row>
    <row r="261" spans="1:3">
      <c r="A261" s="159">
        <v>29</v>
      </c>
      <c r="B261" s="160"/>
      <c r="C261" s="159"/>
    </row>
    <row r="262" spans="1:3">
      <c r="A262" s="159">
        <v>30</v>
      </c>
      <c r="B262" s="160" t="s">
        <v>502</v>
      </c>
      <c r="C262" s="159" t="s">
        <v>503</v>
      </c>
    </row>
    <row r="263" spans="1:3">
      <c r="A263" s="159">
        <v>30</v>
      </c>
      <c r="B263" s="160"/>
      <c r="C263" s="159"/>
    </row>
    <row r="264" spans="1:3">
      <c r="A264" s="159">
        <v>30</v>
      </c>
      <c r="B264" s="160"/>
      <c r="C264" s="159"/>
    </row>
    <row r="265" spans="1:3">
      <c r="A265" s="159">
        <v>30</v>
      </c>
      <c r="B265" s="160"/>
      <c r="C265" s="159"/>
    </row>
    <row r="266" spans="1:3">
      <c r="A266" s="159">
        <v>30</v>
      </c>
      <c r="B266" s="160"/>
      <c r="C266" s="159"/>
    </row>
    <row r="267" spans="1:3">
      <c r="A267" s="159">
        <v>30</v>
      </c>
      <c r="B267" s="160"/>
      <c r="C267" s="159"/>
    </row>
    <row r="268" spans="1:3">
      <c r="A268" s="159">
        <v>30</v>
      </c>
      <c r="B268" s="160"/>
      <c r="C268" s="159"/>
    </row>
    <row r="269" spans="1:3">
      <c r="A269" s="159">
        <v>30</v>
      </c>
      <c r="B269" s="160"/>
      <c r="C269" s="159"/>
    </row>
    <row r="270" spans="1:3">
      <c r="A270" s="159">
        <v>30</v>
      </c>
      <c r="B270" s="160"/>
      <c r="C270" s="159"/>
    </row>
    <row r="271" spans="1:3">
      <c r="A271" s="159">
        <v>31</v>
      </c>
      <c r="B271" s="160" t="s">
        <v>504</v>
      </c>
      <c r="C271" s="159" t="s">
        <v>505</v>
      </c>
    </row>
    <row r="272" spans="1:3">
      <c r="A272" s="159">
        <v>31</v>
      </c>
      <c r="B272" s="160"/>
      <c r="C272" s="159"/>
    </row>
    <row r="273" spans="1:3">
      <c r="A273" s="159">
        <v>31</v>
      </c>
      <c r="B273" s="160"/>
      <c r="C273" s="159"/>
    </row>
    <row r="274" spans="1:3">
      <c r="A274" s="159">
        <v>31</v>
      </c>
      <c r="B274" s="160"/>
      <c r="C274" s="159"/>
    </row>
    <row r="275" spans="1:3">
      <c r="A275" s="159">
        <v>31</v>
      </c>
      <c r="B275" s="160"/>
      <c r="C275" s="159"/>
    </row>
    <row r="276" spans="1:3">
      <c r="A276" s="159">
        <v>31</v>
      </c>
      <c r="B276" s="160"/>
      <c r="C276" s="159"/>
    </row>
    <row r="277" spans="1:3">
      <c r="A277" s="159">
        <v>31</v>
      </c>
      <c r="B277" s="160"/>
      <c r="C277" s="159"/>
    </row>
    <row r="278" spans="1:3">
      <c r="A278" s="159">
        <v>31</v>
      </c>
      <c r="B278" s="160"/>
      <c r="C278" s="159"/>
    </row>
    <row r="279" spans="1:3">
      <c r="A279" s="159">
        <v>31</v>
      </c>
      <c r="B279" s="160"/>
      <c r="C279" s="159"/>
    </row>
    <row r="280" spans="1:3">
      <c r="A280" s="159">
        <v>32</v>
      </c>
      <c r="B280" s="160" t="s">
        <v>506</v>
      </c>
      <c r="C280" s="159" t="s">
        <v>507</v>
      </c>
    </row>
    <row r="281" spans="1:3">
      <c r="A281" s="159">
        <v>32</v>
      </c>
      <c r="B281" s="160"/>
      <c r="C281" s="159"/>
    </row>
    <row r="282" spans="1:3">
      <c r="A282" s="159">
        <v>32</v>
      </c>
      <c r="B282" s="160"/>
      <c r="C282" s="159"/>
    </row>
    <row r="283" spans="1:3">
      <c r="A283" s="159">
        <v>32</v>
      </c>
      <c r="B283" s="160"/>
      <c r="C283" s="159"/>
    </row>
    <row r="284" spans="1:3">
      <c r="A284" s="159">
        <v>32</v>
      </c>
      <c r="B284" s="160"/>
      <c r="C284" s="159"/>
    </row>
    <row r="285" spans="1:3">
      <c r="A285" s="159">
        <v>32</v>
      </c>
      <c r="B285" s="160"/>
      <c r="C285" s="159"/>
    </row>
    <row r="286" spans="1:3">
      <c r="A286" s="159">
        <v>32</v>
      </c>
      <c r="B286" s="160"/>
      <c r="C286" s="159"/>
    </row>
    <row r="287" spans="1:3">
      <c r="A287" s="159">
        <v>32</v>
      </c>
      <c r="B287" s="160"/>
      <c r="C287" s="159"/>
    </row>
    <row r="288" spans="1:3">
      <c r="A288" s="159">
        <v>32</v>
      </c>
      <c r="B288" s="160"/>
      <c r="C288" s="159"/>
    </row>
    <row r="289" spans="1:3">
      <c r="A289" s="159">
        <v>33</v>
      </c>
      <c r="B289" s="160" t="s">
        <v>508</v>
      </c>
      <c r="C289" s="159" t="s">
        <v>509</v>
      </c>
    </row>
    <row r="290" spans="1:3">
      <c r="A290" s="159">
        <v>33</v>
      </c>
      <c r="B290" s="160"/>
      <c r="C290" s="159"/>
    </row>
    <row r="291" spans="1:3">
      <c r="A291" s="159">
        <v>33</v>
      </c>
      <c r="B291" s="160"/>
      <c r="C291" s="159"/>
    </row>
    <row r="292" spans="1:3">
      <c r="A292" s="159">
        <v>33</v>
      </c>
      <c r="B292" s="160"/>
      <c r="C292" s="159"/>
    </row>
    <row r="293" spans="1:3">
      <c r="A293" s="159">
        <v>33</v>
      </c>
      <c r="B293" s="160"/>
      <c r="C293" s="159"/>
    </row>
    <row r="294" spans="1:3">
      <c r="A294" s="159">
        <v>33</v>
      </c>
      <c r="B294" s="160"/>
      <c r="C294" s="159"/>
    </row>
    <row r="295" spans="1:3">
      <c r="A295" s="159">
        <v>33</v>
      </c>
      <c r="B295" s="160"/>
      <c r="C295" s="159"/>
    </row>
    <row r="296" spans="1:3">
      <c r="A296" s="159">
        <v>33</v>
      </c>
      <c r="B296" s="160"/>
      <c r="C296" s="159"/>
    </row>
    <row r="297" spans="1:3">
      <c r="A297" s="159">
        <v>33</v>
      </c>
      <c r="B297" s="160"/>
      <c r="C297" s="159"/>
    </row>
    <row r="298" spans="1:3">
      <c r="A298" s="159">
        <v>34</v>
      </c>
      <c r="B298" s="160" t="s">
        <v>510</v>
      </c>
      <c r="C298" s="159" t="s">
        <v>511</v>
      </c>
    </row>
    <row r="299" spans="1:3">
      <c r="A299" s="159">
        <v>34</v>
      </c>
      <c r="B299" s="160"/>
      <c r="C299" s="159"/>
    </row>
    <row r="300" spans="1:3">
      <c r="A300" s="159">
        <v>34</v>
      </c>
      <c r="B300" s="160"/>
      <c r="C300" s="159"/>
    </row>
    <row r="301" spans="1:3">
      <c r="A301" s="159">
        <v>34</v>
      </c>
      <c r="B301" s="160"/>
      <c r="C301" s="159"/>
    </row>
    <row r="302" spans="1:3">
      <c r="A302" s="159">
        <v>34</v>
      </c>
      <c r="B302" s="160"/>
      <c r="C302" s="159"/>
    </row>
    <row r="303" spans="1:3">
      <c r="A303" s="159">
        <v>34</v>
      </c>
      <c r="B303" s="160"/>
      <c r="C303" s="159"/>
    </row>
    <row r="304" spans="1:3">
      <c r="A304" s="159">
        <v>34</v>
      </c>
      <c r="B304" s="160"/>
      <c r="C304" s="159"/>
    </row>
    <row r="305" spans="1:3">
      <c r="A305" s="159">
        <v>34</v>
      </c>
      <c r="B305" s="160"/>
      <c r="C305" s="159"/>
    </row>
    <row r="306" spans="1:3">
      <c r="A306" s="159">
        <v>34</v>
      </c>
      <c r="B306" s="160"/>
      <c r="C306" s="159"/>
    </row>
    <row r="307" spans="1:3">
      <c r="A307" s="159">
        <v>35</v>
      </c>
      <c r="B307" s="160" t="s">
        <v>512</v>
      </c>
      <c r="C307" s="159" t="s">
        <v>513</v>
      </c>
    </row>
    <row r="308" spans="1:3">
      <c r="A308" s="159">
        <v>35</v>
      </c>
      <c r="B308" s="160"/>
      <c r="C308" s="159"/>
    </row>
    <row r="309" spans="1:3">
      <c r="A309" s="159">
        <v>35</v>
      </c>
      <c r="B309" s="160"/>
      <c r="C309" s="159"/>
    </row>
    <row r="310" spans="1:3">
      <c r="A310" s="159">
        <v>35</v>
      </c>
      <c r="B310" s="160"/>
      <c r="C310" s="159"/>
    </row>
    <row r="311" spans="1:3">
      <c r="A311" s="159">
        <v>35</v>
      </c>
      <c r="B311" s="160"/>
      <c r="C311" s="159"/>
    </row>
    <row r="312" spans="1:3">
      <c r="A312" s="159">
        <v>35</v>
      </c>
      <c r="B312" s="160"/>
      <c r="C312" s="159"/>
    </row>
    <row r="313" spans="1:3">
      <c r="A313" s="159">
        <v>35</v>
      </c>
      <c r="B313" s="160"/>
      <c r="C313" s="159"/>
    </row>
    <row r="314" spans="1:3">
      <c r="A314" s="159">
        <v>35</v>
      </c>
      <c r="B314" s="160"/>
      <c r="C314" s="159"/>
    </row>
    <row r="315" spans="1:3">
      <c r="A315" s="159">
        <v>35</v>
      </c>
      <c r="B315" s="160"/>
      <c r="C315" s="159"/>
    </row>
    <row r="316" spans="1:3">
      <c r="A316" s="159">
        <v>36</v>
      </c>
      <c r="B316" s="160" t="s">
        <v>514</v>
      </c>
      <c r="C316" s="159" t="s">
        <v>515</v>
      </c>
    </row>
    <row r="317" spans="1:3">
      <c r="A317" s="159">
        <v>36</v>
      </c>
      <c r="B317" s="160"/>
      <c r="C317" s="159"/>
    </row>
    <row r="318" spans="1:3">
      <c r="A318" s="159">
        <v>36</v>
      </c>
      <c r="B318" s="160"/>
      <c r="C318" s="159"/>
    </row>
    <row r="319" spans="1:3">
      <c r="A319" s="159">
        <v>36</v>
      </c>
      <c r="B319" s="160"/>
      <c r="C319" s="159"/>
    </row>
    <row r="320" spans="1:3">
      <c r="A320" s="159">
        <v>36</v>
      </c>
      <c r="B320" s="160"/>
      <c r="C320" s="159"/>
    </row>
    <row r="321" spans="1:3">
      <c r="A321" s="159">
        <v>36</v>
      </c>
      <c r="B321" s="160"/>
      <c r="C321" s="159"/>
    </row>
    <row r="322" spans="1:3">
      <c r="A322" s="159">
        <v>36</v>
      </c>
      <c r="B322" s="160"/>
      <c r="C322" s="159"/>
    </row>
    <row r="323" spans="1:3">
      <c r="A323" s="159">
        <v>36</v>
      </c>
      <c r="B323" s="160"/>
      <c r="C323" s="159"/>
    </row>
    <row r="324" spans="1:3">
      <c r="A324" s="159">
        <v>36</v>
      </c>
      <c r="B324" s="160"/>
      <c r="C324" s="159"/>
    </row>
    <row r="325" spans="1:3">
      <c r="A325" s="159">
        <v>37</v>
      </c>
      <c r="B325" s="160" t="s">
        <v>516</v>
      </c>
      <c r="C325" s="159" t="s">
        <v>517</v>
      </c>
    </row>
    <row r="326" spans="1:3">
      <c r="A326" s="159">
        <v>37</v>
      </c>
      <c r="B326" s="160"/>
      <c r="C326" s="159"/>
    </row>
    <row r="327" spans="1:3">
      <c r="A327" s="159">
        <v>37</v>
      </c>
      <c r="B327" s="160"/>
      <c r="C327" s="159"/>
    </row>
    <row r="328" spans="1:3">
      <c r="A328" s="159">
        <v>37</v>
      </c>
      <c r="B328" s="160"/>
      <c r="C328" s="159"/>
    </row>
    <row r="329" spans="1:3">
      <c r="A329" s="159">
        <v>37</v>
      </c>
      <c r="B329" s="160"/>
      <c r="C329" s="159"/>
    </row>
    <row r="330" spans="1:3">
      <c r="A330" s="159">
        <v>37</v>
      </c>
      <c r="B330" s="160"/>
      <c r="C330" s="159"/>
    </row>
    <row r="331" spans="1:3">
      <c r="A331" s="159">
        <v>37</v>
      </c>
      <c r="B331" s="160"/>
      <c r="C331" s="159"/>
    </row>
    <row r="332" spans="1:3">
      <c r="A332" s="159">
        <v>37</v>
      </c>
      <c r="B332" s="160"/>
      <c r="C332" s="159"/>
    </row>
    <row r="333" spans="1:3">
      <c r="A333" s="159">
        <v>37</v>
      </c>
      <c r="B333" s="160"/>
      <c r="C333" s="159"/>
    </row>
    <row r="334" spans="1:3">
      <c r="A334" s="159">
        <v>38</v>
      </c>
      <c r="B334" s="160" t="s">
        <v>518</v>
      </c>
      <c r="C334" s="159" t="s">
        <v>519</v>
      </c>
    </row>
    <row r="335" spans="1:3">
      <c r="A335" s="159">
        <v>38</v>
      </c>
      <c r="B335" s="160"/>
      <c r="C335" s="159"/>
    </row>
    <row r="336" spans="1:3">
      <c r="A336" s="159">
        <v>38</v>
      </c>
      <c r="B336" s="160"/>
      <c r="C336" s="159"/>
    </row>
    <row r="337" spans="1:3">
      <c r="A337" s="159">
        <v>38</v>
      </c>
      <c r="B337" s="160"/>
      <c r="C337" s="159"/>
    </row>
    <row r="338" spans="1:3">
      <c r="A338" s="159">
        <v>38</v>
      </c>
      <c r="B338" s="160"/>
      <c r="C338" s="159"/>
    </row>
    <row r="339" spans="1:3">
      <c r="A339" s="159">
        <v>38</v>
      </c>
      <c r="B339" s="160"/>
      <c r="C339" s="159"/>
    </row>
    <row r="340" spans="1:3">
      <c r="A340" s="159">
        <v>38</v>
      </c>
      <c r="B340" s="160"/>
      <c r="C340" s="159"/>
    </row>
    <row r="341" spans="1:3">
      <c r="A341" s="159">
        <v>38</v>
      </c>
      <c r="B341" s="160"/>
      <c r="C341" s="159"/>
    </row>
    <row r="342" spans="1:3">
      <c r="A342" s="159">
        <v>38</v>
      </c>
      <c r="B342" s="160"/>
      <c r="C342" s="159"/>
    </row>
    <row r="343" spans="1:3">
      <c r="A343" s="159">
        <v>39</v>
      </c>
      <c r="B343" s="160" t="s">
        <v>520</v>
      </c>
      <c r="C343" s="159" t="s">
        <v>521</v>
      </c>
    </row>
    <row r="344" spans="1:3">
      <c r="A344" s="159">
        <v>39</v>
      </c>
      <c r="B344" s="160"/>
      <c r="C344" s="159"/>
    </row>
    <row r="345" spans="1:3">
      <c r="A345" s="159">
        <v>39</v>
      </c>
      <c r="B345" s="160"/>
      <c r="C345" s="159"/>
    </row>
    <row r="346" spans="1:3">
      <c r="A346" s="159">
        <v>39</v>
      </c>
      <c r="B346" s="160"/>
      <c r="C346" s="159"/>
    </row>
    <row r="347" spans="1:3">
      <c r="A347" s="159">
        <v>39</v>
      </c>
      <c r="B347" s="160"/>
      <c r="C347" s="159"/>
    </row>
    <row r="348" spans="1:3">
      <c r="A348" s="159">
        <v>39</v>
      </c>
      <c r="B348" s="160"/>
      <c r="C348" s="159"/>
    </row>
    <row r="349" spans="1:3">
      <c r="A349" s="159">
        <v>39</v>
      </c>
      <c r="B349" s="160"/>
      <c r="C349" s="159"/>
    </row>
    <row r="350" spans="1:3">
      <c r="A350" s="159">
        <v>39</v>
      </c>
      <c r="B350" s="160"/>
      <c r="C350" s="159"/>
    </row>
    <row r="351" spans="1:3">
      <c r="A351" s="159">
        <v>39</v>
      </c>
      <c r="B351" s="160"/>
      <c r="C351" s="159"/>
    </row>
    <row r="352" spans="1:3">
      <c r="A352" s="159">
        <v>40</v>
      </c>
      <c r="B352" s="160" t="s">
        <v>522</v>
      </c>
      <c r="C352" s="159" t="s">
        <v>523</v>
      </c>
    </row>
    <row r="353" spans="1:3">
      <c r="A353" s="159">
        <v>40</v>
      </c>
      <c r="B353" s="160"/>
      <c r="C353" s="159"/>
    </row>
    <row r="354" spans="1:3">
      <c r="A354" s="159">
        <v>40</v>
      </c>
      <c r="B354" s="160"/>
      <c r="C354" s="159"/>
    </row>
    <row r="355" spans="1:3">
      <c r="A355" s="159">
        <v>40</v>
      </c>
      <c r="B355" s="160"/>
      <c r="C355" s="159"/>
    </row>
    <row r="356" spans="1:3">
      <c r="A356" s="159">
        <v>40</v>
      </c>
      <c r="B356" s="160"/>
      <c r="C356" s="159"/>
    </row>
    <row r="357" spans="1:3">
      <c r="A357" s="159">
        <v>40</v>
      </c>
      <c r="B357" s="160"/>
      <c r="C357" s="159"/>
    </row>
    <row r="358" spans="1:3">
      <c r="A358" s="159">
        <v>40</v>
      </c>
      <c r="B358" s="160"/>
      <c r="C358" s="159"/>
    </row>
    <row r="359" spans="1:3">
      <c r="A359" s="159">
        <v>40</v>
      </c>
      <c r="B359" s="160"/>
      <c r="C359" s="159"/>
    </row>
    <row r="360" spans="1:3">
      <c r="A360" s="159">
        <v>40</v>
      </c>
      <c r="B360" s="160"/>
      <c r="C360" s="159"/>
    </row>
    <row r="361" spans="1:3">
      <c r="A361" s="159">
        <v>41</v>
      </c>
      <c r="B361" s="160" t="s">
        <v>524</v>
      </c>
      <c r="C361" s="159" t="s">
        <v>525</v>
      </c>
    </row>
    <row r="362" spans="1:3">
      <c r="A362" s="159">
        <v>41</v>
      </c>
      <c r="B362" s="160"/>
      <c r="C362" s="159"/>
    </row>
    <row r="363" spans="1:3">
      <c r="A363" s="159">
        <v>41</v>
      </c>
      <c r="B363" s="160"/>
      <c r="C363" s="159"/>
    </row>
    <row r="364" spans="1:3">
      <c r="A364" s="159">
        <v>41</v>
      </c>
      <c r="B364" s="160"/>
      <c r="C364" s="159"/>
    </row>
    <row r="365" spans="1:3">
      <c r="A365" s="159">
        <v>41</v>
      </c>
      <c r="B365" s="160"/>
      <c r="C365" s="159"/>
    </row>
    <row r="366" spans="1:3">
      <c r="A366" s="159">
        <v>41</v>
      </c>
      <c r="B366" s="160"/>
      <c r="C366" s="159"/>
    </row>
    <row r="367" spans="1:3">
      <c r="A367" s="159">
        <v>41</v>
      </c>
      <c r="B367" s="160"/>
      <c r="C367" s="159"/>
    </row>
    <row r="368" spans="1:3">
      <c r="A368" s="159">
        <v>41</v>
      </c>
      <c r="B368" s="160"/>
      <c r="C368" s="159"/>
    </row>
    <row r="369" spans="1:3">
      <c r="A369" s="159">
        <v>41</v>
      </c>
      <c r="B369" s="160"/>
      <c r="C369" s="159"/>
    </row>
    <row r="370" spans="1:3">
      <c r="A370" s="159">
        <v>42</v>
      </c>
      <c r="B370" s="160" t="s">
        <v>526</v>
      </c>
      <c r="C370" s="159" t="s">
        <v>527</v>
      </c>
    </row>
    <row r="371" spans="1:3">
      <c r="A371" s="159">
        <v>42</v>
      </c>
      <c r="B371" s="160"/>
      <c r="C371" s="159"/>
    </row>
    <row r="372" spans="1:3">
      <c r="A372" s="159">
        <v>42</v>
      </c>
      <c r="B372" s="160"/>
      <c r="C372" s="159"/>
    </row>
    <row r="373" spans="1:3">
      <c r="A373" s="159">
        <v>42</v>
      </c>
      <c r="B373" s="160"/>
      <c r="C373" s="159"/>
    </row>
    <row r="374" spans="1:3">
      <c r="A374" s="159">
        <v>42</v>
      </c>
      <c r="B374" s="160"/>
      <c r="C374" s="159"/>
    </row>
    <row r="375" spans="1:3">
      <c r="A375" s="159">
        <v>42</v>
      </c>
      <c r="B375" s="160"/>
      <c r="C375" s="159"/>
    </row>
    <row r="376" spans="1:3">
      <c r="A376" s="159">
        <v>42</v>
      </c>
      <c r="B376" s="160"/>
      <c r="C376" s="159"/>
    </row>
    <row r="377" spans="1:3">
      <c r="A377" s="159">
        <v>42</v>
      </c>
      <c r="B377" s="160"/>
      <c r="C377" s="159"/>
    </row>
    <row r="378" spans="1:3">
      <c r="A378" s="159">
        <v>42</v>
      </c>
      <c r="B378" s="160"/>
      <c r="C378" s="159"/>
    </row>
    <row r="379" spans="1:3">
      <c r="A379" s="159">
        <v>43</v>
      </c>
      <c r="B379" s="160" t="s">
        <v>528</v>
      </c>
      <c r="C379" s="159" t="s">
        <v>529</v>
      </c>
    </row>
    <row r="380" spans="1:3">
      <c r="A380" s="159">
        <v>43</v>
      </c>
      <c r="B380" s="160"/>
      <c r="C380" s="159"/>
    </row>
    <row r="381" spans="1:3">
      <c r="A381" s="159">
        <v>43</v>
      </c>
      <c r="B381" s="160"/>
      <c r="C381" s="159"/>
    </row>
    <row r="382" spans="1:3">
      <c r="A382" s="159">
        <v>43</v>
      </c>
      <c r="B382" s="160"/>
      <c r="C382" s="159"/>
    </row>
    <row r="383" spans="1:3">
      <c r="A383" s="159">
        <v>43</v>
      </c>
      <c r="B383" s="160"/>
      <c r="C383" s="159"/>
    </row>
    <row r="384" spans="1:3">
      <c r="A384" s="159">
        <v>43</v>
      </c>
      <c r="B384" s="160"/>
      <c r="C384" s="159"/>
    </row>
    <row r="385" spans="1:3">
      <c r="A385" s="159">
        <v>43</v>
      </c>
      <c r="B385" s="160"/>
      <c r="C385" s="159"/>
    </row>
    <row r="386" spans="1:3">
      <c r="A386" s="159">
        <v>43</v>
      </c>
      <c r="B386" s="160"/>
      <c r="C386" s="159"/>
    </row>
    <row r="387" spans="1:3">
      <c r="A387" s="159">
        <v>43</v>
      </c>
      <c r="B387" s="160"/>
      <c r="C387" s="159"/>
    </row>
    <row r="388" spans="1:3">
      <c r="A388" s="159">
        <v>44</v>
      </c>
      <c r="B388" s="160" t="s">
        <v>530</v>
      </c>
      <c r="C388" s="159" t="s">
        <v>531</v>
      </c>
    </row>
    <row r="389" spans="1:3">
      <c r="A389" s="159">
        <v>44</v>
      </c>
      <c r="B389" s="160"/>
      <c r="C389" s="159"/>
    </row>
    <row r="390" spans="1:3">
      <c r="A390" s="159">
        <v>44</v>
      </c>
      <c r="B390" s="160"/>
      <c r="C390" s="159"/>
    </row>
    <row r="391" spans="1:3">
      <c r="A391" s="159">
        <v>44</v>
      </c>
      <c r="B391" s="160"/>
      <c r="C391" s="159"/>
    </row>
    <row r="392" spans="1:3">
      <c r="A392" s="159">
        <v>44</v>
      </c>
      <c r="B392" s="160"/>
      <c r="C392" s="159"/>
    </row>
    <row r="393" spans="1:3">
      <c r="A393" s="159">
        <v>44</v>
      </c>
      <c r="B393" s="160"/>
      <c r="C393" s="159"/>
    </row>
    <row r="394" spans="1:3">
      <c r="A394" s="159">
        <v>44</v>
      </c>
      <c r="B394" s="160"/>
      <c r="C394" s="159"/>
    </row>
    <row r="395" spans="1:3">
      <c r="A395" s="159">
        <v>44</v>
      </c>
      <c r="B395" s="160"/>
      <c r="C395" s="159"/>
    </row>
    <row r="396" spans="1:3">
      <c r="A396" s="159">
        <v>44</v>
      </c>
      <c r="B396" s="160"/>
      <c r="C396" s="159"/>
    </row>
    <row r="397" spans="1:3">
      <c r="A397" s="159">
        <v>45</v>
      </c>
      <c r="B397" s="160" t="s">
        <v>532</v>
      </c>
      <c r="C397" s="159" t="s">
        <v>533</v>
      </c>
    </row>
    <row r="398" spans="1:3">
      <c r="A398" s="159">
        <v>45</v>
      </c>
      <c r="B398" s="160"/>
      <c r="C398" s="159"/>
    </row>
    <row r="399" spans="1:3">
      <c r="A399" s="159">
        <v>45</v>
      </c>
      <c r="B399" s="160"/>
      <c r="C399" s="159"/>
    </row>
    <row r="400" spans="1:3">
      <c r="A400" s="159">
        <v>45</v>
      </c>
      <c r="B400" s="160"/>
      <c r="C400" s="159"/>
    </row>
    <row r="401" spans="1:3">
      <c r="A401" s="159">
        <v>45</v>
      </c>
      <c r="B401" s="160"/>
      <c r="C401" s="159"/>
    </row>
    <row r="402" spans="1:3">
      <c r="A402" s="159">
        <v>45</v>
      </c>
      <c r="B402" s="160"/>
      <c r="C402" s="159"/>
    </row>
    <row r="403" spans="1:3">
      <c r="A403" s="159">
        <v>45</v>
      </c>
      <c r="B403" s="160"/>
      <c r="C403" s="159"/>
    </row>
    <row r="404" spans="1:3">
      <c r="A404" s="159">
        <v>45</v>
      </c>
      <c r="B404" s="160"/>
      <c r="C404" s="159"/>
    </row>
    <row r="405" spans="1:3">
      <c r="A405" s="159">
        <v>45</v>
      </c>
      <c r="B405" s="160"/>
      <c r="C405" s="159"/>
    </row>
    <row r="406" spans="1:3">
      <c r="A406" s="159">
        <v>46</v>
      </c>
      <c r="B406" s="160" t="s">
        <v>534</v>
      </c>
      <c r="C406" s="159" t="s">
        <v>535</v>
      </c>
    </row>
    <row r="407" spans="1:3">
      <c r="A407" s="159">
        <v>46</v>
      </c>
      <c r="B407" s="160"/>
      <c r="C407" s="159"/>
    </row>
    <row r="408" spans="1:3">
      <c r="A408" s="159">
        <v>46</v>
      </c>
      <c r="B408" s="160"/>
      <c r="C408" s="159"/>
    </row>
    <row r="409" spans="1:3">
      <c r="A409" s="159">
        <v>46</v>
      </c>
      <c r="B409" s="160"/>
      <c r="C409" s="159"/>
    </row>
    <row r="410" spans="1:3">
      <c r="A410" s="159">
        <v>46</v>
      </c>
      <c r="B410" s="160"/>
      <c r="C410" s="159"/>
    </row>
    <row r="411" spans="1:3">
      <c r="A411" s="159">
        <v>46</v>
      </c>
      <c r="B411" s="160"/>
      <c r="C411" s="159"/>
    </row>
    <row r="412" spans="1:3">
      <c r="A412" s="159">
        <v>46</v>
      </c>
      <c r="B412" s="160"/>
      <c r="C412" s="159"/>
    </row>
    <row r="413" spans="1:3">
      <c r="A413" s="159">
        <v>46</v>
      </c>
      <c r="B413" s="160"/>
      <c r="C413" s="159"/>
    </row>
    <row r="414" spans="1:3">
      <c r="A414" s="159">
        <v>46</v>
      </c>
      <c r="B414" s="160"/>
      <c r="C414" s="159"/>
    </row>
    <row r="415" spans="1:3">
      <c r="A415" s="159">
        <v>47</v>
      </c>
      <c r="B415" s="160" t="s">
        <v>536</v>
      </c>
      <c r="C415" s="159" t="s">
        <v>537</v>
      </c>
    </row>
    <row r="416" spans="1:3">
      <c r="A416" s="159">
        <v>47</v>
      </c>
      <c r="B416" s="160"/>
      <c r="C416" s="159"/>
    </row>
    <row r="417" spans="1:3">
      <c r="A417" s="159">
        <v>47</v>
      </c>
      <c r="B417" s="160"/>
      <c r="C417" s="159"/>
    </row>
    <row r="418" spans="1:3">
      <c r="A418" s="159">
        <v>47</v>
      </c>
      <c r="B418" s="160"/>
      <c r="C418" s="159"/>
    </row>
    <row r="419" spans="1:3">
      <c r="A419" s="159">
        <v>47</v>
      </c>
      <c r="B419" s="160"/>
      <c r="C419" s="159"/>
    </row>
    <row r="420" spans="1:3">
      <c r="A420" s="159">
        <v>47</v>
      </c>
      <c r="B420" s="160"/>
      <c r="C420" s="159"/>
    </row>
    <row r="421" spans="1:3">
      <c r="A421" s="159">
        <v>47</v>
      </c>
      <c r="B421" s="160"/>
      <c r="C421" s="159"/>
    </row>
    <row r="422" spans="1:3">
      <c r="A422" s="159">
        <v>47</v>
      </c>
      <c r="B422" s="160"/>
      <c r="C422" s="159"/>
    </row>
    <row r="423" spans="1:3">
      <c r="A423" s="159">
        <v>47</v>
      </c>
      <c r="B423" s="160"/>
      <c r="C423" s="159"/>
    </row>
    <row r="424" spans="1:3">
      <c r="A424" s="159">
        <v>48</v>
      </c>
      <c r="B424" s="160" t="s">
        <v>538</v>
      </c>
      <c r="C424" s="159" t="s">
        <v>539</v>
      </c>
    </row>
    <row r="425" spans="1:3">
      <c r="A425" s="159">
        <v>48</v>
      </c>
      <c r="B425" s="160"/>
      <c r="C425" s="159"/>
    </row>
    <row r="426" spans="1:3">
      <c r="A426" s="159">
        <v>48</v>
      </c>
      <c r="B426" s="160"/>
      <c r="C426" s="159"/>
    </row>
    <row r="427" spans="1:3">
      <c r="A427" s="159">
        <v>48</v>
      </c>
      <c r="B427" s="160"/>
      <c r="C427" s="159"/>
    </row>
    <row r="428" spans="1:3">
      <c r="A428" s="159">
        <v>48</v>
      </c>
      <c r="B428" s="160"/>
      <c r="C428" s="159"/>
    </row>
    <row r="429" spans="1:3">
      <c r="A429" s="159">
        <v>48</v>
      </c>
      <c r="B429" s="160"/>
      <c r="C429" s="159"/>
    </row>
    <row r="430" spans="1:3">
      <c r="A430" s="159">
        <v>48</v>
      </c>
      <c r="B430" s="160"/>
      <c r="C430" s="159"/>
    </row>
    <row r="431" spans="1:3">
      <c r="A431" s="159">
        <v>48</v>
      </c>
      <c r="B431" s="160"/>
      <c r="C431" s="159"/>
    </row>
    <row r="432" spans="1:3">
      <c r="A432" s="159">
        <v>48</v>
      </c>
      <c r="B432" s="160"/>
      <c r="C432" s="159"/>
    </row>
    <row r="433" spans="1:3">
      <c r="A433" s="159">
        <v>49</v>
      </c>
      <c r="B433" s="160" t="s">
        <v>540</v>
      </c>
      <c r="C433" s="159" t="s">
        <v>541</v>
      </c>
    </row>
    <row r="434" spans="1:3">
      <c r="A434" s="159">
        <v>49</v>
      </c>
      <c r="B434" s="160"/>
      <c r="C434" s="159"/>
    </row>
    <row r="435" spans="1:3">
      <c r="A435" s="159">
        <v>49</v>
      </c>
      <c r="B435" s="160"/>
      <c r="C435" s="159"/>
    </row>
    <row r="436" spans="1:3">
      <c r="A436" s="159">
        <v>49</v>
      </c>
      <c r="B436" s="160"/>
      <c r="C436" s="159"/>
    </row>
    <row r="437" spans="1:3">
      <c r="A437" s="159">
        <v>49</v>
      </c>
      <c r="B437" s="160"/>
      <c r="C437" s="159"/>
    </row>
    <row r="438" spans="1:3">
      <c r="A438" s="159">
        <v>49</v>
      </c>
      <c r="B438" s="160"/>
      <c r="C438" s="159"/>
    </row>
    <row r="439" spans="1:3">
      <c r="A439" s="159">
        <v>49</v>
      </c>
      <c r="B439" s="160"/>
      <c r="C439" s="159"/>
    </row>
    <row r="440" spans="1:3">
      <c r="A440" s="159">
        <v>49</v>
      </c>
      <c r="B440" s="160"/>
      <c r="C440" s="159"/>
    </row>
    <row r="441" spans="1:3">
      <c r="A441" s="159">
        <v>49</v>
      </c>
      <c r="B441" s="160"/>
      <c r="C441" s="159"/>
    </row>
    <row r="442" spans="1:3">
      <c r="A442" s="159">
        <v>50</v>
      </c>
      <c r="B442" s="160" t="s">
        <v>542</v>
      </c>
      <c r="C442" s="159" t="s">
        <v>543</v>
      </c>
    </row>
    <row r="443" spans="1:3">
      <c r="A443" s="159">
        <v>50</v>
      </c>
      <c r="B443" s="160"/>
      <c r="C443" s="159"/>
    </row>
    <row r="444" spans="1:3">
      <c r="A444" s="159">
        <v>50</v>
      </c>
      <c r="B444" s="160"/>
      <c r="C444" s="159"/>
    </row>
    <row r="445" spans="1:3">
      <c r="A445" s="159">
        <v>50</v>
      </c>
      <c r="B445" s="160"/>
      <c r="C445" s="159"/>
    </row>
    <row r="446" spans="1:3">
      <c r="A446" s="159">
        <v>50</v>
      </c>
      <c r="B446" s="160"/>
      <c r="C446" s="159"/>
    </row>
    <row r="447" spans="1:3">
      <c r="A447" s="159">
        <v>50</v>
      </c>
      <c r="B447" s="160"/>
      <c r="C447" s="159"/>
    </row>
    <row r="448" spans="1:3">
      <c r="A448" s="159">
        <v>50</v>
      </c>
      <c r="B448" s="160"/>
      <c r="C448" s="159"/>
    </row>
    <row r="449" spans="1:3">
      <c r="A449" s="159">
        <v>50</v>
      </c>
      <c r="B449" s="160"/>
      <c r="C449" s="159"/>
    </row>
    <row r="450" spans="1:3">
      <c r="A450" s="159">
        <v>50</v>
      </c>
      <c r="B450" s="160"/>
      <c r="C450" s="159"/>
    </row>
    <row r="451" spans="1:3">
      <c r="A451" s="159">
        <v>51</v>
      </c>
      <c r="B451" s="160" t="s">
        <v>544</v>
      </c>
      <c r="C451" s="159" t="s">
        <v>545</v>
      </c>
    </row>
    <row r="452" spans="1:3">
      <c r="A452" s="159">
        <v>51</v>
      </c>
      <c r="B452" s="160"/>
      <c r="C452" s="159"/>
    </row>
    <row r="453" spans="1:3">
      <c r="A453" s="159">
        <v>51</v>
      </c>
      <c r="B453" s="160"/>
      <c r="C453" s="159"/>
    </row>
    <row r="454" spans="1:3">
      <c r="A454" s="159">
        <v>51</v>
      </c>
      <c r="B454" s="160"/>
      <c r="C454" s="159"/>
    </row>
    <row r="455" spans="1:3">
      <c r="A455" s="159">
        <v>51</v>
      </c>
      <c r="B455" s="160"/>
      <c r="C455" s="159"/>
    </row>
    <row r="456" spans="1:3">
      <c r="A456" s="159">
        <v>51</v>
      </c>
      <c r="B456" s="160"/>
      <c r="C456" s="159"/>
    </row>
    <row r="457" spans="1:3">
      <c r="A457" s="159">
        <v>51</v>
      </c>
      <c r="B457" s="160"/>
      <c r="C457" s="159"/>
    </row>
    <row r="458" spans="1:3">
      <c r="A458" s="159">
        <v>51</v>
      </c>
      <c r="B458" s="160"/>
      <c r="C458" s="159"/>
    </row>
    <row r="459" spans="1:3">
      <c r="A459" s="159">
        <v>51</v>
      </c>
      <c r="B459" s="160"/>
      <c r="C459" s="159"/>
    </row>
    <row r="460" spans="1:3">
      <c r="A460" s="159">
        <v>52</v>
      </c>
      <c r="B460" s="160" t="s">
        <v>546</v>
      </c>
      <c r="C460" s="159" t="s">
        <v>547</v>
      </c>
    </row>
    <row r="461" spans="1:3">
      <c r="A461" s="159">
        <v>52</v>
      </c>
      <c r="B461" s="160"/>
      <c r="C461" s="159"/>
    </row>
    <row r="462" spans="1:3">
      <c r="A462" s="159">
        <v>52</v>
      </c>
      <c r="B462" s="160"/>
      <c r="C462" s="159"/>
    </row>
    <row r="463" spans="1:3">
      <c r="A463" s="159">
        <v>52</v>
      </c>
      <c r="B463" s="160"/>
      <c r="C463" s="159"/>
    </row>
    <row r="464" spans="1:3">
      <c r="A464" s="159">
        <v>52</v>
      </c>
      <c r="B464" s="160"/>
      <c r="C464" s="159"/>
    </row>
    <row r="465" spans="1:3">
      <c r="A465" s="159">
        <v>52</v>
      </c>
      <c r="B465" s="160"/>
      <c r="C465" s="159"/>
    </row>
    <row r="466" spans="1:3">
      <c r="A466" s="159">
        <v>52</v>
      </c>
      <c r="B466" s="160"/>
      <c r="C466" s="159"/>
    </row>
    <row r="467" spans="1:3">
      <c r="A467" s="159">
        <v>52</v>
      </c>
      <c r="B467" s="160"/>
      <c r="C467" s="159"/>
    </row>
    <row r="468" spans="1:3">
      <c r="A468" s="159">
        <v>52</v>
      </c>
      <c r="B468" s="160"/>
      <c r="C468" s="159"/>
    </row>
    <row r="469" spans="1:3">
      <c r="A469" s="159">
        <v>53</v>
      </c>
      <c r="B469" s="160" t="s">
        <v>548</v>
      </c>
      <c r="C469" s="159" t="s">
        <v>549</v>
      </c>
    </row>
    <row r="470" spans="1:3">
      <c r="A470" s="159">
        <v>53</v>
      </c>
      <c r="B470" s="160"/>
      <c r="C470" s="159"/>
    </row>
    <row r="471" spans="1:3">
      <c r="A471" s="159">
        <v>53</v>
      </c>
      <c r="B471" s="160"/>
      <c r="C471" s="159"/>
    </row>
    <row r="472" spans="1:3">
      <c r="A472" s="159">
        <v>53</v>
      </c>
      <c r="B472" s="160"/>
      <c r="C472" s="159"/>
    </row>
    <row r="473" spans="1:3">
      <c r="A473" s="159">
        <v>53</v>
      </c>
      <c r="B473" s="160"/>
      <c r="C473" s="159"/>
    </row>
    <row r="474" spans="1:3">
      <c r="A474" s="159">
        <v>53</v>
      </c>
      <c r="B474" s="160"/>
      <c r="C474" s="159"/>
    </row>
    <row r="475" spans="1:3">
      <c r="A475" s="159">
        <v>53</v>
      </c>
      <c r="B475" s="160"/>
      <c r="C475" s="159"/>
    </row>
    <row r="476" spans="1:3">
      <c r="A476" s="159">
        <v>53</v>
      </c>
      <c r="B476" s="160"/>
      <c r="C476" s="159"/>
    </row>
    <row r="477" spans="1:3">
      <c r="A477" s="159">
        <v>53</v>
      </c>
      <c r="B477" s="160"/>
      <c r="C477" s="159"/>
    </row>
    <row r="478" spans="1:3">
      <c r="A478" s="159">
        <v>54</v>
      </c>
      <c r="B478" s="160" t="s">
        <v>312</v>
      </c>
      <c r="C478" s="161" t="s">
        <v>52</v>
      </c>
    </row>
    <row r="479" spans="1:3">
      <c r="A479" s="159">
        <v>54</v>
      </c>
      <c r="B479" s="160"/>
      <c r="C479" s="161"/>
    </row>
    <row r="480" spans="1:3">
      <c r="A480" s="159">
        <v>54</v>
      </c>
      <c r="B480" s="160"/>
      <c r="C480" s="161"/>
    </row>
    <row r="481" spans="1:3">
      <c r="A481" s="159">
        <v>54</v>
      </c>
      <c r="B481" s="160"/>
      <c r="C481" s="161"/>
    </row>
    <row r="482" spans="1:3">
      <c r="A482" s="159">
        <v>54</v>
      </c>
      <c r="B482" s="160"/>
      <c r="C482" s="161"/>
    </row>
    <row r="483" spans="1:3">
      <c r="A483" s="159">
        <v>54</v>
      </c>
      <c r="B483" s="160"/>
      <c r="C483" s="161"/>
    </row>
    <row r="484" spans="1:3">
      <c r="A484" s="159">
        <v>54</v>
      </c>
      <c r="B484" s="160"/>
      <c r="C484" s="161"/>
    </row>
    <row r="485" spans="1:3">
      <c r="A485" s="159">
        <v>54</v>
      </c>
      <c r="B485" s="160"/>
      <c r="C485" s="161"/>
    </row>
    <row r="486" spans="1:3">
      <c r="A486" s="159">
        <v>54</v>
      </c>
      <c r="B486" s="160"/>
      <c r="C486" s="161"/>
    </row>
    <row r="487" spans="1:3">
      <c r="A487" s="159">
        <v>55</v>
      </c>
      <c r="B487" s="160" t="s">
        <v>313</v>
      </c>
      <c r="C487" s="159" t="s">
        <v>55</v>
      </c>
    </row>
    <row r="488" spans="1:3">
      <c r="A488" s="159">
        <v>55</v>
      </c>
      <c r="B488" s="160"/>
      <c r="C488" s="159"/>
    </row>
    <row r="489" spans="1:3">
      <c r="A489" s="159">
        <v>55</v>
      </c>
      <c r="B489" s="160"/>
      <c r="C489" s="159"/>
    </row>
    <row r="490" spans="1:3">
      <c r="A490" s="159">
        <v>55</v>
      </c>
      <c r="B490" s="160"/>
      <c r="C490" s="159"/>
    </row>
    <row r="491" spans="1:3">
      <c r="A491" s="159">
        <v>55</v>
      </c>
      <c r="B491" s="160"/>
      <c r="C491" s="159"/>
    </row>
    <row r="492" spans="1:3">
      <c r="A492" s="159">
        <v>55</v>
      </c>
      <c r="B492" s="160"/>
      <c r="C492" s="159"/>
    </row>
    <row r="493" spans="1:3">
      <c r="A493" s="159">
        <v>55</v>
      </c>
      <c r="B493" s="160"/>
      <c r="C493" s="159"/>
    </row>
    <row r="494" spans="1:3">
      <c r="A494" s="159">
        <v>55</v>
      </c>
      <c r="B494" s="160"/>
      <c r="C494" s="159"/>
    </row>
    <row r="495" spans="1:3">
      <c r="A495" s="159">
        <v>55</v>
      </c>
      <c r="B495" s="160"/>
      <c r="C495" s="159"/>
    </row>
    <row r="496" spans="1:3">
      <c r="A496" s="159">
        <v>56</v>
      </c>
      <c r="B496" s="160" t="s">
        <v>314</v>
      </c>
      <c r="C496" s="159" t="s">
        <v>57</v>
      </c>
    </row>
    <row r="497" spans="1:3">
      <c r="A497" s="159">
        <v>56</v>
      </c>
      <c r="B497" s="160"/>
      <c r="C497" s="159"/>
    </row>
    <row r="498" spans="1:3">
      <c r="A498" s="159">
        <v>56</v>
      </c>
      <c r="B498" s="160"/>
      <c r="C498" s="159"/>
    </row>
    <row r="499" spans="1:3">
      <c r="A499" s="159">
        <v>56</v>
      </c>
      <c r="B499" s="160"/>
      <c r="C499" s="159"/>
    </row>
    <row r="500" spans="1:3">
      <c r="A500" s="159">
        <v>56</v>
      </c>
      <c r="B500" s="160"/>
      <c r="C500" s="159"/>
    </row>
    <row r="501" spans="1:3">
      <c r="A501" s="159">
        <v>56</v>
      </c>
      <c r="B501" s="160"/>
      <c r="C501" s="159"/>
    </row>
    <row r="502" spans="1:3">
      <c r="A502" s="159">
        <v>56</v>
      </c>
      <c r="B502" s="160"/>
      <c r="C502" s="159"/>
    </row>
    <row r="503" spans="1:3">
      <c r="A503" s="159">
        <v>56</v>
      </c>
      <c r="B503" s="160"/>
      <c r="C503" s="159"/>
    </row>
    <row r="504" spans="1:3">
      <c r="A504" s="159">
        <v>56</v>
      </c>
      <c r="B504" s="160"/>
      <c r="C504" s="159"/>
    </row>
    <row r="505" spans="1:3">
      <c r="A505" s="159">
        <v>57</v>
      </c>
      <c r="B505" s="160" t="s">
        <v>315</v>
      </c>
      <c r="C505" s="159" t="s">
        <v>59</v>
      </c>
    </row>
    <row r="506" spans="1:3">
      <c r="A506" s="159">
        <v>57</v>
      </c>
      <c r="B506" s="160"/>
      <c r="C506" s="159"/>
    </row>
    <row r="507" spans="1:3">
      <c r="A507" s="159">
        <v>57</v>
      </c>
      <c r="B507" s="160"/>
      <c r="C507" s="159"/>
    </row>
    <row r="508" spans="1:3">
      <c r="A508" s="159">
        <v>57</v>
      </c>
      <c r="B508" s="160"/>
      <c r="C508" s="159"/>
    </row>
    <row r="509" spans="1:3">
      <c r="A509" s="159">
        <v>57</v>
      </c>
      <c r="B509" s="160"/>
      <c r="C509" s="159"/>
    </row>
    <row r="510" spans="1:3">
      <c r="A510" s="159">
        <v>57</v>
      </c>
      <c r="B510" s="160"/>
      <c r="C510" s="159"/>
    </row>
    <row r="511" spans="1:3">
      <c r="A511" s="159">
        <v>57</v>
      </c>
      <c r="B511" s="160"/>
      <c r="C511" s="159"/>
    </row>
    <row r="512" spans="1:3">
      <c r="A512" s="159">
        <v>57</v>
      </c>
      <c r="B512" s="160"/>
      <c r="C512" s="159"/>
    </row>
    <row r="513" spans="1:3">
      <c r="A513" s="159">
        <v>57</v>
      </c>
      <c r="B513" s="160"/>
      <c r="C513" s="159"/>
    </row>
    <row r="514" spans="1:3">
      <c r="A514" s="159">
        <v>58</v>
      </c>
      <c r="B514" s="160" t="s">
        <v>316</v>
      </c>
      <c r="C514" s="159" t="s">
        <v>61</v>
      </c>
    </row>
    <row r="515" spans="1:3">
      <c r="A515" s="159">
        <v>58</v>
      </c>
      <c r="B515" s="160"/>
      <c r="C515" s="159"/>
    </row>
    <row r="516" spans="1:3">
      <c r="A516" s="159">
        <v>58</v>
      </c>
      <c r="B516" s="160"/>
      <c r="C516" s="159"/>
    </row>
    <row r="517" spans="1:3">
      <c r="A517" s="159">
        <v>58</v>
      </c>
      <c r="B517" s="160"/>
      <c r="C517" s="159"/>
    </row>
    <row r="518" spans="1:3">
      <c r="A518" s="159">
        <v>58</v>
      </c>
      <c r="B518" s="160"/>
      <c r="C518" s="159"/>
    </row>
    <row r="519" spans="1:3">
      <c r="A519" s="159">
        <v>58</v>
      </c>
      <c r="B519" s="160"/>
      <c r="C519" s="159"/>
    </row>
    <row r="520" spans="1:3">
      <c r="A520" s="159">
        <v>58</v>
      </c>
      <c r="B520" s="160"/>
      <c r="C520" s="159"/>
    </row>
    <row r="521" spans="1:3">
      <c r="A521" s="159">
        <v>58</v>
      </c>
      <c r="B521" s="160"/>
      <c r="C521" s="159"/>
    </row>
    <row r="522" spans="1:3">
      <c r="A522" s="159">
        <v>58</v>
      </c>
      <c r="B522" s="160"/>
      <c r="C522" s="159"/>
    </row>
    <row r="523" spans="1:3">
      <c r="A523" s="159">
        <v>59</v>
      </c>
      <c r="B523" s="160" t="s">
        <v>317</v>
      </c>
      <c r="C523" s="159" t="s">
        <v>63</v>
      </c>
    </row>
    <row r="524" spans="1:3">
      <c r="A524" s="159">
        <v>59</v>
      </c>
      <c r="B524" s="160"/>
      <c r="C524" s="159"/>
    </row>
    <row r="525" spans="1:3">
      <c r="A525" s="159">
        <v>59</v>
      </c>
      <c r="B525" s="160"/>
      <c r="C525" s="159"/>
    </row>
    <row r="526" spans="1:3">
      <c r="A526" s="159">
        <v>59</v>
      </c>
      <c r="B526" s="160"/>
      <c r="C526" s="159"/>
    </row>
    <row r="527" spans="1:3">
      <c r="A527" s="159">
        <v>59</v>
      </c>
      <c r="B527" s="160"/>
      <c r="C527" s="159"/>
    </row>
    <row r="528" spans="1:3">
      <c r="A528" s="159">
        <v>59</v>
      </c>
      <c r="B528" s="160"/>
      <c r="C528" s="159"/>
    </row>
    <row r="529" spans="1:3">
      <c r="A529" s="159">
        <v>59</v>
      </c>
      <c r="B529" s="160"/>
      <c r="C529" s="159"/>
    </row>
    <row r="530" spans="1:3">
      <c r="A530" s="159">
        <v>59</v>
      </c>
      <c r="B530" s="160"/>
      <c r="C530" s="159"/>
    </row>
    <row r="531" spans="1:3">
      <c r="A531" s="159">
        <v>59</v>
      </c>
      <c r="B531" s="160"/>
      <c r="C531" s="159"/>
    </row>
    <row r="532" spans="1:3">
      <c r="A532" s="159">
        <v>60</v>
      </c>
      <c r="B532" s="160" t="s">
        <v>318</v>
      </c>
      <c r="C532" s="159" t="s">
        <v>65</v>
      </c>
    </row>
    <row r="533" spans="1:3">
      <c r="A533" s="159">
        <v>60</v>
      </c>
      <c r="B533" s="160"/>
      <c r="C533" s="159"/>
    </row>
    <row r="534" spans="1:3">
      <c r="A534" s="159">
        <v>60</v>
      </c>
      <c r="B534" s="160"/>
      <c r="C534" s="159"/>
    </row>
    <row r="535" spans="1:3">
      <c r="A535" s="159">
        <v>60</v>
      </c>
      <c r="B535" s="160"/>
      <c r="C535" s="159"/>
    </row>
    <row r="536" spans="1:3">
      <c r="A536" s="159">
        <v>60</v>
      </c>
      <c r="B536" s="160"/>
      <c r="C536" s="159"/>
    </row>
    <row r="537" spans="1:3">
      <c r="A537" s="159">
        <v>60</v>
      </c>
      <c r="B537" s="160"/>
      <c r="C537" s="159"/>
    </row>
    <row r="538" spans="1:3">
      <c r="A538" s="159">
        <v>60</v>
      </c>
      <c r="B538" s="160"/>
      <c r="C538" s="159"/>
    </row>
    <row r="539" spans="1:3">
      <c r="A539" s="159">
        <v>60</v>
      </c>
      <c r="B539" s="160"/>
      <c r="C539" s="159"/>
    </row>
    <row r="540" spans="1:3">
      <c r="A540" s="159">
        <v>60</v>
      </c>
      <c r="B540" s="160"/>
      <c r="C540" s="159"/>
    </row>
    <row r="541" spans="1:3">
      <c r="A541" s="159">
        <v>61</v>
      </c>
      <c r="B541" s="160" t="s">
        <v>319</v>
      </c>
      <c r="C541" s="159" t="s">
        <v>67</v>
      </c>
    </row>
    <row r="542" spans="1:3">
      <c r="A542" s="159">
        <v>61</v>
      </c>
      <c r="B542" s="160"/>
      <c r="C542" s="159"/>
    </row>
    <row r="543" spans="1:3">
      <c r="A543" s="159">
        <v>61</v>
      </c>
      <c r="B543" s="160"/>
      <c r="C543" s="159"/>
    </row>
    <row r="544" spans="1:3">
      <c r="A544" s="159">
        <v>61</v>
      </c>
      <c r="B544" s="160"/>
      <c r="C544" s="159"/>
    </row>
    <row r="545" spans="1:3">
      <c r="A545" s="159">
        <v>61</v>
      </c>
      <c r="B545" s="160"/>
      <c r="C545" s="159"/>
    </row>
    <row r="546" spans="1:3">
      <c r="A546" s="159">
        <v>61</v>
      </c>
      <c r="B546" s="160"/>
      <c r="C546" s="159"/>
    </row>
    <row r="547" spans="1:3">
      <c r="A547" s="159">
        <v>61</v>
      </c>
      <c r="B547" s="160"/>
      <c r="C547" s="159"/>
    </row>
    <row r="548" spans="1:3">
      <c r="A548" s="159">
        <v>61</v>
      </c>
      <c r="B548" s="160"/>
      <c r="C548" s="159"/>
    </row>
    <row r="549" spans="1:3">
      <c r="A549" s="159">
        <v>61</v>
      </c>
      <c r="B549" s="160"/>
      <c r="C549" s="159"/>
    </row>
    <row r="550" spans="1:3">
      <c r="A550" s="159">
        <v>62</v>
      </c>
      <c r="B550" s="160" t="s">
        <v>320</v>
      </c>
      <c r="C550" s="159" t="s">
        <v>69</v>
      </c>
    </row>
    <row r="551" spans="1:3">
      <c r="A551" s="159">
        <v>62</v>
      </c>
      <c r="B551" s="160"/>
      <c r="C551" s="159"/>
    </row>
    <row r="552" spans="1:3">
      <c r="A552" s="159">
        <v>62</v>
      </c>
      <c r="B552" s="160"/>
      <c r="C552" s="159"/>
    </row>
    <row r="553" spans="1:3">
      <c r="A553" s="159">
        <v>62</v>
      </c>
      <c r="B553" s="160"/>
      <c r="C553" s="159"/>
    </row>
    <row r="554" spans="1:3">
      <c r="A554" s="159">
        <v>62</v>
      </c>
      <c r="B554" s="160"/>
      <c r="C554" s="159"/>
    </row>
    <row r="555" spans="1:3">
      <c r="A555" s="159">
        <v>62</v>
      </c>
      <c r="B555" s="160"/>
      <c r="C555" s="159"/>
    </row>
    <row r="556" spans="1:3">
      <c r="A556" s="159">
        <v>62</v>
      </c>
      <c r="B556" s="160"/>
      <c r="C556" s="159"/>
    </row>
    <row r="557" spans="1:3">
      <c r="A557" s="159">
        <v>62</v>
      </c>
      <c r="B557" s="160"/>
      <c r="C557" s="159"/>
    </row>
    <row r="558" spans="1:3">
      <c r="A558" s="159">
        <v>62</v>
      </c>
      <c r="B558" s="160"/>
      <c r="C558" s="159"/>
    </row>
    <row r="559" spans="1:3">
      <c r="A559" s="159">
        <v>63</v>
      </c>
      <c r="B559" s="160" t="s">
        <v>321</v>
      </c>
      <c r="C559" s="159" t="s">
        <v>71</v>
      </c>
    </row>
    <row r="560" spans="1:3">
      <c r="A560" s="159">
        <v>63</v>
      </c>
      <c r="B560" s="160"/>
      <c r="C560" s="159"/>
    </row>
    <row r="561" spans="1:3">
      <c r="A561" s="159">
        <v>63</v>
      </c>
      <c r="B561" s="160"/>
      <c r="C561" s="159"/>
    </row>
    <row r="562" spans="1:3">
      <c r="A562" s="159">
        <v>63</v>
      </c>
      <c r="B562" s="160"/>
      <c r="C562" s="159"/>
    </row>
    <row r="563" spans="1:3">
      <c r="A563" s="159">
        <v>63</v>
      </c>
      <c r="B563" s="160"/>
      <c r="C563" s="159"/>
    </row>
    <row r="564" spans="1:3">
      <c r="A564" s="159">
        <v>63</v>
      </c>
      <c r="B564" s="160"/>
      <c r="C564" s="159"/>
    </row>
    <row r="565" spans="1:3">
      <c r="A565" s="159">
        <v>63</v>
      </c>
      <c r="B565" s="160"/>
      <c r="C565" s="159"/>
    </row>
    <row r="566" spans="1:3">
      <c r="A566" s="159">
        <v>63</v>
      </c>
      <c r="B566" s="160"/>
      <c r="C566" s="159"/>
    </row>
    <row r="567" spans="1:3">
      <c r="A567" s="159">
        <v>63</v>
      </c>
      <c r="B567" s="160"/>
      <c r="C567" s="159"/>
    </row>
    <row r="568" spans="1:3">
      <c r="A568" s="159">
        <v>64</v>
      </c>
      <c r="B568" s="160" t="s">
        <v>322</v>
      </c>
      <c r="C568" s="159" t="s">
        <v>73</v>
      </c>
    </row>
    <row r="569" spans="1:3">
      <c r="A569" s="159">
        <v>64</v>
      </c>
      <c r="B569" s="160"/>
      <c r="C569" s="159"/>
    </row>
    <row r="570" spans="1:3">
      <c r="A570" s="159">
        <v>64</v>
      </c>
      <c r="B570" s="160"/>
      <c r="C570" s="159"/>
    </row>
    <row r="571" spans="1:3">
      <c r="A571" s="159">
        <v>64</v>
      </c>
      <c r="B571" s="160"/>
      <c r="C571" s="159"/>
    </row>
    <row r="572" spans="1:3">
      <c r="A572" s="159">
        <v>64</v>
      </c>
      <c r="B572" s="160"/>
      <c r="C572" s="159"/>
    </row>
    <row r="573" spans="1:3">
      <c r="A573" s="159">
        <v>64</v>
      </c>
      <c r="B573" s="160"/>
      <c r="C573" s="159"/>
    </row>
    <row r="574" spans="1:3">
      <c r="A574" s="159">
        <v>64</v>
      </c>
      <c r="B574" s="160"/>
      <c r="C574" s="159"/>
    </row>
    <row r="575" spans="1:3">
      <c r="A575" s="159">
        <v>64</v>
      </c>
      <c r="B575" s="160"/>
      <c r="C575" s="159"/>
    </row>
    <row r="576" spans="1:3">
      <c r="A576" s="159">
        <v>64</v>
      </c>
      <c r="B576" s="160"/>
      <c r="C576" s="159"/>
    </row>
    <row r="577" spans="1:3">
      <c r="A577" s="159">
        <v>65</v>
      </c>
      <c r="B577" s="160" t="s">
        <v>323</v>
      </c>
      <c r="C577" s="159" t="s">
        <v>75</v>
      </c>
    </row>
    <row r="578" spans="1:3">
      <c r="A578" s="159">
        <v>65</v>
      </c>
      <c r="B578" s="160"/>
      <c r="C578" s="159"/>
    </row>
    <row r="579" spans="1:3">
      <c r="A579" s="159">
        <v>65</v>
      </c>
      <c r="B579" s="160"/>
      <c r="C579" s="159"/>
    </row>
    <row r="580" spans="1:3">
      <c r="A580" s="159">
        <v>65</v>
      </c>
      <c r="B580" s="160"/>
      <c r="C580" s="159"/>
    </row>
    <row r="581" spans="1:3">
      <c r="A581" s="159">
        <v>65</v>
      </c>
      <c r="B581" s="160"/>
      <c r="C581" s="159"/>
    </row>
    <row r="582" spans="1:3">
      <c r="A582" s="159">
        <v>65</v>
      </c>
      <c r="B582" s="160"/>
      <c r="C582" s="159"/>
    </row>
    <row r="583" spans="1:3">
      <c r="A583" s="159">
        <v>65</v>
      </c>
      <c r="B583" s="160"/>
      <c r="C583" s="159"/>
    </row>
    <row r="584" spans="1:3">
      <c r="A584" s="159">
        <v>65</v>
      </c>
      <c r="B584" s="160"/>
      <c r="C584" s="159"/>
    </row>
    <row r="585" spans="1:3">
      <c r="A585" s="159">
        <v>65</v>
      </c>
      <c r="B585" s="160"/>
      <c r="C585" s="159"/>
    </row>
    <row r="586" spans="1:3">
      <c r="A586" s="159">
        <v>66</v>
      </c>
      <c r="B586" s="160" t="s">
        <v>324</v>
      </c>
      <c r="C586" s="159" t="s">
        <v>77</v>
      </c>
    </row>
    <row r="587" spans="1:3">
      <c r="A587" s="159">
        <v>66</v>
      </c>
      <c r="B587" s="160"/>
      <c r="C587" s="159"/>
    </row>
    <row r="588" spans="1:3">
      <c r="A588" s="159">
        <v>66</v>
      </c>
      <c r="B588" s="160"/>
      <c r="C588" s="159"/>
    </row>
    <row r="589" spans="1:3">
      <c r="A589" s="159">
        <v>66</v>
      </c>
      <c r="B589" s="160"/>
      <c r="C589" s="159"/>
    </row>
    <row r="590" spans="1:3">
      <c r="A590" s="159">
        <v>66</v>
      </c>
      <c r="B590" s="160"/>
      <c r="C590" s="159"/>
    </row>
    <row r="591" spans="1:3">
      <c r="A591" s="159">
        <v>66</v>
      </c>
      <c r="B591" s="160"/>
      <c r="C591" s="159"/>
    </row>
    <row r="592" spans="1:3">
      <c r="A592" s="159">
        <v>66</v>
      </c>
      <c r="B592" s="160"/>
      <c r="C592" s="159"/>
    </row>
    <row r="593" spans="1:3">
      <c r="A593" s="159">
        <v>66</v>
      </c>
      <c r="B593" s="160"/>
      <c r="C593" s="159"/>
    </row>
    <row r="594" spans="1:3">
      <c r="A594" s="159">
        <v>66</v>
      </c>
      <c r="B594" s="160"/>
      <c r="C594" s="159"/>
    </row>
    <row r="595" spans="1:3">
      <c r="A595" s="159">
        <v>67</v>
      </c>
      <c r="B595" s="160" t="s">
        <v>325</v>
      </c>
      <c r="C595" s="159" t="s">
        <v>79</v>
      </c>
    </row>
    <row r="596" spans="1:3">
      <c r="A596" s="159">
        <v>67</v>
      </c>
      <c r="B596" s="160"/>
      <c r="C596" s="159"/>
    </row>
    <row r="597" spans="1:3">
      <c r="A597" s="159">
        <v>67</v>
      </c>
      <c r="B597" s="160"/>
      <c r="C597" s="159"/>
    </row>
    <row r="598" spans="1:3">
      <c r="A598" s="159">
        <v>67</v>
      </c>
      <c r="B598" s="160"/>
      <c r="C598" s="159"/>
    </row>
    <row r="599" spans="1:3">
      <c r="A599" s="159">
        <v>67</v>
      </c>
      <c r="B599" s="160"/>
      <c r="C599" s="159"/>
    </row>
    <row r="600" spans="1:3">
      <c r="A600" s="159">
        <v>67</v>
      </c>
      <c r="B600" s="160"/>
      <c r="C600" s="159"/>
    </row>
    <row r="601" spans="1:3">
      <c r="A601" s="159">
        <v>67</v>
      </c>
      <c r="B601" s="160"/>
      <c r="C601" s="159"/>
    </row>
    <row r="602" spans="1:3">
      <c r="A602" s="159">
        <v>67</v>
      </c>
      <c r="B602" s="160"/>
      <c r="C602" s="159"/>
    </row>
    <row r="603" spans="1:3">
      <c r="A603" s="159">
        <v>67</v>
      </c>
      <c r="B603" s="160"/>
      <c r="C603" s="159"/>
    </row>
    <row r="604" spans="1:3">
      <c r="A604" s="159">
        <v>68</v>
      </c>
      <c r="B604" s="160" t="s">
        <v>326</v>
      </c>
      <c r="C604" s="159" t="s">
        <v>81</v>
      </c>
    </row>
    <row r="605" spans="1:3">
      <c r="A605" s="159">
        <v>68</v>
      </c>
      <c r="B605" s="160"/>
      <c r="C605" s="159"/>
    </row>
    <row r="606" spans="1:3">
      <c r="A606" s="159">
        <v>68</v>
      </c>
      <c r="B606" s="160"/>
      <c r="C606" s="159"/>
    </row>
    <row r="607" spans="1:3">
      <c r="A607" s="159">
        <v>68</v>
      </c>
      <c r="B607" s="160"/>
      <c r="C607" s="159"/>
    </row>
    <row r="608" spans="1:3">
      <c r="A608" s="159">
        <v>68</v>
      </c>
      <c r="B608" s="160"/>
      <c r="C608" s="159"/>
    </row>
    <row r="609" spans="1:3">
      <c r="A609" s="159">
        <v>68</v>
      </c>
      <c r="B609" s="160"/>
      <c r="C609" s="159"/>
    </row>
    <row r="610" spans="1:3">
      <c r="A610" s="159">
        <v>68</v>
      </c>
      <c r="B610" s="160"/>
      <c r="C610" s="159"/>
    </row>
    <row r="611" spans="1:3">
      <c r="A611" s="159">
        <v>68</v>
      </c>
      <c r="B611" s="160"/>
      <c r="C611" s="159"/>
    </row>
    <row r="612" spans="1:3">
      <c r="A612" s="159">
        <v>68</v>
      </c>
      <c r="B612" s="160"/>
      <c r="C612" s="159"/>
    </row>
    <row r="613" spans="1:3">
      <c r="A613" s="159">
        <v>69</v>
      </c>
      <c r="B613" s="160" t="s">
        <v>327</v>
      </c>
      <c r="C613" s="159" t="s">
        <v>83</v>
      </c>
    </row>
    <row r="614" spans="1:3">
      <c r="A614" s="159">
        <v>69</v>
      </c>
      <c r="B614" s="160"/>
      <c r="C614" s="159"/>
    </row>
    <row r="615" spans="1:3">
      <c r="A615" s="159">
        <v>69</v>
      </c>
      <c r="B615" s="160"/>
      <c r="C615" s="159"/>
    </row>
    <row r="616" spans="1:3">
      <c r="A616" s="159">
        <v>69</v>
      </c>
      <c r="B616" s="160"/>
      <c r="C616" s="159"/>
    </row>
    <row r="617" spans="1:3">
      <c r="A617" s="159">
        <v>69</v>
      </c>
      <c r="B617" s="160"/>
      <c r="C617" s="159"/>
    </row>
    <row r="618" spans="1:3">
      <c r="A618" s="159">
        <v>69</v>
      </c>
      <c r="B618" s="160"/>
      <c r="C618" s="159"/>
    </row>
    <row r="619" spans="1:3">
      <c r="A619" s="159">
        <v>69</v>
      </c>
      <c r="B619" s="160"/>
      <c r="C619" s="159"/>
    </row>
    <row r="620" spans="1:3">
      <c r="A620" s="159">
        <v>69</v>
      </c>
      <c r="B620" s="160"/>
      <c r="C620" s="159"/>
    </row>
    <row r="621" spans="1:3">
      <c r="A621" s="159">
        <v>69</v>
      </c>
      <c r="B621" s="160"/>
      <c r="C621" s="159"/>
    </row>
    <row r="622" spans="1:3">
      <c r="A622" s="159">
        <v>70</v>
      </c>
      <c r="B622" s="160" t="s">
        <v>328</v>
      </c>
      <c r="C622" s="159" t="s">
        <v>85</v>
      </c>
    </row>
    <row r="623" spans="1:3">
      <c r="A623" s="159">
        <v>70</v>
      </c>
      <c r="B623" s="160"/>
      <c r="C623" s="159"/>
    </row>
    <row r="624" spans="1:3">
      <c r="A624" s="159">
        <v>70</v>
      </c>
      <c r="B624" s="160"/>
      <c r="C624" s="159"/>
    </row>
    <row r="625" spans="1:3">
      <c r="A625" s="159">
        <v>70</v>
      </c>
      <c r="B625" s="160"/>
      <c r="C625" s="159"/>
    </row>
    <row r="626" spans="1:3">
      <c r="A626" s="159">
        <v>70</v>
      </c>
      <c r="B626" s="160"/>
      <c r="C626" s="159"/>
    </row>
    <row r="627" spans="1:3">
      <c r="A627" s="159">
        <v>70</v>
      </c>
      <c r="B627" s="160"/>
      <c r="C627" s="159"/>
    </row>
    <row r="628" spans="1:3">
      <c r="A628" s="159">
        <v>70</v>
      </c>
      <c r="B628" s="160"/>
      <c r="C628" s="159"/>
    </row>
    <row r="629" spans="1:3">
      <c r="A629" s="159">
        <v>70</v>
      </c>
      <c r="B629" s="160"/>
      <c r="C629" s="159"/>
    </row>
    <row r="630" spans="1:3">
      <c r="A630" s="159">
        <v>70</v>
      </c>
      <c r="B630" s="160"/>
      <c r="C630" s="159"/>
    </row>
    <row r="631" spans="1:3">
      <c r="A631" s="159">
        <v>71</v>
      </c>
      <c r="B631" s="160" t="s">
        <v>329</v>
      </c>
      <c r="C631" s="159" t="s">
        <v>87</v>
      </c>
    </row>
    <row r="632" spans="1:3">
      <c r="A632" s="159">
        <v>71</v>
      </c>
      <c r="B632" s="160"/>
      <c r="C632" s="159"/>
    </row>
    <row r="633" spans="1:3">
      <c r="A633" s="159">
        <v>71</v>
      </c>
      <c r="B633" s="160"/>
      <c r="C633" s="159"/>
    </row>
    <row r="634" spans="1:3">
      <c r="A634" s="159">
        <v>71</v>
      </c>
      <c r="B634" s="160"/>
      <c r="C634" s="159"/>
    </row>
    <row r="635" spans="1:3">
      <c r="A635" s="159">
        <v>71</v>
      </c>
      <c r="B635" s="160"/>
      <c r="C635" s="159"/>
    </row>
    <row r="636" spans="1:3">
      <c r="A636" s="159">
        <v>71</v>
      </c>
      <c r="B636" s="160"/>
      <c r="C636" s="159"/>
    </row>
    <row r="637" spans="1:3">
      <c r="A637" s="159">
        <v>71</v>
      </c>
      <c r="B637" s="160"/>
      <c r="C637" s="159"/>
    </row>
    <row r="638" spans="1:3">
      <c r="A638" s="159">
        <v>71</v>
      </c>
      <c r="B638" s="160"/>
      <c r="C638" s="159"/>
    </row>
    <row r="639" spans="1:3">
      <c r="A639" s="159">
        <v>71</v>
      </c>
      <c r="B639" s="160"/>
      <c r="C639" s="159"/>
    </row>
    <row r="640" spans="1:3">
      <c r="A640" s="159">
        <v>72</v>
      </c>
      <c r="B640" s="160" t="s">
        <v>330</v>
      </c>
      <c r="C640" s="159" t="s">
        <v>89</v>
      </c>
    </row>
    <row r="641" spans="1:3">
      <c r="A641" s="159">
        <v>72</v>
      </c>
      <c r="B641" s="160"/>
      <c r="C641" s="159"/>
    </row>
    <row r="642" spans="1:3">
      <c r="A642" s="159">
        <v>72</v>
      </c>
      <c r="B642" s="160"/>
      <c r="C642" s="159"/>
    </row>
    <row r="643" spans="1:3">
      <c r="A643" s="159">
        <v>72</v>
      </c>
      <c r="B643" s="160"/>
      <c r="C643" s="159"/>
    </row>
    <row r="644" spans="1:3">
      <c r="A644" s="159">
        <v>72</v>
      </c>
      <c r="B644" s="160"/>
      <c r="C644" s="159"/>
    </row>
    <row r="645" spans="1:3">
      <c r="A645" s="159">
        <v>72</v>
      </c>
      <c r="B645" s="160"/>
      <c r="C645" s="159"/>
    </row>
    <row r="646" spans="1:3">
      <c r="A646" s="159">
        <v>72</v>
      </c>
      <c r="B646" s="160"/>
      <c r="C646" s="159"/>
    </row>
    <row r="647" spans="1:3">
      <c r="A647" s="159">
        <v>72</v>
      </c>
      <c r="B647" s="160"/>
      <c r="C647" s="159"/>
    </row>
    <row r="648" spans="1:3">
      <c r="A648" s="159">
        <v>72</v>
      </c>
      <c r="B648" s="160"/>
      <c r="C648" s="159"/>
    </row>
    <row r="649" spans="1:3">
      <c r="A649" s="159">
        <v>73</v>
      </c>
      <c r="B649" s="160" t="s">
        <v>331</v>
      </c>
      <c r="C649" s="159" t="s">
        <v>91</v>
      </c>
    </row>
    <row r="650" spans="1:3">
      <c r="A650" s="159">
        <v>73</v>
      </c>
      <c r="B650" s="160"/>
      <c r="C650" s="159"/>
    </row>
    <row r="651" spans="1:3">
      <c r="A651" s="159">
        <v>73</v>
      </c>
      <c r="B651" s="160"/>
      <c r="C651" s="159"/>
    </row>
    <row r="652" spans="1:3">
      <c r="A652" s="159">
        <v>73</v>
      </c>
      <c r="B652" s="160"/>
      <c r="C652" s="159"/>
    </row>
    <row r="653" spans="1:3">
      <c r="A653" s="159">
        <v>73</v>
      </c>
      <c r="B653" s="160"/>
      <c r="C653" s="159"/>
    </row>
    <row r="654" spans="1:3">
      <c r="A654" s="159">
        <v>73</v>
      </c>
      <c r="B654" s="160"/>
      <c r="C654" s="159"/>
    </row>
    <row r="655" spans="1:3">
      <c r="A655" s="159">
        <v>73</v>
      </c>
      <c r="B655" s="160"/>
      <c r="C655" s="159"/>
    </row>
    <row r="656" spans="1:3">
      <c r="A656" s="159">
        <v>73</v>
      </c>
      <c r="B656" s="160"/>
      <c r="C656" s="159"/>
    </row>
    <row r="657" spans="1:3">
      <c r="A657" s="159">
        <v>73</v>
      </c>
      <c r="B657" s="160"/>
      <c r="C657" s="159"/>
    </row>
    <row r="658" spans="1:3">
      <c r="A658" s="159">
        <v>74</v>
      </c>
      <c r="B658" s="160" t="s">
        <v>332</v>
      </c>
      <c r="C658" s="159" t="s">
        <v>93</v>
      </c>
    </row>
    <row r="659" spans="1:3">
      <c r="A659" s="159">
        <v>74</v>
      </c>
      <c r="B659" s="160"/>
      <c r="C659" s="159"/>
    </row>
    <row r="660" spans="1:3">
      <c r="A660" s="159">
        <v>74</v>
      </c>
      <c r="B660" s="160"/>
      <c r="C660" s="159"/>
    </row>
    <row r="661" spans="1:3">
      <c r="A661" s="159">
        <v>74</v>
      </c>
      <c r="B661" s="160"/>
      <c r="C661" s="159"/>
    </row>
    <row r="662" spans="1:3">
      <c r="A662" s="159">
        <v>74</v>
      </c>
      <c r="B662" s="160"/>
      <c r="C662" s="159"/>
    </row>
    <row r="663" spans="1:3">
      <c r="A663" s="159">
        <v>74</v>
      </c>
      <c r="B663" s="160"/>
      <c r="C663" s="159"/>
    </row>
    <row r="664" spans="1:3">
      <c r="A664" s="159">
        <v>74</v>
      </c>
      <c r="B664" s="160"/>
      <c r="C664" s="159"/>
    </row>
    <row r="665" spans="1:3">
      <c r="A665" s="159">
        <v>74</v>
      </c>
      <c r="B665" s="160"/>
      <c r="C665" s="159"/>
    </row>
    <row r="666" spans="1:3">
      <c r="A666" s="159">
        <v>74</v>
      </c>
      <c r="B666" s="160"/>
      <c r="C666" s="159"/>
    </row>
    <row r="667" spans="1:3">
      <c r="A667" s="159">
        <v>75</v>
      </c>
      <c r="B667" s="160" t="s">
        <v>333</v>
      </c>
      <c r="C667" s="159" t="s">
        <v>95</v>
      </c>
    </row>
    <row r="668" spans="1:3">
      <c r="A668" s="159">
        <v>75</v>
      </c>
      <c r="B668" s="160"/>
      <c r="C668" s="159"/>
    </row>
    <row r="669" spans="1:3">
      <c r="A669" s="159">
        <v>75</v>
      </c>
      <c r="B669" s="160"/>
      <c r="C669" s="159"/>
    </row>
    <row r="670" spans="1:3">
      <c r="A670" s="159">
        <v>75</v>
      </c>
      <c r="B670" s="160"/>
      <c r="C670" s="159"/>
    </row>
    <row r="671" spans="1:3">
      <c r="A671" s="159">
        <v>75</v>
      </c>
      <c r="B671" s="160"/>
      <c r="C671" s="159"/>
    </row>
    <row r="672" spans="1:3">
      <c r="A672" s="159">
        <v>75</v>
      </c>
      <c r="B672" s="160"/>
      <c r="C672" s="159"/>
    </row>
    <row r="673" spans="1:3">
      <c r="A673" s="159">
        <v>75</v>
      </c>
      <c r="B673" s="160"/>
      <c r="C673" s="159"/>
    </row>
    <row r="674" spans="1:3">
      <c r="A674" s="159">
        <v>75</v>
      </c>
      <c r="B674" s="160"/>
      <c r="C674" s="159"/>
    </row>
    <row r="675" spans="1:3">
      <c r="A675" s="159">
        <v>75</v>
      </c>
      <c r="B675" s="160"/>
      <c r="C675" s="159"/>
    </row>
    <row r="676" spans="1:3">
      <c r="A676" s="159">
        <v>76</v>
      </c>
      <c r="B676" s="160" t="s">
        <v>334</v>
      </c>
      <c r="C676" s="159" t="s">
        <v>97</v>
      </c>
    </row>
    <row r="677" spans="1:3">
      <c r="A677" s="159">
        <v>76</v>
      </c>
      <c r="B677" s="160"/>
      <c r="C677" s="159"/>
    </row>
    <row r="678" spans="1:3">
      <c r="A678" s="159">
        <v>76</v>
      </c>
      <c r="B678" s="160"/>
      <c r="C678" s="159"/>
    </row>
    <row r="679" spans="1:3">
      <c r="A679" s="159">
        <v>76</v>
      </c>
      <c r="B679" s="160"/>
      <c r="C679" s="159"/>
    </row>
    <row r="680" spans="1:3">
      <c r="A680" s="159">
        <v>76</v>
      </c>
      <c r="B680" s="160"/>
      <c r="C680" s="159"/>
    </row>
    <row r="681" spans="1:3">
      <c r="A681" s="159">
        <v>76</v>
      </c>
      <c r="B681" s="160"/>
      <c r="C681" s="159"/>
    </row>
    <row r="682" spans="1:3">
      <c r="A682" s="159">
        <v>76</v>
      </c>
      <c r="B682" s="160"/>
      <c r="C682" s="159"/>
    </row>
    <row r="683" spans="1:3">
      <c r="A683" s="159">
        <v>76</v>
      </c>
      <c r="B683" s="160"/>
      <c r="C683" s="159"/>
    </row>
    <row r="684" spans="1:3">
      <c r="A684" s="159">
        <v>76</v>
      </c>
      <c r="B684" s="160"/>
      <c r="C684" s="159"/>
    </row>
    <row r="685" spans="1:3">
      <c r="A685" s="159">
        <v>77</v>
      </c>
      <c r="B685" s="160" t="s">
        <v>335</v>
      </c>
      <c r="C685" s="159" t="s">
        <v>99</v>
      </c>
    </row>
    <row r="686" spans="1:3">
      <c r="A686" s="159">
        <v>77</v>
      </c>
      <c r="B686" s="160"/>
      <c r="C686" s="159"/>
    </row>
    <row r="687" spans="1:3">
      <c r="A687" s="159">
        <v>77</v>
      </c>
      <c r="B687" s="160"/>
      <c r="C687" s="159"/>
    </row>
    <row r="688" spans="1:3">
      <c r="A688" s="159">
        <v>77</v>
      </c>
      <c r="B688" s="160"/>
      <c r="C688" s="159"/>
    </row>
    <row r="689" spans="1:3">
      <c r="A689" s="159">
        <v>77</v>
      </c>
      <c r="B689" s="160"/>
      <c r="C689" s="159"/>
    </row>
    <row r="690" spans="1:3">
      <c r="A690" s="159">
        <v>77</v>
      </c>
      <c r="B690" s="160"/>
      <c r="C690" s="159"/>
    </row>
    <row r="691" spans="1:3">
      <c r="A691" s="159">
        <v>77</v>
      </c>
      <c r="B691" s="160"/>
      <c r="C691" s="159"/>
    </row>
    <row r="692" spans="1:3">
      <c r="A692" s="159">
        <v>77</v>
      </c>
      <c r="B692" s="160"/>
      <c r="C692" s="159"/>
    </row>
    <row r="693" spans="1:3">
      <c r="A693" s="159">
        <v>77</v>
      </c>
      <c r="B693" s="160"/>
      <c r="C693" s="159"/>
    </row>
    <row r="694" spans="1:3">
      <c r="A694" s="159">
        <v>78</v>
      </c>
      <c r="B694" s="160" t="s">
        <v>336</v>
      </c>
      <c r="C694" s="159" t="s">
        <v>101</v>
      </c>
    </row>
    <row r="695" spans="1:3">
      <c r="A695" s="159">
        <v>78</v>
      </c>
      <c r="B695" s="160"/>
      <c r="C695" s="159"/>
    </row>
    <row r="696" spans="1:3">
      <c r="A696" s="159">
        <v>78</v>
      </c>
      <c r="B696" s="160"/>
      <c r="C696" s="159"/>
    </row>
    <row r="697" spans="1:3">
      <c r="A697" s="159">
        <v>78</v>
      </c>
      <c r="B697" s="160"/>
      <c r="C697" s="159"/>
    </row>
    <row r="698" spans="1:3">
      <c r="A698" s="159">
        <v>78</v>
      </c>
      <c r="B698" s="160"/>
      <c r="C698" s="159"/>
    </row>
    <row r="699" spans="1:3">
      <c r="A699" s="159">
        <v>78</v>
      </c>
      <c r="B699" s="160"/>
      <c r="C699" s="159"/>
    </row>
    <row r="700" spans="1:3">
      <c r="A700" s="159">
        <v>78</v>
      </c>
      <c r="B700" s="160"/>
      <c r="C700" s="159"/>
    </row>
    <row r="701" spans="1:3">
      <c r="A701" s="159">
        <v>78</v>
      </c>
      <c r="B701" s="160"/>
      <c r="C701" s="159"/>
    </row>
    <row r="702" spans="1:3">
      <c r="A702" s="159">
        <v>78</v>
      </c>
      <c r="B702" s="160"/>
      <c r="C702" s="159"/>
    </row>
    <row r="703" spans="1:3">
      <c r="A703" s="159">
        <v>79</v>
      </c>
      <c r="B703" s="160" t="s">
        <v>337</v>
      </c>
      <c r="C703" s="159" t="s">
        <v>103</v>
      </c>
    </row>
    <row r="704" spans="1:3">
      <c r="A704" s="159">
        <v>79</v>
      </c>
      <c r="B704" s="160"/>
      <c r="C704" s="159"/>
    </row>
    <row r="705" spans="1:3">
      <c r="A705" s="159">
        <v>79</v>
      </c>
      <c r="B705" s="160"/>
      <c r="C705" s="159"/>
    </row>
    <row r="706" spans="1:3">
      <c r="A706" s="159">
        <v>79</v>
      </c>
      <c r="B706" s="160"/>
      <c r="C706" s="159"/>
    </row>
    <row r="707" spans="1:3">
      <c r="A707" s="159">
        <v>79</v>
      </c>
      <c r="B707" s="160"/>
      <c r="C707" s="159"/>
    </row>
    <row r="708" spans="1:3">
      <c r="A708" s="159">
        <v>79</v>
      </c>
      <c r="B708" s="160"/>
      <c r="C708" s="159"/>
    </row>
    <row r="709" spans="1:3">
      <c r="A709" s="159">
        <v>79</v>
      </c>
      <c r="B709" s="160"/>
      <c r="C709" s="159"/>
    </row>
    <row r="710" spans="1:3">
      <c r="A710" s="159">
        <v>79</v>
      </c>
      <c r="B710" s="160"/>
      <c r="C710" s="159"/>
    </row>
    <row r="711" spans="1:3">
      <c r="A711" s="159">
        <v>79</v>
      </c>
      <c r="B711" s="160"/>
      <c r="C711" s="159"/>
    </row>
    <row r="712" spans="1:3">
      <c r="A712" s="159">
        <v>80</v>
      </c>
      <c r="B712" s="160" t="s">
        <v>338</v>
      </c>
      <c r="C712" s="159" t="s">
        <v>105</v>
      </c>
    </row>
    <row r="713" spans="1:3">
      <c r="A713" s="159">
        <v>80</v>
      </c>
      <c r="B713" s="160"/>
      <c r="C713" s="159"/>
    </row>
    <row r="714" spans="1:3">
      <c r="A714" s="159">
        <v>80</v>
      </c>
      <c r="B714" s="160"/>
      <c r="C714" s="159"/>
    </row>
    <row r="715" spans="1:3">
      <c r="A715" s="159">
        <v>80</v>
      </c>
      <c r="B715" s="160"/>
      <c r="C715" s="159"/>
    </row>
    <row r="716" spans="1:3">
      <c r="A716" s="159">
        <v>80</v>
      </c>
      <c r="B716" s="160"/>
      <c r="C716" s="159"/>
    </row>
    <row r="717" spans="1:3">
      <c r="A717" s="159">
        <v>80</v>
      </c>
      <c r="B717" s="160"/>
      <c r="C717" s="159"/>
    </row>
    <row r="718" spans="1:3">
      <c r="A718" s="159">
        <v>80</v>
      </c>
      <c r="B718" s="160"/>
      <c r="C718" s="159"/>
    </row>
    <row r="719" spans="1:3">
      <c r="A719" s="159">
        <v>80</v>
      </c>
      <c r="B719" s="160"/>
      <c r="C719" s="159"/>
    </row>
    <row r="720" spans="1:3">
      <c r="A720" s="159">
        <v>80</v>
      </c>
      <c r="B720" s="160"/>
      <c r="C720" s="159"/>
    </row>
    <row r="721" spans="1:3">
      <c r="A721" s="159">
        <v>81</v>
      </c>
      <c r="B721" s="160" t="s">
        <v>339</v>
      </c>
      <c r="C721" s="159" t="s">
        <v>107</v>
      </c>
    </row>
    <row r="722" spans="1:3">
      <c r="A722" s="159">
        <v>81</v>
      </c>
      <c r="B722" s="160"/>
      <c r="C722" s="159"/>
    </row>
    <row r="723" spans="1:3">
      <c r="A723" s="159">
        <v>81</v>
      </c>
      <c r="B723" s="160"/>
      <c r="C723" s="159"/>
    </row>
    <row r="724" spans="1:3">
      <c r="A724" s="159">
        <v>81</v>
      </c>
      <c r="B724" s="160"/>
      <c r="C724" s="159"/>
    </row>
    <row r="725" spans="1:3">
      <c r="A725" s="159">
        <v>81</v>
      </c>
      <c r="B725" s="160"/>
      <c r="C725" s="159"/>
    </row>
    <row r="726" spans="1:3">
      <c r="A726" s="159">
        <v>81</v>
      </c>
      <c r="B726" s="160"/>
      <c r="C726" s="159"/>
    </row>
    <row r="727" spans="1:3">
      <c r="A727" s="159">
        <v>81</v>
      </c>
      <c r="B727" s="160"/>
      <c r="C727" s="159"/>
    </row>
    <row r="728" spans="1:3">
      <c r="A728" s="159">
        <v>81</v>
      </c>
      <c r="B728" s="160"/>
      <c r="C728" s="159"/>
    </row>
    <row r="729" spans="1:3">
      <c r="A729" s="159">
        <v>81</v>
      </c>
      <c r="B729" s="160"/>
      <c r="C729" s="159"/>
    </row>
    <row r="730" spans="1:3">
      <c r="A730" s="159">
        <v>82</v>
      </c>
      <c r="B730" s="160" t="s">
        <v>340</v>
      </c>
      <c r="C730" s="159" t="s">
        <v>109</v>
      </c>
    </row>
    <row r="731" spans="1:3">
      <c r="A731" s="159">
        <v>82</v>
      </c>
      <c r="B731" s="160"/>
      <c r="C731" s="159"/>
    </row>
    <row r="732" spans="1:3">
      <c r="A732" s="159">
        <v>82</v>
      </c>
      <c r="B732" s="160"/>
      <c r="C732" s="159"/>
    </row>
    <row r="733" spans="1:3">
      <c r="A733" s="159">
        <v>82</v>
      </c>
      <c r="B733" s="160"/>
      <c r="C733" s="159"/>
    </row>
    <row r="734" spans="1:3">
      <c r="A734" s="159">
        <v>82</v>
      </c>
      <c r="B734" s="160"/>
      <c r="C734" s="159"/>
    </row>
    <row r="735" spans="1:3">
      <c r="A735" s="159">
        <v>82</v>
      </c>
      <c r="B735" s="160"/>
      <c r="C735" s="159"/>
    </row>
    <row r="736" spans="1:3">
      <c r="A736" s="159">
        <v>82</v>
      </c>
      <c r="B736" s="160"/>
      <c r="C736" s="159"/>
    </row>
    <row r="737" spans="1:3">
      <c r="A737" s="159">
        <v>82</v>
      </c>
      <c r="B737" s="160"/>
      <c r="C737" s="159"/>
    </row>
    <row r="738" spans="1:3">
      <c r="A738" s="159">
        <v>82</v>
      </c>
      <c r="B738" s="160"/>
      <c r="C738" s="159"/>
    </row>
    <row r="739" spans="1:3">
      <c r="A739" s="159">
        <v>83</v>
      </c>
      <c r="B739" s="160" t="s">
        <v>341</v>
      </c>
      <c r="C739" s="159" t="s">
        <v>111</v>
      </c>
    </row>
    <row r="740" spans="1:3">
      <c r="A740" s="159">
        <v>83</v>
      </c>
      <c r="B740" s="160"/>
      <c r="C740" s="159"/>
    </row>
    <row r="741" spans="1:3">
      <c r="A741" s="159">
        <v>83</v>
      </c>
      <c r="B741" s="160"/>
      <c r="C741" s="159"/>
    </row>
    <row r="742" spans="1:3">
      <c r="A742" s="159">
        <v>83</v>
      </c>
      <c r="B742" s="160"/>
      <c r="C742" s="159"/>
    </row>
    <row r="743" spans="1:3">
      <c r="A743" s="159">
        <v>83</v>
      </c>
      <c r="B743" s="160"/>
      <c r="C743" s="159"/>
    </row>
    <row r="744" spans="1:3">
      <c r="A744" s="159">
        <v>83</v>
      </c>
      <c r="B744" s="160"/>
      <c r="C744" s="159"/>
    </row>
    <row r="745" spans="1:3">
      <c r="A745" s="159">
        <v>83</v>
      </c>
      <c r="B745" s="160"/>
      <c r="C745" s="159"/>
    </row>
    <row r="746" spans="1:3">
      <c r="A746" s="159">
        <v>83</v>
      </c>
      <c r="B746" s="160"/>
      <c r="C746" s="159"/>
    </row>
    <row r="747" spans="1:3">
      <c r="A747" s="159">
        <v>83</v>
      </c>
      <c r="B747" s="160"/>
      <c r="C747" s="159"/>
    </row>
    <row r="748" spans="1:3">
      <c r="A748" s="159">
        <v>84</v>
      </c>
      <c r="B748" s="160" t="s">
        <v>342</v>
      </c>
      <c r="C748" s="159" t="s">
        <v>113</v>
      </c>
    </row>
    <row r="749" spans="1:3">
      <c r="A749" s="159">
        <v>84</v>
      </c>
      <c r="B749" s="160"/>
      <c r="C749" s="159"/>
    </row>
    <row r="750" spans="1:3">
      <c r="A750" s="159">
        <v>84</v>
      </c>
      <c r="B750" s="160"/>
      <c r="C750" s="159"/>
    </row>
    <row r="751" spans="1:3">
      <c r="A751" s="159">
        <v>84</v>
      </c>
      <c r="B751" s="160"/>
      <c r="C751" s="159"/>
    </row>
    <row r="752" spans="1:3">
      <c r="A752" s="159">
        <v>84</v>
      </c>
      <c r="B752" s="160"/>
      <c r="C752" s="159"/>
    </row>
    <row r="753" spans="1:3">
      <c r="A753" s="159">
        <v>84</v>
      </c>
      <c r="B753" s="160"/>
      <c r="C753" s="159"/>
    </row>
    <row r="754" spans="1:3">
      <c r="A754" s="159">
        <v>84</v>
      </c>
      <c r="B754" s="160"/>
      <c r="C754" s="159"/>
    </row>
    <row r="755" spans="1:3">
      <c r="A755" s="159">
        <v>84</v>
      </c>
      <c r="B755" s="160"/>
      <c r="C755" s="159"/>
    </row>
    <row r="756" spans="1:3">
      <c r="A756" s="159">
        <v>84</v>
      </c>
      <c r="B756" s="160"/>
      <c r="C756" s="159"/>
    </row>
    <row r="757" spans="1:3">
      <c r="A757" s="159">
        <v>85</v>
      </c>
      <c r="B757" s="160" t="s">
        <v>343</v>
      </c>
      <c r="C757" s="159" t="s">
        <v>115</v>
      </c>
    </row>
    <row r="758" spans="1:3">
      <c r="A758" s="159">
        <v>85</v>
      </c>
      <c r="B758" s="160"/>
      <c r="C758" s="159"/>
    </row>
    <row r="759" spans="1:3">
      <c r="A759" s="159">
        <v>85</v>
      </c>
      <c r="B759" s="160"/>
      <c r="C759" s="159"/>
    </row>
    <row r="760" spans="1:3">
      <c r="A760" s="159">
        <v>85</v>
      </c>
      <c r="B760" s="160"/>
      <c r="C760" s="159"/>
    </row>
    <row r="761" spans="1:3">
      <c r="A761" s="159">
        <v>85</v>
      </c>
      <c r="B761" s="160"/>
      <c r="C761" s="159"/>
    </row>
    <row r="762" spans="1:3">
      <c r="A762" s="159">
        <v>85</v>
      </c>
      <c r="B762" s="160"/>
      <c r="C762" s="159"/>
    </row>
    <row r="763" spans="1:3">
      <c r="A763" s="159">
        <v>85</v>
      </c>
      <c r="B763" s="160"/>
      <c r="C763" s="159"/>
    </row>
    <row r="764" spans="1:3">
      <c r="A764" s="159">
        <v>85</v>
      </c>
      <c r="B764" s="160"/>
      <c r="C764" s="159"/>
    </row>
    <row r="765" spans="1:3">
      <c r="A765" s="159">
        <v>85</v>
      </c>
      <c r="B765" s="160"/>
      <c r="C765" s="159"/>
    </row>
    <row r="766" spans="1:3">
      <c r="A766" s="159">
        <v>86</v>
      </c>
      <c r="B766" s="160" t="s">
        <v>344</v>
      </c>
      <c r="C766" s="159" t="s">
        <v>117</v>
      </c>
    </row>
    <row r="767" spans="1:3">
      <c r="A767" s="159">
        <v>86</v>
      </c>
      <c r="B767" s="160"/>
      <c r="C767" s="159"/>
    </row>
    <row r="768" spans="1:3">
      <c r="A768" s="159">
        <v>86</v>
      </c>
      <c r="B768" s="160"/>
      <c r="C768" s="159"/>
    </row>
    <row r="769" spans="1:3">
      <c r="A769" s="159">
        <v>86</v>
      </c>
      <c r="B769" s="160"/>
      <c r="C769" s="159"/>
    </row>
    <row r="770" spans="1:3">
      <c r="A770" s="159">
        <v>86</v>
      </c>
      <c r="B770" s="160"/>
      <c r="C770" s="159"/>
    </row>
    <row r="771" spans="1:3">
      <c r="A771" s="159">
        <v>86</v>
      </c>
      <c r="B771" s="160"/>
      <c r="C771" s="159"/>
    </row>
    <row r="772" spans="1:3">
      <c r="A772" s="159">
        <v>86</v>
      </c>
      <c r="B772" s="160"/>
      <c r="C772" s="159"/>
    </row>
    <row r="773" spans="1:3">
      <c r="A773" s="159">
        <v>86</v>
      </c>
      <c r="B773" s="160"/>
      <c r="C773" s="159"/>
    </row>
    <row r="774" spans="1:3">
      <c r="A774" s="159">
        <v>86</v>
      </c>
      <c r="B774" s="160"/>
      <c r="C774" s="159"/>
    </row>
    <row r="775" spans="1:3">
      <c r="A775" s="159">
        <v>87</v>
      </c>
      <c r="B775" s="160" t="s">
        <v>345</v>
      </c>
      <c r="C775" s="159" t="s">
        <v>119</v>
      </c>
    </row>
    <row r="776" spans="1:3">
      <c r="A776" s="159">
        <v>87</v>
      </c>
      <c r="B776" s="160"/>
      <c r="C776" s="159"/>
    </row>
    <row r="777" spans="1:3">
      <c r="A777" s="159">
        <v>87</v>
      </c>
      <c r="B777" s="160"/>
      <c r="C777" s="159"/>
    </row>
    <row r="778" spans="1:3">
      <c r="A778" s="159">
        <v>87</v>
      </c>
      <c r="B778" s="160"/>
      <c r="C778" s="159"/>
    </row>
    <row r="779" spans="1:3">
      <c r="A779" s="159">
        <v>87</v>
      </c>
      <c r="B779" s="160"/>
      <c r="C779" s="159"/>
    </row>
    <row r="780" spans="1:3">
      <c r="A780" s="159">
        <v>87</v>
      </c>
      <c r="B780" s="160"/>
      <c r="C780" s="159"/>
    </row>
    <row r="781" spans="1:3">
      <c r="A781" s="159">
        <v>87</v>
      </c>
      <c r="B781" s="160"/>
      <c r="C781" s="159"/>
    </row>
    <row r="782" spans="1:3">
      <c r="A782" s="159">
        <v>87</v>
      </c>
      <c r="B782" s="160"/>
      <c r="C782" s="159"/>
    </row>
    <row r="783" spans="1:3">
      <c r="A783" s="159">
        <v>87</v>
      </c>
      <c r="B783" s="160"/>
      <c r="C783" s="159"/>
    </row>
    <row r="784" spans="1:3">
      <c r="A784" s="159">
        <v>88</v>
      </c>
      <c r="B784" s="160" t="s">
        <v>346</v>
      </c>
      <c r="C784" s="159" t="s">
        <v>121</v>
      </c>
    </row>
    <row r="785" spans="1:3">
      <c r="A785" s="159">
        <v>88</v>
      </c>
      <c r="B785" s="160"/>
      <c r="C785" s="159"/>
    </row>
    <row r="786" spans="1:3">
      <c r="A786" s="159">
        <v>88</v>
      </c>
      <c r="B786" s="160"/>
      <c r="C786" s="159"/>
    </row>
    <row r="787" spans="1:3">
      <c r="A787" s="159">
        <v>88</v>
      </c>
      <c r="B787" s="160"/>
      <c r="C787" s="159"/>
    </row>
    <row r="788" spans="1:3">
      <c r="A788" s="159">
        <v>88</v>
      </c>
      <c r="B788" s="160"/>
      <c r="C788" s="159"/>
    </row>
    <row r="789" spans="1:3">
      <c r="A789" s="159">
        <v>88</v>
      </c>
      <c r="B789" s="160"/>
      <c r="C789" s="159"/>
    </row>
    <row r="790" spans="1:3">
      <c r="A790" s="159">
        <v>88</v>
      </c>
      <c r="B790" s="160"/>
      <c r="C790" s="159"/>
    </row>
    <row r="791" spans="1:3">
      <c r="A791" s="159">
        <v>88</v>
      </c>
      <c r="B791" s="160"/>
      <c r="C791" s="159"/>
    </row>
    <row r="792" spans="1:3">
      <c r="A792" s="159">
        <v>88</v>
      </c>
      <c r="B792" s="160"/>
      <c r="C792" s="159"/>
    </row>
    <row r="793" spans="1:3">
      <c r="A793" s="159">
        <v>89</v>
      </c>
      <c r="B793" s="160" t="s">
        <v>347</v>
      </c>
      <c r="C793" s="159" t="s">
        <v>123</v>
      </c>
    </row>
    <row r="794" spans="1:3">
      <c r="A794" s="159">
        <v>89</v>
      </c>
      <c r="B794" s="160"/>
      <c r="C794" s="159"/>
    </row>
    <row r="795" spans="1:3">
      <c r="A795" s="159">
        <v>89</v>
      </c>
      <c r="B795" s="160"/>
      <c r="C795" s="159"/>
    </row>
    <row r="796" spans="1:3">
      <c r="A796" s="159">
        <v>89</v>
      </c>
      <c r="B796" s="160"/>
      <c r="C796" s="159"/>
    </row>
    <row r="797" spans="1:3">
      <c r="A797" s="159">
        <v>89</v>
      </c>
      <c r="B797" s="160"/>
      <c r="C797" s="159"/>
    </row>
    <row r="798" spans="1:3">
      <c r="A798" s="159">
        <v>89</v>
      </c>
      <c r="B798" s="160"/>
      <c r="C798" s="159"/>
    </row>
    <row r="799" spans="1:3">
      <c r="A799" s="159">
        <v>89</v>
      </c>
      <c r="B799" s="160"/>
      <c r="C799" s="159"/>
    </row>
    <row r="800" spans="1:3">
      <c r="A800" s="159">
        <v>89</v>
      </c>
      <c r="B800" s="160"/>
      <c r="C800" s="159"/>
    </row>
    <row r="801" spans="1:3">
      <c r="A801" s="159">
        <v>89</v>
      </c>
      <c r="B801" s="160"/>
      <c r="C801" s="159"/>
    </row>
    <row r="802" spans="1:3">
      <c r="A802" s="159">
        <v>90</v>
      </c>
      <c r="B802" s="160" t="s">
        <v>348</v>
      </c>
      <c r="C802" s="159" t="s">
        <v>125</v>
      </c>
    </row>
    <row r="803" spans="1:3">
      <c r="A803" s="159">
        <v>90</v>
      </c>
      <c r="B803" s="160"/>
      <c r="C803" s="159"/>
    </row>
    <row r="804" spans="1:3">
      <c r="A804" s="159">
        <v>90</v>
      </c>
      <c r="B804" s="160"/>
      <c r="C804" s="159"/>
    </row>
    <row r="805" spans="1:3">
      <c r="A805" s="159">
        <v>90</v>
      </c>
      <c r="B805" s="160"/>
      <c r="C805" s="159"/>
    </row>
    <row r="806" spans="1:3">
      <c r="A806" s="159">
        <v>90</v>
      </c>
      <c r="B806" s="160"/>
      <c r="C806" s="159"/>
    </row>
    <row r="807" spans="1:3">
      <c r="A807" s="159">
        <v>90</v>
      </c>
      <c r="B807" s="160"/>
      <c r="C807" s="159"/>
    </row>
    <row r="808" spans="1:3">
      <c r="A808" s="159">
        <v>90</v>
      </c>
      <c r="B808" s="160"/>
      <c r="C808" s="159"/>
    </row>
    <row r="809" spans="1:3">
      <c r="A809" s="159">
        <v>90</v>
      </c>
      <c r="B809" s="160"/>
      <c r="C809" s="159"/>
    </row>
    <row r="810" spans="1:3">
      <c r="A810" s="159">
        <v>90</v>
      </c>
      <c r="B810" s="160"/>
      <c r="C810" s="159"/>
    </row>
    <row r="811" spans="1:3">
      <c r="A811" s="159">
        <v>91</v>
      </c>
      <c r="B811" s="160" t="s">
        <v>349</v>
      </c>
      <c r="C811" s="159" t="s">
        <v>128</v>
      </c>
    </row>
    <row r="812" spans="1:3">
      <c r="A812" s="159">
        <v>91</v>
      </c>
      <c r="B812" s="160"/>
      <c r="C812" s="159"/>
    </row>
    <row r="813" spans="1:3">
      <c r="A813" s="159">
        <v>91</v>
      </c>
      <c r="B813" s="160"/>
      <c r="C813" s="159"/>
    </row>
    <row r="814" spans="1:3">
      <c r="A814" s="159">
        <v>91</v>
      </c>
      <c r="B814" s="160"/>
      <c r="C814" s="159"/>
    </row>
    <row r="815" spans="1:3">
      <c r="A815" s="159">
        <v>91</v>
      </c>
      <c r="B815" s="160"/>
      <c r="C815" s="159"/>
    </row>
    <row r="816" spans="1:3">
      <c r="A816" s="159">
        <v>91</v>
      </c>
      <c r="B816" s="160"/>
      <c r="C816" s="159"/>
    </row>
    <row r="817" spans="1:3">
      <c r="A817" s="159">
        <v>91</v>
      </c>
      <c r="B817" s="160"/>
      <c r="C817" s="159"/>
    </row>
    <row r="818" spans="1:3">
      <c r="A818" s="159">
        <v>91</v>
      </c>
      <c r="B818" s="160"/>
      <c r="C818" s="159"/>
    </row>
    <row r="819" spans="1:3">
      <c r="A819" s="159">
        <v>91</v>
      </c>
      <c r="B819" s="160"/>
      <c r="C819" s="159"/>
    </row>
    <row r="820" spans="1:3">
      <c r="A820" s="159">
        <v>92</v>
      </c>
      <c r="B820" s="160" t="s">
        <v>350</v>
      </c>
      <c r="C820" s="159" t="s">
        <v>130</v>
      </c>
    </row>
    <row r="821" spans="1:3">
      <c r="A821" s="159">
        <v>92</v>
      </c>
      <c r="B821" s="160"/>
      <c r="C821" s="159"/>
    </row>
    <row r="822" spans="1:3">
      <c r="A822" s="159">
        <v>92</v>
      </c>
      <c r="B822" s="160"/>
      <c r="C822" s="159"/>
    </row>
    <row r="823" spans="1:3">
      <c r="A823" s="159">
        <v>92</v>
      </c>
      <c r="B823" s="160"/>
      <c r="C823" s="159"/>
    </row>
    <row r="824" spans="1:3">
      <c r="A824" s="159">
        <v>92</v>
      </c>
      <c r="B824" s="160"/>
      <c r="C824" s="159"/>
    </row>
    <row r="825" spans="1:3">
      <c r="A825" s="159">
        <v>92</v>
      </c>
      <c r="B825" s="160"/>
      <c r="C825" s="159"/>
    </row>
    <row r="826" spans="1:3">
      <c r="A826" s="159">
        <v>92</v>
      </c>
      <c r="B826" s="160"/>
      <c r="C826" s="159"/>
    </row>
    <row r="827" spans="1:3">
      <c r="A827" s="159">
        <v>92</v>
      </c>
      <c r="B827" s="160"/>
      <c r="C827" s="159"/>
    </row>
    <row r="828" spans="1:3">
      <c r="A828" s="159">
        <v>92</v>
      </c>
      <c r="B828" s="160"/>
      <c r="C828" s="159"/>
    </row>
    <row r="829" spans="1:3">
      <c r="A829" s="159">
        <v>93</v>
      </c>
      <c r="B829" s="160" t="s">
        <v>351</v>
      </c>
      <c r="C829" s="159" t="s">
        <v>132</v>
      </c>
    </row>
    <row r="830" spans="1:3">
      <c r="A830" s="159">
        <v>93</v>
      </c>
      <c r="B830" s="160"/>
      <c r="C830" s="159"/>
    </row>
    <row r="831" spans="1:3">
      <c r="A831" s="159">
        <v>93</v>
      </c>
      <c r="B831" s="160"/>
      <c r="C831" s="159"/>
    </row>
    <row r="832" spans="1:3">
      <c r="A832" s="159">
        <v>93</v>
      </c>
      <c r="B832" s="160"/>
      <c r="C832" s="159"/>
    </row>
    <row r="833" spans="1:3">
      <c r="A833" s="159">
        <v>93</v>
      </c>
      <c r="B833" s="160"/>
      <c r="C833" s="159"/>
    </row>
    <row r="834" spans="1:3">
      <c r="A834" s="159">
        <v>93</v>
      </c>
      <c r="B834" s="160"/>
      <c r="C834" s="159"/>
    </row>
    <row r="835" spans="1:3">
      <c r="A835" s="159">
        <v>93</v>
      </c>
      <c r="B835" s="160"/>
      <c r="C835" s="159"/>
    </row>
    <row r="836" spans="1:3">
      <c r="A836" s="159">
        <v>93</v>
      </c>
      <c r="B836" s="160"/>
      <c r="C836" s="159"/>
    </row>
    <row r="837" spans="1:3">
      <c r="A837" s="159">
        <v>93</v>
      </c>
      <c r="B837" s="160"/>
      <c r="C837" s="159"/>
    </row>
    <row r="838" spans="1:3">
      <c r="A838" s="159">
        <v>94</v>
      </c>
      <c r="B838" s="160" t="s">
        <v>352</v>
      </c>
      <c r="C838" s="159" t="s">
        <v>134</v>
      </c>
    </row>
    <row r="839" spans="1:3">
      <c r="A839" s="159">
        <v>94</v>
      </c>
      <c r="B839" s="160"/>
      <c r="C839" s="159"/>
    </row>
    <row r="840" spans="1:3">
      <c r="A840" s="159">
        <v>94</v>
      </c>
      <c r="B840" s="160"/>
      <c r="C840" s="159"/>
    </row>
    <row r="841" spans="1:3">
      <c r="A841" s="159">
        <v>94</v>
      </c>
      <c r="B841" s="160"/>
      <c r="C841" s="159"/>
    </row>
    <row r="842" spans="1:3">
      <c r="A842" s="159">
        <v>94</v>
      </c>
      <c r="B842" s="160"/>
      <c r="C842" s="159"/>
    </row>
    <row r="843" spans="1:3">
      <c r="A843" s="159">
        <v>94</v>
      </c>
      <c r="B843" s="160"/>
      <c r="C843" s="159"/>
    </row>
    <row r="844" spans="1:3">
      <c r="A844" s="159">
        <v>94</v>
      </c>
      <c r="B844" s="160"/>
      <c r="C844" s="159"/>
    </row>
    <row r="845" spans="1:3">
      <c r="A845" s="159">
        <v>94</v>
      </c>
      <c r="B845" s="160"/>
      <c r="C845" s="159"/>
    </row>
    <row r="846" spans="1:3">
      <c r="A846" s="159">
        <v>94</v>
      </c>
      <c r="B846" s="160"/>
      <c r="C846" s="159"/>
    </row>
    <row r="847" spans="1:3">
      <c r="A847" s="159">
        <v>95</v>
      </c>
      <c r="B847" s="160" t="s">
        <v>353</v>
      </c>
      <c r="C847" s="159" t="s">
        <v>136</v>
      </c>
    </row>
    <row r="848" spans="1:3">
      <c r="A848" s="159">
        <v>95</v>
      </c>
      <c r="B848" s="160"/>
      <c r="C848" s="159"/>
    </row>
    <row r="849" spans="1:3">
      <c r="A849" s="159">
        <v>95</v>
      </c>
      <c r="B849" s="160"/>
      <c r="C849" s="159"/>
    </row>
    <row r="850" spans="1:3">
      <c r="A850" s="159">
        <v>95</v>
      </c>
      <c r="B850" s="160"/>
      <c r="C850" s="159"/>
    </row>
    <row r="851" spans="1:3">
      <c r="A851" s="159">
        <v>95</v>
      </c>
      <c r="B851" s="160"/>
      <c r="C851" s="159"/>
    </row>
    <row r="852" spans="1:3">
      <c r="A852" s="159">
        <v>95</v>
      </c>
      <c r="B852" s="160"/>
      <c r="C852" s="159"/>
    </row>
    <row r="853" spans="1:3">
      <c r="A853" s="159">
        <v>95</v>
      </c>
      <c r="B853" s="160"/>
      <c r="C853" s="159"/>
    </row>
    <row r="854" spans="1:3">
      <c r="A854" s="159">
        <v>95</v>
      </c>
      <c r="B854" s="160"/>
      <c r="C854" s="159"/>
    </row>
    <row r="855" spans="1:3">
      <c r="A855" s="159">
        <v>95</v>
      </c>
      <c r="B855" s="160"/>
      <c r="C855" s="159"/>
    </row>
    <row r="856" spans="1:3">
      <c r="A856" s="159">
        <v>96</v>
      </c>
      <c r="B856" s="160" t="s">
        <v>354</v>
      </c>
      <c r="C856" s="159" t="s">
        <v>138</v>
      </c>
    </row>
    <row r="857" spans="1:3">
      <c r="A857" s="159">
        <v>96</v>
      </c>
      <c r="B857" s="160"/>
      <c r="C857" s="159"/>
    </row>
    <row r="858" spans="1:3">
      <c r="A858" s="159">
        <v>96</v>
      </c>
      <c r="B858" s="160"/>
      <c r="C858" s="159"/>
    </row>
    <row r="859" spans="1:3">
      <c r="A859" s="159">
        <v>96</v>
      </c>
      <c r="B859" s="160"/>
      <c r="C859" s="159"/>
    </row>
    <row r="860" spans="1:3">
      <c r="A860" s="159">
        <v>96</v>
      </c>
      <c r="B860" s="160"/>
      <c r="C860" s="159"/>
    </row>
    <row r="861" spans="1:3">
      <c r="A861" s="159">
        <v>96</v>
      </c>
      <c r="B861" s="160"/>
      <c r="C861" s="159"/>
    </row>
    <row r="862" spans="1:3">
      <c r="A862" s="159">
        <v>96</v>
      </c>
      <c r="B862" s="160"/>
      <c r="C862" s="159"/>
    </row>
    <row r="863" spans="1:3">
      <c r="A863" s="159">
        <v>96</v>
      </c>
      <c r="B863" s="160"/>
      <c r="C863" s="159"/>
    </row>
    <row r="864" spans="1:3">
      <c r="A864" s="159">
        <v>96</v>
      </c>
      <c r="B864" s="160"/>
      <c r="C864" s="159"/>
    </row>
    <row r="865" spans="1:3">
      <c r="A865" s="159">
        <v>97</v>
      </c>
      <c r="B865" s="160" t="s">
        <v>355</v>
      </c>
      <c r="C865" s="159" t="s">
        <v>140</v>
      </c>
    </row>
    <row r="866" spans="1:3">
      <c r="A866" s="159">
        <v>97</v>
      </c>
      <c r="B866" s="160"/>
      <c r="C866" s="159"/>
    </row>
    <row r="867" spans="1:3">
      <c r="A867" s="159">
        <v>97</v>
      </c>
      <c r="B867" s="160"/>
      <c r="C867" s="159"/>
    </row>
    <row r="868" spans="1:3">
      <c r="A868" s="159">
        <v>97</v>
      </c>
      <c r="B868" s="160"/>
      <c r="C868" s="159"/>
    </row>
    <row r="869" spans="1:3">
      <c r="A869" s="159">
        <v>97</v>
      </c>
      <c r="B869" s="160"/>
      <c r="C869" s="159"/>
    </row>
    <row r="870" spans="1:3">
      <c r="A870" s="159">
        <v>97</v>
      </c>
      <c r="B870" s="160"/>
      <c r="C870" s="159"/>
    </row>
    <row r="871" spans="1:3">
      <c r="A871" s="159">
        <v>97</v>
      </c>
      <c r="B871" s="160"/>
      <c r="C871" s="159"/>
    </row>
    <row r="872" spans="1:3">
      <c r="A872" s="159">
        <v>97</v>
      </c>
      <c r="B872" s="160"/>
      <c r="C872" s="159"/>
    </row>
    <row r="873" spans="1:3">
      <c r="A873" s="159">
        <v>97</v>
      </c>
      <c r="B873" s="160"/>
      <c r="C873" s="159"/>
    </row>
    <row r="874" spans="1:3">
      <c r="A874" s="159">
        <v>98</v>
      </c>
      <c r="B874" s="160" t="s">
        <v>356</v>
      </c>
      <c r="C874" s="159" t="s">
        <v>142</v>
      </c>
    </row>
    <row r="875" spans="1:3">
      <c r="A875" s="159">
        <v>98</v>
      </c>
      <c r="B875" s="160"/>
      <c r="C875" s="159"/>
    </row>
    <row r="876" spans="1:3">
      <c r="A876" s="159">
        <v>98</v>
      </c>
      <c r="B876" s="160"/>
      <c r="C876" s="159"/>
    </row>
    <row r="877" spans="1:3">
      <c r="A877" s="159">
        <v>98</v>
      </c>
      <c r="B877" s="160"/>
      <c r="C877" s="159"/>
    </row>
    <row r="878" spans="1:3">
      <c r="A878" s="159">
        <v>98</v>
      </c>
      <c r="B878" s="160"/>
      <c r="C878" s="159"/>
    </row>
    <row r="879" spans="1:3">
      <c r="A879" s="159">
        <v>98</v>
      </c>
      <c r="B879" s="160"/>
      <c r="C879" s="159"/>
    </row>
    <row r="880" spans="1:3">
      <c r="A880" s="159">
        <v>98</v>
      </c>
      <c r="B880" s="160"/>
      <c r="C880" s="159"/>
    </row>
    <row r="881" spans="1:3">
      <c r="A881" s="159">
        <v>98</v>
      </c>
      <c r="B881" s="160"/>
      <c r="C881" s="159"/>
    </row>
    <row r="882" spans="1:3">
      <c r="A882" s="159">
        <v>98</v>
      </c>
      <c r="B882" s="160"/>
      <c r="C882" s="159"/>
    </row>
    <row r="883" spans="1:3">
      <c r="A883" s="159">
        <v>99</v>
      </c>
      <c r="B883" s="160" t="s">
        <v>357</v>
      </c>
      <c r="C883" s="159" t="s">
        <v>144</v>
      </c>
    </row>
    <row r="884" spans="1:3">
      <c r="A884" s="159">
        <v>99</v>
      </c>
      <c r="B884" s="160"/>
      <c r="C884" s="159"/>
    </row>
    <row r="885" spans="1:3">
      <c r="A885" s="159">
        <v>99</v>
      </c>
      <c r="B885" s="160"/>
      <c r="C885" s="159"/>
    </row>
    <row r="886" spans="1:3">
      <c r="A886" s="159">
        <v>99</v>
      </c>
      <c r="B886" s="160"/>
      <c r="C886" s="159"/>
    </row>
    <row r="887" spans="1:3">
      <c r="A887" s="159">
        <v>99</v>
      </c>
      <c r="B887" s="160"/>
      <c r="C887" s="159"/>
    </row>
    <row r="888" spans="1:3">
      <c r="A888" s="159">
        <v>99</v>
      </c>
      <c r="B888" s="160"/>
      <c r="C888" s="159"/>
    </row>
    <row r="889" spans="1:3">
      <c r="A889" s="159">
        <v>99</v>
      </c>
      <c r="B889" s="160"/>
      <c r="C889" s="159"/>
    </row>
    <row r="890" spans="1:3">
      <c r="A890" s="159">
        <v>99</v>
      </c>
      <c r="B890" s="160"/>
      <c r="C890" s="159"/>
    </row>
    <row r="891" spans="1:3">
      <c r="A891" s="159">
        <v>99</v>
      </c>
      <c r="B891" s="160"/>
      <c r="C891" s="159"/>
    </row>
    <row r="892" spans="1:3">
      <c r="A892" s="159">
        <v>100</v>
      </c>
      <c r="B892" s="160" t="s">
        <v>358</v>
      </c>
      <c r="C892" s="159" t="s">
        <v>146</v>
      </c>
    </row>
    <row r="893" spans="1:3">
      <c r="A893" s="159">
        <v>100</v>
      </c>
      <c r="B893" s="160"/>
      <c r="C893" s="159"/>
    </row>
    <row r="894" spans="1:3">
      <c r="A894" s="159">
        <v>100</v>
      </c>
      <c r="B894" s="160"/>
      <c r="C894" s="159"/>
    </row>
    <row r="895" spans="1:3">
      <c r="A895" s="159">
        <v>100</v>
      </c>
      <c r="B895" s="160"/>
      <c r="C895" s="159"/>
    </row>
    <row r="896" spans="1:3">
      <c r="A896" s="159">
        <v>100</v>
      </c>
      <c r="B896" s="160"/>
      <c r="C896" s="159"/>
    </row>
    <row r="897" spans="1:3">
      <c r="A897" s="159">
        <v>100</v>
      </c>
      <c r="B897" s="160"/>
      <c r="C897" s="159"/>
    </row>
    <row r="898" spans="1:3">
      <c r="A898" s="159">
        <v>100</v>
      </c>
      <c r="B898" s="160"/>
      <c r="C898" s="159"/>
    </row>
    <row r="899" spans="1:3">
      <c r="A899" s="159">
        <v>100</v>
      </c>
      <c r="B899" s="160"/>
      <c r="C899" s="159"/>
    </row>
    <row r="900" spans="1:3">
      <c r="A900" s="159">
        <v>100</v>
      </c>
      <c r="B900" s="160"/>
      <c r="C900" s="159"/>
    </row>
    <row r="901" spans="1:3">
      <c r="A901" s="159">
        <v>101</v>
      </c>
      <c r="B901" s="160" t="s">
        <v>359</v>
      </c>
      <c r="C901" s="159" t="s">
        <v>148</v>
      </c>
    </row>
    <row r="902" spans="1:3">
      <c r="A902" s="159">
        <v>101</v>
      </c>
      <c r="B902" s="160"/>
      <c r="C902" s="159"/>
    </row>
    <row r="903" spans="1:3">
      <c r="A903" s="159">
        <v>101</v>
      </c>
      <c r="B903" s="160"/>
      <c r="C903" s="159"/>
    </row>
    <row r="904" spans="1:3">
      <c r="A904" s="159">
        <v>101</v>
      </c>
      <c r="B904" s="160"/>
      <c r="C904" s="159"/>
    </row>
    <row r="905" spans="1:3">
      <c r="A905" s="159">
        <v>101</v>
      </c>
      <c r="B905" s="160"/>
      <c r="C905" s="159"/>
    </row>
    <row r="906" spans="1:3">
      <c r="A906" s="159">
        <v>101</v>
      </c>
      <c r="B906" s="160"/>
      <c r="C906" s="159"/>
    </row>
    <row r="907" spans="1:3">
      <c r="A907" s="159">
        <v>101</v>
      </c>
      <c r="B907" s="160"/>
      <c r="C907" s="159"/>
    </row>
    <row r="908" spans="1:3">
      <c r="A908" s="159">
        <v>101</v>
      </c>
      <c r="B908" s="160"/>
      <c r="C908" s="159"/>
    </row>
    <row r="909" spans="1:3">
      <c r="A909" s="159">
        <v>101</v>
      </c>
      <c r="B909" s="160"/>
      <c r="C909" s="159"/>
    </row>
    <row r="910" spans="1:3">
      <c r="A910" s="159">
        <v>102</v>
      </c>
      <c r="B910" s="160" t="s">
        <v>360</v>
      </c>
      <c r="C910" s="159" t="s">
        <v>150</v>
      </c>
    </row>
    <row r="911" spans="1:3">
      <c r="A911" s="159">
        <v>102</v>
      </c>
      <c r="B911" s="160"/>
      <c r="C911" s="159"/>
    </row>
    <row r="912" spans="1:3">
      <c r="A912" s="159">
        <v>102</v>
      </c>
      <c r="B912" s="160"/>
      <c r="C912" s="159"/>
    </row>
    <row r="913" spans="1:3">
      <c r="A913" s="159">
        <v>102</v>
      </c>
      <c r="B913" s="160"/>
      <c r="C913" s="159"/>
    </row>
    <row r="914" spans="1:3">
      <c r="A914" s="159">
        <v>102</v>
      </c>
      <c r="B914" s="160"/>
      <c r="C914" s="159"/>
    </row>
    <row r="915" spans="1:3">
      <c r="A915" s="159">
        <v>102</v>
      </c>
      <c r="B915" s="160"/>
      <c r="C915" s="159"/>
    </row>
    <row r="916" spans="1:3">
      <c r="A916" s="159">
        <v>102</v>
      </c>
      <c r="B916" s="160"/>
      <c r="C916" s="159"/>
    </row>
    <row r="917" spans="1:3">
      <c r="A917" s="159">
        <v>102</v>
      </c>
      <c r="B917" s="160"/>
      <c r="C917" s="159"/>
    </row>
    <row r="918" spans="1:3">
      <c r="A918" s="159">
        <v>102</v>
      </c>
      <c r="B918" s="160"/>
      <c r="C918" s="159"/>
    </row>
    <row r="919" spans="1:3">
      <c r="A919" s="159">
        <v>103</v>
      </c>
      <c r="B919" s="160" t="s">
        <v>361</v>
      </c>
      <c r="C919" s="159" t="s">
        <v>152</v>
      </c>
    </row>
    <row r="920" spans="1:3">
      <c r="A920" s="159">
        <v>103</v>
      </c>
      <c r="B920" s="160"/>
      <c r="C920" s="159"/>
    </row>
    <row r="921" spans="1:3">
      <c r="A921" s="159">
        <v>103</v>
      </c>
      <c r="B921" s="160"/>
      <c r="C921" s="159"/>
    </row>
    <row r="922" spans="1:3">
      <c r="A922" s="159">
        <v>103</v>
      </c>
      <c r="B922" s="160"/>
      <c r="C922" s="159"/>
    </row>
    <row r="923" spans="1:3">
      <c r="A923" s="159">
        <v>103</v>
      </c>
      <c r="B923" s="160"/>
      <c r="C923" s="159"/>
    </row>
    <row r="924" spans="1:3">
      <c r="A924" s="159">
        <v>103</v>
      </c>
      <c r="B924" s="160"/>
      <c r="C924" s="159"/>
    </row>
    <row r="925" spans="1:3">
      <c r="A925" s="159">
        <v>103</v>
      </c>
      <c r="B925" s="160"/>
      <c r="C925" s="159"/>
    </row>
    <row r="926" spans="1:3">
      <c r="A926" s="159">
        <v>103</v>
      </c>
      <c r="B926" s="160"/>
      <c r="C926" s="159"/>
    </row>
    <row r="927" spans="1:3">
      <c r="A927" s="159">
        <v>103</v>
      </c>
      <c r="B927" s="160"/>
      <c r="C927" s="159"/>
    </row>
    <row r="928" spans="1:3">
      <c r="A928" s="159">
        <v>104</v>
      </c>
      <c r="B928" s="160" t="s">
        <v>362</v>
      </c>
      <c r="C928" s="159" t="s">
        <v>154</v>
      </c>
    </row>
    <row r="929" spans="1:3">
      <c r="A929" s="159">
        <v>104</v>
      </c>
      <c r="B929" s="160"/>
      <c r="C929" s="159"/>
    </row>
    <row r="930" spans="1:3">
      <c r="A930" s="159">
        <v>104</v>
      </c>
      <c r="B930" s="160"/>
      <c r="C930" s="159"/>
    </row>
    <row r="931" spans="1:3">
      <c r="A931" s="159">
        <v>104</v>
      </c>
      <c r="B931" s="160"/>
      <c r="C931" s="159"/>
    </row>
    <row r="932" spans="1:3">
      <c r="A932" s="159">
        <v>104</v>
      </c>
      <c r="B932" s="160"/>
      <c r="C932" s="159"/>
    </row>
    <row r="933" spans="1:3">
      <c r="A933" s="159">
        <v>104</v>
      </c>
      <c r="B933" s="160"/>
      <c r="C933" s="159"/>
    </row>
    <row r="934" spans="1:3">
      <c r="A934" s="159">
        <v>104</v>
      </c>
      <c r="B934" s="160"/>
      <c r="C934" s="159"/>
    </row>
    <row r="935" spans="1:3">
      <c r="A935" s="159">
        <v>104</v>
      </c>
      <c r="B935" s="160"/>
      <c r="C935" s="159"/>
    </row>
    <row r="936" spans="1:3">
      <c r="A936" s="159">
        <v>104</v>
      </c>
      <c r="B936" s="160"/>
      <c r="C936" s="159"/>
    </row>
    <row r="937" spans="1:3">
      <c r="A937" s="159">
        <v>105</v>
      </c>
      <c r="B937" s="160" t="s">
        <v>363</v>
      </c>
      <c r="C937" s="159" t="s">
        <v>156</v>
      </c>
    </row>
    <row r="938" spans="1:3">
      <c r="A938" s="159">
        <v>105</v>
      </c>
      <c r="B938" s="160"/>
      <c r="C938" s="159"/>
    </row>
    <row r="939" spans="1:3">
      <c r="A939" s="159">
        <v>105</v>
      </c>
      <c r="B939" s="160"/>
      <c r="C939" s="159"/>
    </row>
    <row r="940" spans="1:3">
      <c r="A940" s="159">
        <v>105</v>
      </c>
      <c r="B940" s="160"/>
      <c r="C940" s="159"/>
    </row>
    <row r="941" spans="1:3">
      <c r="A941" s="159">
        <v>105</v>
      </c>
      <c r="B941" s="160"/>
      <c r="C941" s="159"/>
    </row>
    <row r="942" spans="1:3">
      <c r="A942" s="159">
        <v>105</v>
      </c>
      <c r="B942" s="160"/>
      <c r="C942" s="159"/>
    </row>
    <row r="943" spans="1:3">
      <c r="A943" s="159">
        <v>105</v>
      </c>
      <c r="B943" s="160"/>
      <c r="C943" s="159"/>
    </row>
    <row r="944" spans="1:3">
      <c r="A944" s="159">
        <v>105</v>
      </c>
      <c r="B944" s="160"/>
      <c r="C944" s="159"/>
    </row>
    <row r="945" spans="1:3">
      <c r="A945" s="159">
        <v>105</v>
      </c>
      <c r="B945" s="160"/>
      <c r="C945" s="159"/>
    </row>
    <row r="946" spans="1:3">
      <c r="A946" s="159">
        <v>106</v>
      </c>
      <c r="B946" s="160" t="s">
        <v>364</v>
      </c>
      <c r="C946" s="159" t="s">
        <v>158</v>
      </c>
    </row>
    <row r="947" spans="1:3">
      <c r="A947" s="159">
        <v>106</v>
      </c>
      <c r="B947" s="160"/>
      <c r="C947" s="159"/>
    </row>
    <row r="948" spans="1:3">
      <c r="A948" s="159">
        <v>106</v>
      </c>
      <c r="B948" s="160"/>
      <c r="C948" s="159"/>
    </row>
    <row r="949" spans="1:3">
      <c r="A949" s="159">
        <v>106</v>
      </c>
      <c r="B949" s="160"/>
      <c r="C949" s="159"/>
    </row>
    <row r="950" spans="1:3">
      <c r="A950" s="159">
        <v>106</v>
      </c>
      <c r="B950" s="160"/>
      <c r="C950" s="159"/>
    </row>
    <row r="951" spans="1:3">
      <c r="A951" s="159">
        <v>106</v>
      </c>
      <c r="B951" s="160"/>
      <c r="C951" s="159"/>
    </row>
    <row r="952" spans="1:3">
      <c r="A952" s="159">
        <v>106</v>
      </c>
      <c r="B952" s="160"/>
      <c r="C952" s="159"/>
    </row>
    <row r="953" spans="1:3">
      <c r="A953" s="159">
        <v>106</v>
      </c>
      <c r="B953" s="160"/>
      <c r="C953" s="159"/>
    </row>
    <row r="954" spans="1:3">
      <c r="A954" s="159">
        <v>106</v>
      </c>
      <c r="B954" s="160"/>
      <c r="C954" s="159"/>
    </row>
    <row r="955" spans="1:3">
      <c r="A955" s="159">
        <v>107</v>
      </c>
      <c r="B955" s="160" t="s">
        <v>365</v>
      </c>
      <c r="C955" s="159" t="s">
        <v>160</v>
      </c>
    </row>
    <row r="956" spans="1:3">
      <c r="A956" s="159">
        <v>107</v>
      </c>
      <c r="B956" s="160"/>
      <c r="C956" s="159"/>
    </row>
    <row r="957" spans="1:3">
      <c r="A957" s="159">
        <v>107</v>
      </c>
      <c r="B957" s="160"/>
      <c r="C957" s="159"/>
    </row>
    <row r="958" spans="1:3">
      <c r="A958" s="159">
        <v>107</v>
      </c>
      <c r="B958" s="160"/>
      <c r="C958" s="159"/>
    </row>
    <row r="959" spans="1:3">
      <c r="A959" s="159">
        <v>107</v>
      </c>
      <c r="B959" s="160"/>
      <c r="C959" s="159"/>
    </row>
    <row r="960" spans="1:3">
      <c r="A960" s="159">
        <v>107</v>
      </c>
      <c r="B960" s="160"/>
      <c r="C960" s="159"/>
    </row>
    <row r="961" spans="1:3">
      <c r="A961" s="159">
        <v>107</v>
      </c>
      <c r="B961" s="160"/>
      <c r="C961" s="159"/>
    </row>
    <row r="962" spans="1:3">
      <c r="A962" s="159">
        <v>107</v>
      </c>
      <c r="B962" s="160"/>
      <c r="C962" s="159"/>
    </row>
    <row r="963" spans="1:3">
      <c r="A963" s="159">
        <v>107</v>
      </c>
      <c r="B963" s="160"/>
      <c r="C963" s="159"/>
    </row>
    <row r="964" spans="1:3">
      <c r="A964" s="159">
        <v>108</v>
      </c>
      <c r="B964" s="160" t="s">
        <v>366</v>
      </c>
      <c r="C964" s="159" t="s">
        <v>162</v>
      </c>
    </row>
    <row r="965" spans="1:3">
      <c r="A965" s="159">
        <v>108</v>
      </c>
      <c r="B965" s="160"/>
      <c r="C965" s="159"/>
    </row>
    <row r="966" spans="1:3">
      <c r="A966" s="159">
        <v>108</v>
      </c>
      <c r="B966" s="160"/>
      <c r="C966" s="159"/>
    </row>
    <row r="967" spans="1:3">
      <c r="A967" s="159">
        <v>108</v>
      </c>
      <c r="B967" s="160"/>
      <c r="C967" s="159"/>
    </row>
    <row r="968" spans="1:3">
      <c r="A968" s="159">
        <v>108</v>
      </c>
      <c r="B968" s="160"/>
      <c r="C968" s="159"/>
    </row>
    <row r="969" spans="1:3">
      <c r="A969" s="159">
        <v>108</v>
      </c>
      <c r="B969" s="160"/>
      <c r="C969" s="159"/>
    </row>
    <row r="970" spans="1:3">
      <c r="A970" s="159">
        <v>108</v>
      </c>
      <c r="B970" s="160"/>
      <c r="C970" s="159"/>
    </row>
    <row r="971" spans="1:3">
      <c r="A971" s="159">
        <v>108</v>
      </c>
      <c r="B971" s="160"/>
      <c r="C971" s="159"/>
    </row>
    <row r="972" spans="1:3">
      <c r="A972" s="159">
        <v>108</v>
      </c>
      <c r="B972" s="160"/>
      <c r="C972" s="159"/>
    </row>
    <row r="973" spans="1:3">
      <c r="A973" s="159">
        <v>109</v>
      </c>
      <c r="B973" s="160" t="s">
        <v>367</v>
      </c>
      <c r="C973" s="159" t="s">
        <v>164</v>
      </c>
    </row>
    <row r="974" spans="1:3">
      <c r="A974" s="159">
        <v>109</v>
      </c>
      <c r="B974" s="160"/>
      <c r="C974" s="159"/>
    </row>
    <row r="975" spans="1:3">
      <c r="A975" s="159">
        <v>109</v>
      </c>
      <c r="B975" s="160"/>
      <c r="C975" s="159"/>
    </row>
    <row r="976" spans="1:3">
      <c r="A976" s="159">
        <v>109</v>
      </c>
      <c r="B976" s="160"/>
      <c r="C976" s="159"/>
    </row>
    <row r="977" spans="1:3">
      <c r="A977" s="159">
        <v>109</v>
      </c>
      <c r="B977" s="160"/>
      <c r="C977" s="159"/>
    </row>
    <row r="978" spans="1:3">
      <c r="A978" s="159">
        <v>109</v>
      </c>
      <c r="B978" s="160"/>
      <c r="C978" s="159"/>
    </row>
    <row r="979" spans="1:3">
      <c r="A979" s="159">
        <v>109</v>
      </c>
      <c r="B979" s="160"/>
      <c r="C979" s="159"/>
    </row>
    <row r="980" spans="1:3">
      <c r="A980" s="159">
        <v>109</v>
      </c>
      <c r="B980" s="160"/>
      <c r="C980" s="159"/>
    </row>
    <row r="981" spans="1:3">
      <c r="A981" s="159">
        <v>109</v>
      </c>
      <c r="B981" s="160"/>
      <c r="C981" s="159"/>
    </row>
    <row r="982" spans="1:3">
      <c r="A982" s="159">
        <v>110</v>
      </c>
      <c r="B982" s="160" t="s">
        <v>368</v>
      </c>
      <c r="C982" s="159" t="s">
        <v>166</v>
      </c>
    </row>
    <row r="983" spans="1:3">
      <c r="A983" s="159">
        <v>110</v>
      </c>
      <c r="B983" s="160"/>
      <c r="C983" s="159"/>
    </row>
    <row r="984" spans="1:3">
      <c r="A984" s="159">
        <v>110</v>
      </c>
      <c r="B984" s="160"/>
      <c r="C984" s="159"/>
    </row>
    <row r="985" spans="1:3">
      <c r="A985" s="159">
        <v>110</v>
      </c>
      <c r="B985" s="160"/>
      <c r="C985" s="159"/>
    </row>
    <row r="986" spans="1:3">
      <c r="A986" s="159">
        <v>110</v>
      </c>
      <c r="B986" s="160"/>
      <c r="C986" s="159"/>
    </row>
    <row r="987" spans="1:3">
      <c r="A987" s="159">
        <v>110</v>
      </c>
      <c r="B987" s="160"/>
      <c r="C987" s="159"/>
    </row>
    <row r="988" spans="1:3">
      <c r="A988" s="159">
        <v>110</v>
      </c>
      <c r="B988" s="160"/>
      <c r="C988" s="159"/>
    </row>
    <row r="989" spans="1:3">
      <c r="A989" s="159">
        <v>110</v>
      </c>
      <c r="B989" s="160"/>
      <c r="C989" s="159"/>
    </row>
    <row r="990" spans="1:3">
      <c r="A990" s="159">
        <v>110</v>
      </c>
      <c r="B990" s="160"/>
      <c r="C990" s="159"/>
    </row>
    <row r="991" spans="1:3">
      <c r="A991" s="159">
        <v>111</v>
      </c>
      <c r="B991" s="160" t="s">
        <v>369</v>
      </c>
      <c r="C991" s="159" t="s">
        <v>168</v>
      </c>
    </row>
    <row r="992" spans="1:3">
      <c r="A992" s="159">
        <v>111</v>
      </c>
      <c r="B992" s="160"/>
      <c r="C992" s="159"/>
    </row>
    <row r="993" spans="1:3">
      <c r="A993" s="159">
        <v>111</v>
      </c>
      <c r="B993" s="160"/>
      <c r="C993" s="159"/>
    </row>
    <row r="994" spans="1:3">
      <c r="A994" s="159">
        <v>111</v>
      </c>
      <c r="B994" s="160"/>
      <c r="C994" s="159"/>
    </row>
    <row r="995" spans="1:3">
      <c r="A995" s="159">
        <v>111</v>
      </c>
      <c r="B995" s="160"/>
      <c r="C995" s="159"/>
    </row>
    <row r="996" spans="1:3">
      <c r="A996" s="159">
        <v>111</v>
      </c>
      <c r="B996" s="160"/>
      <c r="C996" s="159"/>
    </row>
    <row r="997" spans="1:3">
      <c r="A997" s="159">
        <v>111</v>
      </c>
      <c r="B997" s="160"/>
      <c r="C997" s="159"/>
    </row>
    <row r="998" spans="1:3">
      <c r="A998" s="159">
        <v>111</v>
      </c>
      <c r="B998" s="160"/>
      <c r="C998" s="159"/>
    </row>
    <row r="999" spans="1:3">
      <c r="A999" s="159">
        <v>111</v>
      </c>
      <c r="B999" s="160"/>
      <c r="C999" s="159"/>
    </row>
    <row r="1000" spans="1:3">
      <c r="A1000" s="159">
        <v>112</v>
      </c>
      <c r="B1000" s="160" t="s">
        <v>370</v>
      </c>
      <c r="C1000" s="159" t="s">
        <v>170</v>
      </c>
    </row>
    <row r="1001" spans="1:3">
      <c r="A1001" s="159">
        <v>112</v>
      </c>
      <c r="B1001" s="160"/>
      <c r="C1001" s="159"/>
    </row>
    <row r="1002" spans="1:3">
      <c r="A1002" s="159">
        <v>112</v>
      </c>
      <c r="B1002" s="160"/>
      <c r="C1002" s="159"/>
    </row>
    <row r="1003" spans="1:3">
      <c r="A1003" s="159">
        <v>112</v>
      </c>
      <c r="B1003" s="160"/>
      <c r="C1003" s="159"/>
    </row>
    <row r="1004" spans="1:3">
      <c r="A1004" s="159">
        <v>112</v>
      </c>
      <c r="B1004" s="160"/>
      <c r="C1004" s="159"/>
    </row>
    <row r="1005" spans="1:3">
      <c r="A1005" s="159">
        <v>112</v>
      </c>
      <c r="B1005" s="160"/>
      <c r="C1005" s="159"/>
    </row>
    <row r="1006" spans="1:3">
      <c r="A1006" s="159">
        <v>112</v>
      </c>
      <c r="B1006" s="160"/>
      <c r="C1006" s="159"/>
    </row>
    <row r="1007" spans="1:3">
      <c r="A1007" s="159">
        <v>112</v>
      </c>
      <c r="B1007" s="160"/>
      <c r="C1007" s="159"/>
    </row>
    <row r="1008" spans="1:3">
      <c r="A1008" s="159">
        <v>112</v>
      </c>
      <c r="B1008" s="160"/>
      <c r="C1008" s="159"/>
    </row>
    <row r="1009" spans="1:3">
      <c r="A1009" s="159">
        <v>113</v>
      </c>
      <c r="B1009" s="160" t="s">
        <v>371</v>
      </c>
      <c r="C1009" s="159" t="s">
        <v>172</v>
      </c>
    </row>
    <row r="1010" spans="1:3">
      <c r="A1010" s="159">
        <v>113</v>
      </c>
      <c r="B1010" s="160"/>
      <c r="C1010" s="159"/>
    </row>
    <row r="1011" spans="1:3">
      <c r="A1011" s="159">
        <v>113</v>
      </c>
      <c r="B1011" s="160"/>
      <c r="C1011" s="159"/>
    </row>
    <row r="1012" spans="1:3">
      <c r="A1012" s="159">
        <v>113</v>
      </c>
      <c r="B1012" s="160"/>
      <c r="C1012" s="159"/>
    </row>
    <row r="1013" spans="1:3">
      <c r="A1013" s="159">
        <v>113</v>
      </c>
      <c r="B1013" s="160"/>
      <c r="C1013" s="159"/>
    </row>
    <row r="1014" spans="1:3">
      <c r="A1014" s="159">
        <v>113</v>
      </c>
      <c r="B1014" s="160"/>
      <c r="C1014" s="159"/>
    </row>
    <row r="1015" spans="1:3">
      <c r="A1015" s="159">
        <v>113</v>
      </c>
      <c r="B1015" s="160"/>
      <c r="C1015" s="159"/>
    </row>
    <row r="1016" spans="1:3">
      <c r="A1016" s="159">
        <v>113</v>
      </c>
      <c r="B1016" s="160"/>
      <c r="C1016" s="159"/>
    </row>
    <row r="1017" spans="1:3">
      <c r="A1017" s="159">
        <v>113</v>
      </c>
      <c r="B1017" s="160"/>
      <c r="C1017" s="159"/>
    </row>
    <row r="1018" spans="1:3">
      <c r="A1018" s="159">
        <v>114</v>
      </c>
      <c r="B1018" s="160" t="s">
        <v>372</v>
      </c>
      <c r="C1018" s="159" t="s">
        <v>174</v>
      </c>
    </row>
    <row r="1019" spans="1:3">
      <c r="A1019" s="159">
        <v>114</v>
      </c>
      <c r="B1019" s="160"/>
      <c r="C1019" s="159"/>
    </row>
    <row r="1020" spans="1:3">
      <c r="A1020" s="159">
        <v>114</v>
      </c>
      <c r="B1020" s="160"/>
      <c r="C1020" s="159"/>
    </row>
    <row r="1021" spans="1:3">
      <c r="A1021" s="159">
        <v>114</v>
      </c>
      <c r="B1021" s="160"/>
      <c r="C1021" s="159"/>
    </row>
    <row r="1022" spans="1:3">
      <c r="A1022" s="159">
        <v>114</v>
      </c>
      <c r="B1022" s="160"/>
      <c r="C1022" s="159"/>
    </row>
    <row r="1023" spans="1:3">
      <c r="A1023" s="159">
        <v>114</v>
      </c>
      <c r="B1023" s="160"/>
      <c r="C1023" s="159"/>
    </row>
    <row r="1024" spans="1:3">
      <c r="A1024" s="159">
        <v>114</v>
      </c>
      <c r="B1024" s="160"/>
      <c r="C1024" s="159"/>
    </row>
    <row r="1025" spans="1:3">
      <c r="A1025" s="159">
        <v>114</v>
      </c>
      <c r="B1025" s="160"/>
      <c r="C1025" s="159"/>
    </row>
    <row r="1026" spans="1:3">
      <c r="A1026" s="159">
        <v>114</v>
      </c>
      <c r="B1026" s="160"/>
      <c r="C1026" s="159"/>
    </row>
    <row r="1027" spans="1:3">
      <c r="A1027" s="159">
        <v>115</v>
      </c>
      <c r="B1027" s="160" t="s">
        <v>373</v>
      </c>
      <c r="C1027" s="159" t="s">
        <v>176</v>
      </c>
    </row>
    <row r="1028" spans="1:3">
      <c r="A1028" s="159">
        <v>115</v>
      </c>
      <c r="B1028" s="160"/>
      <c r="C1028" s="159"/>
    </row>
    <row r="1029" spans="1:3">
      <c r="A1029" s="159">
        <v>115</v>
      </c>
      <c r="B1029" s="160"/>
      <c r="C1029" s="159"/>
    </row>
    <row r="1030" spans="1:3">
      <c r="A1030" s="159">
        <v>115</v>
      </c>
      <c r="B1030" s="160"/>
      <c r="C1030" s="159"/>
    </row>
    <row r="1031" spans="1:3">
      <c r="A1031" s="159">
        <v>115</v>
      </c>
      <c r="B1031" s="160"/>
      <c r="C1031" s="159"/>
    </row>
    <row r="1032" spans="1:3">
      <c r="A1032" s="159">
        <v>115</v>
      </c>
      <c r="B1032" s="160"/>
      <c r="C1032" s="159"/>
    </row>
    <row r="1033" spans="1:3">
      <c r="A1033" s="159">
        <v>115</v>
      </c>
      <c r="B1033" s="160"/>
      <c r="C1033" s="159"/>
    </row>
    <row r="1034" spans="1:3">
      <c r="A1034" s="159">
        <v>115</v>
      </c>
      <c r="B1034" s="160"/>
      <c r="C1034" s="159"/>
    </row>
    <row r="1035" spans="1:3">
      <c r="A1035" s="159">
        <v>115</v>
      </c>
      <c r="B1035" s="160"/>
      <c r="C1035" s="159"/>
    </row>
    <row r="1036" spans="1:3">
      <c r="A1036" s="159">
        <v>116</v>
      </c>
      <c r="B1036" s="160" t="s">
        <v>374</v>
      </c>
      <c r="C1036" s="159" t="s">
        <v>178</v>
      </c>
    </row>
    <row r="1037" spans="1:3">
      <c r="A1037" s="159">
        <v>116</v>
      </c>
      <c r="B1037" s="160"/>
      <c r="C1037" s="159"/>
    </row>
    <row r="1038" spans="1:3">
      <c r="A1038" s="159">
        <v>116</v>
      </c>
      <c r="B1038" s="160"/>
      <c r="C1038" s="159"/>
    </row>
    <row r="1039" spans="1:3">
      <c r="A1039" s="159">
        <v>116</v>
      </c>
      <c r="B1039" s="160"/>
      <c r="C1039" s="159"/>
    </row>
    <row r="1040" spans="1:3">
      <c r="A1040" s="159">
        <v>116</v>
      </c>
      <c r="B1040" s="160"/>
      <c r="C1040" s="159"/>
    </row>
    <row r="1041" spans="1:3">
      <c r="A1041" s="159">
        <v>116</v>
      </c>
      <c r="B1041" s="160"/>
      <c r="C1041" s="159"/>
    </row>
    <row r="1042" spans="1:3">
      <c r="A1042" s="159">
        <v>116</v>
      </c>
      <c r="B1042" s="160"/>
      <c r="C1042" s="159"/>
    </row>
    <row r="1043" spans="1:3">
      <c r="A1043" s="159">
        <v>116</v>
      </c>
      <c r="B1043" s="160"/>
      <c r="C1043" s="159"/>
    </row>
    <row r="1044" spans="1:3">
      <c r="A1044" s="159">
        <v>116</v>
      </c>
      <c r="B1044" s="160"/>
      <c r="C1044" s="159"/>
    </row>
    <row r="1045" spans="1:3">
      <c r="A1045" s="159">
        <v>117</v>
      </c>
      <c r="B1045" s="160" t="s">
        <v>375</v>
      </c>
      <c r="C1045" s="159" t="s">
        <v>180</v>
      </c>
    </row>
    <row r="1046" spans="1:3">
      <c r="A1046" s="159">
        <v>117</v>
      </c>
      <c r="B1046" s="160"/>
      <c r="C1046" s="159"/>
    </row>
    <row r="1047" spans="1:3">
      <c r="A1047" s="159">
        <v>117</v>
      </c>
      <c r="B1047" s="160"/>
      <c r="C1047" s="159"/>
    </row>
    <row r="1048" spans="1:3">
      <c r="A1048" s="159">
        <v>117</v>
      </c>
      <c r="B1048" s="160"/>
      <c r="C1048" s="159"/>
    </row>
    <row r="1049" spans="1:3">
      <c r="A1049" s="159">
        <v>117</v>
      </c>
      <c r="B1049" s="160"/>
      <c r="C1049" s="159"/>
    </row>
    <row r="1050" spans="1:3">
      <c r="A1050" s="159">
        <v>117</v>
      </c>
      <c r="B1050" s="160"/>
      <c r="C1050" s="159"/>
    </row>
    <row r="1051" spans="1:3">
      <c r="A1051" s="159">
        <v>117</v>
      </c>
      <c r="B1051" s="160"/>
      <c r="C1051" s="159"/>
    </row>
    <row r="1052" spans="1:3">
      <c r="A1052" s="159">
        <v>117</v>
      </c>
      <c r="B1052" s="160"/>
      <c r="C1052" s="159"/>
    </row>
    <row r="1053" spans="1:3">
      <c r="A1053" s="159">
        <v>117</v>
      </c>
      <c r="B1053" s="160"/>
      <c r="C1053" s="159"/>
    </row>
    <row r="1054" spans="1:3">
      <c r="A1054" s="159">
        <v>118</v>
      </c>
      <c r="B1054" s="160" t="s">
        <v>376</v>
      </c>
      <c r="C1054" s="159" t="s">
        <v>182</v>
      </c>
    </row>
    <row r="1055" spans="1:3">
      <c r="A1055" s="159">
        <v>118</v>
      </c>
      <c r="B1055" s="160"/>
      <c r="C1055" s="159"/>
    </row>
    <row r="1056" spans="1:3">
      <c r="A1056" s="159">
        <v>118</v>
      </c>
      <c r="B1056" s="160"/>
      <c r="C1056" s="159"/>
    </row>
    <row r="1057" spans="1:3">
      <c r="A1057" s="159">
        <v>118</v>
      </c>
      <c r="B1057" s="160"/>
      <c r="C1057" s="159"/>
    </row>
    <row r="1058" spans="1:3">
      <c r="A1058" s="159">
        <v>118</v>
      </c>
      <c r="B1058" s="160"/>
      <c r="C1058" s="159"/>
    </row>
    <row r="1059" spans="1:3">
      <c r="A1059" s="159">
        <v>118</v>
      </c>
      <c r="B1059" s="160"/>
      <c r="C1059" s="159"/>
    </row>
    <row r="1060" spans="1:3">
      <c r="A1060" s="159">
        <v>118</v>
      </c>
      <c r="B1060" s="160"/>
      <c r="C1060" s="159"/>
    </row>
    <row r="1061" spans="1:3">
      <c r="A1061" s="159">
        <v>118</v>
      </c>
      <c r="B1061" s="160"/>
      <c r="C1061" s="159"/>
    </row>
    <row r="1062" spans="1:3">
      <c r="A1062" s="159">
        <v>118</v>
      </c>
      <c r="B1062" s="160"/>
      <c r="C1062" s="159"/>
    </row>
    <row r="1063" spans="1:3">
      <c r="A1063" s="159">
        <v>119</v>
      </c>
      <c r="B1063" s="160" t="s">
        <v>377</v>
      </c>
      <c r="C1063" s="159" t="s">
        <v>184</v>
      </c>
    </row>
    <row r="1064" spans="1:3">
      <c r="A1064" s="159">
        <v>119</v>
      </c>
      <c r="B1064" s="160"/>
      <c r="C1064" s="159"/>
    </row>
    <row r="1065" spans="1:3">
      <c r="A1065" s="159">
        <v>119</v>
      </c>
      <c r="B1065" s="160"/>
      <c r="C1065" s="159"/>
    </row>
    <row r="1066" spans="1:3">
      <c r="A1066" s="159">
        <v>119</v>
      </c>
      <c r="B1066" s="160"/>
      <c r="C1066" s="159"/>
    </row>
    <row r="1067" spans="1:3">
      <c r="A1067" s="159">
        <v>119</v>
      </c>
      <c r="B1067" s="160"/>
      <c r="C1067" s="159"/>
    </row>
    <row r="1068" spans="1:3">
      <c r="A1068" s="159">
        <v>119</v>
      </c>
      <c r="B1068" s="160"/>
      <c r="C1068" s="159"/>
    </row>
    <row r="1069" spans="1:3">
      <c r="A1069" s="159">
        <v>119</v>
      </c>
      <c r="B1069" s="160"/>
      <c r="C1069" s="159"/>
    </row>
    <row r="1070" spans="1:3">
      <c r="A1070" s="159">
        <v>119</v>
      </c>
      <c r="B1070" s="160"/>
      <c r="C1070" s="159"/>
    </row>
    <row r="1071" spans="1:3">
      <c r="A1071" s="159">
        <v>119</v>
      </c>
      <c r="B1071" s="160"/>
      <c r="C1071" s="159"/>
    </row>
    <row r="1072" spans="1:3">
      <c r="A1072" s="159">
        <v>120</v>
      </c>
      <c r="B1072" s="160" t="s">
        <v>378</v>
      </c>
      <c r="C1072" s="159" t="s">
        <v>186</v>
      </c>
    </row>
    <row r="1073" spans="1:3">
      <c r="A1073" s="159">
        <v>120</v>
      </c>
      <c r="B1073" s="160"/>
      <c r="C1073" s="159"/>
    </row>
    <row r="1074" spans="1:3">
      <c r="A1074" s="159">
        <v>120</v>
      </c>
      <c r="B1074" s="160"/>
      <c r="C1074" s="159"/>
    </row>
    <row r="1075" spans="1:3">
      <c r="A1075" s="159">
        <v>120</v>
      </c>
      <c r="B1075" s="160"/>
      <c r="C1075" s="159"/>
    </row>
    <row r="1076" spans="1:3">
      <c r="A1076" s="159">
        <v>120</v>
      </c>
      <c r="B1076" s="160"/>
      <c r="C1076" s="159"/>
    </row>
    <row r="1077" spans="1:3">
      <c r="A1077" s="159">
        <v>120</v>
      </c>
      <c r="B1077" s="160"/>
      <c r="C1077" s="159"/>
    </row>
    <row r="1078" spans="1:3">
      <c r="A1078" s="159">
        <v>120</v>
      </c>
      <c r="B1078" s="160"/>
      <c r="C1078" s="159"/>
    </row>
    <row r="1079" spans="1:3">
      <c r="A1079" s="159">
        <v>120</v>
      </c>
      <c r="B1079" s="160"/>
      <c r="C1079" s="159"/>
    </row>
    <row r="1080" spans="1:3">
      <c r="A1080" s="159">
        <v>120</v>
      </c>
      <c r="B1080" s="160"/>
      <c r="C1080" s="159"/>
    </row>
    <row r="1081" spans="1:3">
      <c r="A1081" s="159">
        <v>121</v>
      </c>
      <c r="B1081" s="160" t="s">
        <v>379</v>
      </c>
      <c r="C1081" s="159" t="s">
        <v>188</v>
      </c>
    </row>
    <row r="1082" spans="1:3">
      <c r="A1082" s="159">
        <v>121</v>
      </c>
      <c r="B1082" s="160"/>
      <c r="C1082" s="159"/>
    </row>
    <row r="1083" spans="1:3">
      <c r="A1083" s="159">
        <v>121</v>
      </c>
      <c r="B1083" s="160"/>
      <c r="C1083" s="159"/>
    </row>
    <row r="1084" spans="1:3">
      <c r="A1084" s="159">
        <v>121</v>
      </c>
      <c r="B1084" s="160"/>
      <c r="C1084" s="159"/>
    </row>
    <row r="1085" spans="1:3">
      <c r="A1085" s="159">
        <v>121</v>
      </c>
      <c r="B1085" s="160"/>
      <c r="C1085" s="159"/>
    </row>
    <row r="1086" spans="1:3">
      <c r="A1086" s="159">
        <v>121</v>
      </c>
      <c r="B1086" s="160"/>
      <c r="C1086" s="159"/>
    </row>
    <row r="1087" spans="1:3">
      <c r="A1087" s="159">
        <v>121</v>
      </c>
      <c r="B1087" s="160"/>
      <c r="C1087" s="159"/>
    </row>
    <row r="1088" spans="1:3">
      <c r="A1088" s="159">
        <v>121</v>
      </c>
      <c r="B1088" s="160"/>
      <c r="C1088" s="159"/>
    </row>
    <row r="1089" spans="1:3">
      <c r="A1089" s="159">
        <v>121</v>
      </c>
      <c r="B1089" s="160"/>
      <c r="C1089" s="159"/>
    </row>
    <row r="1090" spans="1:3">
      <c r="A1090" s="159">
        <v>122</v>
      </c>
      <c r="B1090" s="160" t="s">
        <v>380</v>
      </c>
      <c r="C1090" s="159" t="s">
        <v>190</v>
      </c>
    </row>
    <row r="1091" spans="1:3">
      <c r="A1091" s="159">
        <v>122</v>
      </c>
      <c r="B1091" s="160"/>
      <c r="C1091" s="159"/>
    </row>
    <row r="1092" spans="1:3">
      <c r="A1092" s="159">
        <v>122</v>
      </c>
      <c r="B1092" s="160"/>
      <c r="C1092" s="159"/>
    </row>
    <row r="1093" spans="1:3">
      <c r="A1093" s="159">
        <v>122</v>
      </c>
      <c r="B1093" s="160"/>
      <c r="C1093" s="159"/>
    </row>
    <row r="1094" spans="1:3">
      <c r="A1094" s="159">
        <v>122</v>
      </c>
      <c r="B1094" s="160"/>
      <c r="C1094" s="159"/>
    </row>
    <row r="1095" spans="1:3">
      <c r="A1095" s="159">
        <v>122</v>
      </c>
      <c r="B1095" s="160"/>
      <c r="C1095" s="159"/>
    </row>
    <row r="1096" spans="1:3">
      <c r="A1096" s="159">
        <v>122</v>
      </c>
      <c r="B1096" s="160"/>
      <c r="C1096" s="159"/>
    </row>
    <row r="1097" spans="1:3">
      <c r="A1097" s="159">
        <v>122</v>
      </c>
      <c r="B1097" s="160"/>
      <c r="C1097" s="159"/>
    </row>
    <row r="1098" spans="1:3">
      <c r="A1098" s="159">
        <v>122</v>
      </c>
      <c r="B1098" s="160"/>
      <c r="C1098" s="159"/>
    </row>
    <row r="1099" spans="1:3">
      <c r="A1099" s="159">
        <v>123</v>
      </c>
      <c r="B1099" s="160" t="s">
        <v>381</v>
      </c>
      <c r="C1099" s="159" t="s">
        <v>192</v>
      </c>
    </row>
    <row r="1100" spans="1:3">
      <c r="A1100" s="159">
        <v>123</v>
      </c>
      <c r="B1100" s="160"/>
      <c r="C1100" s="159"/>
    </row>
    <row r="1101" spans="1:3">
      <c r="A1101" s="159">
        <v>123</v>
      </c>
      <c r="B1101" s="160"/>
      <c r="C1101" s="159"/>
    </row>
    <row r="1102" spans="1:3">
      <c r="A1102" s="159">
        <v>123</v>
      </c>
      <c r="B1102" s="160"/>
      <c r="C1102" s="159"/>
    </row>
    <row r="1103" spans="1:3">
      <c r="A1103" s="159">
        <v>123</v>
      </c>
      <c r="B1103" s="160"/>
      <c r="C1103" s="159"/>
    </row>
    <row r="1104" spans="1:3">
      <c r="A1104" s="159">
        <v>123</v>
      </c>
      <c r="B1104" s="160"/>
      <c r="C1104" s="159"/>
    </row>
    <row r="1105" spans="1:3">
      <c r="A1105" s="159">
        <v>123</v>
      </c>
      <c r="B1105" s="160"/>
      <c r="C1105" s="159"/>
    </row>
    <row r="1106" spans="1:3">
      <c r="A1106" s="159">
        <v>123</v>
      </c>
      <c r="B1106" s="160"/>
      <c r="C1106" s="159"/>
    </row>
    <row r="1107" spans="1:3">
      <c r="A1107" s="159">
        <v>123</v>
      </c>
      <c r="B1107" s="160"/>
      <c r="C1107" s="159"/>
    </row>
    <row r="1108" spans="1:3">
      <c r="A1108" s="159">
        <v>124</v>
      </c>
      <c r="B1108" s="160" t="s">
        <v>382</v>
      </c>
      <c r="C1108" s="159" t="s">
        <v>194</v>
      </c>
    </row>
    <row r="1109" spans="1:3">
      <c r="A1109" s="159">
        <v>124</v>
      </c>
      <c r="B1109" s="160"/>
      <c r="C1109" s="159"/>
    </row>
    <row r="1110" spans="1:3">
      <c r="A1110" s="159">
        <v>124</v>
      </c>
      <c r="B1110" s="160"/>
      <c r="C1110" s="159"/>
    </row>
    <row r="1111" spans="1:3">
      <c r="A1111" s="159">
        <v>124</v>
      </c>
      <c r="B1111" s="160"/>
      <c r="C1111" s="159"/>
    </row>
    <row r="1112" spans="1:3">
      <c r="A1112" s="159">
        <v>124</v>
      </c>
      <c r="B1112" s="160"/>
      <c r="C1112" s="159"/>
    </row>
    <row r="1113" spans="1:3">
      <c r="A1113" s="159">
        <v>124</v>
      </c>
      <c r="B1113" s="160"/>
      <c r="C1113" s="159"/>
    </row>
    <row r="1114" spans="1:3">
      <c r="A1114" s="159">
        <v>124</v>
      </c>
      <c r="B1114" s="160"/>
      <c r="C1114" s="159"/>
    </row>
    <row r="1115" spans="1:3">
      <c r="A1115" s="159">
        <v>124</v>
      </c>
      <c r="B1115" s="160"/>
      <c r="C1115" s="159"/>
    </row>
    <row r="1116" spans="1:3">
      <c r="A1116" s="159">
        <v>124</v>
      </c>
      <c r="B1116" s="160"/>
      <c r="C1116" s="159"/>
    </row>
    <row r="1117" spans="1:3">
      <c r="A1117" s="159">
        <v>125</v>
      </c>
      <c r="B1117" s="160" t="s">
        <v>383</v>
      </c>
      <c r="C1117" s="159" t="s">
        <v>196</v>
      </c>
    </row>
    <row r="1118" spans="1:3">
      <c r="A1118" s="159">
        <v>125</v>
      </c>
      <c r="B1118" s="160"/>
      <c r="C1118" s="159"/>
    </row>
    <row r="1119" spans="1:3">
      <c r="A1119" s="159">
        <v>125</v>
      </c>
      <c r="B1119" s="160"/>
      <c r="C1119" s="159"/>
    </row>
    <row r="1120" spans="1:3">
      <c r="A1120" s="159">
        <v>125</v>
      </c>
      <c r="B1120" s="160"/>
      <c r="C1120" s="159"/>
    </row>
    <row r="1121" spans="1:3">
      <c r="A1121" s="159">
        <v>125</v>
      </c>
      <c r="B1121" s="160"/>
      <c r="C1121" s="159"/>
    </row>
    <row r="1122" spans="1:3">
      <c r="A1122" s="159">
        <v>125</v>
      </c>
      <c r="B1122" s="160"/>
      <c r="C1122" s="159"/>
    </row>
    <row r="1123" spans="1:3">
      <c r="A1123" s="159">
        <v>125</v>
      </c>
      <c r="B1123" s="160"/>
      <c r="C1123" s="159"/>
    </row>
    <row r="1124" spans="1:3">
      <c r="A1124" s="159">
        <v>125</v>
      </c>
      <c r="B1124" s="160"/>
      <c r="C1124" s="159"/>
    </row>
    <row r="1125" spans="1:3">
      <c r="A1125" s="159">
        <v>125</v>
      </c>
      <c r="B1125" s="160"/>
      <c r="C1125" s="159"/>
    </row>
    <row r="1126" spans="1:3">
      <c r="A1126" s="159">
        <v>126</v>
      </c>
      <c r="B1126" s="160" t="s">
        <v>384</v>
      </c>
      <c r="C1126" s="159" t="s">
        <v>199</v>
      </c>
    </row>
    <row r="1127" spans="1:3">
      <c r="A1127" s="159">
        <v>126</v>
      </c>
      <c r="B1127" s="160"/>
      <c r="C1127" s="159"/>
    </row>
    <row r="1128" spans="1:3">
      <c r="A1128" s="159">
        <v>126</v>
      </c>
      <c r="B1128" s="160"/>
      <c r="C1128" s="159"/>
    </row>
    <row r="1129" spans="1:3">
      <c r="A1129" s="159">
        <v>126</v>
      </c>
      <c r="B1129" s="160"/>
      <c r="C1129" s="159"/>
    </row>
    <row r="1130" spans="1:3">
      <c r="A1130" s="159">
        <v>126</v>
      </c>
      <c r="B1130" s="160"/>
      <c r="C1130" s="159"/>
    </row>
    <row r="1131" spans="1:3">
      <c r="A1131" s="159">
        <v>126</v>
      </c>
      <c r="B1131" s="160"/>
      <c r="C1131" s="159"/>
    </row>
    <row r="1132" spans="1:3">
      <c r="A1132" s="159">
        <v>126</v>
      </c>
      <c r="B1132" s="160"/>
      <c r="C1132" s="159"/>
    </row>
    <row r="1133" spans="1:3">
      <c r="A1133" s="159">
        <v>126</v>
      </c>
      <c r="B1133" s="160"/>
      <c r="C1133" s="159"/>
    </row>
    <row r="1134" spans="1:3">
      <c r="A1134" s="159">
        <v>126</v>
      </c>
      <c r="B1134" s="160"/>
      <c r="C1134" s="159"/>
    </row>
    <row r="1135" spans="1:3">
      <c r="A1135" s="159">
        <v>127</v>
      </c>
      <c r="B1135" s="160" t="s">
        <v>385</v>
      </c>
      <c r="C1135" s="159" t="s">
        <v>201</v>
      </c>
    </row>
    <row r="1136" spans="1:3">
      <c r="A1136" s="159">
        <v>127</v>
      </c>
      <c r="B1136" s="160"/>
      <c r="C1136" s="159"/>
    </row>
    <row r="1137" spans="1:3">
      <c r="A1137" s="159">
        <v>127</v>
      </c>
      <c r="B1137" s="160"/>
      <c r="C1137" s="159"/>
    </row>
    <row r="1138" spans="1:3">
      <c r="A1138" s="159">
        <v>127</v>
      </c>
      <c r="B1138" s="160"/>
      <c r="C1138" s="159"/>
    </row>
    <row r="1139" spans="1:3">
      <c r="A1139" s="159">
        <v>127</v>
      </c>
      <c r="B1139" s="160"/>
      <c r="C1139" s="159"/>
    </row>
    <row r="1140" spans="1:3">
      <c r="A1140" s="159">
        <v>127</v>
      </c>
      <c r="B1140" s="160"/>
      <c r="C1140" s="159"/>
    </row>
    <row r="1141" spans="1:3">
      <c r="A1141" s="159">
        <v>127</v>
      </c>
      <c r="B1141" s="160"/>
      <c r="C1141" s="159"/>
    </row>
    <row r="1142" spans="1:3">
      <c r="A1142" s="159">
        <v>127</v>
      </c>
      <c r="B1142" s="160"/>
      <c r="C1142" s="159"/>
    </row>
    <row r="1143" spans="1:3">
      <c r="A1143" s="159">
        <v>127</v>
      </c>
      <c r="B1143" s="160"/>
      <c r="C1143" s="159"/>
    </row>
    <row r="1144" spans="1:3">
      <c r="A1144" s="159">
        <v>128</v>
      </c>
      <c r="B1144" s="160" t="s">
        <v>386</v>
      </c>
      <c r="C1144" s="159" t="s">
        <v>203</v>
      </c>
    </row>
    <row r="1145" spans="1:3">
      <c r="A1145" s="159">
        <v>128</v>
      </c>
      <c r="B1145" s="160"/>
      <c r="C1145" s="159"/>
    </row>
    <row r="1146" spans="1:3">
      <c r="A1146" s="159">
        <v>128</v>
      </c>
      <c r="B1146" s="160"/>
      <c r="C1146" s="159"/>
    </row>
    <row r="1147" spans="1:3">
      <c r="A1147" s="159">
        <v>128</v>
      </c>
      <c r="B1147" s="160"/>
      <c r="C1147" s="159"/>
    </row>
    <row r="1148" spans="1:3">
      <c r="A1148" s="159">
        <v>128</v>
      </c>
      <c r="B1148" s="160"/>
      <c r="C1148" s="159"/>
    </row>
    <row r="1149" spans="1:3">
      <c r="A1149" s="159">
        <v>128</v>
      </c>
      <c r="B1149" s="160"/>
      <c r="C1149" s="159"/>
    </row>
    <row r="1150" spans="1:3">
      <c r="A1150" s="159">
        <v>128</v>
      </c>
      <c r="B1150" s="160"/>
      <c r="C1150" s="159"/>
    </row>
    <row r="1151" spans="1:3">
      <c r="A1151" s="159">
        <v>128</v>
      </c>
      <c r="B1151" s="160"/>
      <c r="C1151" s="159"/>
    </row>
    <row r="1152" spans="1:3">
      <c r="A1152" s="159">
        <v>128</v>
      </c>
      <c r="B1152" s="160"/>
      <c r="C1152" s="159"/>
    </row>
    <row r="1153" spans="1:3">
      <c r="A1153" s="159">
        <v>129</v>
      </c>
      <c r="B1153" s="160" t="s">
        <v>387</v>
      </c>
      <c r="C1153" s="159" t="s">
        <v>205</v>
      </c>
    </row>
    <row r="1154" spans="1:3">
      <c r="A1154" s="159">
        <v>129</v>
      </c>
      <c r="B1154" s="160"/>
      <c r="C1154" s="159"/>
    </row>
    <row r="1155" spans="1:3">
      <c r="A1155" s="159">
        <v>129</v>
      </c>
      <c r="B1155" s="160"/>
      <c r="C1155" s="159"/>
    </row>
    <row r="1156" spans="1:3">
      <c r="A1156" s="159">
        <v>129</v>
      </c>
      <c r="B1156" s="160"/>
      <c r="C1156" s="159"/>
    </row>
    <row r="1157" spans="1:3">
      <c r="A1157" s="159">
        <v>129</v>
      </c>
      <c r="B1157" s="160"/>
      <c r="C1157" s="159"/>
    </row>
    <row r="1158" spans="1:3">
      <c r="A1158" s="159">
        <v>129</v>
      </c>
      <c r="B1158" s="160"/>
      <c r="C1158" s="159"/>
    </row>
    <row r="1159" spans="1:3">
      <c r="A1159" s="159">
        <v>129</v>
      </c>
      <c r="B1159" s="160"/>
      <c r="C1159" s="159"/>
    </row>
    <row r="1160" spans="1:3">
      <c r="A1160" s="159">
        <v>129</v>
      </c>
      <c r="B1160" s="160"/>
      <c r="C1160" s="159"/>
    </row>
    <row r="1161" spans="1:3">
      <c r="A1161" s="159">
        <v>129</v>
      </c>
      <c r="B1161" s="160"/>
      <c r="C1161" s="159"/>
    </row>
    <row r="1162" spans="1:3">
      <c r="A1162" s="159">
        <v>130</v>
      </c>
      <c r="B1162" s="160" t="s">
        <v>388</v>
      </c>
      <c r="C1162" s="159" t="s">
        <v>207</v>
      </c>
    </row>
    <row r="1163" spans="1:3">
      <c r="A1163" s="159">
        <v>130</v>
      </c>
      <c r="B1163" s="160"/>
      <c r="C1163" s="159"/>
    </row>
    <row r="1164" spans="1:3">
      <c r="A1164" s="159">
        <v>130</v>
      </c>
      <c r="B1164" s="160"/>
      <c r="C1164" s="159"/>
    </row>
    <row r="1165" spans="1:3">
      <c r="A1165" s="159">
        <v>130</v>
      </c>
      <c r="B1165" s="160"/>
      <c r="C1165" s="159"/>
    </row>
    <row r="1166" spans="1:3">
      <c r="A1166" s="159">
        <v>130</v>
      </c>
      <c r="B1166" s="160"/>
      <c r="C1166" s="159"/>
    </row>
    <row r="1167" spans="1:3">
      <c r="A1167" s="159">
        <v>130</v>
      </c>
      <c r="B1167" s="160"/>
      <c r="C1167" s="159"/>
    </row>
    <row r="1168" spans="1:3">
      <c r="A1168" s="159">
        <v>130</v>
      </c>
      <c r="B1168" s="160"/>
      <c r="C1168" s="159"/>
    </row>
    <row r="1169" spans="1:3">
      <c r="A1169" s="159">
        <v>130</v>
      </c>
      <c r="B1169" s="160"/>
      <c r="C1169" s="159"/>
    </row>
    <row r="1170" spans="1:3">
      <c r="A1170" s="159">
        <v>130</v>
      </c>
      <c r="B1170" s="160"/>
      <c r="C1170" s="159"/>
    </row>
    <row r="1171" spans="1:3">
      <c r="A1171" s="159">
        <v>131</v>
      </c>
      <c r="B1171" s="160" t="s">
        <v>389</v>
      </c>
      <c r="C1171" s="159" t="s">
        <v>209</v>
      </c>
    </row>
    <row r="1172" spans="1:3">
      <c r="A1172" s="159">
        <v>131</v>
      </c>
      <c r="B1172" s="160"/>
      <c r="C1172" s="159"/>
    </row>
    <row r="1173" spans="1:3">
      <c r="A1173" s="159">
        <v>131</v>
      </c>
      <c r="B1173" s="160"/>
      <c r="C1173" s="159"/>
    </row>
    <row r="1174" spans="1:3">
      <c r="A1174" s="159">
        <v>131</v>
      </c>
      <c r="B1174" s="160"/>
      <c r="C1174" s="159"/>
    </row>
    <row r="1175" spans="1:3">
      <c r="A1175" s="159">
        <v>131</v>
      </c>
      <c r="B1175" s="160"/>
      <c r="C1175" s="159"/>
    </row>
    <row r="1176" spans="1:3">
      <c r="A1176" s="159">
        <v>131</v>
      </c>
      <c r="B1176" s="160"/>
      <c r="C1176" s="159"/>
    </row>
    <row r="1177" spans="1:3">
      <c r="A1177" s="159">
        <v>131</v>
      </c>
      <c r="B1177" s="160"/>
      <c r="C1177" s="159"/>
    </row>
    <row r="1178" spans="1:3">
      <c r="A1178" s="159">
        <v>131</v>
      </c>
      <c r="B1178" s="160"/>
      <c r="C1178" s="159"/>
    </row>
    <row r="1179" spans="1:3">
      <c r="A1179" s="159">
        <v>131</v>
      </c>
      <c r="B1179" s="160"/>
      <c r="C1179" s="159"/>
    </row>
    <row r="1180" spans="1:3">
      <c r="A1180" s="159">
        <v>132</v>
      </c>
      <c r="B1180" s="160" t="s">
        <v>390</v>
      </c>
      <c r="C1180" s="159" t="s">
        <v>211</v>
      </c>
    </row>
    <row r="1181" spans="1:3">
      <c r="A1181" s="159">
        <v>132</v>
      </c>
      <c r="B1181" s="160"/>
      <c r="C1181" s="159"/>
    </row>
    <row r="1182" spans="1:3">
      <c r="A1182" s="159">
        <v>132</v>
      </c>
      <c r="B1182" s="160"/>
      <c r="C1182" s="159"/>
    </row>
    <row r="1183" spans="1:3">
      <c r="A1183" s="159">
        <v>132</v>
      </c>
      <c r="B1183" s="160"/>
      <c r="C1183" s="159"/>
    </row>
    <row r="1184" spans="1:3">
      <c r="A1184" s="159">
        <v>132</v>
      </c>
      <c r="B1184" s="160"/>
      <c r="C1184" s="159"/>
    </row>
    <row r="1185" spans="1:3">
      <c r="A1185" s="159">
        <v>132</v>
      </c>
      <c r="B1185" s="160"/>
      <c r="C1185" s="159"/>
    </row>
    <row r="1186" spans="1:3">
      <c r="A1186" s="159">
        <v>132</v>
      </c>
      <c r="B1186" s="160"/>
      <c r="C1186" s="159"/>
    </row>
    <row r="1187" spans="1:3">
      <c r="A1187" s="159">
        <v>132</v>
      </c>
      <c r="B1187" s="160"/>
      <c r="C1187" s="159"/>
    </row>
    <row r="1188" spans="1:3">
      <c r="A1188" s="159">
        <v>132</v>
      </c>
      <c r="B1188" s="160"/>
      <c r="C1188" s="159"/>
    </row>
    <row r="1189" spans="1:3">
      <c r="A1189" s="159">
        <v>133</v>
      </c>
      <c r="B1189" s="160" t="s">
        <v>391</v>
      </c>
      <c r="C1189" s="159" t="s">
        <v>213</v>
      </c>
    </row>
    <row r="1190" spans="1:3">
      <c r="A1190" s="159">
        <v>133</v>
      </c>
      <c r="B1190" s="160"/>
      <c r="C1190" s="159"/>
    </row>
    <row r="1191" spans="1:3">
      <c r="A1191" s="159">
        <v>133</v>
      </c>
      <c r="B1191" s="160"/>
      <c r="C1191" s="159"/>
    </row>
    <row r="1192" spans="1:3">
      <c r="A1192" s="159">
        <v>133</v>
      </c>
      <c r="B1192" s="160"/>
      <c r="C1192" s="159"/>
    </row>
    <row r="1193" spans="1:3">
      <c r="A1193" s="159">
        <v>133</v>
      </c>
      <c r="B1193" s="160"/>
      <c r="C1193" s="159"/>
    </row>
    <row r="1194" spans="1:3">
      <c r="A1194" s="159">
        <v>133</v>
      </c>
      <c r="B1194" s="160"/>
      <c r="C1194" s="159"/>
    </row>
    <row r="1195" spans="1:3">
      <c r="A1195" s="159">
        <v>133</v>
      </c>
      <c r="B1195" s="160"/>
      <c r="C1195" s="159"/>
    </row>
    <row r="1196" spans="1:3">
      <c r="A1196" s="159">
        <v>133</v>
      </c>
      <c r="B1196" s="160"/>
      <c r="C1196" s="159"/>
    </row>
    <row r="1197" spans="1:3">
      <c r="A1197" s="159">
        <v>133</v>
      </c>
      <c r="B1197" s="160"/>
      <c r="C1197" s="159"/>
    </row>
    <row r="1198" spans="1:3">
      <c r="A1198" s="159">
        <v>134</v>
      </c>
      <c r="B1198" s="160" t="s">
        <v>392</v>
      </c>
      <c r="C1198" s="159" t="s">
        <v>215</v>
      </c>
    </row>
    <row r="1199" spans="1:3">
      <c r="A1199" s="159">
        <v>134</v>
      </c>
      <c r="B1199" s="160"/>
      <c r="C1199" s="159"/>
    </row>
    <row r="1200" spans="1:3">
      <c r="A1200" s="159">
        <v>134</v>
      </c>
      <c r="B1200" s="160"/>
      <c r="C1200" s="159"/>
    </row>
    <row r="1201" spans="1:3">
      <c r="A1201" s="159">
        <v>134</v>
      </c>
      <c r="B1201" s="160"/>
      <c r="C1201" s="159"/>
    </row>
    <row r="1202" spans="1:3">
      <c r="A1202" s="159">
        <v>134</v>
      </c>
      <c r="B1202" s="160"/>
      <c r="C1202" s="159"/>
    </row>
    <row r="1203" spans="1:3">
      <c r="A1203" s="159">
        <v>134</v>
      </c>
      <c r="B1203" s="160"/>
      <c r="C1203" s="159"/>
    </row>
    <row r="1204" spans="1:3">
      <c r="A1204" s="159">
        <v>134</v>
      </c>
      <c r="B1204" s="160"/>
      <c r="C1204" s="159"/>
    </row>
    <row r="1205" spans="1:3">
      <c r="A1205" s="159">
        <v>134</v>
      </c>
      <c r="B1205" s="160"/>
      <c r="C1205" s="159"/>
    </row>
    <row r="1206" spans="1:3">
      <c r="A1206" s="159">
        <v>134</v>
      </c>
      <c r="B1206" s="160"/>
      <c r="C1206" s="159"/>
    </row>
    <row r="1207" spans="1:3">
      <c r="A1207" s="159">
        <v>135</v>
      </c>
      <c r="B1207" s="160" t="s">
        <v>393</v>
      </c>
      <c r="C1207" s="159" t="s">
        <v>217</v>
      </c>
    </row>
    <row r="1208" spans="1:3">
      <c r="A1208" s="159">
        <v>135</v>
      </c>
      <c r="B1208" s="160"/>
      <c r="C1208" s="159"/>
    </row>
    <row r="1209" spans="1:3">
      <c r="A1209" s="159">
        <v>135</v>
      </c>
      <c r="B1209" s="160"/>
      <c r="C1209" s="159"/>
    </row>
    <row r="1210" spans="1:3">
      <c r="A1210" s="159">
        <v>135</v>
      </c>
      <c r="B1210" s="160"/>
      <c r="C1210" s="159"/>
    </row>
    <row r="1211" spans="1:3">
      <c r="A1211" s="159">
        <v>135</v>
      </c>
      <c r="B1211" s="160"/>
      <c r="C1211" s="159"/>
    </row>
    <row r="1212" spans="1:3">
      <c r="A1212" s="159">
        <v>135</v>
      </c>
      <c r="B1212" s="160"/>
      <c r="C1212" s="159"/>
    </row>
    <row r="1213" spans="1:3">
      <c r="A1213" s="159">
        <v>135</v>
      </c>
      <c r="B1213" s="160"/>
      <c r="C1213" s="159"/>
    </row>
    <row r="1214" spans="1:3">
      <c r="A1214" s="159">
        <v>135</v>
      </c>
      <c r="B1214" s="160"/>
      <c r="C1214" s="159"/>
    </row>
    <row r="1215" spans="1:3">
      <c r="A1215" s="159">
        <v>135</v>
      </c>
      <c r="B1215" s="160"/>
      <c r="C1215" s="159"/>
    </row>
    <row r="1216" spans="1:3">
      <c r="A1216" s="159">
        <v>136</v>
      </c>
      <c r="B1216" s="160" t="s">
        <v>394</v>
      </c>
      <c r="C1216" s="159" t="s">
        <v>219</v>
      </c>
    </row>
    <row r="1217" spans="1:3">
      <c r="A1217" s="159">
        <v>136</v>
      </c>
      <c r="B1217" s="160"/>
      <c r="C1217" s="159"/>
    </row>
    <row r="1218" spans="1:3">
      <c r="A1218" s="159">
        <v>136</v>
      </c>
      <c r="B1218" s="160"/>
      <c r="C1218" s="159"/>
    </row>
    <row r="1219" spans="1:3">
      <c r="A1219" s="159">
        <v>136</v>
      </c>
      <c r="B1219" s="160"/>
      <c r="C1219" s="159"/>
    </row>
    <row r="1220" spans="1:3">
      <c r="A1220" s="159">
        <v>136</v>
      </c>
      <c r="B1220" s="160"/>
      <c r="C1220" s="159"/>
    </row>
    <row r="1221" spans="1:3">
      <c r="A1221" s="159">
        <v>136</v>
      </c>
      <c r="B1221" s="160"/>
      <c r="C1221" s="159"/>
    </row>
    <row r="1222" spans="1:3">
      <c r="A1222" s="159">
        <v>136</v>
      </c>
      <c r="B1222" s="160"/>
      <c r="C1222" s="159"/>
    </row>
    <row r="1223" spans="1:3">
      <c r="A1223" s="159">
        <v>136</v>
      </c>
      <c r="B1223" s="160"/>
      <c r="C1223" s="159"/>
    </row>
    <row r="1224" spans="1:3">
      <c r="A1224" s="159">
        <v>136</v>
      </c>
      <c r="B1224" s="160"/>
      <c r="C1224" s="159"/>
    </row>
    <row r="1225" spans="1:3">
      <c r="A1225" s="159">
        <v>137</v>
      </c>
      <c r="B1225" s="160" t="s">
        <v>395</v>
      </c>
      <c r="C1225" s="159" t="s">
        <v>221</v>
      </c>
    </row>
    <row r="1226" spans="1:3">
      <c r="A1226" s="159">
        <v>137</v>
      </c>
      <c r="B1226" s="160"/>
      <c r="C1226" s="159"/>
    </row>
    <row r="1227" spans="1:3">
      <c r="A1227" s="159">
        <v>137</v>
      </c>
      <c r="B1227" s="160"/>
      <c r="C1227" s="159"/>
    </row>
    <row r="1228" spans="1:3">
      <c r="A1228" s="159">
        <v>137</v>
      </c>
      <c r="B1228" s="160"/>
      <c r="C1228" s="159"/>
    </row>
    <row r="1229" spans="1:3">
      <c r="A1229" s="159">
        <v>137</v>
      </c>
      <c r="B1229" s="160"/>
      <c r="C1229" s="159"/>
    </row>
    <row r="1230" spans="1:3">
      <c r="A1230" s="159">
        <v>137</v>
      </c>
      <c r="B1230" s="160"/>
      <c r="C1230" s="159"/>
    </row>
    <row r="1231" spans="1:3">
      <c r="A1231" s="159">
        <v>137</v>
      </c>
      <c r="B1231" s="160"/>
      <c r="C1231" s="159"/>
    </row>
    <row r="1232" spans="1:3">
      <c r="A1232" s="159">
        <v>137</v>
      </c>
      <c r="B1232" s="160"/>
      <c r="C1232" s="159"/>
    </row>
    <row r="1233" spans="1:3">
      <c r="A1233" s="159">
        <v>137</v>
      </c>
      <c r="B1233" s="160"/>
      <c r="C1233" s="159"/>
    </row>
    <row r="1234" spans="1:3">
      <c r="A1234" s="159">
        <v>138</v>
      </c>
      <c r="B1234" s="160" t="s">
        <v>396</v>
      </c>
      <c r="C1234" s="159" t="s">
        <v>223</v>
      </c>
    </row>
    <row r="1235" spans="1:3">
      <c r="A1235" s="159">
        <v>138</v>
      </c>
      <c r="B1235" s="160"/>
      <c r="C1235" s="159"/>
    </row>
    <row r="1236" spans="1:3">
      <c r="A1236" s="159">
        <v>138</v>
      </c>
      <c r="B1236" s="160"/>
      <c r="C1236" s="159"/>
    </row>
    <row r="1237" spans="1:3">
      <c r="A1237" s="159">
        <v>138</v>
      </c>
      <c r="B1237" s="160"/>
      <c r="C1237" s="159"/>
    </row>
    <row r="1238" spans="1:3">
      <c r="A1238" s="159">
        <v>138</v>
      </c>
      <c r="B1238" s="160"/>
      <c r="C1238" s="159"/>
    </row>
    <row r="1239" spans="1:3">
      <c r="A1239" s="159">
        <v>138</v>
      </c>
      <c r="B1239" s="160"/>
      <c r="C1239" s="159"/>
    </row>
    <row r="1240" spans="1:3">
      <c r="A1240" s="159">
        <v>138</v>
      </c>
      <c r="B1240" s="160"/>
      <c r="C1240" s="159"/>
    </row>
    <row r="1241" spans="1:3">
      <c r="A1241" s="159">
        <v>138</v>
      </c>
      <c r="B1241" s="160"/>
      <c r="C1241" s="159"/>
    </row>
    <row r="1242" spans="1:3">
      <c r="A1242" s="159">
        <v>138</v>
      </c>
      <c r="B1242" s="160"/>
      <c r="C1242" s="159"/>
    </row>
    <row r="1243" spans="1:3">
      <c r="A1243" s="159">
        <v>139</v>
      </c>
      <c r="B1243" s="160" t="s">
        <v>397</v>
      </c>
      <c r="C1243" s="159" t="s">
        <v>225</v>
      </c>
    </row>
    <row r="1244" spans="1:3">
      <c r="A1244" s="159">
        <v>139</v>
      </c>
      <c r="B1244" s="160"/>
      <c r="C1244" s="159"/>
    </row>
    <row r="1245" spans="1:3">
      <c r="A1245" s="159">
        <v>139</v>
      </c>
      <c r="B1245" s="160"/>
      <c r="C1245" s="159"/>
    </row>
    <row r="1246" spans="1:3">
      <c r="A1246" s="159">
        <v>139</v>
      </c>
      <c r="B1246" s="160"/>
      <c r="C1246" s="159"/>
    </row>
    <row r="1247" spans="1:3">
      <c r="A1247" s="159">
        <v>139</v>
      </c>
      <c r="B1247" s="160"/>
      <c r="C1247" s="159"/>
    </row>
    <row r="1248" spans="1:3">
      <c r="A1248" s="159">
        <v>139</v>
      </c>
      <c r="B1248" s="160"/>
      <c r="C1248" s="159"/>
    </row>
    <row r="1249" spans="1:3">
      <c r="A1249" s="159">
        <v>139</v>
      </c>
      <c r="B1249" s="160"/>
      <c r="C1249" s="159"/>
    </row>
    <row r="1250" spans="1:3">
      <c r="A1250" s="159">
        <v>139</v>
      </c>
      <c r="B1250" s="160"/>
      <c r="C1250" s="159"/>
    </row>
    <row r="1251" spans="1:3">
      <c r="A1251" s="159">
        <v>139</v>
      </c>
      <c r="B1251" s="160"/>
      <c r="C1251" s="159"/>
    </row>
    <row r="1252" spans="1:3">
      <c r="A1252" s="159">
        <v>140</v>
      </c>
      <c r="B1252" s="160" t="s">
        <v>398</v>
      </c>
      <c r="C1252" s="159" t="s">
        <v>227</v>
      </c>
    </row>
    <row r="1253" spans="1:3">
      <c r="A1253" s="159">
        <v>140</v>
      </c>
      <c r="B1253" s="160"/>
      <c r="C1253" s="159"/>
    </row>
    <row r="1254" spans="1:3">
      <c r="A1254" s="159">
        <v>140</v>
      </c>
      <c r="B1254" s="160"/>
      <c r="C1254" s="159"/>
    </row>
    <row r="1255" spans="1:3">
      <c r="A1255" s="159">
        <v>140</v>
      </c>
      <c r="B1255" s="160"/>
      <c r="C1255" s="159"/>
    </row>
    <row r="1256" spans="1:3">
      <c r="A1256" s="159">
        <v>140</v>
      </c>
      <c r="B1256" s="160"/>
      <c r="C1256" s="159"/>
    </row>
    <row r="1257" spans="1:3">
      <c r="A1257" s="159">
        <v>140</v>
      </c>
      <c r="B1257" s="160"/>
      <c r="C1257" s="159"/>
    </row>
    <row r="1258" spans="1:3">
      <c r="A1258" s="159">
        <v>140</v>
      </c>
      <c r="B1258" s="160"/>
      <c r="C1258" s="159"/>
    </row>
    <row r="1259" spans="1:3">
      <c r="A1259" s="159">
        <v>140</v>
      </c>
      <c r="B1259" s="160"/>
      <c r="C1259" s="159"/>
    </row>
    <row r="1260" spans="1:3">
      <c r="A1260" s="159">
        <v>140</v>
      </c>
      <c r="B1260" s="160"/>
      <c r="C1260" s="159"/>
    </row>
    <row r="1261" spans="1:3">
      <c r="A1261" s="159">
        <v>141</v>
      </c>
      <c r="B1261" s="160" t="s">
        <v>399</v>
      </c>
      <c r="C1261" s="159" t="s">
        <v>229</v>
      </c>
    </row>
    <row r="1262" spans="1:3">
      <c r="A1262" s="159">
        <v>141</v>
      </c>
      <c r="B1262" s="160"/>
      <c r="C1262" s="159"/>
    </row>
    <row r="1263" spans="1:3">
      <c r="A1263" s="159">
        <v>141</v>
      </c>
      <c r="B1263" s="160"/>
      <c r="C1263" s="159"/>
    </row>
    <row r="1264" spans="1:3">
      <c r="A1264" s="159">
        <v>141</v>
      </c>
      <c r="B1264" s="160"/>
      <c r="C1264" s="159"/>
    </row>
    <row r="1265" spans="1:3">
      <c r="A1265" s="159">
        <v>141</v>
      </c>
      <c r="B1265" s="160"/>
      <c r="C1265" s="159"/>
    </row>
    <row r="1266" spans="1:3">
      <c r="A1266" s="159">
        <v>141</v>
      </c>
      <c r="B1266" s="160"/>
      <c r="C1266" s="159"/>
    </row>
    <row r="1267" spans="1:3">
      <c r="A1267" s="159">
        <v>141</v>
      </c>
      <c r="B1267" s="160"/>
      <c r="C1267" s="159"/>
    </row>
    <row r="1268" spans="1:3">
      <c r="A1268" s="159">
        <v>141</v>
      </c>
      <c r="B1268" s="160"/>
      <c r="C1268" s="159"/>
    </row>
    <row r="1269" spans="1:3">
      <c r="A1269" s="159">
        <v>141</v>
      </c>
      <c r="B1269" s="160"/>
      <c r="C1269" s="159"/>
    </row>
    <row r="1270" spans="1:3">
      <c r="A1270" s="159">
        <v>142</v>
      </c>
      <c r="B1270" s="160" t="s">
        <v>400</v>
      </c>
      <c r="C1270" s="159" t="s">
        <v>231</v>
      </c>
    </row>
    <row r="1271" spans="1:3">
      <c r="A1271" s="159">
        <v>142</v>
      </c>
      <c r="B1271" s="160"/>
      <c r="C1271" s="159"/>
    </row>
    <row r="1272" spans="1:3">
      <c r="A1272" s="159">
        <v>142</v>
      </c>
      <c r="B1272" s="160"/>
      <c r="C1272" s="159"/>
    </row>
    <row r="1273" spans="1:3">
      <c r="A1273" s="159">
        <v>142</v>
      </c>
      <c r="B1273" s="160"/>
      <c r="C1273" s="159"/>
    </row>
    <row r="1274" spans="1:3">
      <c r="A1274" s="159">
        <v>142</v>
      </c>
      <c r="B1274" s="160"/>
      <c r="C1274" s="159"/>
    </row>
    <row r="1275" spans="1:3">
      <c r="A1275" s="159">
        <v>142</v>
      </c>
      <c r="B1275" s="160"/>
      <c r="C1275" s="159"/>
    </row>
    <row r="1276" spans="1:3">
      <c r="A1276" s="159">
        <v>142</v>
      </c>
      <c r="B1276" s="160"/>
      <c r="C1276" s="159"/>
    </row>
    <row r="1277" spans="1:3">
      <c r="A1277" s="159">
        <v>142</v>
      </c>
      <c r="B1277" s="160"/>
      <c r="C1277" s="159"/>
    </row>
    <row r="1278" spans="1:3">
      <c r="A1278" s="159">
        <v>142</v>
      </c>
      <c r="B1278" s="160"/>
      <c r="C1278" s="159"/>
    </row>
    <row r="1279" spans="1:3">
      <c r="A1279" s="159">
        <v>143</v>
      </c>
      <c r="B1279" s="160" t="s">
        <v>401</v>
      </c>
      <c r="C1279" s="159" t="s">
        <v>233</v>
      </c>
    </row>
    <row r="1280" spans="1:3">
      <c r="A1280" s="159">
        <v>143</v>
      </c>
      <c r="B1280" s="160"/>
      <c r="C1280" s="159"/>
    </row>
    <row r="1281" spans="1:3">
      <c r="A1281" s="159">
        <v>143</v>
      </c>
      <c r="B1281" s="160"/>
      <c r="C1281" s="159"/>
    </row>
    <row r="1282" spans="1:3">
      <c r="A1282" s="159">
        <v>143</v>
      </c>
      <c r="B1282" s="160"/>
      <c r="C1282" s="159"/>
    </row>
    <row r="1283" spans="1:3">
      <c r="A1283" s="159">
        <v>143</v>
      </c>
      <c r="B1283" s="160"/>
      <c r="C1283" s="159"/>
    </row>
    <row r="1284" spans="1:3">
      <c r="A1284" s="159">
        <v>143</v>
      </c>
      <c r="B1284" s="160"/>
      <c r="C1284" s="159"/>
    </row>
    <row r="1285" spans="1:3">
      <c r="A1285" s="159">
        <v>143</v>
      </c>
      <c r="B1285" s="160"/>
      <c r="C1285" s="159"/>
    </row>
    <row r="1286" spans="1:3">
      <c r="A1286" s="159">
        <v>143</v>
      </c>
      <c r="B1286" s="160"/>
      <c r="C1286" s="159"/>
    </row>
    <row r="1287" spans="1:3">
      <c r="A1287" s="159">
        <v>143</v>
      </c>
      <c r="B1287" s="160"/>
      <c r="C1287" s="159"/>
    </row>
    <row r="1288" spans="1:3">
      <c r="A1288" s="159">
        <v>144</v>
      </c>
      <c r="B1288" s="160" t="s">
        <v>402</v>
      </c>
      <c r="C1288" s="159" t="s">
        <v>235</v>
      </c>
    </row>
    <row r="1289" spans="1:3">
      <c r="A1289" s="159">
        <v>144</v>
      </c>
      <c r="B1289" s="160"/>
      <c r="C1289" s="159"/>
    </row>
    <row r="1290" spans="1:3">
      <c r="A1290" s="159">
        <v>144</v>
      </c>
      <c r="B1290" s="160"/>
      <c r="C1290" s="159"/>
    </row>
    <row r="1291" spans="1:3">
      <c r="A1291" s="159">
        <v>144</v>
      </c>
      <c r="B1291" s="160"/>
      <c r="C1291" s="159"/>
    </row>
    <row r="1292" spans="1:3">
      <c r="A1292" s="159">
        <v>144</v>
      </c>
      <c r="B1292" s="160"/>
      <c r="C1292" s="159"/>
    </row>
    <row r="1293" spans="1:3">
      <c r="A1293" s="159">
        <v>144</v>
      </c>
      <c r="B1293" s="160"/>
      <c r="C1293" s="159"/>
    </row>
    <row r="1294" spans="1:3">
      <c r="A1294" s="159">
        <v>144</v>
      </c>
      <c r="B1294" s="160"/>
      <c r="C1294" s="159"/>
    </row>
    <row r="1295" spans="1:3">
      <c r="A1295" s="159">
        <v>144</v>
      </c>
      <c r="B1295" s="160"/>
      <c r="C1295" s="159"/>
    </row>
    <row r="1296" spans="1:3">
      <c r="A1296" s="159">
        <v>144</v>
      </c>
      <c r="B1296" s="160"/>
      <c r="C1296" s="159"/>
    </row>
    <row r="1297" spans="1:3">
      <c r="A1297" s="159">
        <v>145</v>
      </c>
      <c r="B1297" s="160" t="s">
        <v>403</v>
      </c>
      <c r="C1297" s="159" t="s">
        <v>237</v>
      </c>
    </row>
    <row r="1298" spans="1:3">
      <c r="A1298" s="159">
        <v>145</v>
      </c>
      <c r="B1298" s="160"/>
      <c r="C1298" s="159"/>
    </row>
    <row r="1299" spans="1:3">
      <c r="A1299" s="159">
        <v>145</v>
      </c>
      <c r="B1299" s="160"/>
      <c r="C1299" s="159"/>
    </row>
    <row r="1300" spans="1:3">
      <c r="A1300" s="159">
        <v>145</v>
      </c>
      <c r="B1300" s="160"/>
      <c r="C1300" s="159"/>
    </row>
    <row r="1301" spans="1:3">
      <c r="A1301" s="159">
        <v>145</v>
      </c>
      <c r="B1301" s="160"/>
      <c r="C1301" s="159"/>
    </row>
    <row r="1302" spans="1:3">
      <c r="A1302" s="159">
        <v>145</v>
      </c>
      <c r="B1302" s="160"/>
      <c r="C1302" s="159"/>
    </row>
    <row r="1303" spans="1:3">
      <c r="A1303" s="159">
        <v>145</v>
      </c>
      <c r="B1303" s="160"/>
      <c r="C1303" s="159"/>
    </row>
    <row r="1304" spans="1:3">
      <c r="A1304" s="159">
        <v>145</v>
      </c>
      <c r="B1304" s="160"/>
      <c r="C1304" s="159"/>
    </row>
    <row r="1305" spans="1:3">
      <c r="A1305" s="159">
        <v>145</v>
      </c>
      <c r="B1305" s="160"/>
      <c r="C1305" s="159"/>
    </row>
    <row r="1306" spans="1:3">
      <c r="A1306" s="159">
        <v>146</v>
      </c>
      <c r="B1306" s="160" t="s">
        <v>404</v>
      </c>
      <c r="C1306" s="159" t="s">
        <v>239</v>
      </c>
    </row>
    <row r="1307" spans="1:3">
      <c r="A1307" s="159">
        <v>146</v>
      </c>
      <c r="B1307" s="160"/>
      <c r="C1307" s="159"/>
    </row>
    <row r="1308" spans="1:3">
      <c r="A1308" s="159">
        <v>146</v>
      </c>
      <c r="B1308" s="160"/>
      <c r="C1308" s="159"/>
    </row>
    <row r="1309" spans="1:3">
      <c r="A1309" s="159">
        <v>146</v>
      </c>
      <c r="B1309" s="160"/>
      <c r="C1309" s="159"/>
    </row>
    <row r="1310" spans="1:3">
      <c r="A1310" s="159">
        <v>146</v>
      </c>
      <c r="B1310" s="160"/>
      <c r="C1310" s="159"/>
    </row>
    <row r="1311" spans="1:3">
      <c r="A1311" s="159">
        <v>146</v>
      </c>
      <c r="B1311" s="160"/>
      <c r="C1311" s="159"/>
    </row>
    <row r="1312" spans="1:3">
      <c r="A1312" s="159">
        <v>146</v>
      </c>
      <c r="B1312" s="160"/>
      <c r="C1312" s="159"/>
    </row>
    <row r="1313" spans="1:3">
      <c r="A1313" s="159">
        <v>146</v>
      </c>
      <c r="B1313" s="160"/>
      <c r="C1313" s="159"/>
    </row>
    <row r="1314" spans="1:3">
      <c r="A1314" s="159">
        <v>146</v>
      </c>
      <c r="B1314" s="160"/>
      <c r="C1314" s="159"/>
    </row>
    <row r="1315" spans="1:3">
      <c r="A1315" s="159">
        <v>147</v>
      </c>
      <c r="B1315" s="160" t="s">
        <v>405</v>
      </c>
      <c r="C1315" s="159" t="s">
        <v>241</v>
      </c>
    </row>
    <row r="1316" spans="1:3">
      <c r="A1316" s="159">
        <v>147</v>
      </c>
      <c r="B1316" s="160"/>
      <c r="C1316" s="159"/>
    </row>
    <row r="1317" spans="1:3">
      <c r="A1317" s="159">
        <v>147</v>
      </c>
      <c r="B1317" s="160"/>
      <c r="C1317" s="159"/>
    </row>
    <row r="1318" spans="1:3">
      <c r="A1318" s="159">
        <v>147</v>
      </c>
      <c r="B1318" s="160"/>
      <c r="C1318" s="159"/>
    </row>
    <row r="1319" spans="1:3">
      <c r="A1319" s="159">
        <v>147</v>
      </c>
      <c r="B1319" s="160"/>
      <c r="C1319" s="159"/>
    </row>
    <row r="1320" spans="1:3">
      <c r="A1320" s="159">
        <v>147</v>
      </c>
      <c r="B1320" s="160"/>
      <c r="C1320" s="159"/>
    </row>
    <row r="1321" spans="1:3">
      <c r="A1321" s="159">
        <v>147</v>
      </c>
      <c r="B1321" s="160"/>
      <c r="C1321" s="159"/>
    </row>
    <row r="1322" spans="1:3">
      <c r="A1322" s="159">
        <v>147</v>
      </c>
      <c r="B1322" s="160"/>
      <c r="C1322" s="159"/>
    </row>
    <row r="1323" spans="1:3">
      <c r="A1323" s="159">
        <v>147</v>
      </c>
      <c r="B1323" s="160"/>
      <c r="C1323" s="159"/>
    </row>
    <row r="1324" spans="1:3">
      <c r="A1324" s="159">
        <v>148</v>
      </c>
      <c r="B1324" s="160" t="s">
        <v>406</v>
      </c>
      <c r="C1324" s="159" t="s">
        <v>243</v>
      </c>
    </row>
    <row r="1325" spans="1:3">
      <c r="A1325" s="159">
        <v>148</v>
      </c>
      <c r="B1325" s="160"/>
      <c r="C1325" s="159"/>
    </row>
    <row r="1326" spans="1:3">
      <c r="A1326" s="159">
        <v>148</v>
      </c>
      <c r="B1326" s="160"/>
      <c r="C1326" s="159"/>
    </row>
    <row r="1327" spans="1:3">
      <c r="A1327" s="159">
        <v>148</v>
      </c>
      <c r="B1327" s="160"/>
      <c r="C1327" s="159"/>
    </row>
    <row r="1328" spans="1:3">
      <c r="A1328" s="159">
        <v>148</v>
      </c>
      <c r="B1328" s="160"/>
      <c r="C1328" s="159"/>
    </row>
    <row r="1329" spans="1:3">
      <c r="A1329" s="159">
        <v>148</v>
      </c>
      <c r="B1329" s="160"/>
      <c r="C1329" s="159"/>
    </row>
    <row r="1330" spans="1:3">
      <c r="A1330" s="159">
        <v>148</v>
      </c>
      <c r="B1330" s="160"/>
      <c r="C1330" s="159"/>
    </row>
    <row r="1331" spans="1:3">
      <c r="A1331" s="159">
        <v>148</v>
      </c>
      <c r="B1331" s="160"/>
      <c r="C1331" s="159"/>
    </row>
    <row r="1332" spans="1:3">
      <c r="A1332" s="159">
        <v>148</v>
      </c>
      <c r="B1332" s="160"/>
      <c r="C1332" s="159"/>
    </row>
    <row r="1333" spans="1:3">
      <c r="A1333" s="159">
        <v>149</v>
      </c>
      <c r="B1333" s="160" t="s">
        <v>407</v>
      </c>
      <c r="C1333" s="159" t="s">
        <v>245</v>
      </c>
    </row>
    <row r="1334" spans="1:3">
      <c r="A1334" s="159">
        <v>149</v>
      </c>
      <c r="B1334" s="160"/>
      <c r="C1334" s="159"/>
    </row>
    <row r="1335" spans="1:3">
      <c r="A1335" s="159">
        <v>149</v>
      </c>
      <c r="B1335" s="160"/>
      <c r="C1335" s="159"/>
    </row>
    <row r="1336" spans="1:3">
      <c r="A1336" s="159">
        <v>149</v>
      </c>
      <c r="B1336" s="160"/>
      <c r="C1336" s="159"/>
    </row>
    <row r="1337" spans="1:3">
      <c r="A1337" s="159">
        <v>149</v>
      </c>
      <c r="B1337" s="160"/>
      <c r="C1337" s="159"/>
    </row>
    <row r="1338" spans="1:3">
      <c r="A1338" s="159">
        <v>149</v>
      </c>
      <c r="B1338" s="160"/>
      <c r="C1338" s="159"/>
    </row>
    <row r="1339" spans="1:3">
      <c r="A1339" s="159">
        <v>149</v>
      </c>
      <c r="B1339" s="160"/>
      <c r="C1339" s="159"/>
    </row>
    <row r="1340" spans="1:3">
      <c r="A1340" s="159">
        <v>149</v>
      </c>
      <c r="B1340" s="160"/>
      <c r="C1340" s="159"/>
    </row>
    <row r="1341" spans="1:3">
      <c r="A1341" s="159">
        <v>149</v>
      </c>
      <c r="B1341" s="160"/>
      <c r="C1341" s="159"/>
    </row>
    <row r="1342" spans="1:3">
      <c r="A1342" s="159">
        <v>150</v>
      </c>
      <c r="B1342" s="160" t="s">
        <v>408</v>
      </c>
      <c r="C1342" s="159" t="s">
        <v>247</v>
      </c>
    </row>
    <row r="1343" spans="1:3">
      <c r="A1343" s="159">
        <v>150</v>
      </c>
      <c r="B1343" s="160"/>
      <c r="C1343" s="159"/>
    </row>
    <row r="1344" spans="1:3">
      <c r="A1344" s="159">
        <v>150</v>
      </c>
      <c r="B1344" s="160"/>
      <c r="C1344" s="159"/>
    </row>
    <row r="1345" spans="1:3">
      <c r="A1345" s="159">
        <v>150</v>
      </c>
      <c r="B1345" s="160"/>
      <c r="C1345" s="159"/>
    </row>
    <row r="1346" spans="1:3">
      <c r="A1346" s="159">
        <v>150</v>
      </c>
      <c r="B1346" s="160"/>
      <c r="C1346" s="159"/>
    </row>
    <row r="1347" spans="1:3">
      <c r="A1347" s="159">
        <v>150</v>
      </c>
      <c r="B1347" s="160"/>
      <c r="C1347" s="159"/>
    </row>
    <row r="1348" spans="1:3">
      <c r="A1348" s="159">
        <v>150</v>
      </c>
      <c r="B1348" s="160"/>
      <c r="C1348" s="159"/>
    </row>
    <row r="1349" spans="1:3">
      <c r="A1349" s="159">
        <v>150</v>
      </c>
      <c r="B1349" s="160"/>
      <c r="C1349" s="159"/>
    </row>
    <row r="1350" spans="1:3">
      <c r="A1350" s="159">
        <v>150</v>
      </c>
      <c r="B1350" s="160"/>
      <c r="C1350" s="159"/>
    </row>
    <row r="1351" spans="1:3">
      <c r="A1351" s="159">
        <v>151</v>
      </c>
      <c r="B1351" s="160" t="s">
        <v>409</v>
      </c>
      <c r="C1351" s="159" t="s">
        <v>249</v>
      </c>
    </row>
    <row r="1352" spans="1:3">
      <c r="A1352" s="159">
        <v>151</v>
      </c>
      <c r="B1352" s="160"/>
      <c r="C1352" s="159"/>
    </row>
    <row r="1353" spans="1:3">
      <c r="A1353" s="159">
        <v>151</v>
      </c>
      <c r="B1353" s="160"/>
      <c r="C1353" s="159"/>
    </row>
    <row r="1354" spans="1:3">
      <c r="A1354" s="159">
        <v>151</v>
      </c>
      <c r="B1354" s="160"/>
      <c r="C1354" s="159"/>
    </row>
    <row r="1355" spans="1:3">
      <c r="A1355" s="159">
        <v>151</v>
      </c>
      <c r="B1355" s="160"/>
      <c r="C1355" s="159"/>
    </row>
    <row r="1356" spans="1:3">
      <c r="A1356" s="159">
        <v>151</v>
      </c>
      <c r="B1356" s="160"/>
      <c r="C1356" s="159"/>
    </row>
    <row r="1357" spans="1:3">
      <c r="A1357" s="159">
        <v>151</v>
      </c>
      <c r="B1357" s="160"/>
      <c r="C1357" s="159"/>
    </row>
    <row r="1358" spans="1:3">
      <c r="A1358" s="159">
        <v>151</v>
      </c>
      <c r="B1358" s="160"/>
      <c r="C1358" s="159"/>
    </row>
    <row r="1359" spans="1:3">
      <c r="A1359" s="159">
        <v>151</v>
      </c>
      <c r="B1359" s="160"/>
      <c r="C1359" s="159"/>
    </row>
    <row r="1360" spans="1:3">
      <c r="A1360" s="159">
        <v>152</v>
      </c>
      <c r="B1360" s="160" t="s">
        <v>410</v>
      </c>
      <c r="C1360" s="159" t="s">
        <v>251</v>
      </c>
    </row>
    <row r="1361" spans="1:3">
      <c r="A1361" s="159">
        <v>152</v>
      </c>
      <c r="B1361" s="160"/>
      <c r="C1361" s="159"/>
    </row>
    <row r="1362" spans="1:3">
      <c r="A1362" s="159">
        <v>152</v>
      </c>
      <c r="B1362" s="160"/>
      <c r="C1362" s="159"/>
    </row>
    <row r="1363" spans="1:3">
      <c r="A1363" s="159">
        <v>152</v>
      </c>
      <c r="B1363" s="160"/>
      <c r="C1363" s="159"/>
    </row>
    <row r="1364" spans="1:3">
      <c r="A1364" s="159">
        <v>152</v>
      </c>
      <c r="B1364" s="160"/>
      <c r="C1364" s="159"/>
    </row>
    <row r="1365" spans="1:3">
      <c r="A1365" s="159">
        <v>152</v>
      </c>
      <c r="B1365" s="160"/>
      <c r="C1365" s="159"/>
    </row>
    <row r="1366" spans="1:3">
      <c r="A1366" s="159">
        <v>152</v>
      </c>
      <c r="B1366" s="160"/>
      <c r="C1366" s="159"/>
    </row>
    <row r="1367" spans="1:3">
      <c r="A1367" s="159">
        <v>152</v>
      </c>
      <c r="B1367" s="160"/>
      <c r="C1367" s="159"/>
    </row>
    <row r="1368" spans="1:3">
      <c r="A1368" s="159">
        <v>152</v>
      </c>
      <c r="B1368" s="160"/>
      <c r="C1368" s="159"/>
    </row>
    <row r="1369" spans="1:3">
      <c r="A1369" s="159">
        <v>153</v>
      </c>
      <c r="B1369" s="160" t="s">
        <v>411</v>
      </c>
      <c r="C1369" s="159" t="s">
        <v>253</v>
      </c>
    </row>
    <row r="1370" spans="1:3">
      <c r="A1370" s="159">
        <v>153</v>
      </c>
      <c r="B1370" s="160"/>
      <c r="C1370" s="159"/>
    </row>
    <row r="1371" spans="1:3">
      <c r="A1371" s="159">
        <v>153</v>
      </c>
      <c r="B1371" s="160"/>
      <c r="C1371" s="159"/>
    </row>
    <row r="1372" spans="1:3">
      <c r="A1372" s="159">
        <v>153</v>
      </c>
      <c r="B1372" s="160"/>
      <c r="C1372" s="159"/>
    </row>
    <row r="1373" spans="1:3">
      <c r="A1373" s="159">
        <v>153</v>
      </c>
      <c r="B1373" s="160"/>
      <c r="C1373" s="159"/>
    </row>
    <row r="1374" spans="1:3">
      <c r="A1374" s="159">
        <v>153</v>
      </c>
      <c r="B1374" s="160"/>
      <c r="C1374" s="159"/>
    </row>
    <row r="1375" spans="1:3">
      <c r="A1375" s="159">
        <v>153</v>
      </c>
      <c r="B1375" s="160"/>
      <c r="C1375" s="159"/>
    </row>
    <row r="1376" spans="1:3">
      <c r="A1376" s="159">
        <v>153</v>
      </c>
      <c r="B1376" s="160"/>
      <c r="C1376" s="159"/>
    </row>
    <row r="1377" spans="1:3">
      <c r="A1377" s="159">
        <v>153</v>
      </c>
      <c r="B1377" s="160"/>
      <c r="C1377" s="159"/>
    </row>
    <row r="1378" spans="1:3">
      <c r="A1378" s="159">
        <v>154</v>
      </c>
      <c r="B1378" s="160" t="s">
        <v>412</v>
      </c>
      <c r="C1378" s="159" t="s">
        <v>255</v>
      </c>
    </row>
    <row r="1379" spans="1:3">
      <c r="A1379" s="159">
        <v>154</v>
      </c>
      <c r="B1379" s="160"/>
      <c r="C1379" s="159"/>
    </row>
    <row r="1380" spans="1:3">
      <c r="A1380" s="159">
        <v>154</v>
      </c>
      <c r="B1380" s="160"/>
      <c r="C1380" s="159"/>
    </row>
    <row r="1381" spans="1:3">
      <c r="A1381" s="159">
        <v>154</v>
      </c>
      <c r="B1381" s="160"/>
      <c r="C1381" s="159"/>
    </row>
    <row r="1382" spans="1:3">
      <c r="A1382" s="159">
        <v>154</v>
      </c>
      <c r="B1382" s="160"/>
      <c r="C1382" s="159"/>
    </row>
    <row r="1383" spans="1:3">
      <c r="A1383" s="159">
        <v>154</v>
      </c>
      <c r="B1383" s="160"/>
      <c r="C1383" s="159"/>
    </row>
    <row r="1384" spans="1:3">
      <c r="A1384" s="159">
        <v>154</v>
      </c>
      <c r="B1384" s="160"/>
      <c r="C1384" s="159"/>
    </row>
    <row r="1385" spans="1:3">
      <c r="A1385" s="159">
        <v>154</v>
      </c>
      <c r="B1385" s="160"/>
      <c r="C1385" s="159"/>
    </row>
    <row r="1386" spans="1:3">
      <c r="A1386" s="159">
        <v>154</v>
      </c>
      <c r="B1386" s="160"/>
      <c r="C1386" s="159"/>
    </row>
    <row r="1387" spans="1:3">
      <c r="A1387" s="159">
        <v>155</v>
      </c>
      <c r="B1387" s="160" t="s">
        <v>413</v>
      </c>
      <c r="C1387" s="159" t="s">
        <v>257</v>
      </c>
    </row>
    <row r="1388" spans="1:3">
      <c r="A1388" s="159">
        <v>155</v>
      </c>
      <c r="B1388" s="160"/>
      <c r="C1388" s="159"/>
    </row>
    <row r="1389" spans="1:3">
      <c r="A1389" s="159">
        <v>155</v>
      </c>
      <c r="B1389" s="160"/>
      <c r="C1389" s="159"/>
    </row>
    <row r="1390" spans="1:3">
      <c r="A1390" s="159">
        <v>155</v>
      </c>
      <c r="B1390" s="160"/>
      <c r="C1390" s="159"/>
    </row>
    <row r="1391" spans="1:3">
      <c r="A1391" s="159">
        <v>155</v>
      </c>
      <c r="B1391" s="160"/>
      <c r="C1391" s="159"/>
    </row>
    <row r="1392" spans="1:3">
      <c r="A1392" s="159">
        <v>155</v>
      </c>
      <c r="B1392" s="160"/>
      <c r="C1392" s="159"/>
    </row>
    <row r="1393" spans="1:3">
      <c r="A1393" s="159">
        <v>155</v>
      </c>
      <c r="B1393" s="160"/>
      <c r="C1393" s="159"/>
    </row>
    <row r="1394" spans="1:3">
      <c r="A1394" s="159">
        <v>155</v>
      </c>
      <c r="B1394" s="160"/>
      <c r="C1394" s="159"/>
    </row>
    <row r="1395" spans="1:3">
      <c r="A1395" s="159">
        <v>155</v>
      </c>
      <c r="B1395" s="160"/>
      <c r="C1395" s="159"/>
    </row>
    <row r="1396" spans="1:3">
      <c r="A1396" s="159">
        <v>156</v>
      </c>
      <c r="B1396" s="160" t="s">
        <v>414</v>
      </c>
      <c r="C1396" s="159" t="s">
        <v>259</v>
      </c>
    </row>
    <row r="1397" spans="1:3">
      <c r="A1397" s="159">
        <v>156</v>
      </c>
      <c r="B1397" s="160"/>
      <c r="C1397" s="159"/>
    </row>
    <row r="1398" spans="1:3">
      <c r="A1398" s="159">
        <v>156</v>
      </c>
      <c r="B1398" s="160"/>
      <c r="C1398" s="159"/>
    </row>
    <row r="1399" spans="1:3">
      <c r="A1399" s="159">
        <v>156</v>
      </c>
      <c r="B1399" s="160"/>
      <c r="C1399" s="159"/>
    </row>
    <row r="1400" spans="1:3">
      <c r="A1400" s="159">
        <v>156</v>
      </c>
      <c r="B1400" s="160"/>
      <c r="C1400" s="159"/>
    </row>
    <row r="1401" spans="1:3">
      <c r="A1401" s="159">
        <v>156</v>
      </c>
      <c r="B1401" s="160"/>
      <c r="C1401" s="159"/>
    </row>
    <row r="1402" spans="1:3">
      <c r="A1402" s="159">
        <v>156</v>
      </c>
      <c r="B1402" s="160"/>
      <c r="C1402" s="159"/>
    </row>
    <row r="1403" spans="1:3">
      <c r="A1403" s="159">
        <v>156</v>
      </c>
      <c r="B1403" s="160"/>
      <c r="C1403" s="159"/>
    </row>
    <row r="1404" spans="1:3">
      <c r="A1404" s="159">
        <v>156</v>
      </c>
      <c r="B1404" s="160"/>
      <c r="C1404" s="159"/>
    </row>
    <row r="1405" spans="1:3">
      <c r="A1405" s="159">
        <v>157</v>
      </c>
      <c r="B1405" s="160" t="s">
        <v>415</v>
      </c>
      <c r="C1405" s="159" t="s">
        <v>261</v>
      </c>
    </row>
    <row r="1406" spans="1:3">
      <c r="A1406" s="159">
        <v>157</v>
      </c>
      <c r="B1406" s="160"/>
      <c r="C1406" s="159"/>
    </row>
    <row r="1407" spans="1:3">
      <c r="A1407" s="159">
        <v>157</v>
      </c>
      <c r="B1407" s="160"/>
      <c r="C1407" s="159"/>
    </row>
    <row r="1408" spans="1:3">
      <c r="A1408" s="159">
        <v>157</v>
      </c>
      <c r="B1408" s="160"/>
      <c r="C1408" s="159"/>
    </row>
    <row r="1409" spans="1:3">
      <c r="A1409" s="159">
        <v>157</v>
      </c>
      <c r="B1409" s="160"/>
      <c r="C1409" s="159"/>
    </row>
    <row r="1410" spans="1:3">
      <c r="A1410" s="159">
        <v>157</v>
      </c>
      <c r="B1410" s="160"/>
      <c r="C1410" s="159"/>
    </row>
    <row r="1411" spans="1:3">
      <c r="A1411" s="159">
        <v>157</v>
      </c>
      <c r="B1411" s="160"/>
      <c r="C1411" s="159"/>
    </row>
    <row r="1412" spans="1:3">
      <c r="A1412" s="159">
        <v>157</v>
      </c>
      <c r="B1412" s="160"/>
      <c r="C1412" s="159"/>
    </row>
    <row r="1413" spans="1:3">
      <c r="A1413" s="159">
        <v>157</v>
      </c>
      <c r="B1413" s="160"/>
      <c r="C1413" s="159"/>
    </row>
    <row r="1414" spans="1:3">
      <c r="A1414" s="159">
        <v>158</v>
      </c>
      <c r="B1414" s="160" t="s">
        <v>416</v>
      </c>
      <c r="C1414" s="159" t="s">
        <v>263</v>
      </c>
    </row>
    <row r="1415" spans="1:3">
      <c r="A1415" s="159">
        <v>158</v>
      </c>
      <c r="B1415" s="160"/>
      <c r="C1415" s="159"/>
    </row>
    <row r="1416" spans="1:3">
      <c r="A1416" s="159">
        <v>158</v>
      </c>
      <c r="B1416" s="160"/>
      <c r="C1416" s="159"/>
    </row>
    <row r="1417" spans="1:3">
      <c r="A1417" s="159">
        <v>158</v>
      </c>
      <c r="B1417" s="160"/>
      <c r="C1417" s="159"/>
    </row>
    <row r="1418" spans="1:3">
      <c r="A1418" s="159">
        <v>158</v>
      </c>
      <c r="B1418" s="160"/>
      <c r="C1418" s="159"/>
    </row>
    <row r="1419" spans="1:3">
      <c r="A1419" s="159">
        <v>158</v>
      </c>
      <c r="B1419" s="160"/>
      <c r="C1419" s="159"/>
    </row>
    <row r="1420" spans="1:3">
      <c r="A1420" s="159">
        <v>158</v>
      </c>
      <c r="B1420" s="160"/>
      <c r="C1420" s="159"/>
    </row>
    <row r="1421" spans="1:3">
      <c r="A1421" s="159">
        <v>158</v>
      </c>
      <c r="B1421" s="160"/>
      <c r="C1421" s="159"/>
    </row>
    <row r="1422" spans="1:3">
      <c r="A1422" s="159">
        <v>158</v>
      </c>
      <c r="B1422" s="160"/>
      <c r="C1422" s="159"/>
    </row>
    <row r="1423" spans="1:3">
      <c r="A1423" s="159">
        <v>159</v>
      </c>
      <c r="B1423" s="160" t="s">
        <v>417</v>
      </c>
      <c r="C1423" s="159" t="s">
        <v>265</v>
      </c>
    </row>
    <row r="1424" spans="1:3">
      <c r="A1424" s="159">
        <v>159</v>
      </c>
      <c r="B1424" s="160"/>
      <c r="C1424" s="159"/>
    </row>
    <row r="1425" spans="1:3">
      <c r="A1425" s="159">
        <v>159</v>
      </c>
      <c r="B1425" s="160"/>
      <c r="C1425" s="159"/>
    </row>
    <row r="1426" spans="1:3">
      <c r="A1426" s="159">
        <v>159</v>
      </c>
      <c r="B1426" s="160"/>
      <c r="C1426" s="159"/>
    </row>
    <row r="1427" spans="1:3">
      <c r="A1427" s="159">
        <v>159</v>
      </c>
      <c r="B1427" s="160"/>
      <c r="C1427" s="159"/>
    </row>
    <row r="1428" spans="1:3">
      <c r="A1428" s="159">
        <v>159</v>
      </c>
      <c r="B1428" s="160"/>
      <c r="C1428" s="159"/>
    </row>
    <row r="1429" spans="1:3">
      <c r="A1429" s="159">
        <v>159</v>
      </c>
      <c r="B1429" s="160"/>
      <c r="C1429" s="159"/>
    </row>
    <row r="1430" spans="1:3">
      <c r="A1430" s="159">
        <v>159</v>
      </c>
      <c r="B1430" s="160"/>
      <c r="C1430" s="159"/>
    </row>
    <row r="1431" spans="1:3">
      <c r="A1431" s="159">
        <v>159</v>
      </c>
      <c r="B1431" s="160"/>
      <c r="C1431" s="159"/>
    </row>
    <row r="1432" spans="1:3">
      <c r="A1432" s="159">
        <v>160</v>
      </c>
      <c r="B1432" s="160" t="s">
        <v>418</v>
      </c>
      <c r="C1432" s="161" t="s">
        <v>267</v>
      </c>
    </row>
    <row r="1433" spans="1:3">
      <c r="A1433" s="159">
        <v>160</v>
      </c>
      <c r="B1433" s="160"/>
      <c r="C1433" s="161"/>
    </row>
    <row r="1434" spans="1:3">
      <c r="A1434" s="159">
        <v>160</v>
      </c>
      <c r="B1434" s="160"/>
      <c r="C1434" s="161"/>
    </row>
    <row r="1435" spans="1:3">
      <c r="A1435" s="159">
        <v>160</v>
      </c>
      <c r="B1435" s="160"/>
      <c r="C1435" s="161"/>
    </row>
    <row r="1436" spans="1:3">
      <c r="A1436" s="159">
        <v>160</v>
      </c>
      <c r="B1436" s="160"/>
      <c r="C1436" s="161"/>
    </row>
    <row r="1437" spans="1:3">
      <c r="A1437" s="159">
        <v>160</v>
      </c>
      <c r="B1437" s="160"/>
      <c r="C1437" s="161"/>
    </row>
    <row r="1438" spans="1:3">
      <c r="A1438" s="159">
        <v>160</v>
      </c>
      <c r="B1438" s="160"/>
      <c r="C1438" s="161"/>
    </row>
    <row r="1439" spans="1:3">
      <c r="A1439" s="159">
        <v>160</v>
      </c>
      <c r="B1439" s="160"/>
      <c r="C1439" s="161"/>
    </row>
    <row r="1440" spans="1:3">
      <c r="A1440" s="159">
        <v>160</v>
      </c>
      <c r="B1440" s="160"/>
      <c r="C1440" s="161"/>
    </row>
    <row r="1441" spans="1:3">
      <c r="A1441" s="159">
        <v>161</v>
      </c>
      <c r="B1441" s="160" t="s">
        <v>550</v>
      </c>
      <c r="C1441" s="159" t="s">
        <v>551</v>
      </c>
    </row>
    <row r="1442" spans="1:3">
      <c r="A1442" s="159">
        <v>161</v>
      </c>
      <c r="B1442" s="160"/>
      <c r="C1442" s="159"/>
    </row>
    <row r="1443" spans="1:3">
      <c r="A1443" s="159">
        <v>161</v>
      </c>
      <c r="B1443" s="160"/>
      <c r="C1443" s="159"/>
    </row>
    <row r="1444" spans="1:3">
      <c r="A1444" s="159">
        <v>161</v>
      </c>
      <c r="B1444" s="160"/>
      <c r="C1444" s="159"/>
    </row>
    <row r="1445" spans="1:3">
      <c r="A1445" s="159">
        <v>161</v>
      </c>
      <c r="B1445" s="160"/>
      <c r="C1445" s="159"/>
    </row>
    <row r="1446" spans="1:3">
      <c r="A1446" s="159">
        <v>161</v>
      </c>
      <c r="B1446" s="160"/>
      <c r="C1446" s="159"/>
    </row>
    <row r="1447" spans="1:3">
      <c r="A1447" s="159">
        <v>161</v>
      </c>
      <c r="B1447" s="160"/>
      <c r="C1447" s="159"/>
    </row>
    <row r="1448" spans="1:3">
      <c r="A1448" s="159">
        <v>161</v>
      </c>
      <c r="B1448" s="160"/>
      <c r="C1448" s="159"/>
    </row>
    <row r="1449" spans="1:3">
      <c r="A1449" s="159">
        <v>161</v>
      </c>
      <c r="B1449" s="160"/>
      <c r="C1449" s="159"/>
    </row>
    <row r="1450" spans="1:3">
      <c r="A1450" s="159">
        <v>162</v>
      </c>
      <c r="B1450" s="160" t="s">
        <v>552</v>
      </c>
      <c r="C1450" s="159" t="s">
        <v>553</v>
      </c>
    </row>
    <row r="1451" spans="1:3">
      <c r="A1451" s="159">
        <v>162</v>
      </c>
      <c r="B1451" s="160"/>
      <c r="C1451" s="159"/>
    </row>
    <row r="1452" spans="1:3">
      <c r="A1452" s="159">
        <v>162</v>
      </c>
      <c r="B1452" s="160"/>
      <c r="C1452" s="159"/>
    </row>
    <row r="1453" spans="1:3">
      <c r="A1453" s="159">
        <v>162</v>
      </c>
      <c r="B1453" s="160"/>
      <c r="C1453" s="159"/>
    </row>
    <row r="1454" spans="1:3">
      <c r="A1454" s="159">
        <v>162</v>
      </c>
      <c r="B1454" s="160"/>
      <c r="C1454" s="159"/>
    </row>
    <row r="1455" spans="1:3">
      <c r="A1455" s="159">
        <v>162</v>
      </c>
      <c r="B1455" s="160"/>
      <c r="C1455" s="159"/>
    </row>
    <row r="1456" spans="1:3">
      <c r="A1456" s="159">
        <v>162</v>
      </c>
      <c r="B1456" s="160"/>
      <c r="C1456" s="159"/>
    </row>
    <row r="1457" spans="1:3">
      <c r="A1457" s="159">
        <v>162</v>
      </c>
      <c r="B1457" s="160"/>
      <c r="C1457" s="159"/>
    </row>
    <row r="1458" spans="1:3">
      <c r="A1458" s="159">
        <v>162</v>
      </c>
      <c r="B1458" s="160"/>
      <c r="C1458" s="159"/>
    </row>
    <row r="1459" spans="1:3">
      <c r="A1459" s="159">
        <v>163</v>
      </c>
      <c r="B1459" s="160" t="s">
        <v>554</v>
      </c>
      <c r="C1459" s="159" t="s">
        <v>555</v>
      </c>
    </row>
    <row r="1460" spans="1:3">
      <c r="A1460" s="159">
        <v>163</v>
      </c>
      <c r="B1460" s="160"/>
      <c r="C1460" s="159"/>
    </row>
    <row r="1461" spans="1:3">
      <c r="A1461" s="159">
        <v>163</v>
      </c>
      <c r="B1461" s="160"/>
      <c r="C1461" s="159"/>
    </row>
    <row r="1462" spans="1:3">
      <c r="A1462" s="159">
        <v>163</v>
      </c>
      <c r="B1462" s="160"/>
      <c r="C1462" s="159"/>
    </row>
    <row r="1463" spans="1:3">
      <c r="A1463" s="159">
        <v>163</v>
      </c>
      <c r="B1463" s="160"/>
      <c r="C1463" s="159"/>
    </row>
    <row r="1464" spans="1:3">
      <c r="A1464" s="159">
        <v>163</v>
      </c>
      <c r="B1464" s="160"/>
      <c r="C1464" s="159"/>
    </row>
    <row r="1465" spans="1:3">
      <c r="A1465" s="159">
        <v>163</v>
      </c>
      <c r="B1465" s="160"/>
      <c r="C1465" s="159"/>
    </row>
    <row r="1466" spans="1:3">
      <c r="A1466" s="159">
        <v>163</v>
      </c>
      <c r="B1466" s="160"/>
      <c r="C1466" s="159"/>
    </row>
    <row r="1467" spans="1:3">
      <c r="A1467" s="159">
        <v>163</v>
      </c>
      <c r="B1467" s="160"/>
      <c r="C1467" s="159"/>
    </row>
    <row r="1468" spans="1:3">
      <c r="A1468" s="159">
        <v>164</v>
      </c>
      <c r="B1468" s="160" t="s">
        <v>556</v>
      </c>
      <c r="C1468" s="159" t="s">
        <v>557</v>
      </c>
    </row>
    <row r="1469" spans="1:3">
      <c r="A1469" s="159">
        <v>164</v>
      </c>
      <c r="B1469" s="160"/>
      <c r="C1469" s="159"/>
    </row>
    <row r="1470" spans="1:3">
      <c r="A1470" s="159">
        <v>164</v>
      </c>
      <c r="B1470" s="160"/>
      <c r="C1470" s="159"/>
    </row>
    <row r="1471" spans="1:3">
      <c r="A1471" s="159">
        <v>164</v>
      </c>
      <c r="B1471" s="160"/>
      <c r="C1471" s="159"/>
    </row>
    <row r="1472" spans="1:3">
      <c r="A1472" s="159">
        <v>164</v>
      </c>
      <c r="B1472" s="160"/>
      <c r="C1472" s="159"/>
    </row>
    <row r="1473" spans="1:3">
      <c r="A1473" s="159">
        <v>164</v>
      </c>
      <c r="B1473" s="160"/>
      <c r="C1473" s="159"/>
    </row>
    <row r="1474" spans="1:3">
      <c r="A1474" s="159">
        <v>164</v>
      </c>
      <c r="B1474" s="160"/>
      <c r="C1474" s="159"/>
    </row>
    <row r="1475" spans="1:3">
      <c r="A1475" s="159">
        <v>164</v>
      </c>
      <c r="B1475" s="160"/>
      <c r="C1475" s="159"/>
    </row>
    <row r="1476" spans="1:3">
      <c r="A1476" s="159">
        <v>164</v>
      </c>
      <c r="B1476" s="160"/>
      <c r="C1476" s="159"/>
    </row>
    <row r="1477" spans="1:3">
      <c r="A1477" s="159">
        <v>165</v>
      </c>
      <c r="B1477" s="160" t="s">
        <v>558</v>
      </c>
      <c r="C1477" s="159" t="s">
        <v>559</v>
      </c>
    </row>
    <row r="1478" spans="1:3">
      <c r="A1478" s="159">
        <v>165</v>
      </c>
      <c r="B1478" s="160"/>
      <c r="C1478" s="159"/>
    </row>
    <row r="1479" spans="1:3">
      <c r="A1479" s="159">
        <v>165</v>
      </c>
      <c r="B1479" s="160"/>
      <c r="C1479" s="159"/>
    </row>
    <row r="1480" spans="1:3">
      <c r="A1480" s="159">
        <v>165</v>
      </c>
      <c r="B1480" s="160"/>
      <c r="C1480" s="159"/>
    </row>
    <row r="1481" spans="1:3">
      <c r="A1481" s="159">
        <v>165</v>
      </c>
      <c r="B1481" s="160"/>
      <c r="C1481" s="159"/>
    </row>
    <row r="1482" spans="1:3">
      <c r="A1482" s="159">
        <v>165</v>
      </c>
      <c r="B1482" s="160"/>
      <c r="C1482" s="159"/>
    </row>
    <row r="1483" spans="1:3">
      <c r="A1483" s="159">
        <v>165</v>
      </c>
      <c r="B1483" s="160"/>
      <c r="C1483" s="159"/>
    </row>
    <row r="1484" spans="1:3">
      <c r="A1484" s="159">
        <v>165</v>
      </c>
      <c r="B1484" s="160"/>
      <c r="C1484" s="159"/>
    </row>
    <row r="1485" spans="1:3">
      <c r="A1485" s="159">
        <v>165</v>
      </c>
      <c r="B1485" s="160"/>
      <c r="C1485" s="159"/>
    </row>
    <row r="1486" spans="1:3">
      <c r="A1486" s="159">
        <v>166</v>
      </c>
      <c r="B1486" s="160" t="s">
        <v>560</v>
      </c>
      <c r="C1486" s="159" t="s">
        <v>561</v>
      </c>
    </row>
    <row r="1487" spans="1:3">
      <c r="A1487" s="159">
        <v>166</v>
      </c>
      <c r="B1487" s="160"/>
      <c r="C1487" s="159"/>
    </row>
    <row r="1488" spans="1:3">
      <c r="A1488" s="159">
        <v>166</v>
      </c>
      <c r="B1488" s="160"/>
      <c r="C1488" s="159"/>
    </row>
    <row r="1489" spans="1:3">
      <c r="A1489" s="159">
        <v>166</v>
      </c>
      <c r="B1489" s="160"/>
      <c r="C1489" s="159"/>
    </row>
    <row r="1490" spans="1:3">
      <c r="A1490" s="159">
        <v>166</v>
      </c>
      <c r="B1490" s="160"/>
      <c r="C1490" s="159"/>
    </row>
    <row r="1491" spans="1:3">
      <c r="A1491" s="159">
        <v>166</v>
      </c>
      <c r="B1491" s="160"/>
      <c r="C1491" s="159"/>
    </row>
    <row r="1492" spans="1:3">
      <c r="A1492" s="159">
        <v>166</v>
      </c>
      <c r="B1492" s="160"/>
      <c r="C1492" s="159"/>
    </row>
    <row r="1493" spans="1:3">
      <c r="A1493" s="159">
        <v>166</v>
      </c>
      <c r="B1493" s="160"/>
      <c r="C1493" s="159"/>
    </row>
    <row r="1494" spans="1:3">
      <c r="A1494" s="159">
        <v>166</v>
      </c>
      <c r="B1494" s="160"/>
      <c r="C1494" s="159"/>
    </row>
    <row r="1495" spans="1:3">
      <c r="A1495" s="159">
        <v>167</v>
      </c>
      <c r="B1495" s="160" t="s">
        <v>562</v>
      </c>
      <c r="C1495" s="159" t="s">
        <v>563</v>
      </c>
    </row>
    <row r="1496" spans="1:3">
      <c r="A1496" s="159">
        <v>167</v>
      </c>
      <c r="B1496" s="160"/>
      <c r="C1496" s="159"/>
    </row>
    <row r="1497" spans="1:3">
      <c r="A1497" s="159">
        <v>167</v>
      </c>
      <c r="B1497" s="160"/>
      <c r="C1497" s="159"/>
    </row>
    <row r="1498" spans="1:3">
      <c r="A1498" s="159">
        <v>167</v>
      </c>
      <c r="B1498" s="160"/>
      <c r="C1498" s="159"/>
    </row>
    <row r="1499" spans="1:3">
      <c r="A1499" s="159">
        <v>167</v>
      </c>
      <c r="B1499" s="160"/>
      <c r="C1499" s="159"/>
    </row>
    <row r="1500" spans="1:3">
      <c r="A1500" s="159">
        <v>167</v>
      </c>
      <c r="B1500" s="160"/>
      <c r="C1500" s="159"/>
    </row>
    <row r="1501" spans="1:3">
      <c r="A1501" s="159">
        <v>167</v>
      </c>
      <c r="B1501" s="160"/>
      <c r="C1501" s="159"/>
    </row>
    <row r="1502" spans="1:3">
      <c r="A1502" s="159">
        <v>167</v>
      </c>
      <c r="B1502" s="160"/>
      <c r="C1502" s="159"/>
    </row>
    <row r="1503" spans="1:3">
      <c r="A1503" s="159">
        <v>167</v>
      </c>
      <c r="B1503" s="160"/>
      <c r="C1503" s="159"/>
    </row>
    <row r="1504" spans="1:3">
      <c r="A1504" s="159">
        <v>168</v>
      </c>
      <c r="B1504" s="160" t="s">
        <v>564</v>
      </c>
      <c r="C1504" s="159" t="s">
        <v>565</v>
      </c>
    </row>
    <row r="1505" spans="1:3">
      <c r="A1505" s="159">
        <v>168</v>
      </c>
      <c r="B1505" s="160"/>
      <c r="C1505" s="159"/>
    </row>
    <row r="1506" spans="1:3">
      <c r="A1506" s="159">
        <v>168</v>
      </c>
      <c r="B1506" s="160"/>
      <c r="C1506" s="159"/>
    </row>
    <row r="1507" spans="1:3">
      <c r="A1507" s="159">
        <v>168</v>
      </c>
      <c r="B1507" s="160"/>
      <c r="C1507" s="159"/>
    </row>
    <row r="1508" spans="1:3">
      <c r="A1508" s="159">
        <v>168</v>
      </c>
      <c r="B1508" s="160"/>
      <c r="C1508" s="159"/>
    </row>
    <row r="1509" spans="1:3">
      <c r="A1509" s="159">
        <v>168</v>
      </c>
      <c r="B1509" s="160"/>
      <c r="C1509" s="159"/>
    </row>
    <row r="1510" spans="1:3">
      <c r="A1510" s="159">
        <v>168</v>
      </c>
      <c r="B1510" s="160"/>
      <c r="C1510" s="159"/>
    </row>
    <row r="1511" spans="1:3">
      <c r="A1511" s="159">
        <v>168</v>
      </c>
      <c r="B1511" s="160"/>
      <c r="C1511" s="159"/>
    </row>
    <row r="1512" spans="1:3">
      <c r="A1512" s="159">
        <v>168</v>
      </c>
      <c r="B1512" s="160"/>
      <c r="C1512" s="159"/>
    </row>
    <row r="1513" spans="1:3">
      <c r="A1513" s="159">
        <v>169</v>
      </c>
      <c r="B1513" s="160" t="s">
        <v>566</v>
      </c>
      <c r="C1513" s="159" t="s">
        <v>567</v>
      </c>
    </row>
    <row r="1514" spans="1:3">
      <c r="A1514" s="159">
        <v>169</v>
      </c>
      <c r="B1514" s="160"/>
      <c r="C1514" s="159"/>
    </row>
    <row r="1515" spans="1:3">
      <c r="A1515" s="159">
        <v>169</v>
      </c>
      <c r="B1515" s="160"/>
      <c r="C1515" s="159"/>
    </row>
    <row r="1516" spans="1:3">
      <c r="A1516" s="159">
        <v>169</v>
      </c>
      <c r="B1516" s="160"/>
      <c r="C1516" s="159"/>
    </row>
    <row r="1517" spans="1:3">
      <c r="A1517" s="159">
        <v>169</v>
      </c>
      <c r="B1517" s="160"/>
      <c r="C1517" s="159"/>
    </row>
    <row r="1518" spans="1:3">
      <c r="A1518" s="159">
        <v>169</v>
      </c>
      <c r="B1518" s="160"/>
      <c r="C1518" s="159"/>
    </row>
    <row r="1519" spans="1:3">
      <c r="A1519" s="159">
        <v>169</v>
      </c>
      <c r="B1519" s="160"/>
      <c r="C1519" s="159"/>
    </row>
    <row r="1520" spans="1:3">
      <c r="A1520" s="159">
        <v>169</v>
      </c>
      <c r="B1520" s="160"/>
      <c r="C1520" s="159"/>
    </row>
    <row r="1521" spans="1:3">
      <c r="A1521" s="159">
        <v>169</v>
      </c>
      <c r="B1521" s="160"/>
      <c r="C1521" s="159"/>
    </row>
    <row r="1522" spans="1:3">
      <c r="A1522" s="159">
        <v>170</v>
      </c>
      <c r="B1522" s="160" t="s">
        <v>568</v>
      </c>
      <c r="C1522" s="159" t="s">
        <v>569</v>
      </c>
    </row>
    <row r="1523" spans="1:3">
      <c r="A1523" s="159">
        <v>170</v>
      </c>
      <c r="B1523" s="160"/>
      <c r="C1523" s="159"/>
    </row>
    <row r="1524" spans="1:3">
      <c r="A1524" s="159">
        <v>170</v>
      </c>
      <c r="B1524" s="160"/>
      <c r="C1524" s="159"/>
    </row>
    <row r="1525" spans="1:3">
      <c r="A1525" s="159">
        <v>170</v>
      </c>
      <c r="B1525" s="160"/>
      <c r="C1525" s="159"/>
    </row>
    <row r="1526" spans="1:3">
      <c r="A1526" s="159">
        <v>170</v>
      </c>
      <c r="B1526" s="160"/>
      <c r="C1526" s="159"/>
    </row>
    <row r="1527" spans="1:3">
      <c r="A1527" s="159">
        <v>170</v>
      </c>
      <c r="B1527" s="160"/>
      <c r="C1527" s="159"/>
    </row>
    <row r="1528" spans="1:3">
      <c r="A1528" s="159">
        <v>170</v>
      </c>
      <c r="B1528" s="160"/>
      <c r="C1528" s="159"/>
    </row>
    <row r="1529" spans="1:3">
      <c r="A1529" s="159">
        <v>170</v>
      </c>
      <c r="B1529" s="160"/>
      <c r="C1529" s="159"/>
    </row>
    <row r="1530" spans="1:3">
      <c r="A1530" s="159">
        <v>170</v>
      </c>
      <c r="B1530" s="160"/>
      <c r="C1530" s="159"/>
    </row>
    <row r="1531" spans="1:3">
      <c r="A1531" s="159">
        <v>171</v>
      </c>
      <c r="B1531" s="160" t="s">
        <v>570</v>
      </c>
      <c r="C1531" s="159" t="s">
        <v>571</v>
      </c>
    </row>
    <row r="1532" spans="1:3">
      <c r="A1532" s="159">
        <v>171</v>
      </c>
      <c r="B1532" s="160"/>
      <c r="C1532" s="159"/>
    </row>
    <row r="1533" spans="1:3">
      <c r="A1533" s="159">
        <v>171</v>
      </c>
      <c r="B1533" s="160"/>
      <c r="C1533" s="159"/>
    </row>
    <row r="1534" spans="1:3">
      <c r="A1534" s="159">
        <v>171</v>
      </c>
      <c r="B1534" s="160"/>
      <c r="C1534" s="159"/>
    </row>
    <row r="1535" spans="1:3">
      <c r="A1535" s="159">
        <v>171</v>
      </c>
      <c r="B1535" s="160"/>
      <c r="C1535" s="159"/>
    </row>
    <row r="1536" spans="1:3">
      <c r="A1536" s="159">
        <v>171</v>
      </c>
      <c r="B1536" s="160"/>
      <c r="C1536" s="159"/>
    </row>
    <row r="1537" spans="1:3">
      <c r="A1537" s="159">
        <v>171</v>
      </c>
      <c r="B1537" s="160"/>
      <c r="C1537" s="159"/>
    </row>
    <row r="1538" spans="1:3">
      <c r="A1538" s="159">
        <v>171</v>
      </c>
      <c r="B1538" s="160"/>
      <c r="C1538" s="159"/>
    </row>
    <row r="1539" spans="1:3">
      <c r="A1539" s="159">
        <v>171</v>
      </c>
      <c r="B1539" s="160"/>
      <c r="C1539" s="159"/>
    </row>
    <row r="1540" spans="1:3">
      <c r="A1540" s="159">
        <v>172</v>
      </c>
      <c r="B1540" s="160" t="s">
        <v>572</v>
      </c>
      <c r="C1540" s="159" t="s">
        <v>573</v>
      </c>
    </row>
    <row r="1541" spans="1:3">
      <c r="A1541" s="159">
        <v>172</v>
      </c>
      <c r="B1541" s="160"/>
      <c r="C1541" s="159"/>
    </row>
    <row r="1542" spans="1:3">
      <c r="A1542" s="159">
        <v>172</v>
      </c>
      <c r="B1542" s="160"/>
      <c r="C1542" s="159"/>
    </row>
    <row r="1543" spans="1:3">
      <c r="A1543" s="159">
        <v>172</v>
      </c>
      <c r="B1543" s="160"/>
      <c r="C1543" s="159"/>
    </row>
    <row r="1544" spans="1:3">
      <c r="A1544" s="159">
        <v>172</v>
      </c>
      <c r="B1544" s="160"/>
      <c r="C1544" s="159"/>
    </row>
    <row r="1545" spans="1:3">
      <c r="A1545" s="159">
        <v>172</v>
      </c>
      <c r="B1545" s="160"/>
      <c r="C1545" s="159"/>
    </row>
    <row r="1546" spans="1:3">
      <c r="A1546" s="159">
        <v>172</v>
      </c>
      <c r="B1546" s="160"/>
      <c r="C1546" s="159"/>
    </row>
    <row r="1547" spans="1:3">
      <c r="A1547" s="159">
        <v>172</v>
      </c>
      <c r="B1547" s="160"/>
      <c r="C1547" s="159"/>
    </row>
    <row r="1548" spans="1:3">
      <c r="A1548" s="159">
        <v>172</v>
      </c>
      <c r="B1548" s="160"/>
      <c r="C1548" s="159"/>
    </row>
    <row r="1549" spans="1:3">
      <c r="A1549" s="159">
        <v>173</v>
      </c>
      <c r="B1549" s="160" t="s">
        <v>574</v>
      </c>
      <c r="C1549" s="159" t="s">
        <v>575</v>
      </c>
    </row>
    <row r="1550" spans="1:3">
      <c r="A1550" s="159">
        <v>173</v>
      </c>
      <c r="B1550" s="160"/>
      <c r="C1550" s="159"/>
    </row>
    <row r="1551" spans="1:3">
      <c r="A1551" s="159">
        <v>173</v>
      </c>
      <c r="B1551" s="160"/>
      <c r="C1551" s="159"/>
    </row>
    <row r="1552" spans="1:3">
      <c r="A1552" s="159">
        <v>173</v>
      </c>
      <c r="B1552" s="160"/>
      <c r="C1552" s="159"/>
    </row>
    <row r="1553" spans="1:3">
      <c r="A1553" s="159">
        <v>173</v>
      </c>
      <c r="B1553" s="160"/>
      <c r="C1553" s="159"/>
    </row>
    <row r="1554" spans="1:3">
      <c r="A1554" s="159">
        <v>173</v>
      </c>
      <c r="B1554" s="160"/>
      <c r="C1554" s="159"/>
    </row>
    <row r="1555" spans="1:3">
      <c r="A1555" s="159">
        <v>173</v>
      </c>
      <c r="B1555" s="160"/>
      <c r="C1555" s="159"/>
    </row>
    <row r="1556" spans="1:3">
      <c r="A1556" s="159">
        <v>173</v>
      </c>
      <c r="B1556" s="160"/>
      <c r="C1556" s="159"/>
    </row>
    <row r="1557" spans="1:3">
      <c r="A1557" s="159">
        <v>173</v>
      </c>
      <c r="B1557" s="160"/>
      <c r="C1557" s="159"/>
    </row>
    <row r="1558" spans="1:3">
      <c r="A1558" s="159">
        <v>174</v>
      </c>
      <c r="B1558" s="160" t="s">
        <v>576</v>
      </c>
      <c r="C1558" s="159" t="s">
        <v>577</v>
      </c>
    </row>
    <row r="1559" spans="1:3">
      <c r="A1559" s="159">
        <v>174</v>
      </c>
      <c r="B1559" s="160"/>
      <c r="C1559" s="159"/>
    </row>
    <row r="1560" spans="1:3">
      <c r="A1560" s="159">
        <v>174</v>
      </c>
      <c r="B1560" s="160"/>
      <c r="C1560" s="159"/>
    </row>
    <row r="1561" spans="1:3">
      <c r="A1561" s="159">
        <v>174</v>
      </c>
      <c r="B1561" s="160"/>
      <c r="C1561" s="159"/>
    </row>
    <row r="1562" spans="1:3">
      <c r="A1562" s="159">
        <v>174</v>
      </c>
      <c r="B1562" s="160"/>
      <c r="C1562" s="159"/>
    </row>
    <row r="1563" spans="1:3">
      <c r="A1563" s="159">
        <v>174</v>
      </c>
      <c r="B1563" s="160"/>
      <c r="C1563" s="159"/>
    </row>
    <row r="1564" spans="1:3">
      <c r="A1564" s="159">
        <v>174</v>
      </c>
      <c r="B1564" s="160"/>
      <c r="C1564" s="159"/>
    </row>
    <row r="1565" spans="1:3">
      <c r="A1565" s="159">
        <v>174</v>
      </c>
      <c r="B1565" s="160"/>
      <c r="C1565" s="159"/>
    </row>
    <row r="1566" spans="1:3">
      <c r="A1566" s="159">
        <v>174</v>
      </c>
      <c r="B1566" s="160"/>
      <c r="C1566" s="159"/>
    </row>
    <row r="1567" spans="1:3">
      <c r="A1567" s="159">
        <v>175</v>
      </c>
      <c r="B1567" s="160" t="s">
        <v>578</v>
      </c>
      <c r="C1567" s="159" t="s">
        <v>579</v>
      </c>
    </row>
    <row r="1568" spans="1:3">
      <c r="A1568" s="159">
        <v>175</v>
      </c>
      <c r="B1568" s="160"/>
      <c r="C1568" s="159"/>
    </row>
    <row r="1569" spans="1:3">
      <c r="A1569" s="159">
        <v>175</v>
      </c>
      <c r="B1569" s="160"/>
      <c r="C1569" s="159"/>
    </row>
    <row r="1570" spans="1:3">
      <c r="A1570" s="159">
        <v>175</v>
      </c>
      <c r="B1570" s="160"/>
      <c r="C1570" s="159"/>
    </row>
    <row r="1571" spans="1:3">
      <c r="A1571" s="159">
        <v>175</v>
      </c>
      <c r="B1571" s="160"/>
      <c r="C1571" s="159"/>
    </row>
    <row r="1572" spans="1:3">
      <c r="A1572" s="159">
        <v>175</v>
      </c>
      <c r="B1572" s="160"/>
      <c r="C1572" s="159"/>
    </row>
    <row r="1573" spans="1:3">
      <c r="A1573" s="159">
        <v>175</v>
      </c>
      <c r="B1573" s="160"/>
      <c r="C1573" s="159"/>
    </row>
    <row r="1574" spans="1:3">
      <c r="A1574" s="159">
        <v>175</v>
      </c>
      <c r="B1574" s="160"/>
      <c r="C1574" s="159"/>
    </row>
    <row r="1575" spans="1:3">
      <c r="A1575" s="159">
        <v>175</v>
      </c>
      <c r="B1575" s="160"/>
      <c r="C1575" s="159"/>
    </row>
    <row r="1576" spans="1:3">
      <c r="A1576" s="159">
        <v>176</v>
      </c>
      <c r="B1576" s="160" t="s">
        <v>580</v>
      </c>
      <c r="C1576" s="159" t="s">
        <v>581</v>
      </c>
    </row>
    <row r="1577" spans="1:3">
      <c r="A1577" s="159">
        <v>176</v>
      </c>
      <c r="B1577" s="160"/>
      <c r="C1577" s="159"/>
    </row>
    <row r="1578" spans="1:3">
      <c r="A1578" s="159">
        <v>176</v>
      </c>
      <c r="B1578" s="160"/>
      <c r="C1578" s="159"/>
    </row>
    <row r="1579" spans="1:3">
      <c r="A1579" s="159">
        <v>176</v>
      </c>
      <c r="B1579" s="160"/>
      <c r="C1579" s="159"/>
    </row>
    <row r="1580" spans="1:3">
      <c r="A1580" s="159">
        <v>176</v>
      </c>
      <c r="B1580" s="160"/>
      <c r="C1580" s="159"/>
    </row>
    <row r="1581" spans="1:3">
      <c r="A1581" s="159">
        <v>176</v>
      </c>
      <c r="B1581" s="160"/>
      <c r="C1581" s="159"/>
    </row>
    <row r="1582" spans="1:3">
      <c r="A1582" s="159">
        <v>176</v>
      </c>
      <c r="B1582" s="160"/>
      <c r="C1582" s="159"/>
    </row>
    <row r="1583" spans="1:3">
      <c r="A1583" s="159">
        <v>176</v>
      </c>
      <c r="B1583" s="160"/>
      <c r="C1583" s="159"/>
    </row>
    <row r="1584" spans="1:3">
      <c r="A1584" s="159">
        <v>176</v>
      </c>
      <c r="B1584" s="160"/>
      <c r="C1584" s="159"/>
    </row>
    <row r="1585" spans="1:3">
      <c r="A1585" s="159">
        <v>177</v>
      </c>
      <c r="B1585" s="160" t="s">
        <v>582</v>
      </c>
      <c r="C1585" s="159" t="s">
        <v>583</v>
      </c>
    </row>
    <row r="1586" spans="1:3">
      <c r="A1586" s="159">
        <v>177</v>
      </c>
      <c r="B1586" s="160"/>
      <c r="C1586" s="159"/>
    </row>
    <row r="1587" spans="1:3">
      <c r="A1587" s="159">
        <v>177</v>
      </c>
      <c r="B1587" s="160"/>
      <c r="C1587" s="159"/>
    </row>
    <row r="1588" spans="1:3">
      <c r="A1588" s="159">
        <v>177</v>
      </c>
      <c r="B1588" s="160"/>
      <c r="C1588" s="159"/>
    </row>
    <row r="1589" spans="1:3">
      <c r="A1589" s="159">
        <v>177</v>
      </c>
      <c r="B1589" s="160"/>
      <c r="C1589" s="159"/>
    </row>
    <row r="1590" spans="1:3">
      <c r="A1590" s="159">
        <v>177</v>
      </c>
      <c r="B1590" s="160"/>
      <c r="C1590" s="159"/>
    </row>
    <row r="1591" spans="1:3">
      <c r="A1591" s="159">
        <v>177</v>
      </c>
      <c r="B1591" s="160"/>
      <c r="C1591" s="159"/>
    </row>
    <row r="1592" spans="1:3">
      <c r="A1592" s="159">
        <v>177</v>
      </c>
      <c r="B1592" s="160"/>
      <c r="C1592" s="159"/>
    </row>
    <row r="1593" spans="1:3">
      <c r="A1593" s="159">
        <v>177</v>
      </c>
      <c r="B1593" s="160"/>
      <c r="C1593" s="159"/>
    </row>
    <row r="1594" spans="1:3">
      <c r="A1594" s="159">
        <v>178</v>
      </c>
      <c r="B1594" s="160" t="s">
        <v>584</v>
      </c>
      <c r="C1594" s="159" t="s">
        <v>585</v>
      </c>
    </row>
    <row r="1595" spans="1:3">
      <c r="A1595" s="159">
        <v>178</v>
      </c>
      <c r="B1595" s="160"/>
      <c r="C1595" s="159"/>
    </row>
    <row r="1596" spans="1:3">
      <c r="A1596" s="159">
        <v>178</v>
      </c>
      <c r="B1596" s="160"/>
      <c r="C1596" s="159"/>
    </row>
    <row r="1597" spans="1:3">
      <c r="A1597" s="159">
        <v>178</v>
      </c>
      <c r="B1597" s="160"/>
      <c r="C1597" s="159"/>
    </row>
    <row r="1598" spans="1:3">
      <c r="A1598" s="159">
        <v>178</v>
      </c>
      <c r="B1598" s="160"/>
      <c r="C1598" s="159"/>
    </row>
    <row r="1599" spans="1:3">
      <c r="A1599" s="159">
        <v>178</v>
      </c>
      <c r="B1599" s="160"/>
      <c r="C1599" s="159"/>
    </row>
    <row r="1600" spans="1:3">
      <c r="A1600" s="159">
        <v>178</v>
      </c>
      <c r="B1600" s="160"/>
      <c r="C1600" s="159"/>
    </row>
    <row r="1601" spans="1:3">
      <c r="A1601" s="159">
        <v>178</v>
      </c>
      <c r="B1601" s="160"/>
      <c r="C1601" s="159"/>
    </row>
    <row r="1602" spans="1:3">
      <c r="A1602" s="159">
        <v>178</v>
      </c>
      <c r="B1602" s="160"/>
      <c r="C1602" s="159"/>
    </row>
    <row r="1603" spans="1:3">
      <c r="A1603" s="159">
        <v>179</v>
      </c>
      <c r="B1603" s="160" t="s">
        <v>586</v>
      </c>
      <c r="C1603" s="159" t="s">
        <v>587</v>
      </c>
    </row>
    <row r="1604" spans="1:3">
      <c r="A1604" s="159">
        <v>179</v>
      </c>
      <c r="B1604" s="160"/>
      <c r="C1604" s="159"/>
    </row>
    <row r="1605" spans="1:3">
      <c r="A1605" s="159">
        <v>179</v>
      </c>
      <c r="B1605" s="160"/>
      <c r="C1605" s="159"/>
    </row>
    <row r="1606" spans="1:3">
      <c r="A1606" s="159">
        <v>179</v>
      </c>
      <c r="B1606" s="160"/>
      <c r="C1606" s="159"/>
    </row>
    <row r="1607" spans="1:3">
      <c r="A1607" s="159">
        <v>179</v>
      </c>
      <c r="B1607" s="160"/>
      <c r="C1607" s="159"/>
    </row>
    <row r="1608" spans="1:3">
      <c r="A1608" s="159">
        <v>179</v>
      </c>
      <c r="B1608" s="160"/>
      <c r="C1608" s="159"/>
    </row>
    <row r="1609" spans="1:3">
      <c r="A1609" s="159">
        <v>179</v>
      </c>
      <c r="B1609" s="160"/>
      <c r="C1609" s="159"/>
    </row>
    <row r="1610" spans="1:3">
      <c r="A1610" s="159">
        <v>179</v>
      </c>
      <c r="B1610" s="160"/>
      <c r="C1610" s="159"/>
    </row>
    <row r="1611" spans="1:3">
      <c r="A1611" s="159">
        <v>179</v>
      </c>
      <c r="B1611" s="160"/>
      <c r="C1611" s="159"/>
    </row>
    <row r="1612" spans="1:3">
      <c r="A1612" s="159">
        <v>180</v>
      </c>
      <c r="B1612" s="160" t="s">
        <v>588</v>
      </c>
      <c r="C1612" s="159" t="s">
        <v>589</v>
      </c>
    </row>
    <row r="1613" spans="1:3">
      <c r="A1613" s="159">
        <v>180</v>
      </c>
      <c r="B1613" s="160"/>
      <c r="C1613" s="159"/>
    </row>
    <row r="1614" spans="1:3">
      <c r="A1614" s="159">
        <v>180</v>
      </c>
      <c r="B1614" s="160"/>
      <c r="C1614" s="159"/>
    </row>
    <row r="1615" spans="1:3">
      <c r="A1615" s="159">
        <v>180</v>
      </c>
      <c r="B1615" s="160"/>
      <c r="C1615" s="159"/>
    </row>
    <row r="1616" spans="1:3">
      <c r="A1616" s="159">
        <v>180</v>
      </c>
      <c r="B1616" s="160"/>
      <c r="C1616" s="159"/>
    </row>
    <row r="1617" spans="1:3">
      <c r="A1617" s="159">
        <v>180</v>
      </c>
      <c r="B1617" s="160"/>
      <c r="C1617" s="159"/>
    </row>
    <row r="1618" spans="1:3">
      <c r="A1618" s="159">
        <v>180</v>
      </c>
      <c r="B1618" s="160"/>
      <c r="C1618" s="159"/>
    </row>
    <row r="1619" spans="1:3">
      <c r="A1619" s="159">
        <v>180</v>
      </c>
      <c r="B1619" s="160"/>
      <c r="C1619" s="159"/>
    </row>
    <row r="1620" spans="1:3">
      <c r="A1620" s="159">
        <v>180</v>
      </c>
      <c r="B1620" s="160"/>
      <c r="C1620" s="159"/>
    </row>
    <row r="1621" spans="1:3">
      <c r="A1621" s="159">
        <v>181</v>
      </c>
      <c r="B1621" s="160" t="s">
        <v>590</v>
      </c>
      <c r="C1621" s="159" t="s">
        <v>591</v>
      </c>
    </row>
    <row r="1622" spans="1:3">
      <c r="A1622" s="159">
        <v>181</v>
      </c>
      <c r="B1622" s="160"/>
      <c r="C1622" s="159"/>
    </row>
    <row r="1623" spans="1:3">
      <c r="A1623" s="159">
        <v>181</v>
      </c>
      <c r="B1623" s="160"/>
      <c r="C1623" s="159"/>
    </row>
    <row r="1624" spans="1:3">
      <c r="A1624" s="159">
        <v>181</v>
      </c>
      <c r="B1624" s="160"/>
      <c r="C1624" s="159"/>
    </row>
    <row r="1625" spans="1:3">
      <c r="A1625" s="159">
        <v>181</v>
      </c>
      <c r="B1625" s="160"/>
      <c r="C1625" s="159"/>
    </row>
    <row r="1626" spans="1:3">
      <c r="A1626" s="159">
        <v>181</v>
      </c>
      <c r="B1626" s="160"/>
      <c r="C1626" s="159"/>
    </row>
    <row r="1627" spans="1:3">
      <c r="A1627" s="159">
        <v>181</v>
      </c>
      <c r="B1627" s="160"/>
      <c r="C1627" s="159"/>
    </row>
    <row r="1628" spans="1:3">
      <c r="A1628" s="159">
        <v>181</v>
      </c>
      <c r="B1628" s="160"/>
      <c r="C1628" s="159"/>
    </row>
    <row r="1629" spans="1:3">
      <c r="A1629" s="159">
        <v>181</v>
      </c>
      <c r="B1629" s="160"/>
      <c r="C1629" s="159"/>
    </row>
    <row r="1630" spans="1:3">
      <c r="A1630" s="159">
        <v>182</v>
      </c>
      <c r="B1630" s="160" t="s">
        <v>592</v>
      </c>
      <c r="C1630" s="159" t="s">
        <v>593</v>
      </c>
    </row>
    <row r="1631" spans="1:3">
      <c r="A1631" s="159">
        <v>182</v>
      </c>
      <c r="B1631" s="160"/>
      <c r="C1631" s="159"/>
    </row>
    <row r="1632" spans="1:3">
      <c r="A1632" s="159">
        <v>182</v>
      </c>
      <c r="B1632" s="160"/>
      <c r="C1632" s="159"/>
    </row>
    <row r="1633" spans="1:3">
      <c r="A1633" s="159">
        <v>182</v>
      </c>
      <c r="B1633" s="160"/>
      <c r="C1633" s="159"/>
    </row>
    <row r="1634" spans="1:3">
      <c r="A1634" s="159">
        <v>182</v>
      </c>
      <c r="B1634" s="160"/>
      <c r="C1634" s="159"/>
    </row>
    <row r="1635" spans="1:3">
      <c r="A1635" s="159">
        <v>182</v>
      </c>
      <c r="B1635" s="160"/>
      <c r="C1635" s="159"/>
    </row>
    <row r="1636" spans="1:3">
      <c r="A1636" s="159">
        <v>182</v>
      </c>
      <c r="B1636" s="160"/>
      <c r="C1636" s="159"/>
    </row>
    <row r="1637" spans="1:3">
      <c r="A1637" s="159">
        <v>182</v>
      </c>
      <c r="B1637" s="160"/>
      <c r="C1637" s="159"/>
    </row>
    <row r="1638" spans="1:3">
      <c r="A1638" s="159">
        <v>182</v>
      </c>
      <c r="B1638" s="160"/>
      <c r="C1638" s="159"/>
    </row>
    <row r="1639" spans="1:3">
      <c r="A1639" s="159">
        <v>183</v>
      </c>
      <c r="B1639" s="160" t="s">
        <v>594</v>
      </c>
      <c r="C1639" s="159" t="s">
        <v>595</v>
      </c>
    </row>
    <row r="1640" spans="1:3">
      <c r="A1640" s="159">
        <v>183</v>
      </c>
      <c r="B1640" s="160"/>
      <c r="C1640" s="159"/>
    </row>
    <row r="1641" spans="1:3">
      <c r="A1641" s="159">
        <v>183</v>
      </c>
      <c r="B1641" s="160"/>
      <c r="C1641" s="159"/>
    </row>
    <row r="1642" spans="1:3">
      <c r="A1642" s="159">
        <v>183</v>
      </c>
      <c r="B1642" s="160"/>
      <c r="C1642" s="159"/>
    </row>
    <row r="1643" spans="1:3">
      <c r="A1643" s="159">
        <v>183</v>
      </c>
      <c r="B1643" s="160"/>
      <c r="C1643" s="159"/>
    </row>
    <row r="1644" spans="1:3">
      <c r="A1644" s="159">
        <v>183</v>
      </c>
      <c r="B1644" s="160"/>
      <c r="C1644" s="159"/>
    </row>
    <row r="1645" spans="1:3">
      <c r="A1645" s="159">
        <v>183</v>
      </c>
      <c r="B1645" s="160"/>
      <c r="C1645" s="159"/>
    </row>
    <row r="1646" spans="1:3">
      <c r="A1646" s="159">
        <v>183</v>
      </c>
      <c r="B1646" s="160"/>
      <c r="C1646" s="159"/>
    </row>
    <row r="1647" spans="1:3">
      <c r="A1647" s="159">
        <v>183</v>
      </c>
      <c r="B1647" s="160"/>
      <c r="C1647" s="159"/>
    </row>
    <row r="1648" spans="1:3">
      <c r="A1648" s="159">
        <v>184</v>
      </c>
      <c r="B1648" s="160" t="s">
        <v>596</v>
      </c>
      <c r="C1648" s="159" t="s">
        <v>597</v>
      </c>
    </row>
    <row r="1649" spans="1:3">
      <c r="A1649" s="159">
        <v>184</v>
      </c>
      <c r="B1649" s="160"/>
      <c r="C1649" s="159"/>
    </row>
    <row r="1650" spans="1:3">
      <c r="A1650" s="159">
        <v>184</v>
      </c>
      <c r="B1650" s="160"/>
      <c r="C1650" s="159"/>
    </row>
    <row r="1651" spans="1:3">
      <c r="A1651" s="159">
        <v>184</v>
      </c>
      <c r="B1651" s="160"/>
      <c r="C1651" s="159"/>
    </row>
    <row r="1652" spans="1:3">
      <c r="A1652" s="159">
        <v>184</v>
      </c>
      <c r="B1652" s="160"/>
      <c r="C1652" s="159"/>
    </row>
    <row r="1653" spans="1:3">
      <c r="A1653" s="159">
        <v>184</v>
      </c>
      <c r="B1653" s="160"/>
      <c r="C1653" s="159"/>
    </row>
    <row r="1654" spans="1:3">
      <c r="A1654" s="159">
        <v>184</v>
      </c>
      <c r="B1654" s="160"/>
      <c r="C1654" s="159"/>
    </row>
    <row r="1655" spans="1:3">
      <c r="A1655" s="159">
        <v>184</v>
      </c>
      <c r="B1655" s="160"/>
      <c r="C1655" s="159"/>
    </row>
    <row r="1656" spans="1:3">
      <c r="A1656" s="159">
        <v>184</v>
      </c>
      <c r="B1656" s="160"/>
      <c r="C1656" s="159"/>
    </row>
    <row r="1657" spans="1:3">
      <c r="A1657" s="159">
        <v>185</v>
      </c>
      <c r="B1657" s="160" t="s">
        <v>598</v>
      </c>
      <c r="C1657" s="159" t="s">
        <v>599</v>
      </c>
    </row>
    <row r="1658" spans="1:3">
      <c r="A1658" s="159">
        <v>185</v>
      </c>
      <c r="B1658" s="160"/>
      <c r="C1658" s="159"/>
    </row>
    <row r="1659" spans="1:3">
      <c r="A1659" s="159">
        <v>185</v>
      </c>
      <c r="B1659" s="160"/>
      <c r="C1659" s="159"/>
    </row>
    <row r="1660" spans="1:3">
      <c r="A1660" s="159">
        <v>185</v>
      </c>
      <c r="B1660" s="160"/>
      <c r="C1660" s="159"/>
    </row>
    <row r="1661" spans="1:3">
      <c r="A1661" s="159">
        <v>185</v>
      </c>
      <c r="B1661" s="160"/>
      <c r="C1661" s="159"/>
    </row>
    <row r="1662" spans="1:3">
      <c r="A1662" s="159">
        <v>185</v>
      </c>
      <c r="B1662" s="160"/>
      <c r="C1662" s="159"/>
    </row>
    <row r="1663" spans="1:3">
      <c r="A1663" s="159">
        <v>185</v>
      </c>
      <c r="B1663" s="160"/>
      <c r="C1663" s="159"/>
    </row>
    <row r="1664" spans="1:3">
      <c r="A1664" s="159">
        <v>185</v>
      </c>
      <c r="B1664" s="160"/>
      <c r="C1664" s="159"/>
    </row>
    <row r="1665" spans="1:3">
      <c r="A1665" s="159">
        <v>185</v>
      </c>
      <c r="B1665" s="160"/>
      <c r="C1665" s="159"/>
    </row>
    <row r="1666" spans="1:3">
      <c r="A1666" s="159">
        <v>186</v>
      </c>
      <c r="B1666" s="160" t="s">
        <v>600</v>
      </c>
      <c r="C1666" s="159" t="s">
        <v>601</v>
      </c>
    </row>
    <row r="1667" spans="1:3">
      <c r="A1667" s="159">
        <v>186</v>
      </c>
      <c r="B1667" s="160"/>
      <c r="C1667" s="159"/>
    </row>
    <row r="1668" spans="1:3">
      <c r="A1668" s="159">
        <v>186</v>
      </c>
      <c r="B1668" s="160"/>
      <c r="C1668" s="159"/>
    </row>
    <row r="1669" spans="1:3">
      <c r="A1669" s="159">
        <v>186</v>
      </c>
      <c r="B1669" s="160"/>
      <c r="C1669" s="159"/>
    </row>
    <row r="1670" spans="1:3">
      <c r="A1670" s="159">
        <v>186</v>
      </c>
      <c r="B1670" s="160"/>
      <c r="C1670" s="159"/>
    </row>
    <row r="1671" spans="1:3">
      <c r="A1671" s="159">
        <v>186</v>
      </c>
      <c r="B1671" s="160"/>
      <c r="C1671" s="159"/>
    </row>
    <row r="1672" spans="1:3">
      <c r="A1672" s="159">
        <v>186</v>
      </c>
      <c r="B1672" s="160"/>
      <c r="C1672" s="159"/>
    </row>
    <row r="1673" spans="1:3">
      <c r="A1673" s="159">
        <v>186</v>
      </c>
      <c r="B1673" s="160"/>
      <c r="C1673" s="159"/>
    </row>
    <row r="1674" spans="1:3">
      <c r="A1674" s="159">
        <v>186</v>
      </c>
      <c r="B1674" s="160"/>
      <c r="C1674" s="159"/>
    </row>
    <row r="1675" spans="1:3">
      <c r="A1675" s="159">
        <v>187</v>
      </c>
      <c r="B1675" s="160" t="s">
        <v>602</v>
      </c>
      <c r="C1675" s="159" t="s">
        <v>603</v>
      </c>
    </row>
    <row r="1676" spans="1:3">
      <c r="A1676" s="159">
        <v>187</v>
      </c>
      <c r="B1676" s="160"/>
      <c r="C1676" s="159"/>
    </row>
    <row r="1677" spans="1:3">
      <c r="A1677" s="159">
        <v>187</v>
      </c>
      <c r="B1677" s="160"/>
      <c r="C1677" s="159"/>
    </row>
    <row r="1678" spans="1:3">
      <c r="A1678" s="159">
        <v>187</v>
      </c>
      <c r="B1678" s="160"/>
      <c r="C1678" s="159"/>
    </row>
    <row r="1679" spans="1:3">
      <c r="A1679" s="159">
        <v>187</v>
      </c>
      <c r="B1679" s="160"/>
      <c r="C1679" s="159"/>
    </row>
    <row r="1680" spans="1:3">
      <c r="A1680" s="159">
        <v>187</v>
      </c>
      <c r="B1680" s="160"/>
      <c r="C1680" s="159"/>
    </row>
    <row r="1681" spans="1:3">
      <c r="A1681" s="159">
        <v>187</v>
      </c>
      <c r="B1681" s="160"/>
      <c r="C1681" s="159"/>
    </row>
    <row r="1682" spans="1:3">
      <c r="A1682" s="159">
        <v>187</v>
      </c>
      <c r="B1682" s="160"/>
      <c r="C1682" s="159"/>
    </row>
    <row r="1683" spans="1:3">
      <c r="A1683" s="159">
        <v>187</v>
      </c>
      <c r="B1683" s="160"/>
      <c r="C1683" s="159"/>
    </row>
    <row r="1684" spans="1:3">
      <c r="A1684" s="159">
        <v>188</v>
      </c>
      <c r="B1684" s="160" t="s">
        <v>604</v>
      </c>
      <c r="C1684" s="159" t="s">
        <v>605</v>
      </c>
    </row>
    <row r="1685" spans="1:3">
      <c r="A1685" s="159">
        <v>188</v>
      </c>
      <c r="B1685" s="160"/>
      <c r="C1685" s="159"/>
    </row>
    <row r="1686" spans="1:3">
      <c r="A1686" s="159">
        <v>188</v>
      </c>
      <c r="B1686" s="160"/>
      <c r="C1686" s="159"/>
    </row>
    <row r="1687" spans="1:3">
      <c r="A1687" s="159">
        <v>188</v>
      </c>
      <c r="B1687" s="160"/>
      <c r="C1687" s="159"/>
    </row>
    <row r="1688" spans="1:3">
      <c r="A1688" s="159">
        <v>188</v>
      </c>
      <c r="B1688" s="160"/>
      <c r="C1688" s="159"/>
    </row>
    <row r="1689" spans="1:3">
      <c r="A1689" s="159">
        <v>188</v>
      </c>
      <c r="B1689" s="160"/>
      <c r="C1689" s="159"/>
    </row>
    <row r="1690" spans="1:3">
      <c r="A1690" s="159">
        <v>188</v>
      </c>
      <c r="B1690" s="160"/>
      <c r="C1690" s="159"/>
    </row>
    <row r="1691" spans="1:3">
      <c r="A1691" s="159">
        <v>188</v>
      </c>
      <c r="B1691" s="160"/>
      <c r="C1691" s="159"/>
    </row>
    <row r="1692" spans="1:3">
      <c r="A1692" s="159">
        <v>188</v>
      </c>
      <c r="B1692" s="160"/>
      <c r="C1692" s="159"/>
    </row>
    <row r="1693" spans="1:3">
      <c r="A1693" s="159">
        <v>189</v>
      </c>
      <c r="B1693" s="160" t="s">
        <v>606</v>
      </c>
      <c r="C1693" s="159" t="s">
        <v>607</v>
      </c>
    </row>
    <row r="1694" spans="1:3">
      <c r="A1694" s="159">
        <v>189</v>
      </c>
      <c r="B1694" s="160"/>
      <c r="C1694" s="159"/>
    </row>
    <row r="1695" spans="1:3">
      <c r="A1695" s="159">
        <v>189</v>
      </c>
      <c r="B1695" s="160"/>
      <c r="C1695" s="159"/>
    </row>
    <row r="1696" spans="1:3">
      <c r="A1696" s="159">
        <v>189</v>
      </c>
      <c r="B1696" s="160"/>
      <c r="C1696" s="159"/>
    </row>
    <row r="1697" spans="1:3">
      <c r="A1697" s="159">
        <v>189</v>
      </c>
      <c r="B1697" s="160"/>
      <c r="C1697" s="159"/>
    </row>
    <row r="1698" spans="1:3">
      <c r="A1698" s="159">
        <v>189</v>
      </c>
      <c r="B1698" s="160"/>
      <c r="C1698" s="159"/>
    </row>
    <row r="1699" spans="1:3">
      <c r="A1699" s="159">
        <v>189</v>
      </c>
      <c r="B1699" s="160"/>
      <c r="C1699" s="159"/>
    </row>
    <row r="1700" spans="1:3">
      <c r="A1700" s="159">
        <v>189</v>
      </c>
      <c r="B1700" s="160"/>
      <c r="C1700" s="159"/>
    </row>
    <row r="1701" spans="1:3">
      <c r="A1701" s="159">
        <v>189</v>
      </c>
      <c r="B1701" s="160"/>
      <c r="C1701" s="159"/>
    </row>
    <row r="1702" spans="1:3">
      <c r="A1702" s="159">
        <v>190</v>
      </c>
      <c r="B1702" s="160" t="s">
        <v>608</v>
      </c>
      <c r="C1702" s="159" t="s">
        <v>609</v>
      </c>
    </row>
    <row r="1703" spans="1:3">
      <c r="A1703" s="159">
        <v>190</v>
      </c>
      <c r="B1703" s="160"/>
      <c r="C1703" s="159"/>
    </row>
    <row r="1704" spans="1:3">
      <c r="A1704" s="159">
        <v>190</v>
      </c>
      <c r="B1704" s="160"/>
      <c r="C1704" s="159"/>
    </row>
    <row r="1705" spans="1:3">
      <c r="A1705" s="159">
        <v>190</v>
      </c>
      <c r="B1705" s="160"/>
      <c r="C1705" s="159"/>
    </row>
    <row r="1706" spans="1:3">
      <c r="A1706" s="159">
        <v>190</v>
      </c>
      <c r="B1706" s="160"/>
      <c r="C1706" s="159"/>
    </row>
    <row r="1707" spans="1:3">
      <c r="A1707" s="159">
        <v>190</v>
      </c>
      <c r="B1707" s="160"/>
      <c r="C1707" s="159"/>
    </row>
    <row r="1708" spans="1:3">
      <c r="A1708" s="159">
        <v>190</v>
      </c>
      <c r="B1708" s="160"/>
      <c r="C1708" s="159"/>
    </row>
    <row r="1709" spans="1:3">
      <c r="A1709" s="159">
        <v>190</v>
      </c>
      <c r="B1709" s="160"/>
      <c r="C1709" s="159"/>
    </row>
    <row r="1710" spans="1:3">
      <c r="A1710" s="159">
        <v>190</v>
      </c>
      <c r="B1710" s="160"/>
      <c r="C1710" s="159"/>
    </row>
    <row r="1711" spans="1:3">
      <c r="A1711" s="159">
        <v>191</v>
      </c>
      <c r="B1711" s="160" t="s">
        <v>610</v>
      </c>
      <c r="C1711" s="159" t="s">
        <v>611</v>
      </c>
    </row>
    <row r="1712" spans="1:3">
      <c r="A1712" s="159">
        <v>191</v>
      </c>
      <c r="B1712" s="160"/>
      <c r="C1712" s="159"/>
    </row>
    <row r="1713" spans="1:3">
      <c r="A1713" s="159">
        <v>191</v>
      </c>
      <c r="B1713" s="160"/>
      <c r="C1713" s="159"/>
    </row>
    <row r="1714" spans="1:3">
      <c r="A1714" s="159">
        <v>191</v>
      </c>
      <c r="B1714" s="160"/>
      <c r="C1714" s="159"/>
    </row>
    <row r="1715" spans="1:3">
      <c r="A1715" s="159">
        <v>191</v>
      </c>
      <c r="B1715" s="160"/>
      <c r="C1715" s="159"/>
    </row>
    <row r="1716" spans="1:3">
      <c r="A1716" s="159">
        <v>191</v>
      </c>
      <c r="B1716" s="160"/>
      <c r="C1716" s="159"/>
    </row>
    <row r="1717" spans="1:3">
      <c r="A1717" s="159">
        <v>191</v>
      </c>
      <c r="B1717" s="160"/>
      <c r="C1717" s="159"/>
    </row>
    <row r="1718" spans="1:3">
      <c r="A1718" s="159">
        <v>191</v>
      </c>
      <c r="B1718" s="160"/>
      <c r="C1718" s="159"/>
    </row>
    <row r="1719" spans="1:3">
      <c r="A1719" s="159">
        <v>191</v>
      </c>
      <c r="B1719" s="160"/>
      <c r="C1719" s="159"/>
    </row>
    <row r="1720" spans="1:3">
      <c r="A1720" s="159">
        <v>192</v>
      </c>
      <c r="B1720" s="160" t="s">
        <v>612</v>
      </c>
      <c r="C1720" s="159" t="s">
        <v>613</v>
      </c>
    </row>
    <row r="1721" spans="1:3">
      <c r="A1721" s="159">
        <v>192</v>
      </c>
      <c r="B1721" s="160"/>
      <c r="C1721" s="159"/>
    </row>
    <row r="1722" spans="1:3">
      <c r="A1722" s="159">
        <v>192</v>
      </c>
      <c r="B1722" s="160"/>
      <c r="C1722" s="159"/>
    </row>
    <row r="1723" spans="1:3">
      <c r="A1723" s="159">
        <v>192</v>
      </c>
      <c r="B1723" s="160"/>
      <c r="C1723" s="159"/>
    </row>
    <row r="1724" spans="1:3">
      <c r="A1724" s="159">
        <v>192</v>
      </c>
      <c r="B1724" s="160"/>
      <c r="C1724" s="159"/>
    </row>
    <row r="1725" spans="1:3">
      <c r="A1725" s="159">
        <v>192</v>
      </c>
      <c r="B1725" s="160"/>
      <c r="C1725" s="159"/>
    </row>
    <row r="1726" spans="1:3">
      <c r="A1726" s="159">
        <v>192</v>
      </c>
      <c r="B1726" s="160"/>
      <c r="C1726" s="159"/>
    </row>
    <row r="1727" spans="1:3">
      <c r="A1727" s="159">
        <v>192</v>
      </c>
      <c r="B1727" s="160"/>
      <c r="C1727" s="159"/>
    </row>
    <row r="1728" spans="1:3">
      <c r="A1728" s="159">
        <v>192</v>
      </c>
      <c r="B1728" s="160"/>
      <c r="C1728" s="159"/>
    </row>
    <row r="1729" spans="1:3">
      <c r="A1729" s="159">
        <v>193</v>
      </c>
      <c r="B1729" s="160" t="s">
        <v>614</v>
      </c>
      <c r="C1729" s="159" t="s">
        <v>615</v>
      </c>
    </row>
    <row r="1730" spans="1:3">
      <c r="A1730" s="159">
        <v>193</v>
      </c>
      <c r="B1730" s="160"/>
      <c r="C1730" s="159"/>
    </row>
    <row r="1731" spans="1:3">
      <c r="A1731" s="159">
        <v>193</v>
      </c>
      <c r="B1731" s="160"/>
      <c r="C1731" s="159"/>
    </row>
    <row r="1732" spans="1:3">
      <c r="A1732" s="159">
        <v>193</v>
      </c>
      <c r="B1732" s="160"/>
      <c r="C1732" s="159"/>
    </row>
    <row r="1733" spans="1:3">
      <c r="A1733" s="159">
        <v>193</v>
      </c>
      <c r="B1733" s="160"/>
      <c r="C1733" s="159"/>
    </row>
    <row r="1734" spans="1:3">
      <c r="A1734" s="159">
        <v>193</v>
      </c>
      <c r="B1734" s="160"/>
      <c r="C1734" s="159"/>
    </row>
    <row r="1735" spans="1:3">
      <c r="A1735" s="159">
        <v>193</v>
      </c>
      <c r="B1735" s="160"/>
      <c r="C1735" s="159"/>
    </row>
    <row r="1736" spans="1:3">
      <c r="A1736" s="159">
        <v>193</v>
      </c>
      <c r="B1736" s="160"/>
      <c r="C1736" s="159"/>
    </row>
    <row r="1737" spans="1:3">
      <c r="A1737" s="159">
        <v>193</v>
      </c>
      <c r="B1737" s="160"/>
      <c r="C1737" s="159"/>
    </row>
    <row r="1738" spans="1:3">
      <c r="A1738" s="159">
        <v>194</v>
      </c>
      <c r="B1738" s="160" t="s">
        <v>616</v>
      </c>
      <c r="C1738" s="159" t="s">
        <v>617</v>
      </c>
    </row>
    <row r="1739" spans="1:3">
      <c r="A1739" s="159">
        <v>194</v>
      </c>
      <c r="B1739" s="160"/>
      <c r="C1739" s="159"/>
    </row>
    <row r="1740" spans="1:3">
      <c r="A1740" s="159">
        <v>194</v>
      </c>
      <c r="B1740" s="160"/>
      <c r="C1740" s="159"/>
    </row>
    <row r="1741" spans="1:3">
      <c r="A1741" s="159">
        <v>194</v>
      </c>
      <c r="B1741" s="160"/>
      <c r="C1741" s="159"/>
    </row>
    <row r="1742" spans="1:3">
      <c r="A1742" s="159">
        <v>194</v>
      </c>
      <c r="B1742" s="160"/>
      <c r="C1742" s="159"/>
    </row>
    <row r="1743" spans="1:3">
      <c r="A1743" s="159">
        <v>194</v>
      </c>
      <c r="B1743" s="160"/>
      <c r="C1743" s="159"/>
    </row>
    <row r="1744" spans="1:3">
      <c r="A1744" s="159">
        <v>194</v>
      </c>
      <c r="B1744" s="160"/>
      <c r="C1744" s="159"/>
    </row>
    <row r="1745" spans="1:3">
      <c r="A1745" s="159">
        <v>194</v>
      </c>
      <c r="B1745" s="160"/>
      <c r="C1745" s="159"/>
    </row>
    <row r="1746" spans="1:3">
      <c r="A1746" s="159">
        <v>194</v>
      </c>
      <c r="B1746" s="160"/>
      <c r="C1746" s="159"/>
    </row>
    <row r="1747" spans="1:3">
      <c r="A1747" s="159">
        <v>195</v>
      </c>
      <c r="B1747" s="160" t="s">
        <v>618</v>
      </c>
      <c r="C1747" s="159" t="s">
        <v>619</v>
      </c>
    </row>
    <row r="1748" spans="1:3">
      <c r="A1748" s="159">
        <v>195</v>
      </c>
      <c r="B1748" s="160"/>
      <c r="C1748" s="159"/>
    </row>
    <row r="1749" spans="1:3">
      <c r="A1749" s="159">
        <v>195</v>
      </c>
      <c r="B1749" s="160"/>
      <c r="C1749" s="159"/>
    </row>
    <row r="1750" spans="1:3">
      <c r="A1750" s="159">
        <v>195</v>
      </c>
      <c r="B1750" s="160"/>
      <c r="C1750" s="159"/>
    </row>
    <row r="1751" spans="1:3">
      <c r="A1751" s="159">
        <v>195</v>
      </c>
      <c r="B1751" s="160"/>
      <c r="C1751" s="159"/>
    </row>
    <row r="1752" spans="1:3">
      <c r="A1752" s="159">
        <v>195</v>
      </c>
      <c r="B1752" s="160"/>
      <c r="C1752" s="159"/>
    </row>
    <row r="1753" spans="1:3">
      <c r="A1753" s="159">
        <v>195</v>
      </c>
      <c r="B1753" s="160"/>
      <c r="C1753" s="159"/>
    </row>
    <row r="1754" spans="1:3">
      <c r="A1754" s="159">
        <v>195</v>
      </c>
      <c r="B1754" s="160"/>
      <c r="C1754" s="159"/>
    </row>
    <row r="1755" spans="1:3">
      <c r="A1755" s="159">
        <v>195</v>
      </c>
      <c r="B1755" s="160"/>
      <c r="C1755" s="159"/>
    </row>
    <row r="1756" spans="1:3">
      <c r="A1756" s="159">
        <v>196</v>
      </c>
      <c r="B1756" s="160" t="s">
        <v>620</v>
      </c>
      <c r="C1756" s="159" t="s">
        <v>621</v>
      </c>
    </row>
    <row r="1757" spans="1:3">
      <c r="A1757" s="159">
        <v>196</v>
      </c>
      <c r="B1757" s="160"/>
      <c r="C1757" s="159"/>
    </row>
    <row r="1758" spans="1:3">
      <c r="A1758" s="159">
        <v>196</v>
      </c>
      <c r="B1758" s="160"/>
      <c r="C1758" s="159"/>
    </row>
    <row r="1759" spans="1:3">
      <c r="A1759" s="159">
        <v>196</v>
      </c>
      <c r="B1759" s="160"/>
      <c r="C1759" s="159"/>
    </row>
    <row r="1760" spans="1:3">
      <c r="A1760" s="159">
        <v>196</v>
      </c>
      <c r="B1760" s="160"/>
      <c r="C1760" s="159"/>
    </row>
    <row r="1761" spans="1:3">
      <c r="A1761" s="159">
        <v>196</v>
      </c>
      <c r="B1761" s="160"/>
      <c r="C1761" s="159"/>
    </row>
    <row r="1762" spans="1:3">
      <c r="A1762" s="159">
        <v>196</v>
      </c>
      <c r="B1762" s="160"/>
      <c r="C1762" s="159"/>
    </row>
    <row r="1763" spans="1:3">
      <c r="A1763" s="159">
        <v>196</v>
      </c>
      <c r="B1763" s="160"/>
      <c r="C1763" s="159"/>
    </row>
    <row r="1764" spans="1:3">
      <c r="A1764" s="159">
        <v>196</v>
      </c>
      <c r="B1764" s="160"/>
      <c r="C1764" s="159"/>
    </row>
    <row r="1765" spans="1:3">
      <c r="A1765" s="159">
        <v>197</v>
      </c>
      <c r="B1765" s="160" t="s">
        <v>622</v>
      </c>
      <c r="C1765" s="159" t="s">
        <v>623</v>
      </c>
    </row>
    <row r="1766" spans="1:3">
      <c r="A1766" s="159">
        <v>197</v>
      </c>
      <c r="B1766" s="160"/>
      <c r="C1766" s="159"/>
    </row>
    <row r="1767" spans="1:3">
      <c r="A1767" s="159">
        <v>197</v>
      </c>
      <c r="B1767" s="160"/>
      <c r="C1767" s="159"/>
    </row>
    <row r="1768" spans="1:3">
      <c r="A1768" s="159">
        <v>197</v>
      </c>
      <c r="B1768" s="160"/>
      <c r="C1768" s="159"/>
    </row>
    <row r="1769" spans="1:3">
      <c r="A1769" s="159">
        <v>197</v>
      </c>
      <c r="B1769" s="160"/>
      <c r="C1769" s="159"/>
    </row>
    <row r="1770" spans="1:3">
      <c r="A1770" s="159">
        <v>197</v>
      </c>
      <c r="B1770" s="160"/>
      <c r="C1770" s="159"/>
    </row>
    <row r="1771" spans="1:3">
      <c r="A1771" s="159">
        <v>197</v>
      </c>
      <c r="B1771" s="160"/>
      <c r="C1771" s="159"/>
    </row>
    <row r="1772" spans="1:3">
      <c r="A1772" s="159">
        <v>197</v>
      </c>
      <c r="B1772" s="160"/>
      <c r="C1772" s="159"/>
    </row>
    <row r="1773" spans="1:3">
      <c r="A1773" s="159">
        <v>197</v>
      </c>
      <c r="B1773" s="160"/>
      <c r="C1773" s="159"/>
    </row>
    <row r="1774" spans="1:3">
      <c r="A1774" s="159">
        <v>198</v>
      </c>
      <c r="B1774" s="160" t="s">
        <v>624</v>
      </c>
      <c r="C1774" s="159" t="s">
        <v>625</v>
      </c>
    </row>
    <row r="1775" spans="1:3">
      <c r="A1775" s="159">
        <v>198</v>
      </c>
      <c r="B1775" s="160"/>
      <c r="C1775" s="159"/>
    </row>
    <row r="1776" spans="1:3">
      <c r="A1776" s="159">
        <v>198</v>
      </c>
      <c r="B1776" s="160"/>
      <c r="C1776" s="159"/>
    </row>
    <row r="1777" spans="1:3">
      <c r="A1777" s="159">
        <v>198</v>
      </c>
      <c r="B1777" s="160"/>
      <c r="C1777" s="159"/>
    </row>
    <row r="1778" spans="1:3">
      <c r="A1778" s="159">
        <v>198</v>
      </c>
      <c r="B1778" s="160"/>
      <c r="C1778" s="159"/>
    </row>
    <row r="1779" spans="1:3">
      <c r="A1779" s="159">
        <v>198</v>
      </c>
      <c r="B1779" s="160"/>
      <c r="C1779" s="159"/>
    </row>
    <row r="1780" spans="1:3">
      <c r="A1780" s="159">
        <v>198</v>
      </c>
      <c r="B1780" s="160"/>
      <c r="C1780" s="159"/>
    </row>
    <row r="1781" spans="1:3">
      <c r="A1781" s="159">
        <v>198</v>
      </c>
      <c r="B1781" s="160"/>
      <c r="C1781" s="159"/>
    </row>
    <row r="1782" spans="1:3">
      <c r="A1782" s="159">
        <v>198</v>
      </c>
      <c r="B1782" s="160"/>
      <c r="C1782" s="159"/>
    </row>
    <row r="1783" spans="1:3">
      <c r="A1783" s="159">
        <v>199</v>
      </c>
      <c r="B1783" s="160" t="s">
        <v>626</v>
      </c>
      <c r="C1783" s="159" t="s">
        <v>627</v>
      </c>
    </row>
    <row r="1784" spans="1:3">
      <c r="A1784" s="159">
        <v>199</v>
      </c>
      <c r="B1784" s="160"/>
      <c r="C1784" s="159"/>
    </row>
    <row r="1785" spans="1:3">
      <c r="A1785" s="159">
        <v>199</v>
      </c>
      <c r="B1785" s="160"/>
      <c r="C1785" s="159"/>
    </row>
    <row r="1786" spans="1:3">
      <c r="A1786" s="159">
        <v>199</v>
      </c>
      <c r="B1786" s="160"/>
      <c r="C1786" s="159"/>
    </row>
    <row r="1787" spans="1:3">
      <c r="A1787" s="159">
        <v>199</v>
      </c>
      <c r="B1787" s="160"/>
      <c r="C1787" s="159"/>
    </row>
    <row r="1788" spans="1:3">
      <c r="A1788" s="159">
        <v>199</v>
      </c>
      <c r="B1788" s="160"/>
      <c r="C1788" s="159"/>
    </row>
    <row r="1789" spans="1:3">
      <c r="A1789" s="159">
        <v>199</v>
      </c>
      <c r="B1789" s="160"/>
      <c r="C1789" s="159"/>
    </row>
    <row r="1790" spans="1:3">
      <c r="A1790" s="159">
        <v>199</v>
      </c>
      <c r="B1790" s="160"/>
      <c r="C1790" s="159"/>
    </row>
    <row r="1791" spans="1:3">
      <c r="A1791" s="159">
        <v>199</v>
      </c>
      <c r="B1791" s="160"/>
      <c r="C1791" s="159"/>
    </row>
    <row r="1792" spans="1:3">
      <c r="A1792" s="159">
        <v>200</v>
      </c>
      <c r="B1792" s="160" t="s">
        <v>628</v>
      </c>
      <c r="C1792" s="159" t="s">
        <v>629</v>
      </c>
    </row>
    <row r="1793" spans="1:3">
      <c r="A1793" s="159">
        <v>200</v>
      </c>
      <c r="B1793" s="160"/>
      <c r="C1793" s="159"/>
    </row>
    <row r="1794" spans="1:3">
      <c r="A1794" s="159">
        <v>200</v>
      </c>
      <c r="B1794" s="160"/>
      <c r="C1794" s="159"/>
    </row>
    <row r="1795" spans="1:3">
      <c r="A1795" s="159">
        <v>200</v>
      </c>
      <c r="B1795" s="160"/>
      <c r="C1795" s="159"/>
    </row>
    <row r="1796" spans="1:3">
      <c r="A1796" s="159">
        <v>200</v>
      </c>
      <c r="B1796" s="160"/>
      <c r="C1796" s="159"/>
    </row>
    <row r="1797" spans="1:3">
      <c r="A1797" s="159">
        <v>200</v>
      </c>
      <c r="B1797" s="160"/>
      <c r="C1797" s="159"/>
    </row>
    <row r="1798" spans="1:3">
      <c r="A1798" s="159">
        <v>200</v>
      </c>
      <c r="B1798" s="160"/>
      <c r="C1798" s="159"/>
    </row>
    <row r="1799" spans="1:3">
      <c r="A1799" s="159">
        <v>200</v>
      </c>
      <c r="B1799" s="160"/>
      <c r="C1799" s="159"/>
    </row>
    <row r="1800" spans="1:3">
      <c r="A1800" s="159">
        <v>200</v>
      </c>
      <c r="B1800" s="160"/>
      <c r="C1800" s="159"/>
    </row>
  </sheetData>
  <mergeCells count="600">
    <mergeCell ref="A1783:A1791"/>
    <mergeCell ref="B1783:B1791"/>
    <mergeCell ref="C1783:C1791"/>
    <mergeCell ref="A1792:A1800"/>
    <mergeCell ref="B1792:B1800"/>
    <mergeCell ref="C1792:C1800"/>
    <mergeCell ref="A1765:A1773"/>
    <mergeCell ref="B1765:B1773"/>
    <mergeCell ref="C1765:C1773"/>
    <mergeCell ref="A1774:A1782"/>
    <mergeCell ref="B1774:B1782"/>
    <mergeCell ref="C1774:C1782"/>
    <mergeCell ref="A1747:A1755"/>
    <mergeCell ref="B1747:B1755"/>
    <mergeCell ref="C1747:C1755"/>
    <mergeCell ref="A1756:A1764"/>
    <mergeCell ref="B1756:B1764"/>
    <mergeCell ref="C1756:C1764"/>
    <mergeCell ref="A1729:A1737"/>
    <mergeCell ref="B1729:B1737"/>
    <mergeCell ref="C1729:C1737"/>
    <mergeCell ref="A1738:A1746"/>
    <mergeCell ref="B1738:B1746"/>
    <mergeCell ref="C1738:C1746"/>
    <mergeCell ref="A1711:A1719"/>
    <mergeCell ref="B1711:B1719"/>
    <mergeCell ref="C1711:C1719"/>
    <mergeCell ref="A1720:A1728"/>
    <mergeCell ref="B1720:B1728"/>
    <mergeCell ref="C1720:C1728"/>
    <mergeCell ref="A1693:A1701"/>
    <mergeCell ref="B1693:B1701"/>
    <mergeCell ref="C1693:C1701"/>
    <mergeCell ref="A1702:A1710"/>
    <mergeCell ref="B1702:B1710"/>
    <mergeCell ref="C1702:C1710"/>
    <mergeCell ref="A1675:A1683"/>
    <mergeCell ref="B1675:B1683"/>
    <mergeCell ref="C1675:C1683"/>
    <mergeCell ref="A1684:A1692"/>
    <mergeCell ref="B1684:B1692"/>
    <mergeCell ref="C1684:C1692"/>
    <mergeCell ref="A1657:A1665"/>
    <mergeCell ref="B1657:B1665"/>
    <mergeCell ref="C1657:C1665"/>
    <mergeCell ref="A1666:A1674"/>
    <mergeCell ref="B1666:B1674"/>
    <mergeCell ref="C1666:C1674"/>
    <mergeCell ref="A1639:A1647"/>
    <mergeCell ref="B1639:B1647"/>
    <mergeCell ref="C1639:C1647"/>
    <mergeCell ref="A1648:A1656"/>
    <mergeCell ref="B1648:B1656"/>
    <mergeCell ref="C1648:C1656"/>
    <mergeCell ref="A1621:A1629"/>
    <mergeCell ref="B1621:B1629"/>
    <mergeCell ref="C1621:C1629"/>
    <mergeCell ref="A1630:A1638"/>
    <mergeCell ref="B1630:B1638"/>
    <mergeCell ref="C1630:C1638"/>
    <mergeCell ref="A1603:A1611"/>
    <mergeCell ref="B1603:B1611"/>
    <mergeCell ref="C1603:C1611"/>
    <mergeCell ref="A1612:A1620"/>
    <mergeCell ref="B1612:B1620"/>
    <mergeCell ref="C1612:C1620"/>
    <mergeCell ref="A1585:A1593"/>
    <mergeCell ref="B1585:B1593"/>
    <mergeCell ref="C1585:C1593"/>
    <mergeCell ref="A1594:A1602"/>
    <mergeCell ref="B1594:B1602"/>
    <mergeCell ref="C1594:C1602"/>
    <mergeCell ref="A1567:A1575"/>
    <mergeCell ref="B1567:B1575"/>
    <mergeCell ref="C1567:C1575"/>
    <mergeCell ref="A1576:A1584"/>
    <mergeCell ref="B1576:B1584"/>
    <mergeCell ref="C1576:C1584"/>
    <mergeCell ref="A1549:A1557"/>
    <mergeCell ref="B1549:B1557"/>
    <mergeCell ref="C1549:C1557"/>
    <mergeCell ref="A1558:A1566"/>
    <mergeCell ref="B1558:B1566"/>
    <mergeCell ref="C1558:C1566"/>
    <mergeCell ref="A1531:A1539"/>
    <mergeCell ref="B1531:B1539"/>
    <mergeCell ref="C1531:C1539"/>
    <mergeCell ref="A1540:A1548"/>
    <mergeCell ref="B1540:B1548"/>
    <mergeCell ref="C1540:C1548"/>
    <mergeCell ref="A1513:A1521"/>
    <mergeCell ref="B1513:B1521"/>
    <mergeCell ref="C1513:C1521"/>
    <mergeCell ref="A1522:A1530"/>
    <mergeCell ref="B1522:B1530"/>
    <mergeCell ref="C1522:C1530"/>
    <mergeCell ref="A1495:A1503"/>
    <mergeCell ref="B1495:B1503"/>
    <mergeCell ref="C1495:C1503"/>
    <mergeCell ref="A1504:A1512"/>
    <mergeCell ref="B1504:B1512"/>
    <mergeCell ref="C1504:C1512"/>
    <mergeCell ref="A1477:A1485"/>
    <mergeCell ref="B1477:B1485"/>
    <mergeCell ref="C1477:C1485"/>
    <mergeCell ref="A1486:A1494"/>
    <mergeCell ref="B1486:B1494"/>
    <mergeCell ref="C1486:C1494"/>
    <mergeCell ref="A1459:A1467"/>
    <mergeCell ref="B1459:B1467"/>
    <mergeCell ref="C1459:C1467"/>
    <mergeCell ref="A1468:A1476"/>
    <mergeCell ref="B1468:B1476"/>
    <mergeCell ref="C1468:C1476"/>
    <mergeCell ref="A1441:A1449"/>
    <mergeCell ref="B1441:B1449"/>
    <mergeCell ref="C1441:C1449"/>
    <mergeCell ref="A1450:A1458"/>
    <mergeCell ref="B1450:B1458"/>
    <mergeCell ref="C1450:C1458"/>
    <mergeCell ref="A1423:A1431"/>
    <mergeCell ref="B1423:B1431"/>
    <mergeCell ref="C1423:C1431"/>
    <mergeCell ref="A1432:A1440"/>
    <mergeCell ref="B1432:B1440"/>
    <mergeCell ref="C1432:C1440"/>
    <mergeCell ref="A1405:A1413"/>
    <mergeCell ref="B1405:B1413"/>
    <mergeCell ref="C1405:C1413"/>
    <mergeCell ref="A1414:A1422"/>
    <mergeCell ref="B1414:B1422"/>
    <mergeCell ref="C1414:C1422"/>
    <mergeCell ref="A1387:A1395"/>
    <mergeCell ref="B1387:B1395"/>
    <mergeCell ref="C1387:C1395"/>
    <mergeCell ref="A1396:A1404"/>
    <mergeCell ref="B1396:B1404"/>
    <mergeCell ref="C1396:C1404"/>
    <mergeCell ref="A1369:A1377"/>
    <mergeCell ref="B1369:B1377"/>
    <mergeCell ref="C1369:C1377"/>
    <mergeCell ref="A1378:A1386"/>
    <mergeCell ref="B1378:B1386"/>
    <mergeCell ref="C1378:C1386"/>
    <mergeCell ref="A1351:A1359"/>
    <mergeCell ref="B1351:B1359"/>
    <mergeCell ref="C1351:C1359"/>
    <mergeCell ref="A1360:A1368"/>
    <mergeCell ref="B1360:B1368"/>
    <mergeCell ref="C1360:C1368"/>
    <mergeCell ref="A1333:A1341"/>
    <mergeCell ref="B1333:B1341"/>
    <mergeCell ref="C1333:C1341"/>
    <mergeCell ref="A1342:A1350"/>
    <mergeCell ref="B1342:B1350"/>
    <mergeCell ref="C1342:C1350"/>
    <mergeCell ref="A1315:A1323"/>
    <mergeCell ref="B1315:B1323"/>
    <mergeCell ref="C1315:C1323"/>
    <mergeCell ref="A1324:A1332"/>
    <mergeCell ref="B1324:B1332"/>
    <mergeCell ref="C1324:C1332"/>
    <mergeCell ref="A1297:A1305"/>
    <mergeCell ref="B1297:B1305"/>
    <mergeCell ref="C1297:C1305"/>
    <mergeCell ref="A1306:A1314"/>
    <mergeCell ref="B1306:B1314"/>
    <mergeCell ref="C1306:C1314"/>
    <mergeCell ref="A1279:A1287"/>
    <mergeCell ref="B1279:B1287"/>
    <mergeCell ref="C1279:C1287"/>
    <mergeCell ref="A1288:A1296"/>
    <mergeCell ref="B1288:B1296"/>
    <mergeCell ref="C1288:C1296"/>
    <mergeCell ref="A1261:A1269"/>
    <mergeCell ref="B1261:B1269"/>
    <mergeCell ref="C1261:C1269"/>
    <mergeCell ref="A1270:A1278"/>
    <mergeCell ref="B1270:B1278"/>
    <mergeCell ref="C1270:C1278"/>
    <mergeCell ref="A1243:A1251"/>
    <mergeCell ref="B1243:B1251"/>
    <mergeCell ref="C1243:C1251"/>
    <mergeCell ref="A1252:A1260"/>
    <mergeCell ref="B1252:B1260"/>
    <mergeCell ref="C1252:C1260"/>
    <mergeCell ref="A1225:A1233"/>
    <mergeCell ref="B1225:B1233"/>
    <mergeCell ref="C1225:C1233"/>
    <mergeCell ref="A1234:A1242"/>
    <mergeCell ref="B1234:B1242"/>
    <mergeCell ref="C1234:C1242"/>
    <mergeCell ref="A1207:A1215"/>
    <mergeCell ref="B1207:B1215"/>
    <mergeCell ref="C1207:C1215"/>
    <mergeCell ref="A1216:A1224"/>
    <mergeCell ref="B1216:B1224"/>
    <mergeCell ref="C1216:C1224"/>
    <mergeCell ref="A1189:A1197"/>
    <mergeCell ref="B1189:B1197"/>
    <mergeCell ref="C1189:C1197"/>
    <mergeCell ref="A1198:A1206"/>
    <mergeCell ref="B1198:B1206"/>
    <mergeCell ref="C1198:C1206"/>
    <mergeCell ref="A1171:A1179"/>
    <mergeCell ref="B1171:B1179"/>
    <mergeCell ref="C1171:C1179"/>
    <mergeCell ref="A1180:A1188"/>
    <mergeCell ref="B1180:B1188"/>
    <mergeCell ref="C1180:C1188"/>
    <mergeCell ref="A1153:A1161"/>
    <mergeCell ref="B1153:B1161"/>
    <mergeCell ref="C1153:C1161"/>
    <mergeCell ref="A1162:A1170"/>
    <mergeCell ref="B1162:B1170"/>
    <mergeCell ref="C1162:C1170"/>
    <mergeCell ref="A1135:A1143"/>
    <mergeCell ref="B1135:B1143"/>
    <mergeCell ref="C1135:C1143"/>
    <mergeCell ref="A1144:A1152"/>
    <mergeCell ref="B1144:B1152"/>
    <mergeCell ref="C1144:C1152"/>
    <mergeCell ref="A1117:A1125"/>
    <mergeCell ref="B1117:B1125"/>
    <mergeCell ref="C1117:C1125"/>
    <mergeCell ref="A1126:A1134"/>
    <mergeCell ref="B1126:B1134"/>
    <mergeCell ref="C1126:C1134"/>
    <mergeCell ref="A1099:A1107"/>
    <mergeCell ref="B1099:B1107"/>
    <mergeCell ref="C1099:C1107"/>
    <mergeCell ref="A1108:A1116"/>
    <mergeCell ref="B1108:B1116"/>
    <mergeCell ref="C1108:C1116"/>
    <mergeCell ref="A1081:A1089"/>
    <mergeCell ref="B1081:B1089"/>
    <mergeCell ref="C1081:C1089"/>
    <mergeCell ref="A1090:A1098"/>
    <mergeCell ref="B1090:B1098"/>
    <mergeCell ref="C1090:C1098"/>
    <mergeCell ref="A1063:A1071"/>
    <mergeCell ref="B1063:B1071"/>
    <mergeCell ref="C1063:C1071"/>
    <mergeCell ref="A1072:A1080"/>
    <mergeCell ref="B1072:B1080"/>
    <mergeCell ref="C1072:C1080"/>
    <mergeCell ref="A1045:A1053"/>
    <mergeCell ref="B1045:B1053"/>
    <mergeCell ref="C1045:C1053"/>
    <mergeCell ref="A1054:A1062"/>
    <mergeCell ref="B1054:B1062"/>
    <mergeCell ref="C1054:C1062"/>
    <mergeCell ref="A1027:A1035"/>
    <mergeCell ref="B1027:B1035"/>
    <mergeCell ref="C1027:C1035"/>
    <mergeCell ref="A1036:A1044"/>
    <mergeCell ref="B1036:B1044"/>
    <mergeCell ref="C1036:C1044"/>
    <mergeCell ref="A1009:A1017"/>
    <mergeCell ref="B1009:B1017"/>
    <mergeCell ref="C1009:C1017"/>
    <mergeCell ref="A1018:A1026"/>
    <mergeCell ref="B1018:B1026"/>
    <mergeCell ref="C1018:C1026"/>
    <mergeCell ref="A991:A999"/>
    <mergeCell ref="B991:B999"/>
    <mergeCell ref="C991:C999"/>
    <mergeCell ref="A1000:A1008"/>
    <mergeCell ref="B1000:B1008"/>
    <mergeCell ref="C1000:C1008"/>
    <mergeCell ref="A973:A981"/>
    <mergeCell ref="B973:B981"/>
    <mergeCell ref="C973:C981"/>
    <mergeCell ref="A982:A990"/>
    <mergeCell ref="B982:B990"/>
    <mergeCell ref="C982:C990"/>
    <mergeCell ref="A955:A963"/>
    <mergeCell ref="B955:B963"/>
    <mergeCell ref="C955:C963"/>
    <mergeCell ref="A964:A972"/>
    <mergeCell ref="B964:B972"/>
    <mergeCell ref="C964:C972"/>
    <mergeCell ref="A937:A945"/>
    <mergeCell ref="B937:B945"/>
    <mergeCell ref="C937:C945"/>
    <mergeCell ref="A946:A954"/>
    <mergeCell ref="B946:B954"/>
    <mergeCell ref="C946:C954"/>
    <mergeCell ref="A919:A927"/>
    <mergeCell ref="B919:B927"/>
    <mergeCell ref="C919:C927"/>
    <mergeCell ref="A928:A936"/>
    <mergeCell ref="B928:B936"/>
    <mergeCell ref="C928:C936"/>
    <mergeCell ref="A901:A909"/>
    <mergeCell ref="B901:B909"/>
    <mergeCell ref="C901:C909"/>
    <mergeCell ref="A910:A918"/>
    <mergeCell ref="B910:B918"/>
    <mergeCell ref="C910:C918"/>
    <mergeCell ref="A883:A891"/>
    <mergeCell ref="B883:B891"/>
    <mergeCell ref="C883:C891"/>
    <mergeCell ref="A892:A900"/>
    <mergeCell ref="B892:B900"/>
    <mergeCell ref="C892:C900"/>
    <mergeCell ref="A865:A873"/>
    <mergeCell ref="B865:B873"/>
    <mergeCell ref="C865:C873"/>
    <mergeCell ref="A874:A882"/>
    <mergeCell ref="B874:B882"/>
    <mergeCell ref="C874:C882"/>
    <mergeCell ref="A847:A855"/>
    <mergeCell ref="B847:B855"/>
    <mergeCell ref="C847:C855"/>
    <mergeCell ref="A856:A864"/>
    <mergeCell ref="B856:B864"/>
    <mergeCell ref="C856:C864"/>
    <mergeCell ref="A829:A837"/>
    <mergeCell ref="B829:B837"/>
    <mergeCell ref="C829:C837"/>
    <mergeCell ref="A838:A846"/>
    <mergeCell ref="B838:B846"/>
    <mergeCell ref="C838:C846"/>
    <mergeCell ref="A811:A819"/>
    <mergeCell ref="B811:B819"/>
    <mergeCell ref="C811:C819"/>
    <mergeCell ref="A820:A828"/>
    <mergeCell ref="B820:B828"/>
    <mergeCell ref="C820:C828"/>
    <mergeCell ref="A793:A801"/>
    <mergeCell ref="B793:B801"/>
    <mergeCell ref="C793:C801"/>
    <mergeCell ref="A802:A810"/>
    <mergeCell ref="B802:B810"/>
    <mergeCell ref="C802:C810"/>
    <mergeCell ref="A775:A783"/>
    <mergeCell ref="B775:B783"/>
    <mergeCell ref="C775:C783"/>
    <mergeCell ref="A784:A792"/>
    <mergeCell ref="B784:B792"/>
    <mergeCell ref="C784:C792"/>
    <mergeCell ref="A757:A765"/>
    <mergeCell ref="B757:B765"/>
    <mergeCell ref="C757:C765"/>
    <mergeCell ref="A766:A774"/>
    <mergeCell ref="B766:B774"/>
    <mergeCell ref="C766:C774"/>
    <mergeCell ref="A739:A747"/>
    <mergeCell ref="B739:B747"/>
    <mergeCell ref="C739:C747"/>
    <mergeCell ref="A748:A756"/>
    <mergeCell ref="B748:B756"/>
    <mergeCell ref="C748:C756"/>
    <mergeCell ref="A721:A729"/>
    <mergeCell ref="B721:B729"/>
    <mergeCell ref="C721:C729"/>
    <mergeCell ref="A730:A738"/>
    <mergeCell ref="B730:B738"/>
    <mergeCell ref="C730:C738"/>
    <mergeCell ref="A703:A711"/>
    <mergeCell ref="B703:B711"/>
    <mergeCell ref="C703:C711"/>
    <mergeCell ref="A712:A720"/>
    <mergeCell ref="B712:B720"/>
    <mergeCell ref="C712:C720"/>
    <mergeCell ref="A685:A693"/>
    <mergeCell ref="B685:B693"/>
    <mergeCell ref="C685:C693"/>
    <mergeCell ref="A694:A702"/>
    <mergeCell ref="B694:B702"/>
    <mergeCell ref="C694:C702"/>
    <mergeCell ref="A667:A675"/>
    <mergeCell ref="B667:B675"/>
    <mergeCell ref="C667:C675"/>
    <mergeCell ref="A676:A684"/>
    <mergeCell ref="B676:B684"/>
    <mergeCell ref="C676:C684"/>
    <mergeCell ref="A649:A657"/>
    <mergeCell ref="B649:B657"/>
    <mergeCell ref="C649:C657"/>
    <mergeCell ref="A658:A666"/>
    <mergeCell ref="B658:B666"/>
    <mergeCell ref="C658:C666"/>
    <mergeCell ref="A631:A639"/>
    <mergeCell ref="B631:B639"/>
    <mergeCell ref="C631:C639"/>
    <mergeCell ref="A640:A648"/>
    <mergeCell ref="B640:B648"/>
    <mergeCell ref="C640:C648"/>
    <mergeCell ref="A613:A621"/>
    <mergeCell ref="B613:B621"/>
    <mergeCell ref="C613:C621"/>
    <mergeCell ref="A622:A630"/>
    <mergeCell ref="B622:B630"/>
    <mergeCell ref="C622:C630"/>
    <mergeCell ref="A595:A603"/>
    <mergeCell ref="B595:B603"/>
    <mergeCell ref="C595:C603"/>
    <mergeCell ref="A604:A612"/>
    <mergeCell ref="B604:B612"/>
    <mergeCell ref="C604:C612"/>
    <mergeCell ref="A577:A585"/>
    <mergeCell ref="B577:B585"/>
    <mergeCell ref="C577:C585"/>
    <mergeCell ref="A586:A594"/>
    <mergeCell ref="B586:B594"/>
    <mergeCell ref="C586:C594"/>
    <mergeCell ref="A559:A567"/>
    <mergeCell ref="B559:B567"/>
    <mergeCell ref="C559:C567"/>
    <mergeCell ref="A568:A576"/>
    <mergeCell ref="B568:B576"/>
    <mergeCell ref="C568:C576"/>
    <mergeCell ref="A541:A549"/>
    <mergeCell ref="B541:B549"/>
    <mergeCell ref="C541:C549"/>
    <mergeCell ref="A550:A558"/>
    <mergeCell ref="B550:B558"/>
    <mergeCell ref="C550:C558"/>
    <mergeCell ref="A523:A531"/>
    <mergeCell ref="B523:B531"/>
    <mergeCell ref="C523:C531"/>
    <mergeCell ref="A532:A540"/>
    <mergeCell ref="B532:B540"/>
    <mergeCell ref="C532:C540"/>
    <mergeCell ref="A505:A513"/>
    <mergeCell ref="B505:B513"/>
    <mergeCell ref="C505:C513"/>
    <mergeCell ref="A514:A522"/>
    <mergeCell ref="B514:B522"/>
    <mergeCell ref="C514:C522"/>
    <mergeCell ref="A487:A495"/>
    <mergeCell ref="B487:B495"/>
    <mergeCell ref="C487:C495"/>
    <mergeCell ref="A496:A504"/>
    <mergeCell ref="B496:B504"/>
    <mergeCell ref="C496:C504"/>
    <mergeCell ref="A469:A477"/>
    <mergeCell ref="B469:B477"/>
    <mergeCell ref="C469:C477"/>
    <mergeCell ref="A478:A486"/>
    <mergeCell ref="B478:B486"/>
    <mergeCell ref="C478:C486"/>
    <mergeCell ref="A451:A459"/>
    <mergeCell ref="B451:B459"/>
    <mergeCell ref="C451:C459"/>
    <mergeCell ref="A460:A468"/>
    <mergeCell ref="B460:B468"/>
    <mergeCell ref="C460:C468"/>
    <mergeCell ref="A433:A441"/>
    <mergeCell ref="B433:B441"/>
    <mergeCell ref="C433:C441"/>
    <mergeCell ref="A442:A450"/>
    <mergeCell ref="B442:B450"/>
    <mergeCell ref="C442:C450"/>
    <mergeCell ref="A415:A423"/>
    <mergeCell ref="B415:B423"/>
    <mergeCell ref="C415:C423"/>
    <mergeCell ref="A424:A432"/>
    <mergeCell ref="B424:B432"/>
    <mergeCell ref="C424:C432"/>
    <mergeCell ref="A397:A405"/>
    <mergeCell ref="B397:B405"/>
    <mergeCell ref="C397:C405"/>
    <mergeCell ref="A406:A414"/>
    <mergeCell ref="B406:B414"/>
    <mergeCell ref="C406:C414"/>
    <mergeCell ref="A379:A387"/>
    <mergeCell ref="B379:B387"/>
    <mergeCell ref="C379:C387"/>
    <mergeCell ref="A388:A396"/>
    <mergeCell ref="B388:B396"/>
    <mergeCell ref="C388:C396"/>
    <mergeCell ref="A361:A369"/>
    <mergeCell ref="B361:B369"/>
    <mergeCell ref="C361:C369"/>
    <mergeCell ref="A370:A378"/>
    <mergeCell ref="B370:B378"/>
    <mergeCell ref="C370:C378"/>
    <mergeCell ref="A343:A351"/>
    <mergeCell ref="B343:B351"/>
    <mergeCell ref="C343:C351"/>
    <mergeCell ref="A352:A360"/>
    <mergeCell ref="B352:B360"/>
    <mergeCell ref="C352:C360"/>
    <mergeCell ref="A325:A333"/>
    <mergeCell ref="B325:B333"/>
    <mergeCell ref="C325:C333"/>
    <mergeCell ref="A334:A342"/>
    <mergeCell ref="B334:B342"/>
    <mergeCell ref="C334:C342"/>
    <mergeCell ref="A307:A315"/>
    <mergeCell ref="B307:B315"/>
    <mergeCell ref="C307:C315"/>
    <mergeCell ref="A316:A324"/>
    <mergeCell ref="B316:B324"/>
    <mergeCell ref="C316:C324"/>
    <mergeCell ref="A289:A297"/>
    <mergeCell ref="B289:B297"/>
    <mergeCell ref="C289:C297"/>
    <mergeCell ref="A298:A306"/>
    <mergeCell ref="B298:B306"/>
    <mergeCell ref="C298:C306"/>
    <mergeCell ref="A271:A279"/>
    <mergeCell ref="B271:B279"/>
    <mergeCell ref="C271:C279"/>
    <mergeCell ref="A280:A288"/>
    <mergeCell ref="B280:B288"/>
    <mergeCell ref="C280:C288"/>
    <mergeCell ref="A253:A261"/>
    <mergeCell ref="B253:B261"/>
    <mergeCell ref="C253:C261"/>
    <mergeCell ref="A262:A270"/>
    <mergeCell ref="B262:B270"/>
    <mergeCell ref="C262:C270"/>
    <mergeCell ref="A235:A243"/>
    <mergeCell ref="B235:B243"/>
    <mergeCell ref="C235:C243"/>
    <mergeCell ref="A244:A252"/>
    <mergeCell ref="B244:B252"/>
    <mergeCell ref="C244:C252"/>
    <mergeCell ref="A217:A225"/>
    <mergeCell ref="B217:B225"/>
    <mergeCell ref="C217:C225"/>
    <mergeCell ref="A226:A234"/>
    <mergeCell ref="B226:B234"/>
    <mergeCell ref="C226:C234"/>
    <mergeCell ref="A199:A207"/>
    <mergeCell ref="B199:B207"/>
    <mergeCell ref="C199:C207"/>
    <mergeCell ref="A208:A216"/>
    <mergeCell ref="B208:B216"/>
    <mergeCell ref="C208:C216"/>
    <mergeCell ref="A181:A189"/>
    <mergeCell ref="B181:B189"/>
    <mergeCell ref="C181:C189"/>
    <mergeCell ref="A190:A198"/>
    <mergeCell ref="B190:B198"/>
    <mergeCell ref="C190:C198"/>
    <mergeCell ref="A163:A171"/>
    <mergeCell ref="B163:B171"/>
    <mergeCell ref="C163:C171"/>
    <mergeCell ref="A172:A180"/>
    <mergeCell ref="B172:B180"/>
    <mergeCell ref="C172:C180"/>
    <mergeCell ref="A145:A153"/>
    <mergeCell ref="B145:B153"/>
    <mergeCell ref="C145:C153"/>
    <mergeCell ref="A154:A162"/>
    <mergeCell ref="B154:B162"/>
    <mergeCell ref="C154:C162"/>
    <mergeCell ref="A127:A135"/>
    <mergeCell ref="B127:B135"/>
    <mergeCell ref="C127:C135"/>
    <mergeCell ref="A136:A144"/>
    <mergeCell ref="B136:B144"/>
    <mergeCell ref="C136:C144"/>
    <mergeCell ref="A109:A117"/>
    <mergeCell ref="B109:B117"/>
    <mergeCell ref="C109:C117"/>
    <mergeCell ref="A118:A126"/>
    <mergeCell ref="B118:B126"/>
    <mergeCell ref="C118:C126"/>
    <mergeCell ref="A91:A99"/>
    <mergeCell ref="B91:B99"/>
    <mergeCell ref="C91:C99"/>
    <mergeCell ref="A100:A108"/>
    <mergeCell ref="B100:B108"/>
    <mergeCell ref="C100:C108"/>
    <mergeCell ref="A73:A81"/>
    <mergeCell ref="B73:B81"/>
    <mergeCell ref="C73:C81"/>
    <mergeCell ref="A82:A90"/>
    <mergeCell ref="B82:B90"/>
    <mergeCell ref="C82:C90"/>
    <mergeCell ref="A55:A63"/>
    <mergeCell ref="B55:B63"/>
    <mergeCell ref="C55:C63"/>
    <mergeCell ref="A64:A72"/>
    <mergeCell ref="B64:B72"/>
    <mergeCell ref="C64:C72"/>
    <mergeCell ref="A37:A45"/>
    <mergeCell ref="B37:B45"/>
    <mergeCell ref="C37:C45"/>
    <mergeCell ref="A46:A54"/>
    <mergeCell ref="B46:B54"/>
    <mergeCell ref="C46:C54"/>
    <mergeCell ref="A19:A27"/>
    <mergeCell ref="B19:B27"/>
    <mergeCell ref="C19:C27"/>
    <mergeCell ref="A28:A36"/>
    <mergeCell ref="B28:B36"/>
    <mergeCell ref="C28:C36"/>
    <mergeCell ref="A1:A9"/>
    <mergeCell ref="B1:B9"/>
    <mergeCell ref="C1:C9"/>
    <mergeCell ref="A10:A18"/>
    <mergeCell ref="B10:B18"/>
    <mergeCell ref="C10:C18"/>
  </mergeCells>
  <pageMargins left="0.7" right="0.7" top="0.75" bottom="0.75" header="0.3" footer="0.3"/>
  <pageSetup paperSize="1000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9A27-171D-4EC1-BBFD-C700A396BE4C}">
  <sheetPr>
    <tabColor rgb="FF990000"/>
    <pageSetUpPr fitToPage="1"/>
  </sheetPr>
  <dimension ref="A1:FE18"/>
  <sheetViews>
    <sheetView topLeftCell="EG1" zoomScale="80" zoomScaleNormal="80" workbookViewId="0">
      <selection activeCell="FA22" sqref="FA22"/>
    </sheetView>
  </sheetViews>
  <sheetFormatPr defaultColWidth="9.109375" defaultRowHeight="14.4"/>
  <cols>
    <col min="1" max="1" width="5.5546875" style="2" customWidth="1"/>
    <col min="2" max="2" width="17.109375" style="35" customWidth="1"/>
    <col min="3" max="3" width="50.33203125" style="2" customWidth="1"/>
    <col min="4" max="4" width="17" style="2" customWidth="1"/>
    <col min="5" max="5" width="6.6640625" style="2" customWidth="1"/>
    <col min="6" max="6" width="9" style="2" customWidth="1"/>
    <col min="7" max="30" width="6.6640625" style="2" customWidth="1"/>
    <col min="31" max="31" width="7.33203125" style="2" customWidth="1"/>
    <col min="32" max="32" width="9.33203125" style="2" customWidth="1"/>
    <col min="33" max="50" width="6.6640625" style="2" customWidth="1"/>
    <col min="51" max="51" width="9.5546875" style="2" customWidth="1"/>
    <col min="52" max="52" width="10.88671875" style="2" customWidth="1"/>
    <col min="53" max="53" width="6.6640625" style="2" customWidth="1"/>
    <col min="54" max="54" width="11.44140625" style="2" customWidth="1"/>
    <col min="55" max="55" width="12.5546875" style="2" customWidth="1"/>
    <col min="56" max="56" width="14.33203125" style="2" customWidth="1"/>
    <col min="57" max="70" width="11.6640625" style="2" customWidth="1"/>
    <col min="71" max="72" width="6.6640625" style="2" customWidth="1"/>
    <col min="73" max="73" width="9.109375" style="2" customWidth="1"/>
    <col min="74" max="78" width="6.6640625" style="2" customWidth="1"/>
    <col min="79" max="79" width="10.88671875" style="2" customWidth="1"/>
    <col min="80" max="83" width="6.6640625" style="2" customWidth="1"/>
    <col min="84" max="92" width="9.109375" style="2" customWidth="1"/>
    <col min="93" max="96" width="8.6640625" style="2" customWidth="1"/>
    <col min="97" max="100" width="8.6640625" style="36" customWidth="1"/>
    <col min="101" max="108" width="8.6640625" style="2" customWidth="1"/>
    <col min="109" max="109" width="11.109375" style="2" customWidth="1"/>
    <col min="110" max="110" width="12.44140625" style="2" customWidth="1"/>
    <col min="111" max="130" width="8.6640625" style="2" customWidth="1"/>
    <col min="131" max="131" width="8.33203125" style="2" bestFit="1" customWidth="1"/>
    <col min="132" max="133" width="8.33203125" style="2" customWidth="1"/>
    <col min="134" max="134" width="7.6640625" style="2" customWidth="1"/>
    <col min="135" max="142" width="8.6640625" style="2" customWidth="1"/>
    <col min="143" max="143" width="6.6640625" style="2" customWidth="1"/>
    <col min="144" max="152" width="10.44140625" style="2" bestFit="1" customWidth="1"/>
    <col min="153" max="153" width="13.44140625" style="2" customWidth="1"/>
    <col min="154" max="156" width="10.44140625" style="2" bestFit="1" customWidth="1"/>
    <col min="157" max="157" width="10.109375" style="2" customWidth="1"/>
    <col min="158" max="158" width="10.44140625" style="2" bestFit="1" customWidth="1"/>
    <col min="159" max="159" width="11.109375" style="2" customWidth="1"/>
    <col min="160" max="160" width="11.33203125" style="2" bestFit="1" customWidth="1"/>
    <col min="161" max="161" width="12.5546875" style="2" customWidth="1"/>
    <col min="162" max="16384" width="9.109375" style="2"/>
  </cols>
  <sheetData>
    <row r="1" spans="1:161" ht="15" thickBot="1">
      <c r="A1" s="162" t="s">
        <v>0</v>
      </c>
      <c r="B1" s="163" t="s">
        <v>1</v>
      </c>
      <c r="C1" s="162" t="s">
        <v>2</v>
      </c>
      <c r="D1" s="162" t="s">
        <v>3</v>
      </c>
      <c r="E1" s="162"/>
      <c r="F1" s="162"/>
      <c r="G1" s="162"/>
      <c r="H1" s="162"/>
      <c r="I1" s="162"/>
      <c r="J1" s="1"/>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c r="AQ1" s="162"/>
      <c r="AR1" s="162"/>
      <c r="AS1" s="172"/>
      <c r="AT1" s="173"/>
      <c r="AU1" s="173"/>
      <c r="AV1" s="174"/>
      <c r="AW1" s="172"/>
      <c r="AX1" s="173"/>
      <c r="AY1" s="173"/>
      <c r="AZ1" s="173"/>
      <c r="BA1" s="173"/>
      <c r="BB1" s="173"/>
      <c r="BC1" s="162" t="s">
        <v>4</v>
      </c>
      <c r="BD1" s="162"/>
      <c r="BE1" s="1"/>
      <c r="BF1" s="1"/>
      <c r="BG1" s="1"/>
      <c r="BH1" s="1"/>
      <c r="BI1" s="1"/>
      <c r="BJ1" s="1"/>
      <c r="BK1" s="1"/>
      <c r="BL1" s="1"/>
      <c r="BM1" s="1"/>
      <c r="BN1" s="1"/>
      <c r="BO1" s="1"/>
      <c r="BP1" s="1"/>
      <c r="BQ1" s="162" t="s">
        <v>5</v>
      </c>
      <c r="BR1" s="162"/>
      <c r="BS1" s="1"/>
      <c r="BT1" s="1"/>
      <c r="BU1" s="1"/>
      <c r="BV1" s="1"/>
      <c r="BW1" s="1"/>
      <c r="BX1" s="1"/>
      <c r="BY1" s="1"/>
      <c r="BZ1" s="1"/>
      <c r="CA1" s="1"/>
      <c r="CB1" s="1"/>
      <c r="CC1" s="1"/>
      <c r="CD1" s="1"/>
      <c r="CE1" s="1"/>
      <c r="CF1" s="197" t="s">
        <v>6</v>
      </c>
      <c r="CG1" s="198"/>
      <c r="CH1" s="198"/>
      <c r="CI1" s="198"/>
      <c r="CJ1" s="198"/>
      <c r="CK1" s="198"/>
      <c r="CL1" s="198"/>
      <c r="CM1" s="198"/>
      <c r="CN1" s="198"/>
      <c r="CO1" s="170" t="str">
        <f>E2</f>
        <v>1.Pendidikan Agama Islam (PAI)</v>
      </c>
      <c r="CP1" s="170"/>
      <c r="CQ1" s="170"/>
      <c r="CR1" s="170"/>
      <c r="CS1" s="195" t="str">
        <f>K2</f>
        <v>2.Pendidikan Pancasila</v>
      </c>
      <c r="CT1" s="193"/>
      <c r="CU1" s="193"/>
      <c r="CV1" s="193"/>
      <c r="CW1" s="170" t="str">
        <f>Q2</f>
        <v>3.Bahasa Indonesia</v>
      </c>
      <c r="CX1" s="170"/>
      <c r="CY1" s="170"/>
      <c r="CZ1" s="170"/>
      <c r="DA1" s="185" t="str">
        <f>W2</f>
        <v>4.Pendidikan Jasmani Olahraga dan Kesehatan</v>
      </c>
      <c r="DB1" s="186"/>
      <c r="DC1" s="170" t="str">
        <f>AA2</f>
        <v>5.Sejarah</v>
      </c>
      <c r="DD1" s="170"/>
      <c r="DE1" s="195" t="str">
        <f>AE2</f>
        <v>6.Seni Budaya (Seni Tari)</v>
      </c>
      <c r="DF1" s="193"/>
      <c r="DG1" s="170" t="str">
        <f>AG2</f>
        <v>7.Bahasa Sunda</v>
      </c>
      <c r="DH1" s="170"/>
      <c r="DI1" s="193" t="str">
        <f>AK2</f>
        <v>8.Public speaking</v>
      </c>
      <c r="DJ1" s="193"/>
      <c r="DK1" s="193"/>
      <c r="DL1" s="193"/>
      <c r="DM1" s="170" t="str">
        <f>AM2</f>
        <v>9.Matematika</v>
      </c>
      <c r="DN1" s="170"/>
      <c r="DO1" s="170"/>
      <c r="DP1" s="170"/>
      <c r="DQ1" s="195" t="str">
        <f>AS2</f>
        <v>10.Bahasa Inggris</v>
      </c>
      <c r="DR1" s="193"/>
      <c r="DS1" s="193"/>
      <c r="DT1" s="193"/>
      <c r="DU1" s="195" t="str">
        <f>AY2</f>
        <v>11.Informatika</v>
      </c>
      <c r="DV1" s="193"/>
      <c r="DW1" s="185" t="str">
        <f>BA2</f>
        <v>12.Projek Ilmu Pengetahuan Alam dan Sosial</v>
      </c>
      <c r="DX1" s="186"/>
      <c r="DY1" s="185" t="str">
        <f>BC2</f>
        <v>13.Dasar - dasar Program Keahlian</v>
      </c>
      <c r="DZ1" s="186"/>
      <c r="EA1" s="189" t="s">
        <v>311</v>
      </c>
      <c r="EB1" s="190"/>
      <c r="EC1" s="190"/>
      <c r="ED1" s="190"/>
      <c r="EE1" s="185" t="str">
        <f>BW2</f>
        <v xml:space="preserve">15.Projek Kreatif dan Kewirausahaan </v>
      </c>
      <c r="EF1" s="186"/>
      <c r="EG1" s="186"/>
      <c r="EH1" s="186"/>
      <c r="EI1" s="193" t="s">
        <v>7</v>
      </c>
      <c r="EJ1" s="195" t="str">
        <f>CB2</f>
        <v>17.Bahasa Jepang</v>
      </c>
      <c r="EK1" s="193"/>
      <c r="EL1" s="193"/>
      <c r="EM1" s="193"/>
      <c r="EN1" s="181" t="s">
        <v>8</v>
      </c>
      <c r="EO1" s="181"/>
      <c r="EP1" s="181"/>
      <c r="EQ1" s="181"/>
      <c r="ER1" s="181"/>
      <c r="ES1" s="181"/>
      <c r="ET1" s="181"/>
      <c r="EU1" s="181"/>
      <c r="EV1" s="181"/>
      <c r="EW1" s="181"/>
      <c r="EX1" s="181"/>
      <c r="EY1" s="181"/>
      <c r="EZ1" s="181"/>
      <c r="FA1" s="181"/>
      <c r="FB1" s="181"/>
      <c r="FC1" s="181"/>
      <c r="FD1" s="181"/>
    </row>
    <row r="2" spans="1:161" s="4" customFormat="1" ht="59.25" customHeight="1" thickBot="1">
      <c r="A2" s="162"/>
      <c r="B2" s="164"/>
      <c r="C2" s="162"/>
      <c r="D2" s="162"/>
      <c r="E2" s="182" t="s">
        <v>9</v>
      </c>
      <c r="F2" s="183"/>
      <c r="G2" s="183"/>
      <c r="H2" s="183"/>
      <c r="I2" s="183"/>
      <c r="J2" s="183"/>
      <c r="K2" s="182" t="s">
        <v>10</v>
      </c>
      <c r="L2" s="183"/>
      <c r="M2" s="183"/>
      <c r="N2" s="183"/>
      <c r="O2" s="183"/>
      <c r="P2" s="183"/>
      <c r="Q2" s="182" t="s">
        <v>11</v>
      </c>
      <c r="R2" s="183"/>
      <c r="S2" s="183"/>
      <c r="T2" s="183"/>
      <c r="U2" s="183"/>
      <c r="V2" s="183"/>
      <c r="W2" s="182" t="s">
        <v>12</v>
      </c>
      <c r="X2" s="183"/>
      <c r="Y2" s="183"/>
      <c r="Z2" s="183"/>
      <c r="AA2" s="182" t="s">
        <v>13</v>
      </c>
      <c r="AB2" s="183"/>
      <c r="AC2" s="183"/>
      <c r="AD2" s="183"/>
      <c r="AE2" s="182" t="s">
        <v>14</v>
      </c>
      <c r="AF2" s="183"/>
      <c r="AG2" s="183" t="s">
        <v>15</v>
      </c>
      <c r="AH2" s="183"/>
      <c r="AI2" s="183"/>
      <c r="AJ2" s="183"/>
      <c r="AK2" s="184" t="s">
        <v>16</v>
      </c>
      <c r="AL2" s="184"/>
      <c r="AM2" s="184" t="s">
        <v>17</v>
      </c>
      <c r="AN2" s="184"/>
      <c r="AO2" s="184"/>
      <c r="AP2" s="184"/>
      <c r="AQ2" s="184"/>
      <c r="AR2" s="184"/>
      <c r="AS2" s="182" t="s">
        <v>18</v>
      </c>
      <c r="AT2" s="183"/>
      <c r="AU2" s="183"/>
      <c r="AV2" s="183"/>
      <c r="AW2" s="183"/>
      <c r="AX2" s="211"/>
      <c r="AY2" s="182" t="s">
        <v>19</v>
      </c>
      <c r="AZ2" s="211"/>
      <c r="BA2" s="182" t="s">
        <v>20</v>
      </c>
      <c r="BB2" s="211"/>
      <c r="BC2" s="184" t="s">
        <v>21</v>
      </c>
      <c r="BD2" s="184"/>
      <c r="BE2" s="175" t="s">
        <v>422</v>
      </c>
      <c r="BF2" s="222"/>
      <c r="BG2" s="223" t="s">
        <v>423</v>
      </c>
      <c r="BH2" s="223"/>
      <c r="BI2" s="222" t="s">
        <v>424</v>
      </c>
      <c r="BJ2" s="176"/>
      <c r="BK2" s="177" t="s">
        <v>425</v>
      </c>
      <c r="BL2" s="178"/>
      <c r="BM2" s="175" t="s">
        <v>426</v>
      </c>
      <c r="BN2" s="176"/>
      <c r="BO2" s="177" t="s">
        <v>427</v>
      </c>
      <c r="BP2" s="178"/>
      <c r="BQ2" s="179" t="s">
        <v>428</v>
      </c>
      <c r="BR2" s="180"/>
      <c r="BS2" s="208" t="s">
        <v>25</v>
      </c>
      <c r="BT2" s="209"/>
      <c r="BU2" s="209"/>
      <c r="BV2" s="210"/>
      <c r="BW2" s="182" t="s">
        <v>26</v>
      </c>
      <c r="BX2" s="183"/>
      <c r="BY2" s="183"/>
      <c r="BZ2" s="211"/>
      <c r="CA2" s="3" t="s">
        <v>7</v>
      </c>
      <c r="CB2" s="212" t="s">
        <v>27</v>
      </c>
      <c r="CC2" s="213"/>
      <c r="CD2" s="213"/>
      <c r="CE2" s="214"/>
      <c r="CF2" s="199"/>
      <c r="CG2" s="200"/>
      <c r="CH2" s="200"/>
      <c r="CI2" s="200"/>
      <c r="CJ2" s="200"/>
      <c r="CK2" s="200"/>
      <c r="CL2" s="200"/>
      <c r="CM2" s="200"/>
      <c r="CN2" s="200"/>
      <c r="CO2" s="171"/>
      <c r="CP2" s="171"/>
      <c r="CQ2" s="171"/>
      <c r="CR2" s="171"/>
      <c r="CS2" s="196"/>
      <c r="CT2" s="194"/>
      <c r="CU2" s="194"/>
      <c r="CV2" s="194"/>
      <c r="CW2" s="171"/>
      <c r="CX2" s="171"/>
      <c r="CY2" s="171"/>
      <c r="CZ2" s="171"/>
      <c r="DA2" s="187"/>
      <c r="DB2" s="188"/>
      <c r="DC2" s="171"/>
      <c r="DD2" s="171"/>
      <c r="DE2" s="196"/>
      <c r="DF2" s="194"/>
      <c r="DG2" s="171"/>
      <c r="DH2" s="171"/>
      <c r="DI2" s="194"/>
      <c r="DJ2" s="194"/>
      <c r="DK2" s="194"/>
      <c r="DL2" s="194"/>
      <c r="DM2" s="171"/>
      <c r="DN2" s="171"/>
      <c r="DO2" s="171"/>
      <c r="DP2" s="171"/>
      <c r="DQ2" s="196"/>
      <c r="DR2" s="194"/>
      <c r="DS2" s="194"/>
      <c r="DT2" s="194"/>
      <c r="DU2" s="196"/>
      <c r="DV2" s="194"/>
      <c r="DW2" s="187"/>
      <c r="DX2" s="188"/>
      <c r="DY2" s="187"/>
      <c r="DZ2" s="188"/>
      <c r="EA2" s="191"/>
      <c r="EB2" s="192"/>
      <c r="EC2" s="192"/>
      <c r="ED2" s="192"/>
      <c r="EE2" s="187"/>
      <c r="EF2" s="188"/>
      <c r="EG2" s="188"/>
      <c r="EH2" s="188"/>
      <c r="EI2" s="194"/>
      <c r="EJ2" s="196"/>
      <c r="EK2" s="194"/>
      <c r="EL2" s="194"/>
      <c r="EM2" s="194"/>
      <c r="EN2" s="204" t="s">
        <v>28</v>
      </c>
      <c r="EO2" s="204" t="s">
        <v>10</v>
      </c>
      <c r="EP2" s="204" t="s">
        <v>11</v>
      </c>
      <c r="EQ2" s="204" t="s">
        <v>12</v>
      </c>
      <c r="ER2" s="204" t="s">
        <v>13</v>
      </c>
      <c r="ES2" s="204" t="s">
        <v>14</v>
      </c>
      <c r="ET2" s="204" t="s">
        <v>15</v>
      </c>
      <c r="EU2" s="204" t="s">
        <v>16</v>
      </c>
      <c r="EV2" s="204" t="s">
        <v>17</v>
      </c>
      <c r="EW2" s="204" t="s">
        <v>18</v>
      </c>
      <c r="EX2" s="204" t="s">
        <v>19</v>
      </c>
      <c r="EY2" s="204" t="s">
        <v>20</v>
      </c>
      <c r="EZ2" s="204" t="s">
        <v>21</v>
      </c>
      <c r="FA2" s="205" t="s">
        <v>29</v>
      </c>
      <c r="FB2" s="204" t="s">
        <v>26</v>
      </c>
      <c r="FC2" s="204" t="s">
        <v>30</v>
      </c>
      <c r="FD2" s="217" t="s">
        <v>31</v>
      </c>
      <c r="FE2" s="201" t="s">
        <v>32</v>
      </c>
    </row>
    <row r="3" spans="1:161" ht="15" customHeight="1" thickBot="1">
      <c r="A3" s="162"/>
      <c r="B3" s="164"/>
      <c r="C3" s="162"/>
      <c r="D3" s="162"/>
      <c r="E3" s="202" t="s">
        <v>33</v>
      </c>
      <c r="F3" s="202" t="s">
        <v>34</v>
      </c>
      <c r="G3" s="202" t="s">
        <v>35</v>
      </c>
      <c r="H3" s="202" t="s">
        <v>36</v>
      </c>
      <c r="I3" s="202" t="s">
        <v>37</v>
      </c>
      <c r="J3" s="168" t="s">
        <v>38</v>
      </c>
      <c r="K3" s="166" t="s">
        <v>33</v>
      </c>
      <c r="L3" s="166" t="s">
        <v>34</v>
      </c>
      <c r="M3" s="166" t="s">
        <v>35</v>
      </c>
      <c r="N3" s="166" t="s">
        <v>36</v>
      </c>
      <c r="O3" s="166" t="s">
        <v>37</v>
      </c>
      <c r="P3" s="168" t="s">
        <v>38</v>
      </c>
      <c r="Q3" s="215" t="s">
        <v>33</v>
      </c>
      <c r="R3" s="215" t="s">
        <v>34</v>
      </c>
      <c r="S3" s="215" t="s">
        <v>35</v>
      </c>
      <c r="T3" s="215" t="s">
        <v>36</v>
      </c>
      <c r="U3" s="215" t="s">
        <v>37</v>
      </c>
      <c r="V3" s="168" t="s">
        <v>38</v>
      </c>
      <c r="W3" s="224" t="s">
        <v>33</v>
      </c>
      <c r="X3" s="224" t="s">
        <v>34</v>
      </c>
      <c r="Y3" s="224" t="s">
        <v>35</v>
      </c>
      <c r="Z3" s="224" t="s">
        <v>36</v>
      </c>
      <c r="AA3" s="220" t="s">
        <v>33</v>
      </c>
      <c r="AB3" s="220" t="s">
        <v>34</v>
      </c>
      <c r="AC3" s="220" t="s">
        <v>35</v>
      </c>
      <c r="AD3" s="220" t="s">
        <v>36</v>
      </c>
      <c r="AE3" s="202" t="s">
        <v>33</v>
      </c>
      <c r="AF3" s="202" t="s">
        <v>34</v>
      </c>
      <c r="AG3" s="220" t="s">
        <v>33</v>
      </c>
      <c r="AH3" s="220" t="s">
        <v>34</v>
      </c>
      <c r="AI3" s="220" t="s">
        <v>35</v>
      </c>
      <c r="AJ3" s="220" t="s">
        <v>36</v>
      </c>
      <c r="AK3" s="166" t="s">
        <v>37</v>
      </c>
      <c r="AL3" s="168" t="s">
        <v>38</v>
      </c>
      <c r="AM3" s="220" t="s">
        <v>33</v>
      </c>
      <c r="AN3" s="220" t="s">
        <v>34</v>
      </c>
      <c r="AO3" s="220" t="s">
        <v>35</v>
      </c>
      <c r="AP3" s="220" t="s">
        <v>36</v>
      </c>
      <c r="AQ3" s="220" t="s">
        <v>37</v>
      </c>
      <c r="AR3" s="168" t="s">
        <v>38</v>
      </c>
      <c r="AS3" s="220" t="s">
        <v>33</v>
      </c>
      <c r="AT3" s="220" t="s">
        <v>34</v>
      </c>
      <c r="AU3" s="220" t="s">
        <v>35</v>
      </c>
      <c r="AV3" s="220" t="s">
        <v>36</v>
      </c>
      <c r="AW3" s="220" t="s">
        <v>37</v>
      </c>
      <c r="AX3" s="168" t="s">
        <v>38</v>
      </c>
      <c r="AY3" s="220" t="s">
        <v>33</v>
      </c>
      <c r="AZ3" s="220" t="s">
        <v>34</v>
      </c>
      <c r="BA3" s="220" t="s">
        <v>33</v>
      </c>
      <c r="BB3" s="220" t="s">
        <v>34</v>
      </c>
      <c r="BC3" s="220" t="s">
        <v>33</v>
      </c>
      <c r="BD3" s="220" t="s">
        <v>34</v>
      </c>
      <c r="BE3" s="228" t="s">
        <v>35</v>
      </c>
      <c r="BF3" s="228" t="s">
        <v>36</v>
      </c>
      <c r="BG3" s="230" t="s">
        <v>35</v>
      </c>
      <c r="BH3" s="230" t="s">
        <v>36</v>
      </c>
      <c r="BI3" s="228" t="s">
        <v>35</v>
      </c>
      <c r="BJ3" s="228" t="s">
        <v>36</v>
      </c>
      <c r="BK3" s="226" t="s">
        <v>37</v>
      </c>
      <c r="BL3" s="226" t="s">
        <v>38</v>
      </c>
      <c r="BM3" s="228" t="s">
        <v>37</v>
      </c>
      <c r="BN3" s="228" t="s">
        <v>38</v>
      </c>
      <c r="BO3" s="226" t="s">
        <v>37</v>
      </c>
      <c r="BP3" s="226" t="s">
        <v>38</v>
      </c>
      <c r="BQ3" s="228" t="s">
        <v>37</v>
      </c>
      <c r="BR3" s="228" t="s">
        <v>38</v>
      </c>
      <c r="BS3" s="220" t="s">
        <v>35</v>
      </c>
      <c r="BT3" s="220" t="s">
        <v>36</v>
      </c>
      <c r="BU3" s="220" t="s">
        <v>37</v>
      </c>
      <c r="BV3" s="168" t="s">
        <v>38</v>
      </c>
      <c r="BW3" s="220" t="s">
        <v>35</v>
      </c>
      <c r="BX3" s="220" t="s">
        <v>36</v>
      </c>
      <c r="BY3" s="220" t="s">
        <v>37</v>
      </c>
      <c r="BZ3" s="168" t="s">
        <v>38</v>
      </c>
      <c r="CA3" s="243">
        <v>5</v>
      </c>
      <c r="CB3" s="220" t="s">
        <v>35</v>
      </c>
      <c r="CC3" s="220" t="s">
        <v>36</v>
      </c>
      <c r="CD3" s="220" t="s">
        <v>37</v>
      </c>
      <c r="CE3" s="168" t="s">
        <v>38</v>
      </c>
      <c r="CF3" s="241" t="s">
        <v>39</v>
      </c>
      <c r="CG3" s="239" t="s">
        <v>40</v>
      </c>
      <c r="CH3" s="241" t="s">
        <v>41</v>
      </c>
      <c r="CI3" s="237" t="s">
        <v>42</v>
      </c>
      <c r="CJ3" s="239" t="s">
        <v>43</v>
      </c>
      <c r="CK3" s="241" t="s">
        <v>44</v>
      </c>
      <c r="CL3" s="241" t="s">
        <v>45</v>
      </c>
      <c r="CM3" s="241" t="s">
        <v>46</v>
      </c>
      <c r="CN3" s="241" t="s">
        <v>47</v>
      </c>
      <c r="CO3" s="234" t="s">
        <v>48</v>
      </c>
      <c r="CP3" s="234" t="s">
        <v>38</v>
      </c>
      <c r="CQ3" s="235" t="s">
        <v>49</v>
      </c>
      <c r="CR3" s="232" t="s">
        <v>50</v>
      </c>
      <c r="CS3" s="234" t="s">
        <v>48</v>
      </c>
      <c r="CT3" s="234" t="s">
        <v>38</v>
      </c>
      <c r="CU3" s="235" t="s">
        <v>49</v>
      </c>
      <c r="CV3" s="232" t="s">
        <v>50</v>
      </c>
      <c r="CW3" s="5" t="s">
        <v>48</v>
      </c>
      <c r="CX3" s="5" t="s">
        <v>38</v>
      </c>
      <c r="CY3" s="6" t="s">
        <v>49</v>
      </c>
      <c r="CZ3" s="7" t="s">
        <v>50</v>
      </c>
      <c r="DA3" s="5" t="s">
        <v>48</v>
      </c>
      <c r="DB3" s="7" t="s">
        <v>50</v>
      </c>
      <c r="DC3" s="5" t="s">
        <v>48</v>
      </c>
      <c r="DD3" s="7" t="s">
        <v>50</v>
      </c>
      <c r="DE3" s="5" t="s">
        <v>48</v>
      </c>
      <c r="DF3" s="7" t="s">
        <v>50</v>
      </c>
      <c r="DG3" s="5" t="s">
        <v>48</v>
      </c>
      <c r="DH3" s="7" t="s">
        <v>50</v>
      </c>
      <c r="DI3" s="5" t="s">
        <v>48</v>
      </c>
      <c r="DJ3" s="5" t="s">
        <v>38</v>
      </c>
      <c r="DK3" s="6" t="s">
        <v>49</v>
      </c>
      <c r="DL3" s="7" t="s">
        <v>50</v>
      </c>
      <c r="DM3" s="5" t="s">
        <v>48</v>
      </c>
      <c r="DN3" s="5" t="s">
        <v>38</v>
      </c>
      <c r="DO3" s="6" t="s">
        <v>49</v>
      </c>
      <c r="DP3" s="7" t="s">
        <v>50</v>
      </c>
      <c r="DQ3" s="5" t="s">
        <v>48</v>
      </c>
      <c r="DR3" s="5" t="s">
        <v>38</v>
      </c>
      <c r="DS3" s="6" t="s">
        <v>49</v>
      </c>
      <c r="DT3" s="7" t="s">
        <v>50</v>
      </c>
      <c r="DU3" s="5" t="s">
        <v>48</v>
      </c>
      <c r="DV3" s="7" t="s">
        <v>50</v>
      </c>
      <c r="DW3" s="5" t="s">
        <v>48</v>
      </c>
      <c r="DX3" s="7" t="s">
        <v>50</v>
      </c>
      <c r="DY3" s="5" t="s">
        <v>48</v>
      </c>
      <c r="DZ3" s="7" t="s">
        <v>50</v>
      </c>
      <c r="EA3" s="5" t="s">
        <v>48</v>
      </c>
      <c r="EB3" s="5" t="s">
        <v>38</v>
      </c>
      <c r="EC3" s="6" t="s">
        <v>49</v>
      </c>
      <c r="ED3" s="7" t="s">
        <v>50</v>
      </c>
      <c r="EE3" s="5" t="s">
        <v>48</v>
      </c>
      <c r="EF3" s="5" t="s">
        <v>38</v>
      </c>
      <c r="EG3" s="6" t="s">
        <v>49</v>
      </c>
      <c r="EH3" s="7" t="s">
        <v>50</v>
      </c>
      <c r="EI3" s="7" t="s">
        <v>50</v>
      </c>
      <c r="EJ3" s="5" t="s">
        <v>48</v>
      </c>
      <c r="EK3" s="5" t="s">
        <v>38</v>
      </c>
      <c r="EL3" s="6" t="s">
        <v>49</v>
      </c>
      <c r="EM3" s="7" t="s">
        <v>50</v>
      </c>
      <c r="EN3" s="204" t="s">
        <v>28</v>
      </c>
      <c r="EO3" s="204" t="s">
        <v>10</v>
      </c>
      <c r="EP3" s="204" t="s">
        <v>11</v>
      </c>
      <c r="EQ3" s="204" t="s">
        <v>12</v>
      </c>
      <c r="ER3" s="204" t="s">
        <v>13</v>
      </c>
      <c r="ES3" s="204" t="s">
        <v>14</v>
      </c>
      <c r="ET3" s="204" t="s">
        <v>15</v>
      </c>
      <c r="EU3" s="204" t="s">
        <v>16</v>
      </c>
      <c r="EV3" s="204" t="s">
        <v>17</v>
      </c>
      <c r="EW3" s="204" t="s">
        <v>18</v>
      </c>
      <c r="EX3" s="204" t="s">
        <v>19</v>
      </c>
      <c r="EY3" s="204" t="s">
        <v>20</v>
      </c>
      <c r="EZ3" s="204" t="s">
        <v>21</v>
      </c>
      <c r="FA3" s="206" t="s">
        <v>29</v>
      </c>
      <c r="FB3" s="204" t="s">
        <v>26</v>
      </c>
      <c r="FC3" s="204" t="s">
        <v>30</v>
      </c>
      <c r="FD3" s="218" t="s">
        <v>31</v>
      </c>
      <c r="FE3" s="201"/>
    </row>
    <row r="4" spans="1:161" ht="18">
      <c r="A4" s="162"/>
      <c r="B4" s="165"/>
      <c r="C4" s="162"/>
      <c r="D4" s="162"/>
      <c r="E4" s="203"/>
      <c r="F4" s="203"/>
      <c r="G4" s="203"/>
      <c r="H4" s="203"/>
      <c r="I4" s="203"/>
      <c r="J4" s="169"/>
      <c r="K4" s="167"/>
      <c r="L4" s="167"/>
      <c r="M4" s="167"/>
      <c r="N4" s="167"/>
      <c r="O4" s="167"/>
      <c r="P4" s="169"/>
      <c r="Q4" s="216"/>
      <c r="R4" s="216"/>
      <c r="S4" s="216"/>
      <c r="T4" s="216"/>
      <c r="U4" s="216"/>
      <c r="V4" s="169"/>
      <c r="W4" s="225"/>
      <c r="X4" s="225"/>
      <c r="Y4" s="225"/>
      <c r="Z4" s="225"/>
      <c r="AA4" s="221"/>
      <c r="AB4" s="221"/>
      <c r="AC4" s="221"/>
      <c r="AD4" s="221"/>
      <c r="AE4" s="203"/>
      <c r="AF4" s="203"/>
      <c r="AG4" s="221"/>
      <c r="AH4" s="221"/>
      <c r="AI4" s="221"/>
      <c r="AJ4" s="221"/>
      <c r="AK4" s="167"/>
      <c r="AL4" s="169"/>
      <c r="AM4" s="221"/>
      <c r="AN4" s="221"/>
      <c r="AO4" s="221"/>
      <c r="AP4" s="221"/>
      <c r="AQ4" s="221"/>
      <c r="AR4" s="169"/>
      <c r="AS4" s="221"/>
      <c r="AT4" s="221"/>
      <c r="AU4" s="221"/>
      <c r="AV4" s="221"/>
      <c r="AW4" s="221"/>
      <c r="AX4" s="169"/>
      <c r="AY4" s="221"/>
      <c r="AZ4" s="221"/>
      <c r="BA4" s="221"/>
      <c r="BB4" s="221"/>
      <c r="BC4" s="221"/>
      <c r="BD4" s="221"/>
      <c r="BE4" s="229"/>
      <c r="BF4" s="229"/>
      <c r="BG4" s="231"/>
      <c r="BH4" s="231"/>
      <c r="BI4" s="229"/>
      <c r="BJ4" s="229"/>
      <c r="BK4" s="227"/>
      <c r="BL4" s="227"/>
      <c r="BM4" s="229"/>
      <c r="BN4" s="229"/>
      <c r="BO4" s="227"/>
      <c r="BP4" s="227"/>
      <c r="BQ4" s="229"/>
      <c r="BR4" s="229"/>
      <c r="BS4" s="221"/>
      <c r="BT4" s="221"/>
      <c r="BU4" s="221"/>
      <c r="BV4" s="169"/>
      <c r="BW4" s="221"/>
      <c r="BX4" s="221"/>
      <c r="BY4" s="221"/>
      <c r="BZ4" s="169"/>
      <c r="CA4" s="244"/>
      <c r="CB4" s="221"/>
      <c r="CC4" s="221"/>
      <c r="CD4" s="221"/>
      <c r="CE4" s="169"/>
      <c r="CF4" s="242"/>
      <c r="CG4" s="240"/>
      <c r="CH4" s="242"/>
      <c r="CI4" s="238"/>
      <c r="CJ4" s="240"/>
      <c r="CK4" s="242"/>
      <c r="CL4" s="242"/>
      <c r="CM4" s="242"/>
      <c r="CN4" s="242"/>
      <c r="CO4" s="234"/>
      <c r="CP4" s="234"/>
      <c r="CQ4" s="236"/>
      <c r="CR4" s="233"/>
      <c r="CS4" s="234"/>
      <c r="CT4" s="234"/>
      <c r="CU4" s="236"/>
      <c r="CV4" s="233"/>
      <c r="CW4" s="5"/>
      <c r="CX4" s="5"/>
      <c r="CY4" s="8"/>
      <c r="CZ4" s="9"/>
      <c r="DA4" s="5"/>
      <c r="DB4" s="9"/>
      <c r="DC4" s="5"/>
      <c r="DD4" s="9"/>
      <c r="DE4" s="5"/>
      <c r="DF4" s="9"/>
      <c r="DG4" s="5"/>
      <c r="DH4" s="9"/>
      <c r="DI4" s="5"/>
      <c r="DJ4" s="5"/>
      <c r="DK4" s="8"/>
      <c r="DL4" s="9"/>
      <c r="DM4" s="10"/>
      <c r="DN4" s="10"/>
      <c r="DO4" s="8"/>
      <c r="DP4" s="9"/>
      <c r="DQ4" s="5"/>
      <c r="DR4" s="5"/>
      <c r="DS4" s="8"/>
      <c r="DT4" s="9"/>
      <c r="DU4" s="5"/>
      <c r="DV4" s="9"/>
      <c r="DW4" s="5"/>
      <c r="DX4" s="9"/>
      <c r="DY4" s="5"/>
      <c r="DZ4" s="9"/>
      <c r="EA4" s="5"/>
      <c r="EB4" s="5"/>
      <c r="EC4" s="8"/>
      <c r="ED4" s="9"/>
      <c r="EE4" s="5"/>
      <c r="EF4" s="5"/>
      <c r="EG4" s="8"/>
      <c r="EH4" s="9"/>
      <c r="EI4" s="9"/>
      <c r="EJ4" s="5"/>
      <c r="EK4" s="5"/>
      <c r="EL4" s="8"/>
      <c r="EM4" s="9"/>
      <c r="EN4" s="205" t="s">
        <v>28</v>
      </c>
      <c r="EO4" s="205" t="s">
        <v>10</v>
      </c>
      <c r="EP4" s="205" t="s">
        <v>11</v>
      </c>
      <c r="EQ4" s="205" t="s">
        <v>12</v>
      </c>
      <c r="ER4" s="205" t="s">
        <v>13</v>
      </c>
      <c r="ES4" s="205" t="s">
        <v>14</v>
      </c>
      <c r="ET4" s="205" t="s">
        <v>15</v>
      </c>
      <c r="EU4" s="205" t="s">
        <v>16</v>
      </c>
      <c r="EV4" s="205" t="s">
        <v>17</v>
      </c>
      <c r="EW4" s="205" t="s">
        <v>18</v>
      </c>
      <c r="EX4" s="205" t="s">
        <v>19</v>
      </c>
      <c r="EY4" s="205" t="s">
        <v>20</v>
      </c>
      <c r="EZ4" s="205" t="s">
        <v>21</v>
      </c>
      <c r="FA4" s="207" t="s">
        <v>29</v>
      </c>
      <c r="FB4" s="205" t="s">
        <v>26</v>
      </c>
      <c r="FC4" s="205" t="s">
        <v>30</v>
      </c>
      <c r="FD4" s="219" t="s">
        <v>31</v>
      </c>
      <c r="FE4" s="201"/>
    </row>
    <row r="5" spans="1:161" s="20" customFormat="1" ht="18">
      <c r="A5" s="11">
        <v>1</v>
      </c>
      <c r="B5" s="93" t="s">
        <v>429</v>
      </c>
      <c r="C5" s="94" t="s">
        <v>430</v>
      </c>
      <c r="D5" s="93" t="s">
        <v>431</v>
      </c>
      <c r="E5" s="95">
        <v>82</v>
      </c>
      <c r="F5" s="96">
        <v>89</v>
      </c>
      <c r="G5" s="95">
        <v>86</v>
      </c>
      <c r="H5" s="95">
        <v>85</v>
      </c>
      <c r="I5" s="96">
        <v>80</v>
      </c>
      <c r="J5" s="96">
        <v>80</v>
      </c>
      <c r="K5" s="96">
        <v>80</v>
      </c>
      <c r="L5" s="96">
        <v>81</v>
      </c>
      <c r="M5" s="96">
        <v>70</v>
      </c>
      <c r="N5" s="96">
        <v>83</v>
      </c>
      <c r="O5" s="96">
        <v>88</v>
      </c>
      <c r="P5" s="96">
        <v>81</v>
      </c>
      <c r="Q5" s="96">
        <v>80</v>
      </c>
      <c r="R5" s="96">
        <v>77</v>
      </c>
      <c r="S5" s="95">
        <v>70</v>
      </c>
      <c r="T5" s="95">
        <v>72</v>
      </c>
      <c r="U5" s="96">
        <v>73</v>
      </c>
      <c r="V5" s="96">
        <v>78</v>
      </c>
      <c r="W5" s="96">
        <v>82</v>
      </c>
      <c r="X5" s="96">
        <v>83</v>
      </c>
      <c r="Y5" s="96">
        <v>80</v>
      </c>
      <c r="Z5" s="96">
        <v>83</v>
      </c>
      <c r="AA5" s="96">
        <v>75</v>
      </c>
      <c r="AB5" s="96">
        <v>78</v>
      </c>
      <c r="AC5" s="96">
        <v>73</v>
      </c>
      <c r="AD5" s="96">
        <v>75</v>
      </c>
      <c r="AE5" s="96">
        <v>83</v>
      </c>
      <c r="AF5" s="96">
        <v>83</v>
      </c>
      <c r="AG5" s="96">
        <v>83</v>
      </c>
      <c r="AH5" s="96">
        <v>85</v>
      </c>
      <c r="AI5" s="96">
        <v>70</v>
      </c>
      <c r="AJ5" s="96">
        <v>80</v>
      </c>
      <c r="AK5" s="96">
        <v>89</v>
      </c>
      <c r="AL5" s="96">
        <v>78</v>
      </c>
      <c r="AM5" s="96">
        <v>75</v>
      </c>
      <c r="AN5" s="96">
        <v>76</v>
      </c>
      <c r="AO5" s="95">
        <v>72</v>
      </c>
      <c r="AP5" s="95">
        <v>73</v>
      </c>
      <c r="AQ5" s="96">
        <v>76</v>
      </c>
      <c r="AR5" s="96">
        <v>80</v>
      </c>
      <c r="AS5" s="96">
        <v>73</v>
      </c>
      <c r="AT5" s="96">
        <v>73</v>
      </c>
      <c r="AU5" s="96">
        <v>71</v>
      </c>
      <c r="AV5" s="95">
        <v>70</v>
      </c>
      <c r="AW5" s="96">
        <v>73</v>
      </c>
      <c r="AX5" s="96">
        <v>80</v>
      </c>
      <c r="AY5" s="96">
        <v>75</v>
      </c>
      <c r="AZ5" s="96">
        <v>80</v>
      </c>
      <c r="BA5" s="96">
        <v>79</v>
      </c>
      <c r="BB5" s="96">
        <v>80</v>
      </c>
      <c r="BC5" s="96">
        <v>85</v>
      </c>
      <c r="BD5" s="96">
        <v>75</v>
      </c>
      <c r="BE5" s="96">
        <v>79</v>
      </c>
      <c r="BF5" s="96">
        <v>76</v>
      </c>
      <c r="BG5" s="96">
        <v>78</v>
      </c>
      <c r="BH5" s="95">
        <v>79</v>
      </c>
      <c r="BI5" s="95">
        <v>70</v>
      </c>
      <c r="BJ5" s="95">
        <v>83</v>
      </c>
      <c r="BK5" s="95">
        <v>76</v>
      </c>
      <c r="BL5" s="14">
        <v>80</v>
      </c>
      <c r="BM5" s="95">
        <v>80</v>
      </c>
      <c r="BN5" s="14">
        <v>80</v>
      </c>
      <c r="BO5" s="95">
        <v>78</v>
      </c>
      <c r="BP5" s="14">
        <v>80</v>
      </c>
      <c r="BQ5" s="95">
        <v>74</v>
      </c>
      <c r="BR5" s="14">
        <v>80</v>
      </c>
      <c r="BS5" s="15">
        <f>AVERAGE(BE5,BG5,BI5)</f>
        <v>75.666666666666671</v>
      </c>
      <c r="BT5" s="15">
        <f>AVERAGE(BF5,BH5,BJ5)</f>
        <v>79.333333333333329</v>
      </c>
      <c r="BU5" s="15">
        <f>AVERAGE(BK5,BM5,BO5,BQ5)</f>
        <v>77</v>
      </c>
      <c r="BV5" s="15">
        <f>AVERAGE(BL5,BN5,BP5,BR5)</f>
        <v>80</v>
      </c>
      <c r="BW5" s="15">
        <v>82</v>
      </c>
      <c r="BX5" s="15">
        <v>80</v>
      </c>
      <c r="BY5" s="14">
        <v>70</v>
      </c>
      <c r="BZ5" s="14">
        <v>79</v>
      </c>
      <c r="CA5" s="14">
        <v>80</v>
      </c>
      <c r="CB5" s="14">
        <v>70</v>
      </c>
      <c r="CC5" s="14">
        <v>72</v>
      </c>
      <c r="CD5" s="14">
        <v>74</v>
      </c>
      <c r="CE5" s="14">
        <v>80</v>
      </c>
      <c r="CF5" s="39">
        <v>81</v>
      </c>
      <c r="CG5" s="40">
        <v>75</v>
      </c>
      <c r="CH5" s="40">
        <v>75</v>
      </c>
      <c r="CI5" s="40">
        <v>75</v>
      </c>
      <c r="CJ5" s="40">
        <v>76</v>
      </c>
      <c r="CK5" s="40">
        <v>80</v>
      </c>
      <c r="CL5" s="39">
        <v>70</v>
      </c>
      <c r="CM5" s="39">
        <v>71</v>
      </c>
      <c r="CN5" s="40">
        <v>70</v>
      </c>
      <c r="CO5" s="41">
        <f t="shared" ref="CO5:CO18" si="0">AVERAGE(E5:I5)</f>
        <v>84.4</v>
      </c>
      <c r="CP5" s="41">
        <f t="shared" ref="CP5:CP18" si="1">J5</f>
        <v>80</v>
      </c>
      <c r="CQ5" s="41">
        <f>CF5</f>
        <v>81</v>
      </c>
      <c r="CR5" s="17">
        <f>(CO5*4+CP5*3+CQ5*3)/10</f>
        <v>82.06</v>
      </c>
      <c r="CS5" s="16">
        <f t="shared" ref="CS5:CS18" si="2">AVERAGE(K5:O5)</f>
        <v>80.400000000000006</v>
      </c>
      <c r="CT5" s="16">
        <f t="shared" ref="CT5:CT18" si="3">P5</f>
        <v>81</v>
      </c>
      <c r="CU5" s="16">
        <f>CG5</f>
        <v>75</v>
      </c>
      <c r="CV5" s="17">
        <f>(CS5*4+CT5*3+CU5*3)/10</f>
        <v>78.960000000000008</v>
      </c>
      <c r="CW5" s="17">
        <f t="shared" ref="CW5:CW18" si="4">AVERAGE(Q5:U5)</f>
        <v>74.400000000000006</v>
      </c>
      <c r="CX5" s="17">
        <f t="shared" ref="CX5:CX18" si="5">V5</f>
        <v>78</v>
      </c>
      <c r="CY5" s="17">
        <f>CH5</f>
        <v>75</v>
      </c>
      <c r="CZ5" s="17">
        <f>(CW5*4+CX5*3+CY5*3)/10</f>
        <v>75.66</v>
      </c>
      <c r="DA5" s="18">
        <f t="shared" ref="DA5:DA18" si="6">AVERAGE(W5:Z5)</f>
        <v>82</v>
      </c>
      <c r="DB5" s="18">
        <f>DA5</f>
        <v>82</v>
      </c>
      <c r="DC5" s="18">
        <f t="shared" ref="DC5:DC18" si="7">AVERAGE(AA5:AD5)</f>
        <v>75.25</v>
      </c>
      <c r="DD5" s="18">
        <f>DC5</f>
        <v>75.25</v>
      </c>
      <c r="DE5" s="18">
        <f t="shared" ref="DE5:DE18" si="8">AVERAGE(AE5:AF5)</f>
        <v>83</v>
      </c>
      <c r="DF5" s="18">
        <f>DE5</f>
        <v>83</v>
      </c>
      <c r="DG5" s="18">
        <f t="shared" ref="DG5:DG18" si="9">AVERAGE(AG5:AJ5)</f>
        <v>79.5</v>
      </c>
      <c r="DH5" s="18">
        <f>DG5</f>
        <v>79.5</v>
      </c>
      <c r="DI5" s="18">
        <f t="shared" ref="DI5:DI18" si="10">AK5</f>
        <v>89</v>
      </c>
      <c r="DJ5" s="18">
        <f t="shared" ref="DJ5:DJ18" si="11">AL5</f>
        <v>78</v>
      </c>
      <c r="DK5" s="18">
        <f>CI5</f>
        <v>75</v>
      </c>
      <c r="DL5" s="17">
        <f>(DI5*4+DJ5*3+DK5*3)/10</f>
        <v>81.5</v>
      </c>
      <c r="DM5" s="18">
        <f t="shared" ref="DM5:DM18" si="12">AVERAGE(AM5:AQ5)</f>
        <v>74.400000000000006</v>
      </c>
      <c r="DN5" s="18">
        <f t="shared" ref="DN5:DN18" si="13">AR5</f>
        <v>80</v>
      </c>
      <c r="DO5" s="18">
        <f>CJ5</f>
        <v>76</v>
      </c>
      <c r="DP5" s="17">
        <f>(DM5*4+DN5*3+DO5*3)/10</f>
        <v>76.56</v>
      </c>
      <c r="DQ5" s="18">
        <f t="shared" ref="DQ5:DQ18" si="14">AVERAGE(AS5:AW5)</f>
        <v>72</v>
      </c>
      <c r="DR5" s="18">
        <f t="shared" ref="DR5:DR18" si="15">AX5</f>
        <v>80</v>
      </c>
      <c r="DS5" s="18">
        <f>CK5</f>
        <v>80</v>
      </c>
      <c r="DT5" s="17">
        <f>(DQ5*4+DR5*3+DS5*3)/10</f>
        <v>76.8</v>
      </c>
      <c r="DU5" s="18">
        <f t="shared" ref="DU5:DU18" si="16">AVERAGE(AY5:AZ5)</f>
        <v>77.5</v>
      </c>
      <c r="DV5" s="18">
        <f>DU5</f>
        <v>77.5</v>
      </c>
      <c r="DW5" s="18">
        <f t="shared" ref="DW5:DW18" si="17">AVERAGE(BA5:BB5)</f>
        <v>79.5</v>
      </c>
      <c r="DX5" s="18">
        <f>DW5</f>
        <v>79.5</v>
      </c>
      <c r="DY5" s="18">
        <f t="shared" ref="DY5:DY18" si="18">AVERAGE(BC5:BD5)</f>
        <v>80</v>
      </c>
      <c r="DZ5" s="17">
        <f>DY5</f>
        <v>80</v>
      </c>
      <c r="EA5" s="18">
        <f>AVERAGE(BS5:BU5)</f>
        <v>77.333333333333329</v>
      </c>
      <c r="EB5" s="18">
        <f>BV5</f>
        <v>80</v>
      </c>
      <c r="EC5" s="18">
        <f>CN5</f>
        <v>70</v>
      </c>
      <c r="ED5" s="17">
        <f>(EA5*4+EB5*3+EC5*3)/10</f>
        <v>75.933333333333323</v>
      </c>
      <c r="EE5" s="18">
        <f>AVERAGE(BW5:BY5)</f>
        <v>77.333333333333329</v>
      </c>
      <c r="EF5" s="18">
        <f>BZ5</f>
        <v>79</v>
      </c>
      <c r="EG5" s="18">
        <f>CM5</f>
        <v>71</v>
      </c>
      <c r="EH5" s="17">
        <f>(EE5*4+EF5*3+EG5*3)/10</f>
        <v>75.933333333333323</v>
      </c>
      <c r="EI5" s="18">
        <f>CA5</f>
        <v>80</v>
      </c>
      <c r="EJ5" s="18">
        <f>AVERAGE(CB5:CD5)</f>
        <v>72</v>
      </c>
      <c r="EK5" s="18">
        <f>CE5</f>
        <v>80</v>
      </c>
      <c r="EL5" s="18">
        <f>CL5</f>
        <v>70</v>
      </c>
      <c r="EM5" s="17">
        <f>(EJ5*4+EK5*3+EL5*3)/10</f>
        <v>73.8</v>
      </c>
      <c r="EN5" s="19">
        <f>CR5</f>
        <v>82.06</v>
      </c>
      <c r="EO5" s="19">
        <f>CV5</f>
        <v>78.960000000000008</v>
      </c>
      <c r="EP5" s="19">
        <f>CZ5</f>
        <v>75.66</v>
      </c>
      <c r="EQ5" s="19">
        <f>DB5</f>
        <v>82</v>
      </c>
      <c r="ER5" s="19">
        <f>DD5</f>
        <v>75.25</v>
      </c>
      <c r="ES5" s="19">
        <f>DF5</f>
        <v>83</v>
      </c>
      <c r="ET5" s="19">
        <f>DH5</f>
        <v>79.5</v>
      </c>
      <c r="EU5" s="19">
        <f>DL5</f>
        <v>81.5</v>
      </c>
      <c r="EV5" s="19">
        <f>DP5</f>
        <v>76.56</v>
      </c>
      <c r="EW5" s="19">
        <f>DT5</f>
        <v>76.8</v>
      </c>
      <c r="EX5" s="19">
        <f>DV5</f>
        <v>77.5</v>
      </c>
      <c r="EY5" s="19">
        <f>DX5</f>
        <v>79.5</v>
      </c>
      <c r="EZ5" s="19">
        <f>DZ5</f>
        <v>80</v>
      </c>
      <c r="FA5" s="19">
        <f>ED5</f>
        <v>75.933333333333323</v>
      </c>
      <c r="FB5" s="19">
        <f>EH5</f>
        <v>75.933333333333323</v>
      </c>
      <c r="FC5" s="19">
        <f>EI5</f>
        <v>80</v>
      </c>
      <c r="FD5" s="19">
        <f>EM5</f>
        <v>73.8</v>
      </c>
      <c r="FE5" s="19">
        <f>AVERAGE(EN5:FD5)</f>
        <v>78.468039215686275</v>
      </c>
    </row>
    <row r="6" spans="1:161" ht="18">
      <c r="A6" s="11">
        <v>2</v>
      </c>
      <c r="B6" s="93" t="s">
        <v>432</v>
      </c>
      <c r="C6" s="94" t="s">
        <v>433</v>
      </c>
      <c r="D6" s="93" t="s">
        <v>431</v>
      </c>
      <c r="E6" s="95">
        <v>82</v>
      </c>
      <c r="F6" s="96">
        <v>88</v>
      </c>
      <c r="G6" s="95">
        <v>87</v>
      </c>
      <c r="H6" s="95">
        <v>85</v>
      </c>
      <c r="I6" s="96">
        <v>84</v>
      </c>
      <c r="J6" s="96">
        <v>76</v>
      </c>
      <c r="K6" s="96">
        <v>80</v>
      </c>
      <c r="L6" s="96">
        <v>81</v>
      </c>
      <c r="M6" s="96">
        <v>70</v>
      </c>
      <c r="N6" s="96">
        <v>83</v>
      </c>
      <c r="O6" s="96">
        <v>88</v>
      </c>
      <c r="P6" s="96">
        <v>78</v>
      </c>
      <c r="Q6" s="96">
        <v>80</v>
      </c>
      <c r="R6" s="96">
        <v>77</v>
      </c>
      <c r="S6" s="95">
        <v>70</v>
      </c>
      <c r="T6" s="95">
        <v>73</v>
      </c>
      <c r="U6" s="96">
        <v>75</v>
      </c>
      <c r="V6" s="96">
        <v>78</v>
      </c>
      <c r="W6" s="96">
        <v>80</v>
      </c>
      <c r="X6" s="96">
        <v>83</v>
      </c>
      <c r="Y6" s="96">
        <v>80</v>
      </c>
      <c r="Z6" s="96">
        <v>83</v>
      </c>
      <c r="AA6" s="96">
        <v>75</v>
      </c>
      <c r="AB6" s="96">
        <v>78</v>
      </c>
      <c r="AC6" s="96">
        <v>80</v>
      </c>
      <c r="AD6" s="96">
        <v>80</v>
      </c>
      <c r="AE6" s="96">
        <v>83</v>
      </c>
      <c r="AF6" s="96">
        <v>83</v>
      </c>
      <c r="AG6" s="96">
        <v>83</v>
      </c>
      <c r="AH6" s="96">
        <v>84</v>
      </c>
      <c r="AI6" s="96">
        <v>70</v>
      </c>
      <c r="AJ6" s="96">
        <v>80</v>
      </c>
      <c r="AK6" s="96">
        <v>80</v>
      </c>
      <c r="AL6" s="96">
        <v>78</v>
      </c>
      <c r="AM6" s="96">
        <v>73</v>
      </c>
      <c r="AN6" s="96">
        <v>74</v>
      </c>
      <c r="AO6" s="95">
        <v>73</v>
      </c>
      <c r="AP6" s="95">
        <v>74</v>
      </c>
      <c r="AQ6" s="96">
        <v>75</v>
      </c>
      <c r="AR6" s="96">
        <v>77</v>
      </c>
      <c r="AS6" s="96">
        <v>72</v>
      </c>
      <c r="AT6" s="96">
        <v>74</v>
      </c>
      <c r="AU6" s="96">
        <v>72</v>
      </c>
      <c r="AV6" s="95">
        <v>70</v>
      </c>
      <c r="AW6" s="96">
        <v>77</v>
      </c>
      <c r="AX6" s="96">
        <v>77</v>
      </c>
      <c r="AY6" s="96">
        <v>74</v>
      </c>
      <c r="AZ6" s="96">
        <v>79</v>
      </c>
      <c r="BA6" s="96">
        <v>78</v>
      </c>
      <c r="BB6" s="96">
        <v>81</v>
      </c>
      <c r="BC6" s="96">
        <v>90</v>
      </c>
      <c r="BD6" s="96">
        <v>77</v>
      </c>
      <c r="BE6" s="96">
        <v>77</v>
      </c>
      <c r="BF6" s="96">
        <v>73</v>
      </c>
      <c r="BG6" s="96">
        <v>77</v>
      </c>
      <c r="BH6" s="95">
        <v>78</v>
      </c>
      <c r="BI6" s="95">
        <v>70</v>
      </c>
      <c r="BJ6" s="95">
        <v>83</v>
      </c>
      <c r="BK6" s="95">
        <v>75</v>
      </c>
      <c r="BL6" s="14">
        <v>78</v>
      </c>
      <c r="BM6" s="95">
        <v>80</v>
      </c>
      <c r="BN6" s="14">
        <v>78</v>
      </c>
      <c r="BO6" s="95">
        <v>78</v>
      </c>
      <c r="BP6" s="14">
        <v>78</v>
      </c>
      <c r="BQ6" s="95">
        <v>83</v>
      </c>
      <c r="BR6" s="14">
        <v>78</v>
      </c>
      <c r="BS6" s="15">
        <f t="shared" ref="BS6:BS18" si="19">AVERAGE(BE6,BG6,BI6)</f>
        <v>74.666666666666671</v>
      </c>
      <c r="BT6" s="15">
        <f t="shared" ref="BT6:BT18" si="20">AVERAGE(BF6,BH6,BJ6)</f>
        <v>78</v>
      </c>
      <c r="BU6" s="15">
        <f t="shared" ref="BU6:BU18" si="21">AVERAGE(BK6,BM6,BO6,BQ6)</f>
        <v>79</v>
      </c>
      <c r="BV6" s="15">
        <f t="shared" ref="BV6:BV18" si="22">AVERAGE(BL6,BN6,BP6,BR6)</f>
        <v>78</v>
      </c>
      <c r="BW6" s="15">
        <v>82</v>
      </c>
      <c r="BX6" s="15">
        <v>80</v>
      </c>
      <c r="BY6" s="14">
        <v>70</v>
      </c>
      <c r="BZ6" s="14">
        <v>79</v>
      </c>
      <c r="CA6" s="14">
        <v>78</v>
      </c>
      <c r="CB6" s="14">
        <v>72</v>
      </c>
      <c r="CC6" s="14">
        <v>74</v>
      </c>
      <c r="CD6" s="14">
        <v>74</v>
      </c>
      <c r="CE6" s="14">
        <v>77</v>
      </c>
      <c r="CF6" s="39">
        <v>84</v>
      </c>
      <c r="CG6" s="40">
        <v>75</v>
      </c>
      <c r="CH6" s="40">
        <v>75</v>
      </c>
      <c r="CI6" s="40">
        <v>70</v>
      </c>
      <c r="CJ6" s="40">
        <v>76</v>
      </c>
      <c r="CK6" s="40">
        <v>80</v>
      </c>
      <c r="CL6" s="39">
        <v>72</v>
      </c>
      <c r="CM6" s="39">
        <v>73</v>
      </c>
      <c r="CN6" s="40">
        <v>70</v>
      </c>
      <c r="CO6" s="41">
        <f t="shared" si="0"/>
        <v>85.2</v>
      </c>
      <c r="CP6" s="41">
        <f t="shared" si="1"/>
        <v>76</v>
      </c>
      <c r="CQ6" s="41">
        <f t="shared" ref="CQ6:CQ18" si="23">CF6</f>
        <v>84</v>
      </c>
      <c r="CR6" s="17">
        <f t="shared" ref="CR6:CR18" si="24">(CO6*4+CP6*3+CQ6*3)/10</f>
        <v>82.08</v>
      </c>
      <c r="CS6" s="16">
        <f t="shared" si="2"/>
        <v>80.400000000000006</v>
      </c>
      <c r="CT6" s="16">
        <f t="shared" si="3"/>
        <v>78</v>
      </c>
      <c r="CU6" s="16">
        <f t="shared" ref="CU6:CU18" si="25">CG6</f>
        <v>75</v>
      </c>
      <c r="CV6" s="17">
        <f t="shared" ref="CV6:CV18" si="26">(CS6*4+CT6*3+CU6*3)/10</f>
        <v>78.06</v>
      </c>
      <c r="CW6" s="17">
        <f t="shared" si="4"/>
        <v>75</v>
      </c>
      <c r="CX6" s="17">
        <f t="shared" si="5"/>
        <v>78</v>
      </c>
      <c r="CY6" s="17">
        <f t="shared" ref="CY6:CY18" si="27">CH6</f>
        <v>75</v>
      </c>
      <c r="CZ6" s="17">
        <f t="shared" ref="CZ6:CZ18" si="28">(CW6*4+CX6*3+CY6*3)/10</f>
        <v>75.900000000000006</v>
      </c>
      <c r="DA6" s="18">
        <f t="shared" si="6"/>
        <v>81.5</v>
      </c>
      <c r="DB6" s="18">
        <f t="shared" ref="DB6:DB18" si="29">DA6</f>
        <v>81.5</v>
      </c>
      <c r="DC6" s="18">
        <f t="shared" si="7"/>
        <v>78.25</v>
      </c>
      <c r="DD6" s="18">
        <f t="shared" ref="DD6:DD18" si="30">DC6</f>
        <v>78.25</v>
      </c>
      <c r="DE6" s="18">
        <f t="shared" si="8"/>
        <v>83</v>
      </c>
      <c r="DF6" s="18">
        <f t="shared" ref="DF6:DF18" si="31">DE6</f>
        <v>83</v>
      </c>
      <c r="DG6" s="18">
        <f t="shared" si="9"/>
        <v>79.25</v>
      </c>
      <c r="DH6" s="18">
        <f t="shared" ref="DH6:DH18" si="32">DG6</f>
        <v>79.25</v>
      </c>
      <c r="DI6" s="18">
        <f t="shared" si="10"/>
        <v>80</v>
      </c>
      <c r="DJ6" s="18">
        <f t="shared" si="11"/>
        <v>78</v>
      </c>
      <c r="DK6" s="18">
        <f t="shared" ref="DK6:DK18" si="33">CI6</f>
        <v>70</v>
      </c>
      <c r="DL6" s="17">
        <f t="shared" ref="DL6:DL18" si="34">(DI6*4+DJ6*3+DK6*3)/10</f>
        <v>76.400000000000006</v>
      </c>
      <c r="DM6" s="18">
        <f t="shared" si="12"/>
        <v>73.8</v>
      </c>
      <c r="DN6" s="18">
        <f t="shared" si="13"/>
        <v>77</v>
      </c>
      <c r="DO6" s="18">
        <f t="shared" ref="DO6:DO18" si="35">CJ6</f>
        <v>76</v>
      </c>
      <c r="DP6" s="17">
        <f t="shared" ref="DP6:DP18" si="36">(DM6*4+DN6*3+DO6*3)/10</f>
        <v>75.42</v>
      </c>
      <c r="DQ6" s="18">
        <f t="shared" si="14"/>
        <v>73</v>
      </c>
      <c r="DR6" s="18">
        <f t="shared" si="15"/>
        <v>77</v>
      </c>
      <c r="DS6" s="18">
        <f t="shared" ref="DS6:DS18" si="37">CK6</f>
        <v>80</v>
      </c>
      <c r="DT6" s="17">
        <f t="shared" ref="DT6:DT18" si="38">(DQ6*4+DR6*3+DS6*3)/10</f>
        <v>76.3</v>
      </c>
      <c r="DU6" s="18">
        <f t="shared" si="16"/>
        <v>76.5</v>
      </c>
      <c r="DV6" s="18">
        <f t="shared" ref="DV6:DV18" si="39">DU6</f>
        <v>76.5</v>
      </c>
      <c r="DW6" s="18">
        <f t="shared" si="17"/>
        <v>79.5</v>
      </c>
      <c r="DX6" s="18">
        <f t="shared" ref="DX6:DX18" si="40">DW6</f>
        <v>79.5</v>
      </c>
      <c r="DY6" s="18">
        <f t="shared" si="18"/>
        <v>83.5</v>
      </c>
      <c r="DZ6" s="17">
        <f t="shared" ref="DZ6:DZ18" si="41">DY6</f>
        <v>83.5</v>
      </c>
      <c r="EA6" s="18">
        <f t="shared" ref="EA6:EA18" si="42">AVERAGE(BS6:BU6)</f>
        <v>77.222222222222229</v>
      </c>
      <c r="EB6" s="18">
        <f t="shared" ref="EB6:EB18" si="43">BV6</f>
        <v>78</v>
      </c>
      <c r="EC6" s="18">
        <f t="shared" ref="EC6:EC18" si="44">CN6</f>
        <v>70</v>
      </c>
      <c r="ED6" s="17">
        <f t="shared" ref="ED6:ED18" si="45">(EA6*4+EB6*3+EC6*3)/10</f>
        <v>75.288888888888891</v>
      </c>
      <c r="EE6" s="18">
        <f t="shared" ref="EE6:EE18" si="46">AVERAGE(BW6:BY6)</f>
        <v>77.333333333333329</v>
      </c>
      <c r="EF6" s="18">
        <f t="shared" ref="EF6:EF18" si="47">BZ6</f>
        <v>79</v>
      </c>
      <c r="EG6" s="18">
        <f t="shared" ref="EG6:EG18" si="48">CM6</f>
        <v>73</v>
      </c>
      <c r="EH6" s="17">
        <f t="shared" ref="EH6:EH18" si="49">(EE6*4+EF6*3+EG6*3)/10</f>
        <v>76.533333333333331</v>
      </c>
      <c r="EI6" s="18">
        <f t="shared" ref="EI6:EI18" si="50">CA6</f>
        <v>78</v>
      </c>
      <c r="EJ6" s="18">
        <f t="shared" ref="EJ6:EJ18" si="51">AVERAGE(CB6:CD6)</f>
        <v>73.333333333333329</v>
      </c>
      <c r="EK6" s="18">
        <f t="shared" ref="EK6:EK18" si="52">CE6</f>
        <v>77</v>
      </c>
      <c r="EL6" s="18">
        <f t="shared" ref="EL6:EL18" si="53">CL6</f>
        <v>72</v>
      </c>
      <c r="EM6" s="17">
        <f t="shared" ref="EM6:EM18" si="54">(EJ6*4+EK6*3+EL6*3)/10</f>
        <v>74.033333333333331</v>
      </c>
      <c r="EN6" s="19">
        <f t="shared" ref="EN6:EN18" si="55">CR6</f>
        <v>82.08</v>
      </c>
      <c r="EO6" s="19">
        <f t="shared" ref="EO6:EO18" si="56">CV6</f>
        <v>78.06</v>
      </c>
      <c r="EP6" s="19">
        <f t="shared" ref="EP6:EP18" si="57">CZ6</f>
        <v>75.900000000000006</v>
      </c>
      <c r="EQ6" s="19">
        <f t="shared" ref="EQ6:EQ18" si="58">DB6</f>
        <v>81.5</v>
      </c>
      <c r="ER6" s="19">
        <f t="shared" ref="ER6:ER18" si="59">DD6</f>
        <v>78.25</v>
      </c>
      <c r="ES6" s="19">
        <f t="shared" ref="ES6:ES18" si="60">DF6</f>
        <v>83</v>
      </c>
      <c r="ET6" s="19">
        <f t="shared" ref="ET6:ET18" si="61">DH6</f>
        <v>79.25</v>
      </c>
      <c r="EU6" s="19">
        <f t="shared" ref="EU6:EU18" si="62">DL6</f>
        <v>76.400000000000006</v>
      </c>
      <c r="EV6" s="19">
        <f t="shared" ref="EV6:EV18" si="63">DP6</f>
        <v>75.42</v>
      </c>
      <c r="EW6" s="19">
        <f t="shared" ref="EW6:EW18" si="64">DT6</f>
        <v>76.3</v>
      </c>
      <c r="EX6" s="19">
        <f t="shared" ref="EX6:EX18" si="65">DV6</f>
        <v>76.5</v>
      </c>
      <c r="EY6" s="19">
        <f t="shared" ref="EY6:EY18" si="66">DX6</f>
        <v>79.5</v>
      </c>
      <c r="EZ6" s="19">
        <f t="shared" ref="EZ6:EZ18" si="67">DZ6</f>
        <v>83.5</v>
      </c>
      <c r="FA6" s="19">
        <f t="shared" ref="FA6:FA18" si="68">ED6</f>
        <v>75.288888888888891</v>
      </c>
      <c r="FB6" s="19">
        <f t="shared" ref="FB6:FC18" si="69">EH6</f>
        <v>76.533333333333331</v>
      </c>
      <c r="FC6" s="19">
        <f t="shared" si="69"/>
        <v>78</v>
      </c>
      <c r="FD6" s="19">
        <f t="shared" ref="FD6:FD18" si="70">EM6</f>
        <v>74.033333333333331</v>
      </c>
      <c r="FE6" s="19">
        <f t="shared" ref="FE6:FE18" si="71">AVERAGE(EN6:FD6)</f>
        <v>78.206797385620902</v>
      </c>
    </row>
    <row r="7" spans="1:161" ht="18">
      <c r="A7" s="11">
        <v>3</v>
      </c>
      <c r="B7" s="93" t="s">
        <v>434</v>
      </c>
      <c r="C7" s="94" t="s">
        <v>435</v>
      </c>
      <c r="D7" s="93" t="s">
        <v>431</v>
      </c>
      <c r="E7" s="95">
        <v>82</v>
      </c>
      <c r="F7" s="96">
        <v>87</v>
      </c>
      <c r="G7" s="95">
        <v>86</v>
      </c>
      <c r="H7" s="95">
        <v>85</v>
      </c>
      <c r="I7" s="96">
        <v>84</v>
      </c>
      <c r="J7" s="96">
        <v>86</v>
      </c>
      <c r="K7" s="96">
        <v>81</v>
      </c>
      <c r="L7" s="96">
        <v>83</v>
      </c>
      <c r="M7" s="96">
        <v>83</v>
      </c>
      <c r="N7" s="96">
        <v>88</v>
      </c>
      <c r="O7" s="96">
        <v>93</v>
      </c>
      <c r="P7" s="96">
        <v>95</v>
      </c>
      <c r="Q7" s="96">
        <v>85</v>
      </c>
      <c r="R7" s="96">
        <v>80</v>
      </c>
      <c r="S7" s="95">
        <v>89</v>
      </c>
      <c r="T7" s="95">
        <v>87</v>
      </c>
      <c r="U7" s="96">
        <v>81</v>
      </c>
      <c r="V7" s="96">
        <v>86</v>
      </c>
      <c r="W7" s="97">
        <v>82</v>
      </c>
      <c r="X7" s="96">
        <v>85</v>
      </c>
      <c r="Y7" s="96">
        <v>83</v>
      </c>
      <c r="Z7" s="96">
        <v>84</v>
      </c>
      <c r="AA7" s="96">
        <v>80</v>
      </c>
      <c r="AB7" s="96">
        <v>88</v>
      </c>
      <c r="AC7" s="96">
        <v>85</v>
      </c>
      <c r="AD7" s="96">
        <v>86</v>
      </c>
      <c r="AE7" s="96">
        <v>85</v>
      </c>
      <c r="AF7" s="96">
        <v>83</v>
      </c>
      <c r="AG7" s="96">
        <v>85</v>
      </c>
      <c r="AH7" s="96">
        <v>85</v>
      </c>
      <c r="AI7" s="96">
        <v>72</v>
      </c>
      <c r="AJ7" s="96">
        <v>81</v>
      </c>
      <c r="AK7" s="96">
        <v>84</v>
      </c>
      <c r="AL7" s="96">
        <v>86</v>
      </c>
      <c r="AM7" s="96">
        <v>75</v>
      </c>
      <c r="AN7" s="96">
        <v>77</v>
      </c>
      <c r="AO7" s="95">
        <v>75</v>
      </c>
      <c r="AP7" s="95">
        <v>76</v>
      </c>
      <c r="AQ7" s="96">
        <v>82</v>
      </c>
      <c r="AR7" s="96">
        <v>91</v>
      </c>
      <c r="AS7" s="96">
        <v>74</v>
      </c>
      <c r="AT7" s="96">
        <v>79</v>
      </c>
      <c r="AU7" s="96">
        <v>82</v>
      </c>
      <c r="AV7" s="95">
        <v>74</v>
      </c>
      <c r="AW7" s="96">
        <v>85</v>
      </c>
      <c r="AX7" s="96">
        <v>91</v>
      </c>
      <c r="AY7" s="96">
        <v>77</v>
      </c>
      <c r="AZ7" s="96">
        <v>81</v>
      </c>
      <c r="BA7" s="96">
        <v>83</v>
      </c>
      <c r="BB7" s="96">
        <v>82</v>
      </c>
      <c r="BC7" s="96">
        <v>80</v>
      </c>
      <c r="BD7" s="96">
        <v>80</v>
      </c>
      <c r="BE7" s="96">
        <v>81</v>
      </c>
      <c r="BF7" s="96">
        <v>78</v>
      </c>
      <c r="BG7" s="96">
        <v>82</v>
      </c>
      <c r="BH7" s="95">
        <v>81</v>
      </c>
      <c r="BI7" s="95">
        <v>77</v>
      </c>
      <c r="BJ7" s="95">
        <v>85</v>
      </c>
      <c r="BK7" s="95">
        <v>80</v>
      </c>
      <c r="BL7" s="14">
        <v>90</v>
      </c>
      <c r="BM7" s="95">
        <v>80</v>
      </c>
      <c r="BN7" s="14">
        <v>90</v>
      </c>
      <c r="BO7" s="95">
        <v>86</v>
      </c>
      <c r="BP7" s="14">
        <v>90</v>
      </c>
      <c r="BQ7" s="95">
        <v>85</v>
      </c>
      <c r="BR7" s="14">
        <v>90</v>
      </c>
      <c r="BS7" s="15">
        <f t="shared" si="19"/>
        <v>80</v>
      </c>
      <c r="BT7" s="15">
        <f t="shared" si="20"/>
        <v>81.333333333333329</v>
      </c>
      <c r="BU7" s="15">
        <f t="shared" si="21"/>
        <v>82.75</v>
      </c>
      <c r="BV7" s="15">
        <f t="shared" si="22"/>
        <v>90</v>
      </c>
      <c r="BW7" s="15">
        <v>84</v>
      </c>
      <c r="BX7" s="15">
        <v>81</v>
      </c>
      <c r="BY7" s="14">
        <v>86</v>
      </c>
      <c r="BZ7" s="14">
        <v>90</v>
      </c>
      <c r="CA7" s="14">
        <v>90</v>
      </c>
      <c r="CB7" s="14">
        <v>79</v>
      </c>
      <c r="CC7" s="14">
        <v>92</v>
      </c>
      <c r="CD7" s="14">
        <v>89</v>
      </c>
      <c r="CE7" s="14">
        <v>91</v>
      </c>
      <c r="CF7" s="39">
        <v>86</v>
      </c>
      <c r="CG7" s="40">
        <v>85</v>
      </c>
      <c r="CH7" s="40">
        <v>82</v>
      </c>
      <c r="CI7" s="40">
        <v>95</v>
      </c>
      <c r="CJ7" s="40">
        <v>83</v>
      </c>
      <c r="CK7" s="40">
        <v>85</v>
      </c>
      <c r="CL7" s="39">
        <v>84</v>
      </c>
      <c r="CM7" s="39">
        <v>87</v>
      </c>
      <c r="CN7" s="40">
        <v>82</v>
      </c>
      <c r="CO7" s="41">
        <f t="shared" si="0"/>
        <v>84.8</v>
      </c>
      <c r="CP7" s="41">
        <f t="shared" si="1"/>
        <v>86</v>
      </c>
      <c r="CQ7" s="41">
        <f t="shared" si="23"/>
        <v>86</v>
      </c>
      <c r="CR7" s="17">
        <f t="shared" si="24"/>
        <v>85.52000000000001</v>
      </c>
      <c r="CS7" s="16">
        <f t="shared" si="2"/>
        <v>85.6</v>
      </c>
      <c r="CT7" s="16">
        <f t="shared" si="3"/>
        <v>95</v>
      </c>
      <c r="CU7" s="16">
        <f t="shared" si="25"/>
        <v>85</v>
      </c>
      <c r="CV7" s="17">
        <f t="shared" si="26"/>
        <v>88.24</v>
      </c>
      <c r="CW7" s="17">
        <f t="shared" si="4"/>
        <v>84.4</v>
      </c>
      <c r="CX7" s="17">
        <f t="shared" si="5"/>
        <v>86</v>
      </c>
      <c r="CY7" s="17">
        <f t="shared" si="27"/>
        <v>82</v>
      </c>
      <c r="CZ7" s="17">
        <f t="shared" si="28"/>
        <v>84.16</v>
      </c>
      <c r="DA7" s="18">
        <f t="shared" si="6"/>
        <v>83.5</v>
      </c>
      <c r="DB7" s="18">
        <f t="shared" si="29"/>
        <v>83.5</v>
      </c>
      <c r="DC7" s="18">
        <f t="shared" si="7"/>
        <v>84.75</v>
      </c>
      <c r="DD7" s="18">
        <f t="shared" si="30"/>
        <v>84.75</v>
      </c>
      <c r="DE7" s="18">
        <f t="shared" si="8"/>
        <v>84</v>
      </c>
      <c r="DF7" s="18">
        <f t="shared" si="31"/>
        <v>84</v>
      </c>
      <c r="DG7" s="18">
        <f t="shared" si="9"/>
        <v>80.75</v>
      </c>
      <c r="DH7" s="18">
        <f t="shared" si="32"/>
        <v>80.75</v>
      </c>
      <c r="DI7" s="18">
        <f t="shared" si="10"/>
        <v>84</v>
      </c>
      <c r="DJ7" s="18">
        <f t="shared" si="11"/>
        <v>86</v>
      </c>
      <c r="DK7" s="18">
        <f t="shared" si="33"/>
        <v>95</v>
      </c>
      <c r="DL7" s="17">
        <f t="shared" si="34"/>
        <v>87.9</v>
      </c>
      <c r="DM7" s="18">
        <f t="shared" si="12"/>
        <v>77</v>
      </c>
      <c r="DN7" s="18">
        <f t="shared" si="13"/>
        <v>91</v>
      </c>
      <c r="DO7" s="18">
        <f t="shared" si="35"/>
        <v>83</v>
      </c>
      <c r="DP7" s="17">
        <f t="shared" si="36"/>
        <v>83</v>
      </c>
      <c r="DQ7" s="18">
        <f t="shared" si="14"/>
        <v>78.8</v>
      </c>
      <c r="DR7" s="18">
        <f t="shared" si="15"/>
        <v>91</v>
      </c>
      <c r="DS7" s="18">
        <f t="shared" si="37"/>
        <v>85</v>
      </c>
      <c r="DT7" s="17">
        <f t="shared" si="38"/>
        <v>84.320000000000007</v>
      </c>
      <c r="DU7" s="18">
        <f t="shared" si="16"/>
        <v>79</v>
      </c>
      <c r="DV7" s="18">
        <f t="shared" si="39"/>
        <v>79</v>
      </c>
      <c r="DW7" s="18">
        <f t="shared" si="17"/>
        <v>82.5</v>
      </c>
      <c r="DX7" s="18">
        <f t="shared" si="40"/>
        <v>82.5</v>
      </c>
      <c r="DY7" s="18">
        <f t="shared" si="18"/>
        <v>80</v>
      </c>
      <c r="DZ7" s="17">
        <f t="shared" si="41"/>
        <v>80</v>
      </c>
      <c r="EA7" s="18">
        <f t="shared" si="42"/>
        <v>81.3611111111111</v>
      </c>
      <c r="EB7" s="18">
        <f t="shared" si="43"/>
        <v>90</v>
      </c>
      <c r="EC7" s="18">
        <f t="shared" si="44"/>
        <v>82</v>
      </c>
      <c r="ED7" s="17">
        <f t="shared" si="45"/>
        <v>84.144444444444431</v>
      </c>
      <c r="EE7" s="18">
        <f t="shared" si="46"/>
        <v>83.666666666666671</v>
      </c>
      <c r="EF7" s="18">
        <f t="shared" si="47"/>
        <v>90</v>
      </c>
      <c r="EG7" s="18">
        <f t="shared" si="48"/>
        <v>87</v>
      </c>
      <c r="EH7" s="17">
        <f t="shared" si="49"/>
        <v>86.566666666666677</v>
      </c>
      <c r="EI7" s="18">
        <f t="shared" si="50"/>
        <v>90</v>
      </c>
      <c r="EJ7" s="18">
        <f t="shared" si="51"/>
        <v>86.666666666666671</v>
      </c>
      <c r="EK7" s="18">
        <f t="shared" si="52"/>
        <v>91</v>
      </c>
      <c r="EL7" s="18">
        <f t="shared" si="53"/>
        <v>84</v>
      </c>
      <c r="EM7" s="17">
        <f t="shared" si="54"/>
        <v>87.166666666666671</v>
      </c>
      <c r="EN7" s="19">
        <f t="shared" si="55"/>
        <v>85.52000000000001</v>
      </c>
      <c r="EO7" s="19">
        <f t="shared" si="56"/>
        <v>88.24</v>
      </c>
      <c r="EP7" s="19">
        <f t="shared" si="57"/>
        <v>84.16</v>
      </c>
      <c r="EQ7" s="19">
        <f t="shared" si="58"/>
        <v>83.5</v>
      </c>
      <c r="ER7" s="19">
        <f t="shared" si="59"/>
        <v>84.75</v>
      </c>
      <c r="ES7" s="19">
        <f t="shared" si="60"/>
        <v>84</v>
      </c>
      <c r="ET7" s="19">
        <f t="shared" si="61"/>
        <v>80.75</v>
      </c>
      <c r="EU7" s="19">
        <f t="shared" si="62"/>
        <v>87.9</v>
      </c>
      <c r="EV7" s="19">
        <f t="shared" si="63"/>
        <v>83</v>
      </c>
      <c r="EW7" s="19">
        <f t="shared" si="64"/>
        <v>84.320000000000007</v>
      </c>
      <c r="EX7" s="19">
        <f t="shared" si="65"/>
        <v>79</v>
      </c>
      <c r="EY7" s="19">
        <f t="shared" si="66"/>
        <v>82.5</v>
      </c>
      <c r="EZ7" s="19">
        <f t="shared" si="67"/>
        <v>80</v>
      </c>
      <c r="FA7" s="19">
        <f t="shared" si="68"/>
        <v>84.144444444444431</v>
      </c>
      <c r="FB7" s="19">
        <f t="shared" si="69"/>
        <v>86.566666666666677</v>
      </c>
      <c r="FC7" s="19">
        <f t="shared" si="69"/>
        <v>90</v>
      </c>
      <c r="FD7" s="19">
        <f t="shared" si="70"/>
        <v>87.166666666666671</v>
      </c>
      <c r="FE7" s="19">
        <f t="shared" si="71"/>
        <v>84.442222222222213</v>
      </c>
    </row>
    <row r="8" spans="1:161" ht="18">
      <c r="A8" s="11">
        <v>4</v>
      </c>
      <c r="B8" s="93" t="s">
        <v>436</v>
      </c>
      <c r="C8" s="94" t="s">
        <v>437</v>
      </c>
      <c r="D8" s="93" t="s">
        <v>431</v>
      </c>
      <c r="E8" s="95">
        <v>86</v>
      </c>
      <c r="F8" s="96">
        <v>90</v>
      </c>
      <c r="G8" s="95">
        <v>88</v>
      </c>
      <c r="H8" s="95">
        <v>87</v>
      </c>
      <c r="I8" s="96">
        <v>90</v>
      </c>
      <c r="J8" s="96">
        <v>75</v>
      </c>
      <c r="K8" s="96">
        <v>83</v>
      </c>
      <c r="L8" s="96">
        <v>81</v>
      </c>
      <c r="M8" s="96">
        <v>82</v>
      </c>
      <c r="N8" s="96">
        <v>89</v>
      </c>
      <c r="O8" s="96">
        <v>89</v>
      </c>
      <c r="P8" s="96">
        <v>70</v>
      </c>
      <c r="Q8" s="96">
        <v>87</v>
      </c>
      <c r="R8" s="96">
        <v>80</v>
      </c>
      <c r="S8" s="95">
        <v>80</v>
      </c>
      <c r="T8" s="95">
        <v>80</v>
      </c>
      <c r="U8" s="96">
        <v>85</v>
      </c>
      <c r="V8" s="96">
        <v>79</v>
      </c>
      <c r="W8" s="96">
        <v>81</v>
      </c>
      <c r="X8" s="96">
        <v>85</v>
      </c>
      <c r="Y8" s="96">
        <v>83</v>
      </c>
      <c r="Z8" s="96">
        <v>84</v>
      </c>
      <c r="AA8" s="96">
        <v>77</v>
      </c>
      <c r="AB8" s="96">
        <v>88</v>
      </c>
      <c r="AC8" s="96">
        <v>85</v>
      </c>
      <c r="AD8" s="96">
        <v>86</v>
      </c>
      <c r="AE8" s="96">
        <v>84</v>
      </c>
      <c r="AF8" s="96">
        <v>85</v>
      </c>
      <c r="AG8" s="96">
        <v>84</v>
      </c>
      <c r="AH8" s="96">
        <v>85</v>
      </c>
      <c r="AI8" s="96">
        <v>71</v>
      </c>
      <c r="AJ8" s="96">
        <v>81</v>
      </c>
      <c r="AK8" s="96">
        <v>85</v>
      </c>
      <c r="AL8" s="96">
        <v>79</v>
      </c>
      <c r="AM8" s="96">
        <v>77</v>
      </c>
      <c r="AN8" s="96">
        <v>79</v>
      </c>
      <c r="AO8" s="95">
        <v>78</v>
      </c>
      <c r="AP8" s="95">
        <v>79</v>
      </c>
      <c r="AQ8" s="96">
        <v>82</v>
      </c>
      <c r="AR8" s="96">
        <v>72</v>
      </c>
      <c r="AS8" s="96">
        <v>77</v>
      </c>
      <c r="AT8" s="96">
        <v>79</v>
      </c>
      <c r="AU8" s="96">
        <v>73</v>
      </c>
      <c r="AV8" s="95">
        <v>72</v>
      </c>
      <c r="AW8" s="96">
        <v>82</v>
      </c>
      <c r="AX8" s="96">
        <v>72</v>
      </c>
      <c r="AY8" s="96">
        <v>80</v>
      </c>
      <c r="AZ8" s="96">
        <v>82</v>
      </c>
      <c r="BA8" s="96">
        <v>84</v>
      </c>
      <c r="BB8" s="96">
        <v>85</v>
      </c>
      <c r="BC8" s="96">
        <v>83</v>
      </c>
      <c r="BD8" s="96">
        <v>81</v>
      </c>
      <c r="BE8" s="96">
        <v>82</v>
      </c>
      <c r="BF8" s="96">
        <v>75</v>
      </c>
      <c r="BG8" s="96">
        <v>83</v>
      </c>
      <c r="BH8" s="95">
        <v>81</v>
      </c>
      <c r="BI8" s="95">
        <v>80</v>
      </c>
      <c r="BJ8" s="95">
        <v>84</v>
      </c>
      <c r="BK8" s="95">
        <v>81</v>
      </c>
      <c r="BL8" s="14">
        <v>75</v>
      </c>
      <c r="BM8" s="95">
        <v>80</v>
      </c>
      <c r="BN8" s="14">
        <v>75</v>
      </c>
      <c r="BO8" s="95">
        <v>85</v>
      </c>
      <c r="BP8" s="14">
        <v>75</v>
      </c>
      <c r="BQ8" s="95">
        <v>84</v>
      </c>
      <c r="BR8" s="14">
        <v>75</v>
      </c>
      <c r="BS8" s="15">
        <f t="shared" si="19"/>
        <v>81.666666666666671</v>
      </c>
      <c r="BT8" s="15">
        <f t="shared" si="20"/>
        <v>80</v>
      </c>
      <c r="BU8" s="15">
        <f t="shared" si="21"/>
        <v>82.5</v>
      </c>
      <c r="BV8" s="15">
        <f t="shared" si="22"/>
        <v>75</v>
      </c>
      <c r="BW8" s="15">
        <v>84</v>
      </c>
      <c r="BX8" s="15">
        <v>81</v>
      </c>
      <c r="BY8" s="14">
        <v>86</v>
      </c>
      <c r="BZ8" s="14">
        <v>79</v>
      </c>
      <c r="CA8" s="14">
        <v>75</v>
      </c>
      <c r="CB8" s="14">
        <v>78</v>
      </c>
      <c r="CC8" s="14">
        <v>91</v>
      </c>
      <c r="CD8" s="14">
        <v>74</v>
      </c>
      <c r="CE8" s="14">
        <v>72</v>
      </c>
      <c r="CF8" s="39">
        <v>89</v>
      </c>
      <c r="CG8" s="40">
        <v>85</v>
      </c>
      <c r="CH8" s="40">
        <v>85</v>
      </c>
      <c r="CI8" s="40">
        <v>77</v>
      </c>
      <c r="CJ8" s="40">
        <v>83</v>
      </c>
      <c r="CK8" s="40">
        <v>82</v>
      </c>
      <c r="CL8" s="39">
        <v>84</v>
      </c>
      <c r="CM8" s="39">
        <v>90</v>
      </c>
      <c r="CN8" s="40">
        <v>72</v>
      </c>
      <c r="CO8" s="41">
        <f t="shared" si="0"/>
        <v>88.2</v>
      </c>
      <c r="CP8" s="41">
        <f t="shared" si="1"/>
        <v>75</v>
      </c>
      <c r="CQ8" s="41">
        <f t="shared" si="23"/>
        <v>89</v>
      </c>
      <c r="CR8" s="17">
        <f t="shared" si="24"/>
        <v>84.47999999999999</v>
      </c>
      <c r="CS8" s="16">
        <f t="shared" si="2"/>
        <v>84.8</v>
      </c>
      <c r="CT8" s="16">
        <f t="shared" si="3"/>
        <v>70</v>
      </c>
      <c r="CU8" s="16">
        <f t="shared" si="25"/>
        <v>85</v>
      </c>
      <c r="CV8" s="17">
        <f t="shared" si="26"/>
        <v>80.42</v>
      </c>
      <c r="CW8" s="17">
        <f t="shared" si="4"/>
        <v>82.4</v>
      </c>
      <c r="CX8" s="17">
        <f t="shared" si="5"/>
        <v>79</v>
      </c>
      <c r="CY8" s="17">
        <f t="shared" si="27"/>
        <v>85</v>
      </c>
      <c r="CZ8" s="17">
        <f t="shared" si="28"/>
        <v>82.16</v>
      </c>
      <c r="DA8" s="18">
        <f t="shared" si="6"/>
        <v>83.25</v>
      </c>
      <c r="DB8" s="18">
        <f t="shared" si="29"/>
        <v>83.25</v>
      </c>
      <c r="DC8" s="18">
        <f t="shared" si="7"/>
        <v>84</v>
      </c>
      <c r="DD8" s="18">
        <f t="shared" si="30"/>
        <v>84</v>
      </c>
      <c r="DE8" s="18">
        <f t="shared" si="8"/>
        <v>84.5</v>
      </c>
      <c r="DF8" s="18">
        <f t="shared" si="31"/>
        <v>84.5</v>
      </c>
      <c r="DG8" s="18">
        <f t="shared" si="9"/>
        <v>80.25</v>
      </c>
      <c r="DH8" s="18">
        <f t="shared" si="32"/>
        <v>80.25</v>
      </c>
      <c r="DI8" s="18">
        <f t="shared" si="10"/>
        <v>85</v>
      </c>
      <c r="DJ8" s="18">
        <f t="shared" si="11"/>
        <v>79</v>
      </c>
      <c r="DK8" s="18">
        <f t="shared" si="33"/>
        <v>77</v>
      </c>
      <c r="DL8" s="17">
        <f t="shared" si="34"/>
        <v>80.8</v>
      </c>
      <c r="DM8" s="18">
        <f t="shared" si="12"/>
        <v>79</v>
      </c>
      <c r="DN8" s="18">
        <f t="shared" si="13"/>
        <v>72</v>
      </c>
      <c r="DO8" s="18">
        <f t="shared" si="35"/>
        <v>83</v>
      </c>
      <c r="DP8" s="17">
        <f t="shared" si="36"/>
        <v>78.099999999999994</v>
      </c>
      <c r="DQ8" s="18">
        <f t="shared" si="14"/>
        <v>76.599999999999994</v>
      </c>
      <c r="DR8" s="18">
        <f t="shared" si="15"/>
        <v>72</v>
      </c>
      <c r="DS8" s="18">
        <f t="shared" si="37"/>
        <v>82</v>
      </c>
      <c r="DT8" s="17">
        <f t="shared" si="38"/>
        <v>76.84</v>
      </c>
      <c r="DU8" s="18">
        <f t="shared" si="16"/>
        <v>81</v>
      </c>
      <c r="DV8" s="18">
        <f t="shared" si="39"/>
        <v>81</v>
      </c>
      <c r="DW8" s="18">
        <f t="shared" si="17"/>
        <v>84.5</v>
      </c>
      <c r="DX8" s="18">
        <f t="shared" si="40"/>
        <v>84.5</v>
      </c>
      <c r="DY8" s="18">
        <f t="shared" si="18"/>
        <v>82</v>
      </c>
      <c r="DZ8" s="17">
        <f t="shared" si="41"/>
        <v>82</v>
      </c>
      <c r="EA8" s="18">
        <f t="shared" si="42"/>
        <v>81.3888888888889</v>
      </c>
      <c r="EB8" s="18">
        <f t="shared" si="43"/>
        <v>75</v>
      </c>
      <c r="EC8" s="18">
        <f t="shared" si="44"/>
        <v>72</v>
      </c>
      <c r="ED8" s="17">
        <f t="shared" si="45"/>
        <v>76.655555555555566</v>
      </c>
      <c r="EE8" s="18">
        <f t="shared" si="46"/>
        <v>83.666666666666671</v>
      </c>
      <c r="EF8" s="18">
        <f t="shared" si="47"/>
        <v>79</v>
      </c>
      <c r="EG8" s="18">
        <f t="shared" si="48"/>
        <v>90</v>
      </c>
      <c r="EH8" s="17">
        <f t="shared" si="49"/>
        <v>84.166666666666671</v>
      </c>
      <c r="EI8" s="18">
        <f t="shared" si="50"/>
        <v>75</v>
      </c>
      <c r="EJ8" s="18">
        <f t="shared" si="51"/>
        <v>81</v>
      </c>
      <c r="EK8" s="18">
        <f t="shared" si="52"/>
        <v>72</v>
      </c>
      <c r="EL8" s="18">
        <f t="shared" si="53"/>
        <v>84</v>
      </c>
      <c r="EM8" s="17">
        <f t="shared" si="54"/>
        <v>79.2</v>
      </c>
      <c r="EN8" s="19">
        <f t="shared" si="55"/>
        <v>84.47999999999999</v>
      </c>
      <c r="EO8" s="19">
        <f t="shared" si="56"/>
        <v>80.42</v>
      </c>
      <c r="EP8" s="19">
        <f t="shared" si="57"/>
        <v>82.16</v>
      </c>
      <c r="EQ8" s="19">
        <f t="shared" si="58"/>
        <v>83.25</v>
      </c>
      <c r="ER8" s="19">
        <f t="shared" si="59"/>
        <v>84</v>
      </c>
      <c r="ES8" s="19">
        <f t="shared" si="60"/>
        <v>84.5</v>
      </c>
      <c r="ET8" s="19">
        <f t="shared" si="61"/>
        <v>80.25</v>
      </c>
      <c r="EU8" s="19">
        <f t="shared" si="62"/>
        <v>80.8</v>
      </c>
      <c r="EV8" s="19">
        <f t="shared" si="63"/>
        <v>78.099999999999994</v>
      </c>
      <c r="EW8" s="19">
        <f t="shared" si="64"/>
        <v>76.84</v>
      </c>
      <c r="EX8" s="19">
        <f t="shared" si="65"/>
        <v>81</v>
      </c>
      <c r="EY8" s="19">
        <f t="shared" si="66"/>
        <v>84.5</v>
      </c>
      <c r="EZ8" s="19">
        <f t="shared" si="67"/>
        <v>82</v>
      </c>
      <c r="FA8" s="19">
        <f t="shared" si="68"/>
        <v>76.655555555555566</v>
      </c>
      <c r="FB8" s="19">
        <f t="shared" si="69"/>
        <v>84.166666666666671</v>
      </c>
      <c r="FC8" s="19">
        <f t="shared" si="69"/>
        <v>75</v>
      </c>
      <c r="FD8" s="19">
        <f t="shared" si="70"/>
        <v>79.2</v>
      </c>
      <c r="FE8" s="19">
        <f t="shared" si="71"/>
        <v>81.018954248366015</v>
      </c>
    </row>
    <row r="9" spans="1:161" ht="18">
      <c r="A9" s="11">
        <v>5</v>
      </c>
      <c r="B9" s="93" t="s">
        <v>438</v>
      </c>
      <c r="C9" s="94" t="s">
        <v>439</v>
      </c>
      <c r="D9" s="93" t="s">
        <v>431</v>
      </c>
      <c r="E9" s="95">
        <v>86</v>
      </c>
      <c r="F9" s="96">
        <v>89</v>
      </c>
      <c r="G9" s="95">
        <v>86</v>
      </c>
      <c r="H9" s="95">
        <v>85</v>
      </c>
      <c r="I9" s="96">
        <v>86</v>
      </c>
      <c r="J9" s="96">
        <v>74</v>
      </c>
      <c r="K9" s="96">
        <v>80</v>
      </c>
      <c r="L9" s="96">
        <v>82</v>
      </c>
      <c r="M9" s="96">
        <v>88</v>
      </c>
      <c r="N9" s="96">
        <v>90</v>
      </c>
      <c r="O9" s="96">
        <v>93</v>
      </c>
      <c r="P9" s="96">
        <v>85</v>
      </c>
      <c r="Q9" s="96">
        <v>80</v>
      </c>
      <c r="R9" s="96">
        <v>77</v>
      </c>
      <c r="S9" s="95">
        <v>76</v>
      </c>
      <c r="T9" s="95">
        <v>79</v>
      </c>
      <c r="U9" s="96">
        <v>77</v>
      </c>
      <c r="V9" s="96">
        <v>75</v>
      </c>
      <c r="W9" s="96">
        <v>81</v>
      </c>
      <c r="X9" s="96">
        <v>84</v>
      </c>
      <c r="Y9" s="96">
        <v>83</v>
      </c>
      <c r="Z9" s="96">
        <v>84</v>
      </c>
      <c r="AA9" s="96">
        <v>79</v>
      </c>
      <c r="AB9" s="96">
        <v>80</v>
      </c>
      <c r="AC9" s="96">
        <v>81</v>
      </c>
      <c r="AD9" s="96">
        <v>81</v>
      </c>
      <c r="AE9" s="96">
        <v>82</v>
      </c>
      <c r="AF9" s="96">
        <v>83</v>
      </c>
      <c r="AG9" s="96">
        <v>82</v>
      </c>
      <c r="AH9" s="96">
        <v>83</v>
      </c>
      <c r="AI9" s="96">
        <v>70</v>
      </c>
      <c r="AJ9" s="96">
        <v>82</v>
      </c>
      <c r="AK9" s="96">
        <v>80</v>
      </c>
      <c r="AL9" s="96">
        <v>75</v>
      </c>
      <c r="AM9" s="96">
        <v>74</v>
      </c>
      <c r="AN9" s="96">
        <v>75</v>
      </c>
      <c r="AO9" s="95">
        <v>74</v>
      </c>
      <c r="AP9" s="95">
        <v>75</v>
      </c>
      <c r="AQ9" s="96">
        <v>79</v>
      </c>
      <c r="AR9" s="96">
        <v>74</v>
      </c>
      <c r="AS9" s="96">
        <v>73</v>
      </c>
      <c r="AT9" s="96">
        <v>76</v>
      </c>
      <c r="AU9" s="96">
        <v>79</v>
      </c>
      <c r="AV9" s="95">
        <v>70</v>
      </c>
      <c r="AW9" s="96">
        <v>83</v>
      </c>
      <c r="AX9" s="96">
        <v>74</v>
      </c>
      <c r="AY9" s="96">
        <v>75</v>
      </c>
      <c r="AZ9" s="96">
        <v>79</v>
      </c>
      <c r="BA9" s="96">
        <v>80</v>
      </c>
      <c r="BB9" s="96">
        <v>84</v>
      </c>
      <c r="BC9" s="96">
        <v>77</v>
      </c>
      <c r="BD9" s="96">
        <v>83</v>
      </c>
      <c r="BE9" s="96">
        <v>79</v>
      </c>
      <c r="BF9" s="96">
        <v>81</v>
      </c>
      <c r="BG9" s="96">
        <v>83</v>
      </c>
      <c r="BH9" s="95">
        <v>80</v>
      </c>
      <c r="BI9" s="95">
        <v>79</v>
      </c>
      <c r="BJ9" s="95">
        <v>84</v>
      </c>
      <c r="BK9" s="95">
        <v>81</v>
      </c>
      <c r="BL9" s="14">
        <v>76</v>
      </c>
      <c r="BM9" s="95">
        <v>80</v>
      </c>
      <c r="BN9" s="14">
        <v>76</v>
      </c>
      <c r="BO9" s="95">
        <v>78</v>
      </c>
      <c r="BP9" s="14">
        <v>76</v>
      </c>
      <c r="BQ9" s="95">
        <v>83</v>
      </c>
      <c r="BR9" s="14">
        <v>76</v>
      </c>
      <c r="BS9" s="15">
        <f t="shared" si="19"/>
        <v>80.333333333333329</v>
      </c>
      <c r="BT9" s="15">
        <f t="shared" si="20"/>
        <v>81.666666666666671</v>
      </c>
      <c r="BU9" s="15">
        <f t="shared" si="21"/>
        <v>80.5</v>
      </c>
      <c r="BV9" s="15">
        <f t="shared" si="22"/>
        <v>76</v>
      </c>
      <c r="BW9" s="15">
        <v>84</v>
      </c>
      <c r="BX9" s="15">
        <v>80</v>
      </c>
      <c r="BY9" s="14">
        <v>85</v>
      </c>
      <c r="BZ9" s="14">
        <v>74</v>
      </c>
      <c r="CA9" s="14">
        <v>76</v>
      </c>
      <c r="CB9" s="14">
        <v>74</v>
      </c>
      <c r="CC9" s="14">
        <v>85</v>
      </c>
      <c r="CD9" s="14">
        <v>75</v>
      </c>
      <c r="CE9" s="14">
        <v>74</v>
      </c>
      <c r="CF9" s="39">
        <v>86</v>
      </c>
      <c r="CG9" s="40">
        <v>82</v>
      </c>
      <c r="CH9" s="40">
        <v>75</v>
      </c>
      <c r="CI9" s="40">
        <v>90</v>
      </c>
      <c r="CJ9" s="40">
        <v>80</v>
      </c>
      <c r="CK9" s="40">
        <v>80</v>
      </c>
      <c r="CL9" s="39">
        <v>88</v>
      </c>
      <c r="CM9" s="39">
        <v>80</v>
      </c>
      <c r="CN9" s="40">
        <v>75</v>
      </c>
      <c r="CO9" s="41">
        <f t="shared" si="0"/>
        <v>86.4</v>
      </c>
      <c r="CP9" s="41">
        <f t="shared" si="1"/>
        <v>74</v>
      </c>
      <c r="CQ9" s="41">
        <f t="shared" si="23"/>
        <v>86</v>
      </c>
      <c r="CR9" s="17">
        <f t="shared" si="24"/>
        <v>82.56</v>
      </c>
      <c r="CS9" s="16">
        <f t="shared" si="2"/>
        <v>86.6</v>
      </c>
      <c r="CT9" s="16">
        <f t="shared" si="3"/>
        <v>85</v>
      </c>
      <c r="CU9" s="16">
        <f t="shared" si="25"/>
        <v>82</v>
      </c>
      <c r="CV9" s="17">
        <f t="shared" si="26"/>
        <v>84.74</v>
      </c>
      <c r="CW9" s="17">
        <f t="shared" si="4"/>
        <v>77.8</v>
      </c>
      <c r="CX9" s="17">
        <f t="shared" si="5"/>
        <v>75</v>
      </c>
      <c r="CY9" s="17">
        <f t="shared" si="27"/>
        <v>75</v>
      </c>
      <c r="CZ9" s="17">
        <f t="shared" si="28"/>
        <v>76.12</v>
      </c>
      <c r="DA9" s="18">
        <f t="shared" si="6"/>
        <v>83</v>
      </c>
      <c r="DB9" s="18">
        <f t="shared" si="29"/>
        <v>83</v>
      </c>
      <c r="DC9" s="18">
        <f t="shared" si="7"/>
        <v>80.25</v>
      </c>
      <c r="DD9" s="18">
        <f t="shared" si="30"/>
        <v>80.25</v>
      </c>
      <c r="DE9" s="18">
        <f t="shared" si="8"/>
        <v>82.5</v>
      </c>
      <c r="DF9" s="18">
        <f t="shared" si="31"/>
        <v>82.5</v>
      </c>
      <c r="DG9" s="18">
        <f t="shared" si="9"/>
        <v>79.25</v>
      </c>
      <c r="DH9" s="18">
        <f t="shared" si="32"/>
        <v>79.25</v>
      </c>
      <c r="DI9" s="18">
        <f t="shared" si="10"/>
        <v>80</v>
      </c>
      <c r="DJ9" s="18">
        <f t="shared" si="11"/>
        <v>75</v>
      </c>
      <c r="DK9" s="18">
        <f t="shared" si="33"/>
        <v>90</v>
      </c>
      <c r="DL9" s="17">
        <f t="shared" si="34"/>
        <v>81.5</v>
      </c>
      <c r="DM9" s="18">
        <f t="shared" si="12"/>
        <v>75.400000000000006</v>
      </c>
      <c r="DN9" s="18">
        <f t="shared" si="13"/>
        <v>74</v>
      </c>
      <c r="DO9" s="18">
        <f t="shared" si="35"/>
        <v>80</v>
      </c>
      <c r="DP9" s="17">
        <f t="shared" si="36"/>
        <v>76.36</v>
      </c>
      <c r="DQ9" s="18">
        <f t="shared" si="14"/>
        <v>76.2</v>
      </c>
      <c r="DR9" s="18">
        <f t="shared" si="15"/>
        <v>74</v>
      </c>
      <c r="DS9" s="18">
        <f t="shared" si="37"/>
        <v>80</v>
      </c>
      <c r="DT9" s="17">
        <f t="shared" si="38"/>
        <v>76.679999999999993</v>
      </c>
      <c r="DU9" s="18">
        <f t="shared" si="16"/>
        <v>77</v>
      </c>
      <c r="DV9" s="18">
        <f t="shared" si="39"/>
        <v>77</v>
      </c>
      <c r="DW9" s="18">
        <f t="shared" si="17"/>
        <v>82</v>
      </c>
      <c r="DX9" s="18">
        <f t="shared" si="40"/>
        <v>82</v>
      </c>
      <c r="DY9" s="18">
        <f t="shared" si="18"/>
        <v>80</v>
      </c>
      <c r="DZ9" s="17">
        <f t="shared" si="41"/>
        <v>80</v>
      </c>
      <c r="EA9" s="18">
        <f t="shared" si="42"/>
        <v>80.833333333333329</v>
      </c>
      <c r="EB9" s="18">
        <f t="shared" si="43"/>
        <v>76</v>
      </c>
      <c r="EC9" s="18">
        <f t="shared" si="44"/>
        <v>75</v>
      </c>
      <c r="ED9" s="17">
        <f t="shared" si="45"/>
        <v>77.633333333333326</v>
      </c>
      <c r="EE9" s="18">
        <f t="shared" si="46"/>
        <v>83</v>
      </c>
      <c r="EF9" s="18">
        <f t="shared" si="47"/>
        <v>74</v>
      </c>
      <c r="EG9" s="18">
        <f t="shared" si="48"/>
        <v>80</v>
      </c>
      <c r="EH9" s="17">
        <f t="shared" si="49"/>
        <v>79.400000000000006</v>
      </c>
      <c r="EI9" s="18">
        <f t="shared" si="50"/>
        <v>76</v>
      </c>
      <c r="EJ9" s="18">
        <f t="shared" si="51"/>
        <v>78</v>
      </c>
      <c r="EK9" s="18">
        <f t="shared" si="52"/>
        <v>74</v>
      </c>
      <c r="EL9" s="18">
        <f t="shared" si="53"/>
        <v>88</v>
      </c>
      <c r="EM9" s="17">
        <f t="shared" si="54"/>
        <v>79.8</v>
      </c>
      <c r="EN9" s="19">
        <f t="shared" si="55"/>
        <v>82.56</v>
      </c>
      <c r="EO9" s="19">
        <f t="shared" si="56"/>
        <v>84.74</v>
      </c>
      <c r="EP9" s="19">
        <f t="shared" si="57"/>
        <v>76.12</v>
      </c>
      <c r="EQ9" s="19">
        <f t="shared" si="58"/>
        <v>83</v>
      </c>
      <c r="ER9" s="19">
        <f t="shared" si="59"/>
        <v>80.25</v>
      </c>
      <c r="ES9" s="19">
        <f t="shared" si="60"/>
        <v>82.5</v>
      </c>
      <c r="ET9" s="19">
        <f t="shared" si="61"/>
        <v>79.25</v>
      </c>
      <c r="EU9" s="19">
        <f t="shared" si="62"/>
        <v>81.5</v>
      </c>
      <c r="EV9" s="19">
        <f t="shared" si="63"/>
        <v>76.36</v>
      </c>
      <c r="EW9" s="19">
        <f t="shared" si="64"/>
        <v>76.679999999999993</v>
      </c>
      <c r="EX9" s="19">
        <f t="shared" si="65"/>
        <v>77</v>
      </c>
      <c r="EY9" s="19">
        <f t="shared" si="66"/>
        <v>82</v>
      </c>
      <c r="EZ9" s="19">
        <f t="shared" si="67"/>
        <v>80</v>
      </c>
      <c r="FA9" s="19">
        <f t="shared" si="68"/>
        <v>77.633333333333326</v>
      </c>
      <c r="FB9" s="19">
        <f t="shared" si="69"/>
        <v>79.400000000000006</v>
      </c>
      <c r="FC9" s="19">
        <f t="shared" si="69"/>
        <v>76</v>
      </c>
      <c r="FD9" s="19">
        <f t="shared" si="70"/>
        <v>79.8</v>
      </c>
      <c r="FE9" s="19">
        <f t="shared" si="71"/>
        <v>79.693725490196073</v>
      </c>
    </row>
    <row r="10" spans="1:161" ht="18">
      <c r="A10" s="11">
        <v>6</v>
      </c>
      <c r="B10" s="93" t="s">
        <v>440</v>
      </c>
      <c r="C10" s="94" t="s">
        <v>441</v>
      </c>
      <c r="D10" s="93" t="s">
        <v>431</v>
      </c>
      <c r="E10" s="95">
        <v>84</v>
      </c>
      <c r="F10" s="96">
        <v>89</v>
      </c>
      <c r="G10" s="95">
        <v>87</v>
      </c>
      <c r="H10" s="95">
        <v>87</v>
      </c>
      <c r="I10" s="96">
        <v>83</v>
      </c>
      <c r="J10" s="96">
        <v>89</v>
      </c>
      <c r="K10" s="96">
        <v>87</v>
      </c>
      <c r="L10" s="96">
        <v>83</v>
      </c>
      <c r="M10" s="96">
        <v>85</v>
      </c>
      <c r="N10" s="96">
        <v>92</v>
      </c>
      <c r="O10" s="96">
        <v>94</v>
      </c>
      <c r="P10" s="96">
        <v>92</v>
      </c>
      <c r="Q10" s="96">
        <v>85</v>
      </c>
      <c r="R10" s="96">
        <v>81</v>
      </c>
      <c r="S10" s="95">
        <v>78</v>
      </c>
      <c r="T10" s="95">
        <v>86</v>
      </c>
      <c r="U10" s="96">
        <v>79</v>
      </c>
      <c r="V10" s="96">
        <v>86</v>
      </c>
      <c r="W10" s="96">
        <v>83</v>
      </c>
      <c r="X10" s="96">
        <v>85</v>
      </c>
      <c r="Y10" s="96">
        <v>83</v>
      </c>
      <c r="Z10" s="96">
        <v>84</v>
      </c>
      <c r="AA10" s="96">
        <v>82</v>
      </c>
      <c r="AB10" s="96">
        <v>80</v>
      </c>
      <c r="AC10" s="96">
        <v>85</v>
      </c>
      <c r="AD10" s="96">
        <v>85</v>
      </c>
      <c r="AE10" s="96">
        <v>84</v>
      </c>
      <c r="AF10" s="96">
        <v>84</v>
      </c>
      <c r="AG10" s="96">
        <v>84</v>
      </c>
      <c r="AH10" s="96">
        <v>85</v>
      </c>
      <c r="AI10" s="96">
        <v>70</v>
      </c>
      <c r="AJ10" s="96">
        <v>81</v>
      </c>
      <c r="AK10" s="96">
        <v>86</v>
      </c>
      <c r="AL10" s="96">
        <v>86</v>
      </c>
      <c r="AM10" s="96">
        <v>79</v>
      </c>
      <c r="AN10" s="96">
        <v>81</v>
      </c>
      <c r="AO10" s="95">
        <v>88</v>
      </c>
      <c r="AP10" s="95">
        <v>84</v>
      </c>
      <c r="AQ10" s="96">
        <v>84</v>
      </c>
      <c r="AR10" s="96">
        <v>90</v>
      </c>
      <c r="AS10" s="96">
        <v>73</v>
      </c>
      <c r="AT10" s="96">
        <v>77</v>
      </c>
      <c r="AU10" s="96">
        <v>76</v>
      </c>
      <c r="AV10" s="95">
        <v>71</v>
      </c>
      <c r="AW10" s="96">
        <v>83</v>
      </c>
      <c r="AX10" s="96">
        <v>90</v>
      </c>
      <c r="AY10" s="96">
        <v>80</v>
      </c>
      <c r="AZ10" s="96">
        <v>82</v>
      </c>
      <c r="BA10" s="96">
        <v>83</v>
      </c>
      <c r="BB10" s="96">
        <v>83</v>
      </c>
      <c r="BC10" s="96">
        <v>91</v>
      </c>
      <c r="BD10" s="96">
        <v>85</v>
      </c>
      <c r="BE10" s="96">
        <v>80</v>
      </c>
      <c r="BF10" s="96">
        <v>79</v>
      </c>
      <c r="BG10" s="96">
        <v>81</v>
      </c>
      <c r="BH10" s="95">
        <v>81</v>
      </c>
      <c r="BI10" s="95">
        <v>82</v>
      </c>
      <c r="BJ10" s="95">
        <v>85</v>
      </c>
      <c r="BK10" s="95">
        <v>79</v>
      </c>
      <c r="BL10" s="14">
        <v>89</v>
      </c>
      <c r="BM10" s="95">
        <v>80</v>
      </c>
      <c r="BN10" s="14">
        <v>89</v>
      </c>
      <c r="BO10" s="95">
        <v>87</v>
      </c>
      <c r="BP10" s="14">
        <v>89</v>
      </c>
      <c r="BQ10" s="95">
        <v>85</v>
      </c>
      <c r="BR10" s="14">
        <v>89</v>
      </c>
      <c r="BS10" s="15">
        <f t="shared" si="19"/>
        <v>81</v>
      </c>
      <c r="BT10" s="15">
        <f t="shared" si="20"/>
        <v>81.666666666666671</v>
      </c>
      <c r="BU10" s="15">
        <f t="shared" si="21"/>
        <v>82.75</v>
      </c>
      <c r="BV10" s="15">
        <f t="shared" si="22"/>
        <v>89</v>
      </c>
      <c r="BW10" s="15">
        <v>85</v>
      </c>
      <c r="BX10" s="15">
        <v>81</v>
      </c>
      <c r="BY10" s="14">
        <v>86</v>
      </c>
      <c r="BZ10" s="14">
        <v>89</v>
      </c>
      <c r="CA10" s="14">
        <v>89</v>
      </c>
      <c r="CB10" s="14">
        <v>78</v>
      </c>
      <c r="CC10" s="14">
        <v>90</v>
      </c>
      <c r="CD10" s="14">
        <v>85</v>
      </c>
      <c r="CE10" s="14">
        <v>90</v>
      </c>
      <c r="CF10" s="39">
        <v>84</v>
      </c>
      <c r="CG10" s="40">
        <v>85</v>
      </c>
      <c r="CH10" s="40">
        <v>80</v>
      </c>
      <c r="CI10" s="40">
        <v>82</v>
      </c>
      <c r="CJ10" s="40">
        <v>84</v>
      </c>
      <c r="CK10" s="40">
        <v>83</v>
      </c>
      <c r="CL10" s="39">
        <v>84</v>
      </c>
      <c r="CM10" s="39">
        <v>90</v>
      </c>
      <c r="CN10" s="40">
        <v>80</v>
      </c>
      <c r="CO10" s="41">
        <f t="shared" si="0"/>
        <v>86</v>
      </c>
      <c r="CP10" s="41">
        <f t="shared" si="1"/>
        <v>89</v>
      </c>
      <c r="CQ10" s="41">
        <f t="shared" si="23"/>
        <v>84</v>
      </c>
      <c r="CR10" s="17">
        <f t="shared" si="24"/>
        <v>86.3</v>
      </c>
      <c r="CS10" s="16">
        <f t="shared" si="2"/>
        <v>88.2</v>
      </c>
      <c r="CT10" s="16">
        <f t="shared" si="3"/>
        <v>92</v>
      </c>
      <c r="CU10" s="16">
        <f t="shared" si="25"/>
        <v>85</v>
      </c>
      <c r="CV10" s="17">
        <f t="shared" si="26"/>
        <v>88.38</v>
      </c>
      <c r="CW10" s="17">
        <f t="shared" si="4"/>
        <v>81.8</v>
      </c>
      <c r="CX10" s="17">
        <f t="shared" si="5"/>
        <v>86</v>
      </c>
      <c r="CY10" s="17">
        <f t="shared" si="27"/>
        <v>80</v>
      </c>
      <c r="CZ10" s="17">
        <f t="shared" si="28"/>
        <v>82.52000000000001</v>
      </c>
      <c r="DA10" s="18">
        <f t="shared" si="6"/>
        <v>83.75</v>
      </c>
      <c r="DB10" s="18">
        <f t="shared" si="29"/>
        <v>83.75</v>
      </c>
      <c r="DC10" s="18">
        <f t="shared" si="7"/>
        <v>83</v>
      </c>
      <c r="DD10" s="18">
        <f t="shared" si="30"/>
        <v>83</v>
      </c>
      <c r="DE10" s="18">
        <f t="shared" si="8"/>
        <v>84</v>
      </c>
      <c r="DF10" s="18">
        <f t="shared" si="31"/>
        <v>84</v>
      </c>
      <c r="DG10" s="18">
        <f t="shared" si="9"/>
        <v>80</v>
      </c>
      <c r="DH10" s="18">
        <f t="shared" si="32"/>
        <v>80</v>
      </c>
      <c r="DI10" s="18">
        <f t="shared" si="10"/>
        <v>86</v>
      </c>
      <c r="DJ10" s="18">
        <f t="shared" si="11"/>
        <v>86</v>
      </c>
      <c r="DK10" s="18">
        <f t="shared" si="33"/>
        <v>82</v>
      </c>
      <c r="DL10" s="17">
        <f t="shared" si="34"/>
        <v>84.8</v>
      </c>
      <c r="DM10" s="18">
        <f t="shared" si="12"/>
        <v>83.2</v>
      </c>
      <c r="DN10" s="18">
        <f t="shared" si="13"/>
        <v>90</v>
      </c>
      <c r="DO10" s="18">
        <f t="shared" si="35"/>
        <v>84</v>
      </c>
      <c r="DP10" s="17">
        <f t="shared" si="36"/>
        <v>85.47999999999999</v>
      </c>
      <c r="DQ10" s="18">
        <f t="shared" si="14"/>
        <v>76</v>
      </c>
      <c r="DR10" s="18">
        <f t="shared" si="15"/>
        <v>90</v>
      </c>
      <c r="DS10" s="18">
        <f t="shared" si="37"/>
        <v>83</v>
      </c>
      <c r="DT10" s="17">
        <f t="shared" si="38"/>
        <v>82.3</v>
      </c>
      <c r="DU10" s="18">
        <f t="shared" si="16"/>
        <v>81</v>
      </c>
      <c r="DV10" s="18">
        <f t="shared" si="39"/>
        <v>81</v>
      </c>
      <c r="DW10" s="18">
        <f t="shared" si="17"/>
        <v>83</v>
      </c>
      <c r="DX10" s="18">
        <f t="shared" si="40"/>
        <v>83</v>
      </c>
      <c r="DY10" s="18">
        <f t="shared" si="18"/>
        <v>88</v>
      </c>
      <c r="DZ10" s="17">
        <f t="shared" si="41"/>
        <v>88</v>
      </c>
      <c r="EA10" s="18">
        <f t="shared" si="42"/>
        <v>81.805555555555557</v>
      </c>
      <c r="EB10" s="18">
        <f t="shared" si="43"/>
        <v>89</v>
      </c>
      <c r="EC10" s="18">
        <f t="shared" si="44"/>
        <v>80</v>
      </c>
      <c r="ED10" s="17">
        <f t="shared" si="45"/>
        <v>83.422222222222217</v>
      </c>
      <c r="EE10" s="18">
        <f t="shared" si="46"/>
        <v>84</v>
      </c>
      <c r="EF10" s="18">
        <f t="shared" si="47"/>
        <v>89</v>
      </c>
      <c r="EG10" s="18">
        <f t="shared" si="48"/>
        <v>90</v>
      </c>
      <c r="EH10" s="17">
        <f t="shared" si="49"/>
        <v>87.3</v>
      </c>
      <c r="EI10" s="18">
        <f t="shared" si="50"/>
        <v>89</v>
      </c>
      <c r="EJ10" s="18">
        <f t="shared" si="51"/>
        <v>84.333333333333329</v>
      </c>
      <c r="EK10" s="18">
        <f t="shared" si="52"/>
        <v>90</v>
      </c>
      <c r="EL10" s="18">
        <f t="shared" si="53"/>
        <v>84</v>
      </c>
      <c r="EM10" s="17">
        <f t="shared" si="54"/>
        <v>85.933333333333323</v>
      </c>
      <c r="EN10" s="19">
        <f t="shared" si="55"/>
        <v>86.3</v>
      </c>
      <c r="EO10" s="19">
        <f t="shared" si="56"/>
        <v>88.38</v>
      </c>
      <c r="EP10" s="19">
        <f t="shared" si="57"/>
        <v>82.52000000000001</v>
      </c>
      <c r="EQ10" s="19">
        <f t="shared" si="58"/>
        <v>83.75</v>
      </c>
      <c r="ER10" s="19">
        <f t="shared" si="59"/>
        <v>83</v>
      </c>
      <c r="ES10" s="19">
        <f t="shared" si="60"/>
        <v>84</v>
      </c>
      <c r="ET10" s="19">
        <f t="shared" si="61"/>
        <v>80</v>
      </c>
      <c r="EU10" s="19">
        <f t="shared" si="62"/>
        <v>84.8</v>
      </c>
      <c r="EV10" s="19">
        <f t="shared" si="63"/>
        <v>85.47999999999999</v>
      </c>
      <c r="EW10" s="19">
        <f t="shared" si="64"/>
        <v>82.3</v>
      </c>
      <c r="EX10" s="19">
        <f t="shared" si="65"/>
        <v>81</v>
      </c>
      <c r="EY10" s="19">
        <f t="shared" si="66"/>
        <v>83</v>
      </c>
      <c r="EZ10" s="19">
        <f t="shared" si="67"/>
        <v>88</v>
      </c>
      <c r="FA10" s="19">
        <f t="shared" si="68"/>
        <v>83.422222222222217</v>
      </c>
      <c r="FB10" s="19">
        <f t="shared" si="69"/>
        <v>87.3</v>
      </c>
      <c r="FC10" s="19">
        <f t="shared" si="69"/>
        <v>89</v>
      </c>
      <c r="FD10" s="19">
        <f t="shared" si="70"/>
        <v>85.933333333333323</v>
      </c>
      <c r="FE10" s="19">
        <f t="shared" si="71"/>
        <v>84.599150326797385</v>
      </c>
    </row>
    <row r="11" spans="1:161" ht="18">
      <c r="A11" s="11">
        <v>7</v>
      </c>
      <c r="B11" s="93" t="s">
        <v>442</v>
      </c>
      <c r="C11" s="94" t="s">
        <v>443</v>
      </c>
      <c r="D11" s="93" t="s">
        <v>431</v>
      </c>
      <c r="E11" s="95">
        <v>80</v>
      </c>
      <c r="F11" s="96">
        <v>87</v>
      </c>
      <c r="G11" s="95">
        <v>88</v>
      </c>
      <c r="H11" s="95">
        <v>87</v>
      </c>
      <c r="I11" s="96">
        <v>85</v>
      </c>
      <c r="J11" s="96">
        <v>75</v>
      </c>
      <c r="K11" s="96">
        <v>80</v>
      </c>
      <c r="L11" s="96">
        <v>81</v>
      </c>
      <c r="M11" s="96">
        <v>92</v>
      </c>
      <c r="N11" s="96">
        <v>88</v>
      </c>
      <c r="O11" s="96">
        <v>93</v>
      </c>
      <c r="P11" s="96">
        <v>75</v>
      </c>
      <c r="Q11" s="96">
        <v>78</v>
      </c>
      <c r="R11" s="96">
        <v>78</v>
      </c>
      <c r="S11" s="95">
        <v>70</v>
      </c>
      <c r="T11" s="95">
        <v>71</v>
      </c>
      <c r="U11" s="96">
        <v>73</v>
      </c>
      <c r="V11" s="96">
        <v>75</v>
      </c>
      <c r="W11" s="96">
        <v>85</v>
      </c>
      <c r="X11" s="96">
        <v>86</v>
      </c>
      <c r="Y11" s="96">
        <v>84</v>
      </c>
      <c r="Z11" s="96">
        <v>85</v>
      </c>
      <c r="AA11" s="96">
        <v>78</v>
      </c>
      <c r="AB11" s="96">
        <v>80</v>
      </c>
      <c r="AC11" s="96">
        <v>83</v>
      </c>
      <c r="AD11" s="96">
        <v>84</v>
      </c>
      <c r="AE11" s="96">
        <v>80</v>
      </c>
      <c r="AF11" s="96">
        <v>79</v>
      </c>
      <c r="AG11" s="96">
        <v>80</v>
      </c>
      <c r="AH11" s="96">
        <v>81</v>
      </c>
      <c r="AI11" s="96">
        <v>71</v>
      </c>
      <c r="AJ11" s="96">
        <v>81</v>
      </c>
      <c r="AK11" s="96">
        <v>80</v>
      </c>
      <c r="AL11" s="96">
        <v>75</v>
      </c>
      <c r="AM11" s="96">
        <v>74</v>
      </c>
      <c r="AN11" s="96">
        <v>76</v>
      </c>
      <c r="AO11" s="95">
        <v>73</v>
      </c>
      <c r="AP11" s="95">
        <v>74</v>
      </c>
      <c r="AQ11" s="96">
        <v>72</v>
      </c>
      <c r="AR11" s="96">
        <v>75</v>
      </c>
      <c r="AS11" s="96">
        <v>71</v>
      </c>
      <c r="AT11" s="96">
        <v>73</v>
      </c>
      <c r="AU11" s="96">
        <v>70</v>
      </c>
      <c r="AV11" s="95">
        <v>70</v>
      </c>
      <c r="AW11" s="96">
        <v>73</v>
      </c>
      <c r="AX11" s="96">
        <v>75</v>
      </c>
      <c r="AY11" s="96">
        <v>77</v>
      </c>
      <c r="AZ11" s="96">
        <v>78</v>
      </c>
      <c r="BA11" s="96">
        <v>78</v>
      </c>
      <c r="BB11" s="96">
        <v>81</v>
      </c>
      <c r="BC11" s="96">
        <v>77</v>
      </c>
      <c r="BD11" s="96">
        <v>77</v>
      </c>
      <c r="BE11" s="96">
        <v>80</v>
      </c>
      <c r="BF11" s="96">
        <v>74</v>
      </c>
      <c r="BG11" s="96">
        <v>79</v>
      </c>
      <c r="BH11" s="95">
        <v>80</v>
      </c>
      <c r="BI11" s="95">
        <v>82</v>
      </c>
      <c r="BJ11" s="95">
        <v>85</v>
      </c>
      <c r="BK11" s="95">
        <v>77</v>
      </c>
      <c r="BL11" s="14">
        <v>75</v>
      </c>
      <c r="BM11" s="95">
        <v>80</v>
      </c>
      <c r="BN11" s="14">
        <v>75</v>
      </c>
      <c r="BO11" s="95">
        <v>84</v>
      </c>
      <c r="BP11" s="14">
        <v>75</v>
      </c>
      <c r="BQ11" s="95">
        <v>84</v>
      </c>
      <c r="BR11" s="14">
        <v>75</v>
      </c>
      <c r="BS11" s="15">
        <f t="shared" si="19"/>
        <v>80.333333333333329</v>
      </c>
      <c r="BT11" s="15">
        <f t="shared" si="20"/>
        <v>79.666666666666671</v>
      </c>
      <c r="BU11" s="15">
        <f t="shared" si="21"/>
        <v>81.25</v>
      </c>
      <c r="BV11" s="15">
        <f t="shared" si="22"/>
        <v>75</v>
      </c>
      <c r="BW11" s="15">
        <v>84</v>
      </c>
      <c r="BX11" s="15">
        <v>80</v>
      </c>
      <c r="BY11" s="14">
        <v>70</v>
      </c>
      <c r="BZ11" s="14">
        <v>75</v>
      </c>
      <c r="CA11" s="14">
        <v>75</v>
      </c>
      <c r="CB11" s="14">
        <v>72</v>
      </c>
      <c r="CC11" s="14">
        <v>77</v>
      </c>
      <c r="CD11" s="14">
        <v>73</v>
      </c>
      <c r="CE11" s="14">
        <v>75</v>
      </c>
      <c r="CF11" s="39">
        <v>86</v>
      </c>
      <c r="CG11" s="40">
        <v>70</v>
      </c>
      <c r="CH11" s="40">
        <v>70</v>
      </c>
      <c r="CI11" s="40">
        <v>70</v>
      </c>
      <c r="CJ11" s="40">
        <v>75</v>
      </c>
      <c r="CK11" s="40">
        <v>80</v>
      </c>
      <c r="CL11" s="39">
        <v>86</v>
      </c>
      <c r="CM11" s="39">
        <v>73</v>
      </c>
      <c r="CN11" s="40">
        <v>70</v>
      </c>
      <c r="CO11" s="41">
        <f t="shared" si="0"/>
        <v>85.4</v>
      </c>
      <c r="CP11" s="41">
        <f t="shared" si="1"/>
        <v>75</v>
      </c>
      <c r="CQ11" s="41">
        <f t="shared" si="23"/>
        <v>86</v>
      </c>
      <c r="CR11" s="17">
        <f t="shared" si="24"/>
        <v>82.460000000000008</v>
      </c>
      <c r="CS11" s="16">
        <f t="shared" si="2"/>
        <v>86.8</v>
      </c>
      <c r="CT11" s="16">
        <f t="shared" si="3"/>
        <v>75</v>
      </c>
      <c r="CU11" s="16">
        <f t="shared" si="25"/>
        <v>70</v>
      </c>
      <c r="CV11" s="17">
        <f t="shared" si="26"/>
        <v>78.22</v>
      </c>
      <c r="CW11" s="17">
        <f t="shared" si="4"/>
        <v>74</v>
      </c>
      <c r="CX11" s="17">
        <f t="shared" si="5"/>
        <v>75</v>
      </c>
      <c r="CY11" s="17">
        <f t="shared" si="27"/>
        <v>70</v>
      </c>
      <c r="CZ11" s="17">
        <f t="shared" si="28"/>
        <v>73.099999999999994</v>
      </c>
      <c r="DA11" s="18">
        <f t="shared" si="6"/>
        <v>85</v>
      </c>
      <c r="DB11" s="18">
        <f t="shared" si="29"/>
        <v>85</v>
      </c>
      <c r="DC11" s="18">
        <f t="shared" si="7"/>
        <v>81.25</v>
      </c>
      <c r="DD11" s="18">
        <f t="shared" si="30"/>
        <v>81.25</v>
      </c>
      <c r="DE11" s="18">
        <f t="shared" si="8"/>
        <v>79.5</v>
      </c>
      <c r="DF11" s="18">
        <f t="shared" si="31"/>
        <v>79.5</v>
      </c>
      <c r="DG11" s="18">
        <f t="shared" si="9"/>
        <v>78.25</v>
      </c>
      <c r="DH11" s="18">
        <f t="shared" si="32"/>
        <v>78.25</v>
      </c>
      <c r="DI11" s="18">
        <f t="shared" si="10"/>
        <v>80</v>
      </c>
      <c r="DJ11" s="18">
        <f t="shared" si="11"/>
        <v>75</v>
      </c>
      <c r="DK11" s="18">
        <f t="shared" si="33"/>
        <v>70</v>
      </c>
      <c r="DL11" s="17">
        <f t="shared" si="34"/>
        <v>75.5</v>
      </c>
      <c r="DM11" s="18">
        <f t="shared" si="12"/>
        <v>73.8</v>
      </c>
      <c r="DN11" s="18">
        <f t="shared" si="13"/>
        <v>75</v>
      </c>
      <c r="DO11" s="18">
        <f t="shared" si="35"/>
        <v>75</v>
      </c>
      <c r="DP11" s="17">
        <f t="shared" si="36"/>
        <v>74.52000000000001</v>
      </c>
      <c r="DQ11" s="18">
        <f t="shared" si="14"/>
        <v>71.400000000000006</v>
      </c>
      <c r="DR11" s="18">
        <f t="shared" si="15"/>
        <v>75</v>
      </c>
      <c r="DS11" s="18">
        <f t="shared" si="37"/>
        <v>80</v>
      </c>
      <c r="DT11" s="17">
        <f t="shared" si="38"/>
        <v>75.06</v>
      </c>
      <c r="DU11" s="18">
        <f t="shared" si="16"/>
        <v>77.5</v>
      </c>
      <c r="DV11" s="18">
        <f t="shared" si="39"/>
        <v>77.5</v>
      </c>
      <c r="DW11" s="18">
        <f t="shared" si="17"/>
        <v>79.5</v>
      </c>
      <c r="DX11" s="18">
        <f t="shared" si="40"/>
        <v>79.5</v>
      </c>
      <c r="DY11" s="18">
        <f t="shared" si="18"/>
        <v>77</v>
      </c>
      <c r="DZ11" s="17">
        <f t="shared" si="41"/>
        <v>77</v>
      </c>
      <c r="EA11" s="18">
        <f t="shared" si="42"/>
        <v>80.416666666666671</v>
      </c>
      <c r="EB11" s="18">
        <f t="shared" si="43"/>
        <v>75</v>
      </c>
      <c r="EC11" s="18">
        <f t="shared" si="44"/>
        <v>70</v>
      </c>
      <c r="ED11" s="17">
        <f t="shared" si="45"/>
        <v>75.666666666666671</v>
      </c>
      <c r="EE11" s="18">
        <f t="shared" si="46"/>
        <v>78</v>
      </c>
      <c r="EF11" s="18">
        <f t="shared" si="47"/>
        <v>75</v>
      </c>
      <c r="EG11" s="18">
        <f t="shared" si="48"/>
        <v>73</v>
      </c>
      <c r="EH11" s="17">
        <f t="shared" si="49"/>
        <v>75.599999999999994</v>
      </c>
      <c r="EI11" s="18">
        <f t="shared" si="50"/>
        <v>75</v>
      </c>
      <c r="EJ11" s="18">
        <f t="shared" si="51"/>
        <v>74</v>
      </c>
      <c r="EK11" s="18">
        <f t="shared" si="52"/>
        <v>75</v>
      </c>
      <c r="EL11" s="18">
        <f t="shared" si="53"/>
        <v>86</v>
      </c>
      <c r="EM11" s="17">
        <f t="shared" si="54"/>
        <v>77.900000000000006</v>
      </c>
      <c r="EN11" s="19">
        <f t="shared" si="55"/>
        <v>82.460000000000008</v>
      </c>
      <c r="EO11" s="19">
        <f t="shared" si="56"/>
        <v>78.22</v>
      </c>
      <c r="EP11" s="19">
        <f t="shared" si="57"/>
        <v>73.099999999999994</v>
      </c>
      <c r="EQ11" s="19">
        <f t="shared" si="58"/>
        <v>85</v>
      </c>
      <c r="ER11" s="19">
        <f t="shared" si="59"/>
        <v>81.25</v>
      </c>
      <c r="ES11" s="19">
        <f t="shared" si="60"/>
        <v>79.5</v>
      </c>
      <c r="ET11" s="19">
        <f t="shared" si="61"/>
        <v>78.25</v>
      </c>
      <c r="EU11" s="19">
        <f t="shared" si="62"/>
        <v>75.5</v>
      </c>
      <c r="EV11" s="19">
        <f t="shared" si="63"/>
        <v>74.52000000000001</v>
      </c>
      <c r="EW11" s="19">
        <f t="shared" si="64"/>
        <v>75.06</v>
      </c>
      <c r="EX11" s="19">
        <f t="shared" si="65"/>
        <v>77.5</v>
      </c>
      <c r="EY11" s="19">
        <f t="shared" si="66"/>
        <v>79.5</v>
      </c>
      <c r="EZ11" s="19">
        <f t="shared" si="67"/>
        <v>77</v>
      </c>
      <c r="FA11" s="19">
        <f t="shared" si="68"/>
        <v>75.666666666666671</v>
      </c>
      <c r="FB11" s="19">
        <f t="shared" si="69"/>
        <v>75.599999999999994</v>
      </c>
      <c r="FC11" s="19">
        <f t="shared" si="69"/>
        <v>75</v>
      </c>
      <c r="FD11" s="19">
        <f t="shared" si="70"/>
        <v>77.900000000000006</v>
      </c>
      <c r="FE11" s="19">
        <f t="shared" si="71"/>
        <v>77.707450980392153</v>
      </c>
    </row>
    <row r="12" spans="1:161" ht="18">
      <c r="A12" s="11">
        <v>8</v>
      </c>
      <c r="B12" s="93" t="s">
        <v>444</v>
      </c>
      <c r="C12" s="94" t="s">
        <v>445</v>
      </c>
      <c r="D12" s="93" t="s">
        <v>431</v>
      </c>
      <c r="E12" s="95">
        <v>82</v>
      </c>
      <c r="F12" s="96">
        <v>87</v>
      </c>
      <c r="G12" s="95">
        <v>84</v>
      </c>
      <c r="H12" s="95">
        <v>83</v>
      </c>
      <c r="I12" s="96">
        <v>85</v>
      </c>
      <c r="J12" s="96">
        <v>90</v>
      </c>
      <c r="K12" s="96">
        <v>80</v>
      </c>
      <c r="L12" s="96">
        <v>80</v>
      </c>
      <c r="M12" s="96">
        <v>93</v>
      </c>
      <c r="N12" s="96">
        <v>95</v>
      </c>
      <c r="O12" s="96">
        <v>95</v>
      </c>
      <c r="P12" s="96">
        <v>93</v>
      </c>
      <c r="Q12" s="96">
        <v>78</v>
      </c>
      <c r="R12" s="96">
        <v>78</v>
      </c>
      <c r="S12" s="95">
        <v>70</v>
      </c>
      <c r="T12" s="95">
        <v>73</v>
      </c>
      <c r="U12" s="96">
        <v>73</v>
      </c>
      <c r="V12" s="96">
        <v>89</v>
      </c>
      <c r="W12" s="96">
        <v>85</v>
      </c>
      <c r="X12" s="96">
        <v>85</v>
      </c>
      <c r="Y12" s="96">
        <v>84</v>
      </c>
      <c r="Z12" s="96">
        <v>85</v>
      </c>
      <c r="AA12" s="96">
        <v>80</v>
      </c>
      <c r="AB12" s="96">
        <v>82</v>
      </c>
      <c r="AC12" s="96">
        <v>83</v>
      </c>
      <c r="AD12" s="96">
        <v>83</v>
      </c>
      <c r="AE12" s="96">
        <v>81</v>
      </c>
      <c r="AF12" s="96">
        <v>80</v>
      </c>
      <c r="AG12" s="96">
        <v>81</v>
      </c>
      <c r="AH12" s="96">
        <v>86</v>
      </c>
      <c r="AI12" s="96">
        <v>70</v>
      </c>
      <c r="AJ12" s="96">
        <v>81</v>
      </c>
      <c r="AK12" s="96">
        <v>80</v>
      </c>
      <c r="AL12" s="96">
        <v>89</v>
      </c>
      <c r="AM12" s="96">
        <v>74</v>
      </c>
      <c r="AN12" s="96">
        <v>75</v>
      </c>
      <c r="AO12" s="95">
        <v>72</v>
      </c>
      <c r="AP12" s="95">
        <v>73</v>
      </c>
      <c r="AQ12" s="96">
        <v>74</v>
      </c>
      <c r="AR12" s="96">
        <v>90</v>
      </c>
      <c r="AS12" s="96">
        <v>71</v>
      </c>
      <c r="AT12" s="96">
        <v>74</v>
      </c>
      <c r="AU12" s="96">
        <v>72</v>
      </c>
      <c r="AV12" s="95">
        <v>71</v>
      </c>
      <c r="AW12" s="96">
        <v>77</v>
      </c>
      <c r="AX12" s="96">
        <v>90</v>
      </c>
      <c r="AY12" s="96">
        <v>77</v>
      </c>
      <c r="AZ12" s="96">
        <v>79</v>
      </c>
      <c r="BA12" s="96">
        <v>78</v>
      </c>
      <c r="BB12" s="96">
        <v>81</v>
      </c>
      <c r="BC12" s="96">
        <v>77</v>
      </c>
      <c r="BD12" s="96">
        <v>80</v>
      </c>
      <c r="BE12" s="96">
        <v>79</v>
      </c>
      <c r="BF12" s="96">
        <v>77</v>
      </c>
      <c r="BG12" s="96">
        <v>81</v>
      </c>
      <c r="BH12" s="95">
        <v>79</v>
      </c>
      <c r="BI12" s="95">
        <v>70</v>
      </c>
      <c r="BJ12" s="95">
        <v>84</v>
      </c>
      <c r="BK12" s="95">
        <v>79</v>
      </c>
      <c r="BL12" s="14">
        <v>91</v>
      </c>
      <c r="BM12" s="95">
        <v>80</v>
      </c>
      <c r="BN12" s="14">
        <v>91</v>
      </c>
      <c r="BO12" s="95">
        <v>79</v>
      </c>
      <c r="BP12" s="14">
        <v>91</v>
      </c>
      <c r="BQ12" s="95">
        <v>71</v>
      </c>
      <c r="BR12" s="14">
        <v>91</v>
      </c>
      <c r="BS12" s="15">
        <f t="shared" si="19"/>
        <v>76.666666666666671</v>
      </c>
      <c r="BT12" s="15">
        <f t="shared" si="20"/>
        <v>80</v>
      </c>
      <c r="BU12" s="15">
        <f t="shared" si="21"/>
        <v>77.25</v>
      </c>
      <c r="BV12" s="15">
        <f t="shared" si="22"/>
        <v>91</v>
      </c>
      <c r="BW12" s="15">
        <v>84</v>
      </c>
      <c r="BX12" s="15">
        <v>80</v>
      </c>
      <c r="BY12" s="14">
        <v>70</v>
      </c>
      <c r="BZ12" s="14">
        <v>93</v>
      </c>
      <c r="CA12" s="14">
        <v>91</v>
      </c>
      <c r="CB12" s="14">
        <v>70</v>
      </c>
      <c r="CC12" s="14">
        <v>74</v>
      </c>
      <c r="CD12" s="14">
        <v>77</v>
      </c>
      <c r="CE12" s="14">
        <v>90</v>
      </c>
      <c r="CF12" s="39">
        <v>81</v>
      </c>
      <c r="CG12" s="40">
        <v>90</v>
      </c>
      <c r="CH12" s="40">
        <v>70</v>
      </c>
      <c r="CI12" s="40">
        <v>95</v>
      </c>
      <c r="CJ12" s="40">
        <v>76</v>
      </c>
      <c r="CK12" s="40">
        <v>80</v>
      </c>
      <c r="CL12" s="39">
        <v>76</v>
      </c>
      <c r="CM12" s="39">
        <v>93</v>
      </c>
      <c r="CN12" s="40">
        <v>95</v>
      </c>
      <c r="CO12" s="41">
        <f t="shared" si="0"/>
        <v>84.2</v>
      </c>
      <c r="CP12" s="41">
        <f t="shared" si="1"/>
        <v>90</v>
      </c>
      <c r="CQ12" s="41">
        <f t="shared" si="23"/>
        <v>81</v>
      </c>
      <c r="CR12" s="17">
        <f t="shared" si="24"/>
        <v>84.97999999999999</v>
      </c>
      <c r="CS12" s="16">
        <f t="shared" si="2"/>
        <v>88.6</v>
      </c>
      <c r="CT12" s="16">
        <f t="shared" si="3"/>
        <v>93</v>
      </c>
      <c r="CU12" s="16">
        <f t="shared" si="25"/>
        <v>90</v>
      </c>
      <c r="CV12" s="17">
        <f t="shared" si="26"/>
        <v>90.34</v>
      </c>
      <c r="CW12" s="17">
        <f t="shared" si="4"/>
        <v>74.400000000000006</v>
      </c>
      <c r="CX12" s="17">
        <f t="shared" si="5"/>
        <v>89</v>
      </c>
      <c r="CY12" s="17">
        <f t="shared" si="27"/>
        <v>70</v>
      </c>
      <c r="CZ12" s="17">
        <f t="shared" si="28"/>
        <v>77.460000000000008</v>
      </c>
      <c r="DA12" s="18">
        <f t="shared" si="6"/>
        <v>84.75</v>
      </c>
      <c r="DB12" s="18">
        <f t="shared" si="29"/>
        <v>84.75</v>
      </c>
      <c r="DC12" s="18">
        <f t="shared" si="7"/>
        <v>82</v>
      </c>
      <c r="DD12" s="18">
        <f t="shared" si="30"/>
        <v>82</v>
      </c>
      <c r="DE12" s="18">
        <f t="shared" si="8"/>
        <v>80.5</v>
      </c>
      <c r="DF12" s="18">
        <f t="shared" si="31"/>
        <v>80.5</v>
      </c>
      <c r="DG12" s="18">
        <f t="shared" si="9"/>
        <v>79.5</v>
      </c>
      <c r="DH12" s="18">
        <f t="shared" si="32"/>
        <v>79.5</v>
      </c>
      <c r="DI12" s="18">
        <f t="shared" si="10"/>
        <v>80</v>
      </c>
      <c r="DJ12" s="18">
        <f t="shared" si="11"/>
        <v>89</v>
      </c>
      <c r="DK12" s="18">
        <f t="shared" si="33"/>
        <v>95</v>
      </c>
      <c r="DL12" s="17">
        <f t="shared" si="34"/>
        <v>87.2</v>
      </c>
      <c r="DM12" s="18">
        <f t="shared" si="12"/>
        <v>73.599999999999994</v>
      </c>
      <c r="DN12" s="18">
        <f t="shared" si="13"/>
        <v>90</v>
      </c>
      <c r="DO12" s="18">
        <f t="shared" si="35"/>
        <v>76</v>
      </c>
      <c r="DP12" s="17">
        <f t="shared" si="36"/>
        <v>79.239999999999995</v>
      </c>
      <c r="DQ12" s="18">
        <f t="shared" si="14"/>
        <v>73</v>
      </c>
      <c r="DR12" s="18">
        <f t="shared" si="15"/>
        <v>90</v>
      </c>
      <c r="DS12" s="18">
        <f t="shared" si="37"/>
        <v>80</v>
      </c>
      <c r="DT12" s="17">
        <f t="shared" si="38"/>
        <v>80.2</v>
      </c>
      <c r="DU12" s="18">
        <f t="shared" si="16"/>
        <v>78</v>
      </c>
      <c r="DV12" s="18">
        <f t="shared" si="39"/>
        <v>78</v>
      </c>
      <c r="DW12" s="18">
        <f t="shared" si="17"/>
        <v>79.5</v>
      </c>
      <c r="DX12" s="18">
        <f t="shared" si="40"/>
        <v>79.5</v>
      </c>
      <c r="DY12" s="18">
        <f t="shared" si="18"/>
        <v>78.5</v>
      </c>
      <c r="DZ12" s="17">
        <f t="shared" si="41"/>
        <v>78.5</v>
      </c>
      <c r="EA12" s="18">
        <f t="shared" si="42"/>
        <v>77.972222222222229</v>
      </c>
      <c r="EB12" s="18">
        <f t="shared" si="43"/>
        <v>91</v>
      </c>
      <c r="EC12" s="18">
        <f t="shared" si="44"/>
        <v>95</v>
      </c>
      <c r="ED12" s="17">
        <f t="shared" si="45"/>
        <v>86.988888888888894</v>
      </c>
      <c r="EE12" s="18">
        <f t="shared" si="46"/>
        <v>78</v>
      </c>
      <c r="EF12" s="18">
        <f t="shared" si="47"/>
        <v>93</v>
      </c>
      <c r="EG12" s="18">
        <f t="shared" si="48"/>
        <v>93</v>
      </c>
      <c r="EH12" s="17">
        <f t="shared" si="49"/>
        <v>87</v>
      </c>
      <c r="EI12" s="18">
        <f t="shared" si="50"/>
        <v>91</v>
      </c>
      <c r="EJ12" s="18">
        <f t="shared" si="51"/>
        <v>73.666666666666671</v>
      </c>
      <c r="EK12" s="18">
        <f t="shared" si="52"/>
        <v>90</v>
      </c>
      <c r="EL12" s="18">
        <f t="shared" si="53"/>
        <v>76</v>
      </c>
      <c r="EM12" s="17">
        <f t="shared" si="54"/>
        <v>79.26666666666668</v>
      </c>
      <c r="EN12" s="19">
        <f t="shared" si="55"/>
        <v>84.97999999999999</v>
      </c>
      <c r="EO12" s="19">
        <f t="shared" si="56"/>
        <v>90.34</v>
      </c>
      <c r="EP12" s="19">
        <f t="shared" si="57"/>
        <v>77.460000000000008</v>
      </c>
      <c r="EQ12" s="19">
        <f t="shared" si="58"/>
        <v>84.75</v>
      </c>
      <c r="ER12" s="19">
        <f t="shared" si="59"/>
        <v>82</v>
      </c>
      <c r="ES12" s="19">
        <f t="shared" si="60"/>
        <v>80.5</v>
      </c>
      <c r="ET12" s="19">
        <f t="shared" si="61"/>
        <v>79.5</v>
      </c>
      <c r="EU12" s="19">
        <f t="shared" si="62"/>
        <v>87.2</v>
      </c>
      <c r="EV12" s="19">
        <f t="shared" si="63"/>
        <v>79.239999999999995</v>
      </c>
      <c r="EW12" s="19">
        <f t="shared" si="64"/>
        <v>80.2</v>
      </c>
      <c r="EX12" s="19">
        <f t="shared" si="65"/>
        <v>78</v>
      </c>
      <c r="EY12" s="19">
        <f t="shared" si="66"/>
        <v>79.5</v>
      </c>
      <c r="EZ12" s="19">
        <f t="shared" si="67"/>
        <v>78.5</v>
      </c>
      <c r="FA12" s="19">
        <f t="shared" si="68"/>
        <v>86.988888888888894</v>
      </c>
      <c r="FB12" s="19">
        <f t="shared" si="69"/>
        <v>87</v>
      </c>
      <c r="FC12" s="19">
        <f t="shared" si="69"/>
        <v>91</v>
      </c>
      <c r="FD12" s="19">
        <f t="shared" si="70"/>
        <v>79.26666666666668</v>
      </c>
      <c r="FE12" s="19">
        <f t="shared" si="71"/>
        <v>82.730915032679732</v>
      </c>
    </row>
    <row r="13" spans="1:161" ht="18">
      <c r="A13" s="11">
        <v>9</v>
      </c>
      <c r="B13" s="93" t="s">
        <v>446</v>
      </c>
      <c r="C13" s="94" t="s">
        <v>447</v>
      </c>
      <c r="D13" s="93" t="s">
        <v>431</v>
      </c>
      <c r="E13" s="95">
        <v>86</v>
      </c>
      <c r="F13" s="96">
        <v>89</v>
      </c>
      <c r="G13" s="95">
        <v>87</v>
      </c>
      <c r="H13" s="95">
        <v>87</v>
      </c>
      <c r="I13" s="96">
        <v>92</v>
      </c>
      <c r="J13" s="96">
        <v>71</v>
      </c>
      <c r="K13" s="96">
        <v>82</v>
      </c>
      <c r="L13" s="96">
        <v>87</v>
      </c>
      <c r="M13" s="96">
        <v>95</v>
      </c>
      <c r="N13" s="96">
        <v>95</v>
      </c>
      <c r="O13" s="96">
        <v>95</v>
      </c>
      <c r="P13" s="96">
        <v>85</v>
      </c>
      <c r="Q13" s="96">
        <v>90</v>
      </c>
      <c r="R13" s="96">
        <v>83</v>
      </c>
      <c r="S13" s="95">
        <v>89</v>
      </c>
      <c r="T13" s="95">
        <v>85</v>
      </c>
      <c r="U13" s="96">
        <v>87</v>
      </c>
      <c r="V13" s="96">
        <v>79</v>
      </c>
      <c r="W13" s="96">
        <v>82</v>
      </c>
      <c r="X13" s="96">
        <v>85</v>
      </c>
      <c r="Y13" s="96">
        <v>83</v>
      </c>
      <c r="Z13" s="96">
        <v>84</v>
      </c>
      <c r="AA13" s="96">
        <v>89</v>
      </c>
      <c r="AB13" s="96">
        <v>89</v>
      </c>
      <c r="AC13" s="96">
        <v>85</v>
      </c>
      <c r="AD13" s="96">
        <v>86</v>
      </c>
      <c r="AE13" s="96">
        <v>81</v>
      </c>
      <c r="AF13" s="96">
        <v>83</v>
      </c>
      <c r="AG13" s="96">
        <v>81</v>
      </c>
      <c r="AH13" s="96">
        <v>82</v>
      </c>
      <c r="AI13" s="96">
        <v>71</v>
      </c>
      <c r="AJ13" s="96">
        <v>83</v>
      </c>
      <c r="AK13" s="96">
        <v>83</v>
      </c>
      <c r="AL13" s="96">
        <v>79</v>
      </c>
      <c r="AM13" s="96">
        <v>84</v>
      </c>
      <c r="AN13" s="96">
        <v>85</v>
      </c>
      <c r="AO13" s="95">
        <v>89</v>
      </c>
      <c r="AP13" s="95">
        <v>90</v>
      </c>
      <c r="AQ13" s="96">
        <v>86</v>
      </c>
      <c r="AR13" s="96">
        <v>85</v>
      </c>
      <c r="AS13" s="96">
        <v>81</v>
      </c>
      <c r="AT13" s="96">
        <v>83</v>
      </c>
      <c r="AU13" s="96">
        <v>85</v>
      </c>
      <c r="AV13" s="95">
        <v>85</v>
      </c>
      <c r="AW13" s="96">
        <v>85</v>
      </c>
      <c r="AX13" s="96">
        <v>85</v>
      </c>
      <c r="AY13" s="96">
        <v>79</v>
      </c>
      <c r="AZ13" s="96">
        <v>80</v>
      </c>
      <c r="BA13" s="96">
        <v>88</v>
      </c>
      <c r="BB13" s="96">
        <v>90</v>
      </c>
      <c r="BC13" s="96">
        <v>90</v>
      </c>
      <c r="BD13" s="96">
        <v>87</v>
      </c>
      <c r="BE13" s="96">
        <v>82</v>
      </c>
      <c r="BF13" s="96">
        <v>83</v>
      </c>
      <c r="BG13" s="96">
        <v>84</v>
      </c>
      <c r="BH13" s="95">
        <v>82</v>
      </c>
      <c r="BI13" s="95">
        <v>84</v>
      </c>
      <c r="BJ13" s="95">
        <v>85</v>
      </c>
      <c r="BK13" s="95">
        <v>82</v>
      </c>
      <c r="BL13" s="14">
        <v>82</v>
      </c>
      <c r="BM13" s="95">
        <v>80</v>
      </c>
      <c r="BN13" s="14">
        <v>82</v>
      </c>
      <c r="BO13" s="95">
        <v>86</v>
      </c>
      <c r="BP13" s="14">
        <v>82</v>
      </c>
      <c r="BQ13" s="95">
        <v>84</v>
      </c>
      <c r="BR13" s="14">
        <v>82</v>
      </c>
      <c r="BS13" s="15">
        <f t="shared" si="19"/>
        <v>83.333333333333329</v>
      </c>
      <c r="BT13" s="15">
        <f t="shared" si="20"/>
        <v>83.333333333333329</v>
      </c>
      <c r="BU13" s="15">
        <f t="shared" si="21"/>
        <v>83</v>
      </c>
      <c r="BV13" s="15">
        <f t="shared" si="22"/>
        <v>82</v>
      </c>
      <c r="BW13" s="15">
        <v>85</v>
      </c>
      <c r="BX13" s="15">
        <v>80</v>
      </c>
      <c r="BY13" s="14">
        <v>85</v>
      </c>
      <c r="BZ13" s="14">
        <v>88</v>
      </c>
      <c r="CA13" s="14">
        <v>82</v>
      </c>
      <c r="CB13" s="14">
        <v>81</v>
      </c>
      <c r="CC13" s="14">
        <v>88</v>
      </c>
      <c r="CD13" s="14">
        <v>76</v>
      </c>
      <c r="CE13" s="14">
        <v>85</v>
      </c>
      <c r="CF13" s="39">
        <v>80</v>
      </c>
      <c r="CG13" s="40">
        <v>95</v>
      </c>
      <c r="CH13" s="40">
        <v>78</v>
      </c>
      <c r="CI13" s="40">
        <v>85</v>
      </c>
      <c r="CJ13" s="40">
        <v>87</v>
      </c>
      <c r="CK13" s="40">
        <v>85</v>
      </c>
      <c r="CL13" s="39">
        <v>89</v>
      </c>
      <c r="CM13" s="39">
        <v>85</v>
      </c>
      <c r="CN13" s="40">
        <v>90</v>
      </c>
      <c r="CO13" s="41">
        <f t="shared" si="0"/>
        <v>88.2</v>
      </c>
      <c r="CP13" s="41">
        <f t="shared" si="1"/>
        <v>71</v>
      </c>
      <c r="CQ13" s="41">
        <f t="shared" si="23"/>
        <v>80</v>
      </c>
      <c r="CR13" s="17">
        <f t="shared" si="24"/>
        <v>80.58</v>
      </c>
      <c r="CS13" s="16">
        <f t="shared" si="2"/>
        <v>90.8</v>
      </c>
      <c r="CT13" s="16">
        <f t="shared" si="3"/>
        <v>85</v>
      </c>
      <c r="CU13" s="16">
        <f t="shared" si="25"/>
        <v>95</v>
      </c>
      <c r="CV13" s="17">
        <f t="shared" si="26"/>
        <v>90.320000000000007</v>
      </c>
      <c r="CW13" s="17">
        <f t="shared" si="4"/>
        <v>86.8</v>
      </c>
      <c r="CX13" s="17">
        <f t="shared" si="5"/>
        <v>79</v>
      </c>
      <c r="CY13" s="17">
        <f t="shared" si="27"/>
        <v>78</v>
      </c>
      <c r="CZ13" s="17">
        <f t="shared" si="28"/>
        <v>81.820000000000007</v>
      </c>
      <c r="DA13" s="18">
        <f t="shared" si="6"/>
        <v>83.5</v>
      </c>
      <c r="DB13" s="18">
        <f t="shared" si="29"/>
        <v>83.5</v>
      </c>
      <c r="DC13" s="18">
        <f t="shared" si="7"/>
        <v>87.25</v>
      </c>
      <c r="DD13" s="18">
        <f t="shared" si="30"/>
        <v>87.25</v>
      </c>
      <c r="DE13" s="18">
        <f t="shared" si="8"/>
        <v>82</v>
      </c>
      <c r="DF13" s="18">
        <f t="shared" si="31"/>
        <v>82</v>
      </c>
      <c r="DG13" s="18">
        <f t="shared" si="9"/>
        <v>79.25</v>
      </c>
      <c r="DH13" s="18">
        <f t="shared" si="32"/>
        <v>79.25</v>
      </c>
      <c r="DI13" s="18">
        <f t="shared" si="10"/>
        <v>83</v>
      </c>
      <c r="DJ13" s="18">
        <f t="shared" si="11"/>
        <v>79</v>
      </c>
      <c r="DK13" s="18">
        <f t="shared" si="33"/>
        <v>85</v>
      </c>
      <c r="DL13" s="17">
        <f t="shared" si="34"/>
        <v>82.4</v>
      </c>
      <c r="DM13" s="18">
        <f t="shared" si="12"/>
        <v>86.8</v>
      </c>
      <c r="DN13" s="18">
        <f t="shared" si="13"/>
        <v>85</v>
      </c>
      <c r="DO13" s="18">
        <f t="shared" si="35"/>
        <v>87</v>
      </c>
      <c r="DP13" s="17">
        <f t="shared" si="36"/>
        <v>86.320000000000007</v>
      </c>
      <c r="DQ13" s="18">
        <f t="shared" si="14"/>
        <v>83.8</v>
      </c>
      <c r="DR13" s="18">
        <f t="shared" si="15"/>
        <v>85</v>
      </c>
      <c r="DS13" s="18">
        <f t="shared" si="37"/>
        <v>85</v>
      </c>
      <c r="DT13" s="17">
        <f t="shared" si="38"/>
        <v>84.52000000000001</v>
      </c>
      <c r="DU13" s="18">
        <f t="shared" si="16"/>
        <v>79.5</v>
      </c>
      <c r="DV13" s="18">
        <f t="shared" si="39"/>
        <v>79.5</v>
      </c>
      <c r="DW13" s="18">
        <f t="shared" si="17"/>
        <v>89</v>
      </c>
      <c r="DX13" s="18">
        <f t="shared" si="40"/>
        <v>89</v>
      </c>
      <c r="DY13" s="18">
        <f t="shared" si="18"/>
        <v>88.5</v>
      </c>
      <c r="DZ13" s="17">
        <f t="shared" si="41"/>
        <v>88.5</v>
      </c>
      <c r="EA13" s="18">
        <f t="shared" si="42"/>
        <v>83.222222222222214</v>
      </c>
      <c r="EB13" s="18">
        <f t="shared" si="43"/>
        <v>82</v>
      </c>
      <c r="EC13" s="18">
        <f t="shared" si="44"/>
        <v>90</v>
      </c>
      <c r="ED13" s="17">
        <f t="shared" si="45"/>
        <v>84.888888888888886</v>
      </c>
      <c r="EE13" s="18">
        <f t="shared" si="46"/>
        <v>83.333333333333329</v>
      </c>
      <c r="EF13" s="18">
        <f t="shared" si="47"/>
        <v>88</v>
      </c>
      <c r="EG13" s="18">
        <f t="shared" si="48"/>
        <v>85</v>
      </c>
      <c r="EH13" s="17">
        <f t="shared" si="49"/>
        <v>85.23333333333332</v>
      </c>
      <c r="EI13" s="18">
        <f t="shared" si="50"/>
        <v>82</v>
      </c>
      <c r="EJ13" s="18">
        <f t="shared" si="51"/>
        <v>81.666666666666671</v>
      </c>
      <c r="EK13" s="18">
        <f t="shared" si="52"/>
        <v>85</v>
      </c>
      <c r="EL13" s="18">
        <f t="shared" si="53"/>
        <v>89</v>
      </c>
      <c r="EM13" s="17">
        <f t="shared" si="54"/>
        <v>84.866666666666674</v>
      </c>
      <c r="EN13" s="19">
        <f t="shared" si="55"/>
        <v>80.58</v>
      </c>
      <c r="EO13" s="19">
        <f t="shared" si="56"/>
        <v>90.320000000000007</v>
      </c>
      <c r="EP13" s="19">
        <f t="shared" si="57"/>
        <v>81.820000000000007</v>
      </c>
      <c r="EQ13" s="19">
        <f t="shared" si="58"/>
        <v>83.5</v>
      </c>
      <c r="ER13" s="19">
        <f t="shared" si="59"/>
        <v>87.25</v>
      </c>
      <c r="ES13" s="19">
        <f t="shared" si="60"/>
        <v>82</v>
      </c>
      <c r="ET13" s="19">
        <f t="shared" si="61"/>
        <v>79.25</v>
      </c>
      <c r="EU13" s="19">
        <f t="shared" si="62"/>
        <v>82.4</v>
      </c>
      <c r="EV13" s="19">
        <f t="shared" si="63"/>
        <v>86.320000000000007</v>
      </c>
      <c r="EW13" s="19">
        <f t="shared" si="64"/>
        <v>84.52000000000001</v>
      </c>
      <c r="EX13" s="19">
        <f t="shared" si="65"/>
        <v>79.5</v>
      </c>
      <c r="EY13" s="19">
        <f t="shared" si="66"/>
        <v>89</v>
      </c>
      <c r="EZ13" s="19">
        <f t="shared" si="67"/>
        <v>88.5</v>
      </c>
      <c r="FA13" s="19">
        <f t="shared" si="68"/>
        <v>84.888888888888886</v>
      </c>
      <c r="FB13" s="19">
        <f t="shared" si="69"/>
        <v>85.23333333333332</v>
      </c>
      <c r="FC13" s="19">
        <f t="shared" si="69"/>
        <v>82</v>
      </c>
      <c r="FD13" s="19">
        <f t="shared" si="70"/>
        <v>84.866666666666674</v>
      </c>
      <c r="FE13" s="19">
        <f t="shared" si="71"/>
        <v>84.232287581699353</v>
      </c>
    </row>
    <row r="14" spans="1:161" ht="18">
      <c r="A14" s="11">
        <v>10</v>
      </c>
      <c r="B14" s="93" t="s">
        <v>448</v>
      </c>
      <c r="C14" s="94" t="s">
        <v>449</v>
      </c>
      <c r="D14" s="93" t="s">
        <v>431</v>
      </c>
      <c r="E14" s="95">
        <v>86</v>
      </c>
      <c r="F14" s="96">
        <v>89</v>
      </c>
      <c r="G14" s="95">
        <v>89</v>
      </c>
      <c r="H14" s="95">
        <v>86</v>
      </c>
      <c r="I14" s="96">
        <v>90</v>
      </c>
      <c r="J14" s="96">
        <v>78</v>
      </c>
      <c r="K14" s="96">
        <v>84</v>
      </c>
      <c r="L14" s="96">
        <v>80</v>
      </c>
      <c r="M14" s="96">
        <v>92</v>
      </c>
      <c r="N14" s="96">
        <v>92</v>
      </c>
      <c r="O14" s="96">
        <v>92</v>
      </c>
      <c r="P14" s="96">
        <v>79</v>
      </c>
      <c r="Q14" s="96">
        <v>83</v>
      </c>
      <c r="R14" s="96">
        <v>77</v>
      </c>
      <c r="S14" s="95">
        <v>81</v>
      </c>
      <c r="T14" s="95">
        <v>79</v>
      </c>
      <c r="U14" s="96">
        <v>76</v>
      </c>
      <c r="V14" s="96">
        <v>77</v>
      </c>
      <c r="W14" s="96">
        <v>82</v>
      </c>
      <c r="X14" s="96">
        <v>84</v>
      </c>
      <c r="Y14" s="96">
        <v>82</v>
      </c>
      <c r="Z14" s="96">
        <v>84</v>
      </c>
      <c r="AA14" s="96">
        <v>89</v>
      </c>
      <c r="AB14" s="96">
        <v>86</v>
      </c>
      <c r="AC14" s="96">
        <v>73</v>
      </c>
      <c r="AD14" s="96">
        <v>80</v>
      </c>
      <c r="AE14" s="96">
        <v>87</v>
      </c>
      <c r="AF14" s="96">
        <v>92</v>
      </c>
      <c r="AG14" s="96">
        <v>87</v>
      </c>
      <c r="AH14" s="96">
        <v>85</v>
      </c>
      <c r="AI14" s="96">
        <v>74</v>
      </c>
      <c r="AJ14" s="96">
        <v>83</v>
      </c>
      <c r="AK14" s="96">
        <v>80</v>
      </c>
      <c r="AL14" s="96">
        <v>77</v>
      </c>
      <c r="AM14" s="96">
        <v>80</v>
      </c>
      <c r="AN14" s="96">
        <v>80</v>
      </c>
      <c r="AO14" s="95">
        <v>79</v>
      </c>
      <c r="AP14" s="95">
        <v>80</v>
      </c>
      <c r="AQ14" s="96">
        <v>81</v>
      </c>
      <c r="AR14" s="96">
        <v>78</v>
      </c>
      <c r="AS14" s="96">
        <v>77</v>
      </c>
      <c r="AT14" s="96">
        <v>83</v>
      </c>
      <c r="AU14" s="96">
        <v>80</v>
      </c>
      <c r="AV14" s="95">
        <v>75</v>
      </c>
      <c r="AW14" s="96">
        <v>86</v>
      </c>
      <c r="AX14" s="96">
        <v>78</v>
      </c>
      <c r="AY14" s="96">
        <v>75</v>
      </c>
      <c r="AZ14" s="96">
        <v>79</v>
      </c>
      <c r="BA14" s="96">
        <v>86</v>
      </c>
      <c r="BB14" s="96">
        <v>88</v>
      </c>
      <c r="BC14" s="96">
        <v>90</v>
      </c>
      <c r="BD14" s="96">
        <v>88</v>
      </c>
      <c r="BE14" s="96">
        <v>87</v>
      </c>
      <c r="BF14" s="96">
        <v>82</v>
      </c>
      <c r="BG14" s="96">
        <v>88</v>
      </c>
      <c r="BH14" s="95">
        <v>83</v>
      </c>
      <c r="BI14" s="95">
        <v>84</v>
      </c>
      <c r="BJ14" s="95">
        <v>85</v>
      </c>
      <c r="BK14" s="95">
        <v>86</v>
      </c>
      <c r="BL14" s="14">
        <v>78</v>
      </c>
      <c r="BM14" s="95">
        <v>80</v>
      </c>
      <c r="BN14" s="14">
        <v>78</v>
      </c>
      <c r="BO14" s="95">
        <v>86</v>
      </c>
      <c r="BP14" s="14">
        <v>78</v>
      </c>
      <c r="BQ14" s="95">
        <v>84</v>
      </c>
      <c r="BR14" s="14">
        <v>78</v>
      </c>
      <c r="BS14" s="15">
        <f t="shared" si="19"/>
        <v>86.333333333333329</v>
      </c>
      <c r="BT14" s="15">
        <f t="shared" si="20"/>
        <v>83.333333333333329</v>
      </c>
      <c r="BU14" s="15">
        <f t="shared" si="21"/>
        <v>84</v>
      </c>
      <c r="BV14" s="15">
        <f t="shared" si="22"/>
        <v>78</v>
      </c>
      <c r="BW14" s="15">
        <v>85</v>
      </c>
      <c r="BX14" s="15">
        <v>80</v>
      </c>
      <c r="BY14" s="14">
        <v>86</v>
      </c>
      <c r="BZ14" s="14">
        <v>79</v>
      </c>
      <c r="CA14" s="14">
        <v>78</v>
      </c>
      <c r="CB14" s="14">
        <v>80</v>
      </c>
      <c r="CC14" s="14">
        <v>86</v>
      </c>
      <c r="CD14" s="14">
        <v>74</v>
      </c>
      <c r="CE14" s="14">
        <v>78</v>
      </c>
      <c r="CF14" s="39">
        <v>82</v>
      </c>
      <c r="CG14" s="40">
        <v>92</v>
      </c>
      <c r="CH14" s="40">
        <v>75</v>
      </c>
      <c r="CI14" s="40">
        <v>82</v>
      </c>
      <c r="CJ14" s="40">
        <v>82</v>
      </c>
      <c r="CK14" s="40">
        <v>85</v>
      </c>
      <c r="CL14" s="39">
        <v>88</v>
      </c>
      <c r="CM14" s="39">
        <v>89</v>
      </c>
      <c r="CN14" s="40">
        <v>72</v>
      </c>
      <c r="CO14" s="41">
        <f t="shared" si="0"/>
        <v>88</v>
      </c>
      <c r="CP14" s="41">
        <f t="shared" si="1"/>
        <v>78</v>
      </c>
      <c r="CQ14" s="41">
        <f t="shared" si="23"/>
        <v>82</v>
      </c>
      <c r="CR14" s="17">
        <f t="shared" si="24"/>
        <v>83.2</v>
      </c>
      <c r="CS14" s="16">
        <f t="shared" si="2"/>
        <v>88</v>
      </c>
      <c r="CT14" s="16">
        <f t="shared" si="3"/>
        <v>79</v>
      </c>
      <c r="CU14" s="16">
        <f t="shared" si="25"/>
        <v>92</v>
      </c>
      <c r="CV14" s="17">
        <f t="shared" si="26"/>
        <v>86.5</v>
      </c>
      <c r="CW14" s="17">
        <f t="shared" si="4"/>
        <v>79.2</v>
      </c>
      <c r="CX14" s="17">
        <f t="shared" si="5"/>
        <v>77</v>
      </c>
      <c r="CY14" s="17">
        <f t="shared" si="27"/>
        <v>75</v>
      </c>
      <c r="CZ14" s="17">
        <f t="shared" si="28"/>
        <v>77.28</v>
      </c>
      <c r="DA14" s="18">
        <f t="shared" si="6"/>
        <v>83</v>
      </c>
      <c r="DB14" s="18">
        <f t="shared" si="29"/>
        <v>83</v>
      </c>
      <c r="DC14" s="18">
        <f t="shared" si="7"/>
        <v>82</v>
      </c>
      <c r="DD14" s="18">
        <f t="shared" si="30"/>
        <v>82</v>
      </c>
      <c r="DE14" s="18">
        <f t="shared" si="8"/>
        <v>89.5</v>
      </c>
      <c r="DF14" s="18">
        <f t="shared" si="31"/>
        <v>89.5</v>
      </c>
      <c r="DG14" s="18">
        <f t="shared" si="9"/>
        <v>82.25</v>
      </c>
      <c r="DH14" s="18">
        <f t="shared" si="32"/>
        <v>82.25</v>
      </c>
      <c r="DI14" s="18">
        <f t="shared" si="10"/>
        <v>80</v>
      </c>
      <c r="DJ14" s="18">
        <f t="shared" si="11"/>
        <v>77</v>
      </c>
      <c r="DK14" s="18">
        <f t="shared" si="33"/>
        <v>82</v>
      </c>
      <c r="DL14" s="17">
        <f t="shared" si="34"/>
        <v>79.7</v>
      </c>
      <c r="DM14" s="18">
        <f t="shared" si="12"/>
        <v>80</v>
      </c>
      <c r="DN14" s="18">
        <f t="shared" si="13"/>
        <v>78</v>
      </c>
      <c r="DO14" s="18">
        <f t="shared" si="35"/>
        <v>82</v>
      </c>
      <c r="DP14" s="17">
        <f t="shared" si="36"/>
        <v>80</v>
      </c>
      <c r="DQ14" s="18">
        <f t="shared" si="14"/>
        <v>80.2</v>
      </c>
      <c r="DR14" s="18">
        <f t="shared" si="15"/>
        <v>78</v>
      </c>
      <c r="DS14" s="18">
        <f t="shared" si="37"/>
        <v>85</v>
      </c>
      <c r="DT14" s="17">
        <f t="shared" si="38"/>
        <v>80.97999999999999</v>
      </c>
      <c r="DU14" s="18">
        <f t="shared" si="16"/>
        <v>77</v>
      </c>
      <c r="DV14" s="18">
        <f t="shared" si="39"/>
        <v>77</v>
      </c>
      <c r="DW14" s="18">
        <f t="shared" si="17"/>
        <v>87</v>
      </c>
      <c r="DX14" s="18">
        <f t="shared" si="40"/>
        <v>87</v>
      </c>
      <c r="DY14" s="18">
        <f t="shared" si="18"/>
        <v>89</v>
      </c>
      <c r="DZ14" s="17">
        <f t="shared" si="41"/>
        <v>89</v>
      </c>
      <c r="EA14" s="18">
        <f t="shared" si="42"/>
        <v>84.555555555555557</v>
      </c>
      <c r="EB14" s="18">
        <f t="shared" si="43"/>
        <v>78</v>
      </c>
      <c r="EC14" s="18">
        <f t="shared" si="44"/>
        <v>72</v>
      </c>
      <c r="ED14" s="17">
        <f t="shared" si="45"/>
        <v>78.822222222222223</v>
      </c>
      <c r="EE14" s="18">
        <f t="shared" si="46"/>
        <v>83.666666666666671</v>
      </c>
      <c r="EF14" s="18">
        <f t="shared" si="47"/>
        <v>79</v>
      </c>
      <c r="EG14" s="18">
        <f t="shared" si="48"/>
        <v>89</v>
      </c>
      <c r="EH14" s="17">
        <f t="shared" si="49"/>
        <v>83.866666666666674</v>
      </c>
      <c r="EI14" s="18">
        <f t="shared" si="50"/>
        <v>78</v>
      </c>
      <c r="EJ14" s="18">
        <f t="shared" si="51"/>
        <v>80</v>
      </c>
      <c r="EK14" s="18">
        <f t="shared" si="52"/>
        <v>78</v>
      </c>
      <c r="EL14" s="18">
        <f t="shared" si="53"/>
        <v>88</v>
      </c>
      <c r="EM14" s="17">
        <f t="shared" si="54"/>
        <v>81.8</v>
      </c>
      <c r="EN14" s="19">
        <f t="shared" si="55"/>
        <v>83.2</v>
      </c>
      <c r="EO14" s="19">
        <f t="shared" si="56"/>
        <v>86.5</v>
      </c>
      <c r="EP14" s="19">
        <f t="shared" si="57"/>
        <v>77.28</v>
      </c>
      <c r="EQ14" s="19">
        <f t="shared" si="58"/>
        <v>83</v>
      </c>
      <c r="ER14" s="19">
        <f t="shared" si="59"/>
        <v>82</v>
      </c>
      <c r="ES14" s="19">
        <f t="shared" si="60"/>
        <v>89.5</v>
      </c>
      <c r="ET14" s="19">
        <f t="shared" si="61"/>
        <v>82.25</v>
      </c>
      <c r="EU14" s="19">
        <f t="shared" si="62"/>
        <v>79.7</v>
      </c>
      <c r="EV14" s="19">
        <f t="shared" si="63"/>
        <v>80</v>
      </c>
      <c r="EW14" s="19">
        <f t="shared" si="64"/>
        <v>80.97999999999999</v>
      </c>
      <c r="EX14" s="19">
        <f t="shared" si="65"/>
        <v>77</v>
      </c>
      <c r="EY14" s="19">
        <f t="shared" si="66"/>
        <v>87</v>
      </c>
      <c r="EZ14" s="19">
        <f t="shared" si="67"/>
        <v>89</v>
      </c>
      <c r="FA14" s="19">
        <f t="shared" si="68"/>
        <v>78.822222222222223</v>
      </c>
      <c r="FB14" s="19">
        <f t="shared" si="69"/>
        <v>83.866666666666674</v>
      </c>
      <c r="FC14" s="19">
        <f t="shared" si="69"/>
        <v>78</v>
      </c>
      <c r="FD14" s="19">
        <f t="shared" si="70"/>
        <v>81.8</v>
      </c>
      <c r="FE14" s="19">
        <f t="shared" si="71"/>
        <v>82.346993464052304</v>
      </c>
    </row>
    <row r="15" spans="1:161" ht="18">
      <c r="A15" s="11">
        <v>11</v>
      </c>
      <c r="B15" s="93" t="s">
        <v>450</v>
      </c>
      <c r="C15" s="94" t="s">
        <v>451</v>
      </c>
      <c r="D15" s="93" t="s">
        <v>431</v>
      </c>
      <c r="E15" s="95">
        <v>82</v>
      </c>
      <c r="F15" s="96">
        <v>87</v>
      </c>
      <c r="G15" s="95">
        <v>86</v>
      </c>
      <c r="H15" s="95">
        <v>85</v>
      </c>
      <c r="I15" s="96">
        <v>84</v>
      </c>
      <c r="J15" s="96">
        <v>79</v>
      </c>
      <c r="K15" s="96">
        <v>80</v>
      </c>
      <c r="L15" s="96">
        <v>80</v>
      </c>
      <c r="M15" s="96">
        <v>88</v>
      </c>
      <c r="N15" s="96">
        <v>83</v>
      </c>
      <c r="O15" s="96">
        <v>88</v>
      </c>
      <c r="P15" s="96">
        <v>79</v>
      </c>
      <c r="Q15" s="96">
        <v>82</v>
      </c>
      <c r="R15" s="96">
        <v>80</v>
      </c>
      <c r="S15" s="95">
        <v>77</v>
      </c>
      <c r="T15" s="95">
        <v>72</v>
      </c>
      <c r="U15" s="96">
        <v>77</v>
      </c>
      <c r="V15" s="96">
        <v>79</v>
      </c>
      <c r="W15" s="96">
        <v>82</v>
      </c>
      <c r="X15" s="96">
        <v>85</v>
      </c>
      <c r="Y15" s="96">
        <v>84</v>
      </c>
      <c r="Z15" s="96">
        <v>85</v>
      </c>
      <c r="AA15" s="96">
        <v>81</v>
      </c>
      <c r="AB15" s="96">
        <v>84</v>
      </c>
      <c r="AC15" s="96">
        <v>73</v>
      </c>
      <c r="AD15" s="96">
        <v>78</v>
      </c>
      <c r="AE15" s="96">
        <v>83</v>
      </c>
      <c r="AF15" s="96">
        <v>84</v>
      </c>
      <c r="AG15" s="96">
        <v>83</v>
      </c>
      <c r="AH15" s="96">
        <v>85</v>
      </c>
      <c r="AI15" s="96">
        <v>70</v>
      </c>
      <c r="AJ15" s="96">
        <v>81</v>
      </c>
      <c r="AK15" s="96">
        <v>80</v>
      </c>
      <c r="AL15" s="96">
        <v>79</v>
      </c>
      <c r="AM15" s="96">
        <v>76</v>
      </c>
      <c r="AN15" s="96">
        <v>76</v>
      </c>
      <c r="AO15" s="95">
        <v>73</v>
      </c>
      <c r="AP15" s="95">
        <v>74</v>
      </c>
      <c r="AQ15" s="96">
        <v>79</v>
      </c>
      <c r="AR15" s="96">
        <v>80</v>
      </c>
      <c r="AS15" s="96">
        <v>72</v>
      </c>
      <c r="AT15" s="96">
        <v>77</v>
      </c>
      <c r="AU15" s="96">
        <v>75</v>
      </c>
      <c r="AV15" s="95">
        <v>73</v>
      </c>
      <c r="AW15" s="96">
        <v>83</v>
      </c>
      <c r="AX15" s="96">
        <v>80</v>
      </c>
      <c r="AY15" s="96">
        <v>75</v>
      </c>
      <c r="AZ15" s="96">
        <v>79</v>
      </c>
      <c r="BA15" s="96">
        <v>82</v>
      </c>
      <c r="BB15" s="96">
        <v>86</v>
      </c>
      <c r="BC15" s="96">
        <v>79</v>
      </c>
      <c r="BD15" s="96">
        <v>86</v>
      </c>
      <c r="BE15" s="96">
        <v>83</v>
      </c>
      <c r="BF15" s="96">
        <v>77</v>
      </c>
      <c r="BG15" s="96">
        <v>84</v>
      </c>
      <c r="BH15" s="95">
        <v>82</v>
      </c>
      <c r="BI15" s="95">
        <v>80</v>
      </c>
      <c r="BJ15" s="95">
        <v>84</v>
      </c>
      <c r="BK15" s="95">
        <v>82</v>
      </c>
      <c r="BL15" s="14">
        <v>80</v>
      </c>
      <c r="BM15" s="95">
        <v>80</v>
      </c>
      <c r="BN15" s="14">
        <v>80</v>
      </c>
      <c r="BO15" s="95">
        <v>86</v>
      </c>
      <c r="BP15" s="14">
        <v>80</v>
      </c>
      <c r="BQ15" s="95">
        <v>84</v>
      </c>
      <c r="BR15" s="14">
        <v>80</v>
      </c>
      <c r="BS15" s="15">
        <f t="shared" si="19"/>
        <v>82.333333333333329</v>
      </c>
      <c r="BT15" s="15">
        <f t="shared" si="20"/>
        <v>81</v>
      </c>
      <c r="BU15" s="15">
        <f t="shared" si="21"/>
        <v>83</v>
      </c>
      <c r="BV15" s="15">
        <f t="shared" si="22"/>
        <v>80</v>
      </c>
      <c r="BW15" s="15">
        <v>85</v>
      </c>
      <c r="BX15" s="15">
        <v>80</v>
      </c>
      <c r="BY15" s="14">
        <v>85</v>
      </c>
      <c r="BZ15" s="14">
        <v>81</v>
      </c>
      <c r="CA15" s="14">
        <v>80</v>
      </c>
      <c r="CB15" s="14">
        <v>74</v>
      </c>
      <c r="CC15" s="14">
        <v>78</v>
      </c>
      <c r="CD15" s="14">
        <v>74</v>
      </c>
      <c r="CE15" s="14">
        <v>80</v>
      </c>
      <c r="CF15" s="39">
        <v>85</v>
      </c>
      <c r="CG15" s="40">
        <v>90</v>
      </c>
      <c r="CH15" s="40">
        <v>75</v>
      </c>
      <c r="CI15" s="40">
        <v>80</v>
      </c>
      <c r="CJ15" s="40">
        <v>80</v>
      </c>
      <c r="CK15" s="40">
        <v>83</v>
      </c>
      <c r="CL15" s="39">
        <v>85</v>
      </c>
      <c r="CM15" s="39">
        <v>97</v>
      </c>
      <c r="CN15" s="40">
        <v>70</v>
      </c>
      <c r="CO15" s="41">
        <f t="shared" si="0"/>
        <v>84.8</v>
      </c>
      <c r="CP15" s="41">
        <f t="shared" si="1"/>
        <v>79</v>
      </c>
      <c r="CQ15" s="41">
        <f t="shared" si="23"/>
        <v>85</v>
      </c>
      <c r="CR15" s="17">
        <f t="shared" si="24"/>
        <v>83.12</v>
      </c>
      <c r="CS15" s="16">
        <f t="shared" si="2"/>
        <v>83.8</v>
      </c>
      <c r="CT15" s="16">
        <f t="shared" si="3"/>
        <v>79</v>
      </c>
      <c r="CU15" s="16">
        <f t="shared" si="25"/>
        <v>90</v>
      </c>
      <c r="CV15" s="17">
        <f t="shared" si="26"/>
        <v>84.22</v>
      </c>
      <c r="CW15" s="17">
        <f t="shared" si="4"/>
        <v>77.599999999999994</v>
      </c>
      <c r="CX15" s="17">
        <f t="shared" si="5"/>
        <v>79</v>
      </c>
      <c r="CY15" s="17">
        <f t="shared" si="27"/>
        <v>75</v>
      </c>
      <c r="CZ15" s="17">
        <f t="shared" si="28"/>
        <v>77.239999999999995</v>
      </c>
      <c r="DA15" s="18">
        <f t="shared" si="6"/>
        <v>84</v>
      </c>
      <c r="DB15" s="18">
        <f t="shared" si="29"/>
        <v>84</v>
      </c>
      <c r="DC15" s="18">
        <f t="shared" si="7"/>
        <v>79</v>
      </c>
      <c r="DD15" s="18">
        <f t="shared" si="30"/>
        <v>79</v>
      </c>
      <c r="DE15" s="18">
        <f t="shared" si="8"/>
        <v>83.5</v>
      </c>
      <c r="DF15" s="18">
        <f t="shared" si="31"/>
        <v>83.5</v>
      </c>
      <c r="DG15" s="18">
        <f t="shared" si="9"/>
        <v>79.75</v>
      </c>
      <c r="DH15" s="18">
        <f t="shared" si="32"/>
        <v>79.75</v>
      </c>
      <c r="DI15" s="18">
        <f t="shared" si="10"/>
        <v>80</v>
      </c>
      <c r="DJ15" s="18">
        <f t="shared" si="11"/>
        <v>79</v>
      </c>
      <c r="DK15" s="18">
        <f t="shared" si="33"/>
        <v>80</v>
      </c>
      <c r="DL15" s="17">
        <f t="shared" si="34"/>
        <v>79.7</v>
      </c>
      <c r="DM15" s="18">
        <f t="shared" si="12"/>
        <v>75.599999999999994</v>
      </c>
      <c r="DN15" s="18">
        <f t="shared" si="13"/>
        <v>80</v>
      </c>
      <c r="DO15" s="18">
        <f t="shared" si="35"/>
        <v>80</v>
      </c>
      <c r="DP15" s="17">
        <f t="shared" si="36"/>
        <v>78.239999999999995</v>
      </c>
      <c r="DQ15" s="18">
        <f t="shared" si="14"/>
        <v>76</v>
      </c>
      <c r="DR15" s="18">
        <f t="shared" si="15"/>
        <v>80</v>
      </c>
      <c r="DS15" s="18">
        <f t="shared" si="37"/>
        <v>83</v>
      </c>
      <c r="DT15" s="17">
        <f t="shared" si="38"/>
        <v>79.3</v>
      </c>
      <c r="DU15" s="18">
        <f t="shared" si="16"/>
        <v>77</v>
      </c>
      <c r="DV15" s="18">
        <f t="shared" si="39"/>
        <v>77</v>
      </c>
      <c r="DW15" s="18">
        <f t="shared" si="17"/>
        <v>84</v>
      </c>
      <c r="DX15" s="18">
        <f t="shared" si="40"/>
        <v>84</v>
      </c>
      <c r="DY15" s="18">
        <f t="shared" si="18"/>
        <v>82.5</v>
      </c>
      <c r="DZ15" s="17">
        <f t="shared" si="41"/>
        <v>82.5</v>
      </c>
      <c r="EA15" s="18">
        <f t="shared" si="42"/>
        <v>82.1111111111111</v>
      </c>
      <c r="EB15" s="18">
        <f t="shared" si="43"/>
        <v>80</v>
      </c>
      <c r="EC15" s="18">
        <f t="shared" si="44"/>
        <v>70</v>
      </c>
      <c r="ED15" s="17">
        <f t="shared" si="45"/>
        <v>77.844444444444434</v>
      </c>
      <c r="EE15" s="18">
        <f t="shared" si="46"/>
        <v>83.333333333333329</v>
      </c>
      <c r="EF15" s="18">
        <f t="shared" si="47"/>
        <v>81</v>
      </c>
      <c r="EG15" s="18">
        <f t="shared" si="48"/>
        <v>97</v>
      </c>
      <c r="EH15" s="17">
        <f t="shared" si="49"/>
        <v>86.73333333333332</v>
      </c>
      <c r="EI15" s="18">
        <f t="shared" si="50"/>
        <v>80</v>
      </c>
      <c r="EJ15" s="18">
        <f t="shared" si="51"/>
        <v>75.333333333333329</v>
      </c>
      <c r="EK15" s="18">
        <f t="shared" si="52"/>
        <v>80</v>
      </c>
      <c r="EL15" s="18">
        <f t="shared" si="53"/>
        <v>85</v>
      </c>
      <c r="EM15" s="17">
        <f t="shared" si="54"/>
        <v>79.633333333333326</v>
      </c>
      <c r="EN15" s="19">
        <f t="shared" si="55"/>
        <v>83.12</v>
      </c>
      <c r="EO15" s="19">
        <f t="shared" si="56"/>
        <v>84.22</v>
      </c>
      <c r="EP15" s="19">
        <f t="shared" si="57"/>
        <v>77.239999999999995</v>
      </c>
      <c r="EQ15" s="19">
        <f t="shared" si="58"/>
        <v>84</v>
      </c>
      <c r="ER15" s="19">
        <f t="shared" si="59"/>
        <v>79</v>
      </c>
      <c r="ES15" s="19">
        <f t="shared" si="60"/>
        <v>83.5</v>
      </c>
      <c r="ET15" s="19">
        <f t="shared" si="61"/>
        <v>79.75</v>
      </c>
      <c r="EU15" s="19">
        <f t="shared" si="62"/>
        <v>79.7</v>
      </c>
      <c r="EV15" s="19">
        <f t="shared" si="63"/>
        <v>78.239999999999995</v>
      </c>
      <c r="EW15" s="19">
        <f t="shared" si="64"/>
        <v>79.3</v>
      </c>
      <c r="EX15" s="19">
        <f t="shared" si="65"/>
        <v>77</v>
      </c>
      <c r="EY15" s="19">
        <f t="shared" si="66"/>
        <v>84</v>
      </c>
      <c r="EZ15" s="19">
        <f t="shared" si="67"/>
        <v>82.5</v>
      </c>
      <c r="FA15" s="19">
        <f t="shared" si="68"/>
        <v>77.844444444444434</v>
      </c>
      <c r="FB15" s="19">
        <f t="shared" si="69"/>
        <v>86.73333333333332</v>
      </c>
      <c r="FC15" s="19">
        <f t="shared" si="69"/>
        <v>80</v>
      </c>
      <c r="FD15" s="19">
        <f t="shared" si="70"/>
        <v>79.633333333333326</v>
      </c>
      <c r="FE15" s="19">
        <f t="shared" si="71"/>
        <v>80.928300653594761</v>
      </c>
    </row>
    <row r="16" spans="1:161" ht="18">
      <c r="A16" s="11">
        <v>12</v>
      </c>
      <c r="B16" s="93" t="s">
        <v>452</v>
      </c>
      <c r="C16" s="94" t="s">
        <v>453</v>
      </c>
      <c r="D16" s="93" t="s">
        <v>431</v>
      </c>
      <c r="E16" s="95">
        <v>88</v>
      </c>
      <c r="F16" s="96">
        <v>90</v>
      </c>
      <c r="G16" s="95">
        <v>88</v>
      </c>
      <c r="H16" s="95">
        <v>88</v>
      </c>
      <c r="I16" s="96">
        <v>91</v>
      </c>
      <c r="J16" s="96">
        <v>75</v>
      </c>
      <c r="K16" s="96">
        <v>86</v>
      </c>
      <c r="L16" s="96">
        <v>80</v>
      </c>
      <c r="M16" s="96">
        <v>81</v>
      </c>
      <c r="N16" s="96">
        <v>88</v>
      </c>
      <c r="O16" s="96">
        <v>88</v>
      </c>
      <c r="P16" s="96">
        <v>70</v>
      </c>
      <c r="Q16" s="96">
        <v>85</v>
      </c>
      <c r="R16" s="96">
        <v>79</v>
      </c>
      <c r="S16" s="95">
        <v>81</v>
      </c>
      <c r="T16" s="95">
        <v>78</v>
      </c>
      <c r="U16" s="96">
        <v>77</v>
      </c>
      <c r="V16" s="96">
        <v>79</v>
      </c>
      <c r="W16" s="96">
        <v>82</v>
      </c>
      <c r="X16" s="96">
        <v>85</v>
      </c>
      <c r="Y16" s="96">
        <v>82</v>
      </c>
      <c r="Z16" s="96">
        <v>83</v>
      </c>
      <c r="AA16" s="96">
        <v>80</v>
      </c>
      <c r="AB16" s="96">
        <v>82</v>
      </c>
      <c r="AC16" s="96">
        <v>85</v>
      </c>
      <c r="AD16" s="96">
        <v>86</v>
      </c>
      <c r="AE16" s="96">
        <v>85</v>
      </c>
      <c r="AF16" s="96">
        <v>86</v>
      </c>
      <c r="AG16" s="96">
        <v>85</v>
      </c>
      <c r="AH16" s="96">
        <v>87</v>
      </c>
      <c r="AI16" s="96">
        <v>80</v>
      </c>
      <c r="AJ16" s="96">
        <v>82</v>
      </c>
      <c r="AK16" s="96">
        <v>84</v>
      </c>
      <c r="AL16" s="96">
        <v>79</v>
      </c>
      <c r="AM16" s="96">
        <v>75</v>
      </c>
      <c r="AN16" s="96">
        <v>77</v>
      </c>
      <c r="AO16" s="95">
        <v>77</v>
      </c>
      <c r="AP16" s="95">
        <v>78</v>
      </c>
      <c r="AQ16" s="96">
        <v>82</v>
      </c>
      <c r="AR16" s="96">
        <v>75</v>
      </c>
      <c r="AS16" s="96">
        <v>77</v>
      </c>
      <c r="AT16" s="96">
        <v>80</v>
      </c>
      <c r="AU16" s="96">
        <v>74</v>
      </c>
      <c r="AV16" s="95">
        <v>75</v>
      </c>
      <c r="AW16" s="96">
        <v>77</v>
      </c>
      <c r="AX16" s="96">
        <v>75</v>
      </c>
      <c r="AY16" s="96">
        <v>78</v>
      </c>
      <c r="AZ16" s="96">
        <v>79</v>
      </c>
      <c r="BA16" s="96">
        <v>82</v>
      </c>
      <c r="BB16" s="96">
        <v>82</v>
      </c>
      <c r="BC16" s="96">
        <v>91</v>
      </c>
      <c r="BD16" s="96">
        <v>80</v>
      </c>
      <c r="BE16" s="96">
        <v>81</v>
      </c>
      <c r="BF16" s="96">
        <v>76</v>
      </c>
      <c r="BG16" s="96">
        <v>82</v>
      </c>
      <c r="BH16" s="95">
        <v>81</v>
      </c>
      <c r="BI16" s="95">
        <v>82</v>
      </c>
      <c r="BJ16" s="95">
        <v>85</v>
      </c>
      <c r="BK16" s="95">
        <v>80</v>
      </c>
      <c r="BL16" s="14">
        <v>76</v>
      </c>
      <c r="BM16" s="95">
        <v>80</v>
      </c>
      <c r="BN16" s="14">
        <v>76</v>
      </c>
      <c r="BO16" s="95">
        <v>86</v>
      </c>
      <c r="BP16" s="14">
        <v>76</v>
      </c>
      <c r="BQ16" s="95">
        <v>84</v>
      </c>
      <c r="BR16" s="14">
        <v>76</v>
      </c>
      <c r="BS16" s="15">
        <f t="shared" si="19"/>
        <v>81.666666666666671</v>
      </c>
      <c r="BT16" s="15">
        <f t="shared" si="20"/>
        <v>80.666666666666671</v>
      </c>
      <c r="BU16" s="15">
        <f t="shared" si="21"/>
        <v>82.5</v>
      </c>
      <c r="BV16" s="15">
        <f t="shared" si="22"/>
        <v>76</v>
      </c>
      <c r="BW16" s="15">
        <v>84</v>
      </c>
      <c r="BX16" s="15">
        <v>81</v>
      </c>
      <c r="BY16" s="14">
        <v>86</v>
      </c>
      <c r="BZ16" s="14">
        <v>80</v>
      </c>
      <c r="CA16" s="14">
        <v>76</v>
      </c>
      <c r="CB16" s="14">
        <v>78</v>
      </c>
      <c r="CC16" s="14">
        <v>91</v>
      </c>
      <c r="CD16" s="14">
        <v>74</v>
      </c>
      <c r="CE16" s="14">
        <v>75</v>
      </c>
      <c r="CF16" s="39">
        <v>85</v>
      </c>
      <c r="CG16" s="40">
        <v>90</v>
      </c>
      <c r="CH16" s="40">
        <v>85</v>
      </c>
      <c r="CI16" s="40">
        <v>77</v>
      </c>
      <c r="CJ16" s="40">
        <v>83</v>
      </c>
      <c r="CK16" s="40">
        <v>85</v>
      </c>
      <c r="CL16" s="39">
        <v>89</v>
      </c>
      <c r="CM16" s="39">
        <v>91</v>
      </c>
      <c r="CN16" s="40">
        <v>85</v>
      </c>
      <c r="CO16" s="41">
        <f t="shared" si="0"/>
        <v>89</v>
      </c>
      <c r="CP16" s="41">
        <f t="shared" si="1"/>
        <v>75</v>
      </c>
      <c r="CQ16" s="41">
        <f t="shared" si="23"/>
        <v>85</v>
      </c>
      <c r="CR16" s="17">
        <f t="shared" si="24"/>
        <v>83.6</v>
      </c>
      <c r="CS16" s="16">
        <f t="shared" si="2"/>
        <v>84.6</v>
      </c>
      <c r="CT16" s="16">
        <f t="shared" si="3"/>
        <v>70</v>
      </c>
      <c r="CU16" s="16">
        <f t="shared" si="25"/>
        <v>90</v>
      </c>
      <c r="CV16" s="17">
        <f t="shared" si="26"/>
        <v>81.84</v>
      </c>
      <c r="CW16" s="17">
        <f t="shared" si="4"/>
        <v>80</v>
      </c>
      <c r="CX16" s="17">
        <f t="shared" si="5"/>
        <v>79</v>
      </c>
      <c r="CY16" s="17">
        <f t="shared" si="27"/>
        <v>85</v>
      </c>
      <c r="CZ16" s="17">
        <f t="shared" si="28"/>
        <v>81.2</v>
      </c>
      <c r="DA16" s="18">
        <f t="shared" si="6"/>
        <v>83</v>
      </c>
      <c r="DB16" s="18">
        <f t="shared" si="29"/>
        <v>83</v>
      </c>
      <c r="DC16" s="18">
        <f t="shared" si="7"/>
        <v>83.25</v>
      </c>
      <c r="DD16" s="18">
        <f t="shared" si="30"/>
        <v>83.25</v>
      </c>
      <c r="DE16" s="18">
        <f t="shared" si="8"/>
        <v>85.5</v>
      </c>
      <c r="DF16" s="18">
        <f t="shared" si="31"/>
        <v>85.5</v>
      </c>
      <c r="DG16" s="18">
        <f t="shared" si="9"/>
        <v>83.5</v>
      </c>
      <c r="DH16" s="18">
        <f t="shared" si="32"/>
        <v>83.5</v>
      </c>
      <c r="DI16" s="18">
        <f t="shared" si="10"/>
        <v>84</v>
      </c>
      <c r="DJ16" s="18">
        <f t="shared" si="11"/>
        <v>79</v>
      </c>
      <c r="DK16" s="18">
        <f t="shared" si="33"/>
        <v>77</v>
      </c>
      <c r="DL16" s="17">
        <f t="shared" si="34"/>
        <v>80.400000000000006</v>
      </c>
      <c r="DM16" s="18">
        <f t="shared" si="12"/>
        <v>77.8</v>
      </c>
      <c r="DN16" s="18">
        <f t="shared" si="13"/>
        <v>75</v>
      </c>
      <c r="DO16" s="18">
        <f t="shared" si="35"/>
        <v>83</v>
      </c>
      <c r="DP16" s="17">
        <f t="shared" si="36"/>
        <v>78.52000000000001</v>
      </c>
      <c r="DQ16" s="18">
        <f t="shared" si="14"/>
        <v>76.599999999999994</v>
      </c>
      <c r="DR16" s="18">
        <f t="shared" si="15"/>
        <v>75</v>
      </c>
      <c r="DS16" s="18">
        <f t="shared" si="37"/>
        <v>85</v>
      </c>
      <c r="DT16" s="17">
        <f t="shared" si="38"/>
        <v>78.64</v>
      </c>
      <c r="DU16" s="18">
        <f t="shared" si="16"/>
        <v>78.5</v>
      </c>
      <c r="DV16" s="18">
        <f t="shared" si="39"/>
        <v>78.5</v>
      </c>
      <c r="DW16" s="18">
        <f t="shared" si="17"/>
        <v>82</v>
      </c>
      <c r="DX16" s="18">
        <f t="shared" si="40"/>
        <v>82</v>
      </c>
      <c r="DY16" s="18">
        <f t="shared" si="18"/>
        <v>85.5</v>
      </c>
      <c r="DZ16" s="17">
        <f t="shared" si="41"/>
        <v>85.5</v>
      </c>
      <c r="EA16" s="18">
        <f t="shared" si="42"/>
        <v>81.611111111111114</v>
      </c>
      <c r="EB16" s="18">
        <f t="shared" si="43"/>
        <v>76</v>
      </c>
      <c r="EC16" s="18">
        <f t="shared" si="44"/>
        <v>85</v>
      </c>
      <c r="ED16" s="17">
        <f t="shared" si="45"/>
        <v>80.944444444444443</v>
      </c>
      <c r="EE16" s="18">
        <f t="shared" si="46"/>
        <v>83.666666666666671</v>
      </c>
      <c r="EF16" s="18">
        <f t="shared" si="47"/>
        <v>80</v>
      </c>
      <c r="EG16" s="18">
        <f t="shared" si="48"/>
        <v>91</v>
      </c>
      <c r="EH16" s="17">
        <f t="shared" si="49"/>
        <v>84.76666666666668</v>
      </c>
      <c r="EI16" s="18">
        <f t="shared" si="50"/>
        <v>76</v>
      </c>
      <c r="EJ16" s="18">
        <f t="shared" si="51"/>
        <v>81</v>
      </c>
      <c r="EK16" s="18">
        <f t="shared" si="52"/>
        <v>75</v>
      </c>
      <c r="EL16" s="18">
        <f t="shared" si="53"/>
        <v>89</v>
      </c>
      <c r="EM16" s="17">
        <f t="shared" si="54"/>
        <v>81.599999999999994</v>
      </c>
      <c r="EN16" s="19">
        <f t="shared" si="55"/>
        <v>83.6</v>
      </c>
      <c r="EO16" s="19">
        <f t="shared" si="56"/>
        <v>81.84</v>
      </c>
      <c r="EP16" s="19">
        <f t="shared" si="57"/>
        <v>81.2</v>
      </c>
      <c r="EQ16" s="19">
        <f t="shared" si="58"/>
        <v>83</v>
      </c>
      <c r="ER16" s="19">
        <f t="shared" si="59"/>
        <v>83.25</v>
      </c>
      <c r="ES16" s="19">
        <f t="shared" si="60"/>
        <v>85.5</v>
      </c>
      <c r="ET16" s="19">
        <f t="shared" si="61"/>
        <v>83.5</v>
      </c>
      <c r="EU16" s="19">
        <f t="shared" si="62"/>
        <v>80.400000000000006</v>
      </c>
      <c r="EV16" s="19">
        <f t="shared" si="63"/>
        <v>78.52000000000001</v>
      </c>
      <c r="EW16" s="19">
        <f t="shared" si="64"/>
        <v>78.64</v>
      </c>
      <c r="EX16" s="19">
        <f t="shared" si="65"/>
        <v>78.5</v>
      </c>
      <c r="EY16" s="19">
        <f t="shared" si="66"/>
        <v>82</v>
      </c>
      <c r="EZ16" s="19">
        <f t="shared" si="67"/>
        <v>85.5</v>
      </c>
      <c r="FA16" s="19">
        <f t="shared" si="68"/>
        <v>80.944444444444443</v>
      </c>
      <c r="FB16" s="19">
        <f t="shared" si="69"/>
        <v>84.76666666666668</v>
      </c>
      <c r="FC16" s="19">
        <f t="shared" si="69"/>
        <v>76</v>
      </c>
      <c r="FD16" s="19">
        <f t="shared" si="70"/>
        <v>81.599999999999994</v>
      </c>
      <c r="FE16" s="19">
        <f t="shared" si="71"/>
        <v>81.691830065359454</v>
      </c>
    </row>
    <row r="17" spans="1:161" ht="18">
      <c r="A17" s="11">
        <v>13</v>
      </c>
      <c r="B17" s="93" t="s">
        <v>454</v>
      </c>
      <c r="C17" s="94" t="s">
        <v>455</v>
      </c>
      <c r="D17" s="93" t="s">
        <v>431</v>
      </c>
      <c r="E17" s="95">
        <v>88</v>
      </c>
      <c r="F17" s="96">
        <v>90</v>
      </c>
      <c r="G17" s="95">
        <v>89</v>
      </c>
      <c r="H17" s="95">
        <v>89</v>
      </c>
      <c r="I17" s="96">
        <v>93</v>
      </c>
      <c r="J17" s="96">
        <v>80</v>
      </c>
      <c r="K17" s="96">
        <v>87</v>
      </c>
      <c r="L17" s="96">
        <v>86</v>
      </c>
      <c r="M17" s="96">
        <v>88</v>
      </c>
      <c r="N17" s="96">
        <v>90</v>
      </c>
      <c r="O17" s="96">
        <v>93</v>
      </c>
      <c r="P17" s="96">
        <v>90</v>
      </c>
      <c r="Q17" s="96">
        <v>90</v>
      </c>
      <c r="R17" s="96">
        <v>81</v>
      </c>
      <c r="S17" s="95">
        <v>83</v>
      </c>
      <c r="T17" s="95">
        <v>80</v>
      </c>
      <c r="U17" s="96">
        <v>83</v>
      </c>
      <c r="V17" s="96">
        <v>80</v>
      </c>
      <c r="W17" s="96">
        <v>82</v>
      </c>
      <c r="X17" s="96">
        <v>85</v>
      </c>
      <c r="Y17" s="96">
        <v>84</v>
      </c>
      <c r="Z17" s="96">
        <v>84</v>
      </c>
      <c r="AA17" s="96">
        <v>82</v>
      </c>
      <c r="AB17" s="96">
        <v>88</v>
      </c>
      <c r="AC17" s="96">
        <v>85</v>
      </c>
      <c r="AD17" s="96">
        <v>86</v>
      </c>
      <c r="AE17" s="96">
        <v>86</v>
      </c>
      <c r="AF17" s="96">
        <v>93</v>
      </c>
      <c r="AG17" s="96">
        <v>86</v>
      </c>
      <c r="AH17" s="96">
        <v>89</v>
      </c>
      <c r="AI17" s="96">
        <v>74</v>
      </c>
      <c r="AJ17" s="96">
        <v>83</v>
      </c>
      <c r="AK17" s="96">
        <v>86</v>
      </c>
      <c r="AL17" s="96">
        <v>80</v>
      </c>
      <c r="AM17" s="96">
        <v>81</v>
      </c>
      <c r="AN17" s="96">
        <v>81</v>
      </c>
      <c r="AO17" s="95">
        <v>84</v>
      </c>
      <c r="AP17" s="95">
        <v>85</v>
      </c>
      <c r="AQ17" s="96">
        <v>83</v>
      </c>
      <c r="AR17" s="96">
        <v>80</v>
      </c>
      <c r="AS17" s="96">
        <v>78</v>
      </c>
      <c r="AT17" s="96">
        <v>81</v>
      </c>
      <c r="AU17" s="96">
        <v>76</v>
      </c>
      <c r="AV17" s="95">
        <v>71</v>
      </c>
      <c r="AW17" s="96">
        <v>84</v>
      </c>
      <c r="AX17" s="96">
        <v>80</v>
      </c>
      <c r="AY17" s="96">
        <v>81</v>
      </c>
      <c r="AZ17" s="96">
        <v>82</v>
      </c>
      <c r="BA17" s="96">
        <v>86</v>
      </c>
      <c r="BB17" s="96">
        <v>87</v>
      </c>
      <c r="BC17" s="96">
        <v>90</v>
      </c>
      <c r="BD17" s="96">
        <v>81</v>
      </c>
      <c r="BE17" s="96">
        <v>84</v>
      </c>
      <c r="BF17" s="96">
        <v>81</v>
      </c>
      <c r="BG17" s="96">
        <v>86</v>
      </c>
      <c r="BH17" s="95">
        <v>82</v>
      </c>
      <c r="BI17" s="95">
        <v>84</v>
      </c>
      <c r="BJ17" s="95">
        <v>86</v>
      </c>
      <c r="BK17" s="95">
        <v>84</v>
      </c>
      <c r="BL17" s="14">
        <v>82</v>
      </c>
      <c r="BM17" s="95">
        <v>80</v>
      </c>
      <c r="BN17" s="14">
        <v>82</v>
      </c>
      <c r="BO17" s="95">
        <v>86</v>
      </c>
      <c r="BP17" s="14">
        <v>82</v>
      </c>
      <c r="BQ17" s="95">
        <v>84</v>
      </c>
      <c r="BR17" s="14">
        <v>82</v>
      </c>
      <c r="BS17" s="15">
        <f t="shared" si="19"/>
        <v>84.666666666666671</v>
      </c>
      <c r="BT17" s="15">
        <f t="shared" si="20"/>
        <v>83</v>
      </c>
      <c r="BU17" s="15">
        <f t="shared" si="21"/>
        <v>83.5</v>
      </c>
      <c r="BV17" s="15">
        <f t="shared" si="22"/>
        <v>82</v>
      </c>
      <c r="BW17" s="15">
        <v>84</v>
      </c>
      <c r="BX17" s="15">
        <v>82</v>
      </c>
      <c r="BY17" s="14">
        <v>86</v>
      </c>
      <c r="BZ17" s="14">
        <v>80</v>
      </c>
      <c r="CA17" s="14">
        <v>82</v>
      </c>
      <c r="CB17" s="14">
        <v>79</v>
      </c>
      <c r="CC17" s="14">
        <v>91</v>
      </c>
      <c r="CD17" s="14">
        <v>84</v>
      </c>
      <c r="CE17" s="14">
        <v>80</v>
      </c>
      <c r="CF17" s="39">
        <v>89</v>
      </c>
      <c r="CG17" s="40">
        <v>90</v>
      </c>
      <c r="CH17" s="40">
        <v>88</v>
      </c>
      <c r="CI17" s="40">
        <v>85</v>
      </c>
      <c r="CJ17" s="40">
        <v>84</v>
      </c>
      <c r="CK17" s="40">
        <v>84</v>
      </c>
      <c r="CL17" s="39">
        <v>84</v>
      </c>
      <c r="CM17" s="39">
        <v>95</v>
      </c>
      <c r="CN17" s="40">
        <v>87</v>
      </c>
      <c r="CO17" s="41">
        <f t="shared" si="0"/>
        <v>89.8</v>
      </c>
      <c r="CP17" s="41">
        <f t="shared" si="1"/>
        <v>80</v>
      </c>
      <c r="CQ17" s="41">
        <f t="shared" si="23"/>
        <v>89</v>
      </c>
      <c r="CR17" s="17">
        <f t="shared" si="24"/>
        <v>86.62</v>
      </c>
      <c r="CS17" s="16">
        <f t="shared" si="2"/>
        <v>88.8</v>
      </c>
      <c r="CT17" s="16">
        <f t="shared" si="3"/>
        <v>90</v>
      </c>
      <c r="CU17" s="16">
        <f t="shared" si="25"/>
        <v>90</v>
      </c>
      <c r="CV17" s="17">
        <f t="shared" si="26"/>
        <v>89.52000000000001</v>
      </c>
      <c r="CW17" s="17">
        <f t="shared" si="4"/>
        <v>83.4</v>
      </c>
      <c r="CX17" s="17">
        <f t="shared" si="5"/>
        <v>80</v>
      </c>
      <c r="CY17" s="17">
        <f t="shared" si="27"/>
        <v>88</v>
      </c>
      <c r="CZ17" s="17">
        <f t="shared" si="28"/>
        <v>83.76</v>
      </c>
      <c r="DA17" s="18">
        <f t="shared" si="6"/>
        <v>83.75</v>
      </c>
      <c r="DB17" s="18">
        <f t="shared" si="29"/>
        <v>83.75</v>
      </c>
      <c r="DC17" s="18">
        <f t="shared" si="7"/>
        <v>85.25</v>
      </c>
      <c r="DD17" s="18">
        <f t="shared" si="30"/>
        <v>85.25</v>
      </c>
      <c r="DE17" s="18">
        <f t="shared" si="8"/>
        <v>89.5</v>
      </c>
      <c r="DF17" s="18">
        <f t="shared" si="31"/>
        <v>89.5</v>
      </c>
      <c r="DG17" s="18">
        <f t="shared" si="9"/>
        <v>83</v>
      </c>
      <c r="DH17" s="18">
        <f t="shared" si="32"/>
        <v>83</v>
      </c>
      <c r="DI17" s="18">
        <f t="shared" si="10"/>
        <v>86</v>
      </c>
      <c r="DJ17" s="18">
        <f t="shared" si="11"/>
        <v>80</v>
      </c>
      <c r="DK17" s="18">
        <f t="shared" si="33"/>
        <v>85</v>
      </c>
      <c r="DL17" s="17">
        <f t="shared" si="34"/>
        <v>83.9</v>
      </c>
      <c r="DM17" s="18">
        <f t="shared" si="12"/>
        <v>82.8</v>
      </c>
      <c r="DN17" s="18">
        <f t="shared" si="13"/>
        <v>80</v>
      </c>
      <c r="DO17" s="18">
        <f t="shared" si="35"/>
        <v>84</v>
      </c>
      <c r="DP17" s="17">
        <f t="shared" si="36"/>
        <v>82.320000000000007</v>
      </c>
      <c r="DQ17" s="18">
        <f t="shared" si="14"/>
        <v>78</v>
      </c>
      <c r="DR17" s="18">
        <f t="shared" si="15"/>
        <v>80</v>
      </c>
      <c r="DS17" s="18">
        <f t="shared" si="37"/>
        <v>84</v>
      </c>
      <c r="DT17" s="17">
        <f t="shared" si="38"/>
        <v>80.400000000000006</v>
      </c>
      <c r="DU17" s="18">
        <f t="shared" si="16"/>
        <v>81.5</v>
      </c>
      <c r="DV17" s="18">
        <f t="shared" si="39"/>
        <v>81.5</v>
      </c>
      <c r="DW17" s="18">
        <f t="shared" si="17"/>
        <v>86.5</v>
      </c>
      <c r="DX17" s="18">
        <f t="shared" si="40"/>
        <v>86.5</v>
      </c>
      <c r="DY17" s="18">
        <f t="shared" si="18"/>
        <v>85.5</v>
      </c>
      <c r="DZ17" s="17">
        <f t="shared" si="41"/>
        <v>85.5</v>
      </c>
      <c r="EA17" s="18">
        <f t="shared" si="42"/>
        <v>83.722222222222229</v>
      </c>
      <c r="EB17" s="18">
        <f t="shared" si="43"/>
        <v>82</v>
      </c>
      <c r="EC17" s="18">
        <f t="shared" si="44"/>
        <v>87</v>
      </c>
      <c r="ED17" s="17">
        <f t="shared" si="45"/>
        <v>84.188888888888897</v>
      </c>
      <c r="EE17" s="18">
        <f t="shared" si="46"/>
        <v>84</v>
      </c>
      <c r="EF17" s="18">
        <f t="shared" si="47"/>
        <v>80</v>
      </c>
      <c r="EG17" s="18">
        <f t="shared" si="48"/>
        <v>95</v>
      </c>
      <c r="EH17" s="17">
        <f t="shared" si="49"/>
        <v>86.1</v>
      </c>
      <c r="EI17" s="18">
        <f t="shared" si="50"/>
        <v>82</v>
      </c>
      <c r="EJ17" s="18">
        <f t="shared" si="51"/>
        <v>84.666666666666671</v>
      </c>
      <c r="EK17" s="18">
        <f t="shared" si="52"/>
        <v>80</v>
      </c>
      <c r="EL17" s="18">
        <f t="shared" si="53"/>
        <v>84</v>
      </c>
      <c r="EM17" s="17">
        <f t="shared" si="54"/>
        <v>83.066666666666677</v>
      </c>
      <c r="EN17" s="19">
        <f t="shared" si="55"/>
        <v>86.62</v>
      </c>
      <c r="EO17" s="19">
        <f t="shared" si="56"/>
        <v>89.52000000000001</v>
      </c>
      <c r="EP17" s="19">
        <f t="shared" si="57"/>
        <v>83.76</v>
      </c>
      <c r="EQ17" s="19">
        <f t="shared" si="58"/>
        <v>83.75</v>
      </c>
      <c r="ER17" s="19">
        <f t="shared" si="59"/>
        <v>85.25</v>
      </c>
      <c r="ES17" s="19">
        <f t="shared" si="60"/>
        <v>89.5</v>
      </c>
      <c r="ET17" s="19">
        <f t="shared" si="61"/>
        <v>83</v>
      </c>
      <c r="EU17" s="19">
        <f t="shared" si="62"/>
        <v>83.9</v>
      </c>
      <c r="EV17" s="19">
        <f t="shared" si="63"/>
        <v>82.320000000000007</v>
      </c>
      <c r="EW17" s="19">
        <f t="shared" si="64"/>
        <v>80.400000000000006</v>
      </c>
      <c r="EX17" s="19">
        <f t="shared" si="65"/>
        <v>81.5</v>
      </c>
      <c r="EY17" s="19">
        <f t="shared" si="66"/>
        <v>86.5</v>
      </c>
      <c r="EZ17" s="19">
        <f t="shared" si="67"/>
        <v>85.5</v>
      </c>
      <c r="FA17" s="19">
        <f t="shared" si="68"/>
        <v>84.188888888888897</v>
      </c>
      <c r="FB17" s="19">
        <f t="shared" si="69"/>
        <v>86.1</v>
      </c>
      <c r="FC17" s="19">
        <f t="shared" si="69"/>
        <v>82</v>
      </c>
      <c r="FD17" s="19">
        <f t="shared" si="70"/>
        <v>83.066666666666677</v>
      </c>
      <c r="FE17" s="19">
        <f t="shared" si="71"/>
        <v>84.522091503267959</v>
      </c>
    </row>
    <row r="18" spans="1:161" ht="18">
      <c r="A18" s="11">
        <v>14</v>
      </c>
      <c r="B18" s="93" t="s">
        <v>456</v>
      </c>
      <c r="C18" s="94" t="s">
        <v>457</v>
      </c>
      <c r="D18" s="93" t="s">
        <v>431</v>
      </c>
      <c r="E18" s="95">
        <v>88</v>
      </c>
      <c r="F18" s="96">
        <v>90</v>
      </c>
      <c r="G18" s="95">
        <v>89</v>
      </c>
      <c r="H18" s="95">
        <v>89</v>
      </c>
      <c r="I18" s="96">
        <v>91</v>
      </c>
      <c r="J18" s="96">
        <v>95</v>
      </c>
      <c r="K18" s="96">
        <v>85</v>
      </c>
      <c r="L18" s="96">
        <v>85</v>
      </c>
      <c r="M18" s="96">
        <v>95</v>
      </c>
      <c r="N18" s="96">
        <v>95</v>
      </c>
      <c r="O18" s="96">
        <v>95</v>
      </c>
      <c r="P18" s="96">
        <v>89</v>
      </c>
      <c r="Q18" s="96">
        <v>90</v>
      </c>
      <c r="R18" s="96">
        <v>85</v>
      </c>
      <c r="S18" s="95">
        <v>80</v>
      </c>
      <c r="T18" s="95">
        <v>87</v>
      </c>
      <c r="U18" s="96">
        <v>88</v>
      </c>
      <c r="V18" s="96">
        <v>87</v>
      </c>
      <c r="W18" s="96">
        <v>86</v>
      </c>
      <c r="X18" s="96">
        <v>86</v>
      </c>
      <c r="Y18" s="96">
        <v>85</v>
      </c>
      <c r="Z18" s="96">
        <v>86</v>
      </c>
      <c r="AA18" s="96">
        <v>83</v>
      </c>
      <c r="AB18" s="96">
        <v>88</v>
      </c>
      <c r="AC18" s="96">
        <v>86</v>
      </c>
      <c r="AD18" s="96">
        <v>87</v>
      </c>
      <c r="AE18" s="96">
        <v>85</v>
      </c>
      <c r="AF18" s="96">
        <v>87</v>
      </c>
      <c r="AG18" s="96">
        <v>85</v>
      </c>
      <c r="AH18" s="96">
        <v>89</v>
      </c>
      <c r="AI18" s="96">
        <v>73</v>
      </c>
      <c r="AJ18" s="96">
        <v>82</v>
      </c>
      <c r="AK18" s="96">
        <v>90</v>
      </c>
      <c r="AL18" s="96">
        <v>87</v>
      </c>
      <c r="AM18" s="96">
        <v>75</v>
      </c>
      <c r="AN18" s="96">
        <v>77</v>
      </c>
      <c r="AO18" s="95">
        <v>75</v>
      </c>
      <c r="AP18" s="95">
        <v>76</v>
      </c>
      <c r="AQ18" s="96">
        <v>81</v>
      </c>
      <c r="AR18" s="96">
        <v>86</v>
      </c>
      <c r="AS18" s="96">
        <v>93</v>
      </c>
      <c r="AT18" s="96">
        <v>90</v>
      </c>
      <c r="AU18" s="96">
        <v>87</v>
      </c>
      <c r="AV18" s="95">
        <v>83</v>
      </c>
      <c r="AW18" s="96">
        <v>86</v>
      </c>
      <c r="AX18" s="96">
        <v>86</v>
      </c>
      <c r="AY18" s="96">
        <v>79</v>
      </c>
      <c r="AZ18" s="96">
        <v>80</v>
      </c>
      <c r="BA18" s="96">
        <v>88</v>
      </c>
      <c r="BB18" s="96">
        <v>95</v>
      </c>
      <c r="BC18" s="96">
        <v>91</v>
      </c>
      <c r="BD18" s="96">
        <v>83</v>
      </c>
      <c r="BE18" s="96">
        <v>86</v>
      </c>
      <c r="BF18" s="96">
        <v>80</v>
      </c>
      <c r="BG18" s="96">
        <v>88</v>
      </c>
      <c r="BH18" s="95">
        <v>83</v>
      </c>
      <c r="BI18" s="95">
        <v>84</v>
      </c>
      <c r="BJ18" s="95">
        <v>86</v>
      </c>
      <c r="BK18" s="95">
        <v>86</v>
      </c>
      <c r="BL18" s="14">
        <v>89</v>
      </c>
      <c r="BM18" s="95">
        <v>80</v>
      </c>
      <c r="BN18" s="14">
        <v>89</v>
      </c>
      <c r="BO18" s="95">
        <v>86</v>
      </c>
      <c r="BP18" s="14">
        <v>89</v>
      </c>
      <c r="BQ18" s="95">
        <v>85</v>
      </c>
      <c r="BR18" s="14">
        <v>89</v>
      </c>
      <c r="BS18" s="15">
        <f t="shared" si="19"/>
        <v>86</v>
      </c>
      <c r="BT18" s="15">
        <f t="shared" si="20"/>
        <v>83</v>
      </c>
      <c r="BU18" s="15">
        <f t="shared" si="21"/>
        <v>84.25</v>
      </c>
      <c r="BV18" s="15">
        <f t="shared" si="22"/>
        <v>89</v>
      </c>
      <c r="BW18" s="15">
        <v>85</v>
      </c>
      <c r="BX18" s="15">
        <v>82</v>
      </c>
      <c r="BY18" s="14">
        <v>86</v>
      </c>
      <c r="BZ18" s="14">
        <v>86</v>
      </c>
      <c r="CA18" s="14">
        <v>89</v>
      </c>
      <c r="CB18" s="14">
        <v>84</v>
      </c>
      <c r="CC18" s="14">
        <v>92</v>
      </c>
      <c r="CD18" s="14">
        <v>85</v>
      </c>
      <c r="CE18" s="14">
        <v>86</v>
      </c>
      <c r="CF18" s="39">
        <v>91</v>
      </c>
      <c r="CG18" s="40">
        <v>95</v>
      </c>
      <c r="CH18" s="40">
        <v>85</v>
      </c>
      <c r="CI18" s="40">
        <v>97</v>
      </c>
      <c r="CJ18" s="40">
        <v>82</v>
      </c>
      <c r="CK18" s="40">
        <v>86</v>
      </c>
      <c r="CL18" s="39">
        <v>89</v>
      </c>
      <c r="CM18" s="39">
        <v>97</v>
      </c>
      <c r="CN18" s="40">
        <v>75</v>
      </c>
      <c r="CO18" s="41">
        <f t="shared" si="0"/>
        <v>89.4</v>
      </c>
      <c r="CP18" s="41">
        <f t="shared" si="1"/>
        <v>95</v>
      </c>
      <c r="CQ18" s="41">
        <f t="shared" si="23"/>
        <v>91</v>
      </c>
      <c r="CR18" s="17">
        <f t="shared" si="24"/>
        <v>91.56</v>
      </c>
      <c r="CS18" s="16">
        <f t="shared" si="2"/>
        <v>91</v>
      </c>
      <c r="CT18" s="16">
        <f t="shared" si="3"/>
        <v>89</v>
      </c>
      <c r="CU18" s="16">
        <f t="shared" si="25"/>
        <v>95</v>
      </c>
      <c r="CV18" s="17">
        <f t="shared" si="26"/>
        <v>91.6</v>
      </c>
      <c r="CW18" s="17">
        <f t="shared" si="4"/>
        <v>86</v>
      </c>
      <c r="CX18" s="17">
        <f t="shared" si="5"/>
        <v>87</v>
      </c>
      <c r="CY18" s="17">
        <f t="shared" si="27"/>
        <v>85</v>
      </c>
      <c r="CZ18" s="17">
        <f t="shared" si="28"/>
        <v>86</v>
      </c>
      <c r="DA18" s="18">
        <f t="shared" si="6"/>
        <v>85.75</v>
      </c>
      <c r="DB18" s="18">
        <f t="shared" si="29"/>
        <v>85.75</v>
      </c>
      <c r="DC18" s="18">
        <f t="shared" si="7"/>
        <v>86</v>
      </c>
      <c r="DD18" s="18">
        <f t="shared" si="30"/>
        <v>86</v>
      </c>
      <c r="DE18" s="18">
        <f t="shared" si="8"/>
        <v>86</v>
      </c>
      <c r="DF18" s="18">
        <f t="shared" si="31"/>
        <v>86</v>
      </c>
      <c r="DG18" s="18">
        <f t="shared" si="9"/>
        <v>82.25</v>
      </c>
      <c r="DH18" s="18">
        <f t="shared" si="32"/>
        <v>82.25</v>
      </c>
      <c r="DI18" s="18">
        <f t="shared" si="10"/>
        <v>90</v>
      </c>
      <c r="DJ18" s="18">
        <f t="shared" si="11"/>
        <v>87</v>
      </c>
      <c r="DK18" s="18">
        <f t="shared" si="33"/>
        <v>97</v>
      </c>
      <c r="DL18" s="17">
        <f t="shared" si="34"/>
        <v>91.2</v>
      </c>
      <c r="DM18" s="18">
        <f t="shared" si="12"/>
        <v>76.8</v>
      </c>
      <c r="DN18" s="18">
        <f t="shared" si="13"/>
        <v>86</v>
      </c>
      <c r="DO18" s="18">
        <f t="shared" si="35"/>
        <v>82</v>
      </c>
      <c r="DP18" s="17">
        <f t="shared" si="36"/>
        <v>81.12</v>
      </c>
      <c r="DQ18" s="18">
        <f t="shared" si="14"/>
        <v>87.8</v>
      </c>
      <c r="DR18" s="18">
        <f t="shared" si="15"/>
        <v>86</v>
      </c>
      <c r="DS18" s="18">
        <f t="shared" si="37"/>
        <v>86</v>
      </c>
      <c r="DT18" s="17">
        <f t="shared" si="38"/>
        <v>86.72</v>
      </c>
      <c r="DU18" s="18">
        <f t="shared" si="16"/>
        <v>79.5</v>
      </c>
      <c r="DV18" s="18">
        <f t="shared" si="39"/>
        <v>79.5</v>
      </c>
      <c r="DW18" s="18">
        <f t="shared" si="17"/>
        <v>91.5</v>
      </c>
      <c r="DX18" s="18">
        <f t="shared" si="40"/>
        <v>91.5</v>
      </c>
      <c r="DY18" s="18">
        <f t="shared" si="18"/>
        <v>87</v>
      </c>
      <c r="DZ18" s="17">
        <f t="shared" si="41"/>
        <v>87</v>
      </c>
      <c r="EA18" s="18">
        <f t="shared" si="42"/>
        <v>84.416666666666671</v>
      </c>
      <c r="EB18" s="18">
        <f t="shared" si="43"/>
        <v>89</v>
      </c>
      <c r="EC18" s="18">
        <f t="shared" si="44"/>
        <v>75</v>
      </c>
      <c r="ED18" s="17">
        <f t="shared" si="45"/>
        <v>82.966666666666669</v>
      </c>
      <c r="EE18" s="18">
        <f t="shared" si="46"/>
        <v>84.333333333333329</v>
      </c>
      <c r="EF18" s="18">
        <f t="shared" si="47"/>
        <v>86</v>
      </c>
      <c r="EG18" s="18">
        <f t="shared" si="48"/>
        <v>97</v>
      </c>
      <c r="EH18" s="17">
        <f t="shared" si="49"/>
        <v>88.633333333333326</v>
      </c>
      <c r="EI18" s="18">
        <f t="shared" si="50"/>
        <v>89</v>
      </c>
      <c r="EJ18" s="18">
        <f t="shared" si="51"/>
        <v>87</v>
      </c>
      <c r="EK18" s="18">
        <f t="shared" si="52"/>
        <v>86</v>
      </c>
      <c r="EL18" s="18">
        <f t="shared" si="53"/>
        <v>89</v>
      </c>
      <c r="EM18" s="17">
        <f t="shared" si="54"/>
        <v>87.3</v>
      </c>
      <c r="EN18" s="19">
        <f t="shared" si="55"/>
        <v>91.56</v>
      </c>
      <c r="EO18" s="19">
        <f t="shared" si="56"/>
        <v>91.6</v>
      </c>
      <c r="EP18" s="19">
        <f t="shared" si="57"/>
        <v>86</v>
      </c>
      <c r="EQ18" s="19">
        <f t="shared" si="58"/>
        <v>85.75</v>
      </c>
      <c r="ER18" s="19">
        <f t="shared" si="59"/>
        <v>86</v>
      </c>
      <c r="ES18" s="19">
        <f t="shared" si="60"/>
        <v>86</v>
      </c>
      <c r="ET18" s="19">
        <f t="shared" si="61"/>
        <v>82.25</v>
      </c>
      <c r="EU18" s="19">
        <f t="shared" si="62"/>
        <v>91.2</v>
      </c>
      <c r="EV18" s="19">
        <f t="shared" si="63"/>
        <v>81.12</v>
      </c>
      <c r="EW18" s="19">
        <f t="shared" si="64"/>
        <v>86.72</v>
      </c>
      <c r="EX18" s="19">
        <f t="shared" si="65"/>
        <v>79.5</v>
      </c>
      <c r="EY18" s="19">
        <f t="shared" si="66"/>
        <v>91.5</v>
      </c>
      <c r="EZ18" s="19">
        <f t="shared" si="67"/>
        <v>87</v>
      </c>
      <c r="FA18" s="19">
        <f t="shared" si="68"/>
        <v>82.966666666666669</v>
      </c>
      <c r="FB18" s="19">
        <f t="shared" si="69"/>
        <v>88.633333333333326</v>
      </c>
      <c r="FC18" s="19">
        <f t="shared" si="69"/>
        <v>89</v>
      </c>
      <c r="FD18" s="19">
        <f t="shared" si="70"/>
        <v>87.3</v>
      </c>
      <c r="FE18" s="19">
        <f t="shared" si="71"/>
        <v>86.711764705882359</v>
      </c>
    </row>
  </sheetData>
  <mergeCells count="172">
    <mergeCell ref="CC3:CC4"/>
    <mergeCell ref="CD3:CD4"/>
    <mergeCell ref="CE3:CE4"/>
    <mergeCell ref="CF3:CF4"/>
    <mergeCell ref="CG3:CG4"/>
    <mergeCell ref="CH3:CH4"/>
    <mergeCell ref="BW3:BW4"/>
    <mergeCell ref="BX3:BX4"/>
    <mergeCell ref="CU3:CU4"/>
    <mergeCell ref="BY3:BY4"/>
    <mergeCell ref="BZ3:BZ4"/>
    <mergeCell ref="CA3:CA4"/>
    <mergeCell ref="CB3:CB4"/>
    <mergeCell ref="CV3:CV4"/>
    <mergeCell ref="CO3:CO4"/>
    <mergeCell ref="CP3:CP4"/>
    <mergeCell ref="CQ3:CQ4"/>
    <mergeCell ref="CR3:CR4"/>
    <mergeCell ref="CS3:CS4"/>
    <mergeCell ref="CT3:CT4"/>
    <mergeCell ref="CI3:CI4"/>
    <mergeCell ref="CJ3:CJ4"/>
    <mergeCell ref="CK3:CK4"/>
    <mergeCell ref="CL3:CL4"/>
    <mergeCell ref="CM3:CM4"/>
    <mergeCell ref="CN3:CN4"/>
    <mergeCell ref="BQ3:BQ4"/>
    <mergeCell ref="BR3:BR4"/>
    <mergeCell ref="AY3:AY4"/>
    <mergeCell ref="AZ3:AZ4"/>
    <mergeCell ref="BA3:BA4"/>
    <mergeCell ref="BB3:BB4"/>
    <mergeCell ref="BC3:BC4"/>
    <mergeCell ref="BD3:BD4"/>
    <mergeCell ref="BN3:BN4"/>
    <mergeCell ref="BO3:BO4"/>
    <mergeCell ref="BP3:BP4"/>
    <mergeCell ref="BI3:BI4"/>
    <mergeCell ref="BJ3:BJ4"/>
    <mergeCell ref="AS3:AS4"/>
    <mergeCell ref="AT3:AT4"/>
    <mergeCell ref="AU3:AU4"/>
    <mergeCell ref="AV3:AV4"/>
    <mergeCell ref="AW3:AW4"/>
    <mergeCell ref="AX3:AX4"/>
    <mergeCell ref="BK3:BK4"/>
    <mergeCell ref="BL3:BL4"/>
    <mergeCell ref="BM3:BM4"/>
    <mergeCell ref="BE3:BE4"/>
    <mergeCell ref="BF3:BF4"/>
    <mergeCell ref="BG3:BG4"/>
    <mergeCell ref="BH3:BH4"/>
    <mergeCell ref="AM3:AM4"/>
    <mergeCell ref="AN3:AN4"/>
    <mergeCell ref="AO3:AO4"/>
    <mergeCell ref="AP3:AP4"/>
    <mergeCell ref="AQ3:AQ4"/>
    <mergeCell ref="AR3:AR4"/>
    <mergeCell ref="AG3:AG4"/>
    <mergeCell ref="AH3:AH4"/>
    <mergeCell ref="AI3:AI4"/>
    <mergeCell ref="AJ3:AJ4"/>
    <mergeCell ref="AK3:AK4"/>
    <mergeCell ref="AL3:AL4"/>
    <mergeCell ref="AC3:AC4"/>
    <mergeCell ref="AD3:AD4"/>
    <mergeCell ref="AE3:AE4"/>
    <mergeCell ref="AF3:AF4"/>
    <mergeCell ref="U3:U4"/>
    <mergeCell ref="V3:V4"/>
    <mergeCell ref="W3:W4"/>
    <mergeCell ref="X3:X4"/>
    <mergeCell ref="Y3:Y4"/>
    <mergeCell ref="Z3:Z4"/>
    <mergeCell ref="Q3:Q4"/>
    <mergeCell ref="R3:R4"/>
    <mergeCell ref="S3:S4"/>
    <mergeCell ref="T3:T4"/>
    <mergeCell ref="FB2:FB4"/>
    <mergeCell ref="FC2:FC4"/>
    <mergeCell ref="FD2:FD4"/>
    <mergeCell ref="BS3:BS4"/>
    <mergeCell ref="BT3:BT4"/>
    <mergeCell ref="BU3:BU4"/>
    <mergeCell ref="BV3:BV4"/>
    <mergeCell ref="AS2:AX2"/>
    <mergeCell ref="AY2:AZ2"/>
    <mergeCell ref="BA2:BB2"/>
    <mergeCell ref="BC2:BD2"/>
    <mergeCell ref="BE2:BF2"/>
    <mergeCell ref="BG2:BH2"/>
    <mergeCell ref="BI2:BJ2"/>
    <mergeCell ref="BK2:BL2"/>
    <mergeCell ref="CS1:CV2"/>
    <mergeCell ref="CW1:CZ2"/>
    <mergeCell ref="DA1:DB2"/>
    <mergeCell ref="AA3:AA4"/>
    <mergeCell ref="AB3:AB4"/>
    <mergeCell ref="FE2:FE4"/>
    <mergeCell ref="E3:E4"/>
    <mergeCell ref="F3:F4"/>
    <mergeCell ref="G3:G4"/>
    <mergeCell ref="H3:H4"/>
    <mergeCell ref="I3:I4"/>
    <mergeCell ref="J3:J4"/>
    <mergeCell ref="EV2:EV4"/>
    <mergeCell ref="EW2:EW4"/>
    <mergeCell ref="EX2:EX4"/>
    <mergeCell ref="EY2:EY4"/>
    <mergeCell ref="EZ2:EZ4"/>
    <mergeCell ref="FA2:FA4"/>
    <mergeCell ref="EP2:EP4"/>
    <mergeCell ref="EQ2:EQ4"/>
    <mergeCell ref="ER2:ER4"/>
    <mergeCell ref="ES2:ES4"/>
    <mergeCell ref="ET2:ET4"/>
    <mergeCell ref="EU2:EU4"/>
    <mergeCell ref="BS2:BV2"/>
    <mergeCell ref="BW2:BZ2"/>
    <mergeCell ref="CB2:CE2"/>
    <mergeCell ref="EN2:EN4"/>
    <mergeCell ref="EO2:EO4"/>
    <mergeCell ref="EN1:FD1"/>
    <mergeCell ref="E2:J2"/>
    <mergeCell ref="K2:P2"/>
    <mergeCell ref="Q2:V2"/>
    <mergeCell ref="W2:Z2"/>
    <mergeCell ref="AA2:AD2"/>
    <mergeCell ref="AE2:AF2"/>
    <mergeCell ref="AG2:AJ2"/>
    <mergeCell ref="AK2:AL2"/>
    <mergeCell ref="AM2:AR2"/>
    <mergeCell ref="DW1:DX2"/>
    <mergeCell ref="DY1:DZ2"/>
    <mergeCell ref="EA1:ED2"/>
    <mergeCell ref="EE1:EH2"/>
    <mergeCell ref="EI1:EI2"/>
    <mergeCell ref="EJ1:EM2"/>
    <mergeCell ref="DE1:DF2"/>
    <mergeCell ref="DG1:DH2"/>
    <mergeCell ref="DI1:DL2"/>
    <mergeCell ref="DM1:DP2"/>
    <mergeCell ref="DQ1:DT2"/>
    <mergeCell ref="DU1:DV2"/>
    <mergeCell ref="CF1:CN2"/>
    <mergeCell ref="CO1:CR2"/>
    <mergeCell ref="DC1:DD2"/>
    <mergeCell ref="AS1:AV1"/>
    <mergeCell ref="AW1:BB1"/>
    <mergeCell ref="BC1:BD1"/>
    <mergeCell ref="BQ1:BR1"/>
    <mergeCell ref="Q1:Z1"/>
    <mergeCell ref="AA1:AD1"/>
    <mergeCell ref="AE1:AF1"/>
    <mergeCell ref="AG1:AJ1"/>
    <mergeCell ref="AK1:AL1"/>
    <mergeCell ref="AM1:AR1"/>
    <mergeCell ref="BM2:BN2"/>
    <mergeCell ref="BO2:BP2"/>
    <mergeCell ref="BQ2:BR2"/>
    <mergeCell ref="A1:A4"/>
    <mergeCell ref="B1:B4"/>
    <mergeCell ref="C1:C4"/>
    <mergeCell ref="D1:D4"/>
    <mergeCell ref="E1:I1"/>
    <mergeCell ref="K1:P1"/>
    <mergeCell ref="K3:K4"/>
    <mergeCell ref="L3:L4"/>
    <mergeCell ref="M3:M4"/>
    <mergeCell ref="N3:N4"/>
    <mergeCell ref="O3:O4"/>
    <mergeCell ref="P3:P4"/>
  </mergeCells>
  <pageMargins left="0.70866141732283472" right="0.70866141732283472" top="0.74803149606299213" bottom="0.74803149606299213" header="0.31496062992125984" footer="0.31496062992125984"/>
  <pageSetup paperSize="9" scale="54"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C1550-243C-4B6F-8D1D-88FD08AE7AA9}">
  <dimension ref="B3:N31"/>
  <sheetViews>
    <sheetView topLeftCell="A4" zoomScale="110" zoomScaleNormal="110" workbookViewId="0">
      <selection activeCell="M15" sqref="M15"/>
    </sheetView>
  </sheetViews>
  <sheetFormatPr defaultRowHeight="14.4"/>
  <cols>
    <col min="2" max="2" width="15.88671875" customWidth="1"/>
  </cols>
  <sheetData>
    <row r="3" spans="2:14">
      <c r="B3" t="s">
        <v>722</v>
      </c>
      <c r="H3" t="s">
        <v>739</v>
      </c>
      <c r="I3" t="s">
        <v>746</v>
      </c>
      <c r="M3" t="s">
        <v>748</v>
      </c>
      <c r="N3" t="s">
        <v>749</v>
      </c>
    </row>
    <row r="4" spans="2:14">
      <c r="H4" t="s">
        <v>724</v>
      </c>
      <c r="I4">
        <v>18</v>
      </c>
      <c r="M4" t="s">
        <v>724</v>
      </c>
      <c r="N4">
        <v>0</v>
      </c>
    </row>
    <row r="5" spans="2:14">
      <c r="B5" t="s">
        <v>723</v>
      </c>
      <c r="C5" t="s">
        <v>742</v>
      </c>
      <c r="H5" t="s">
        <v>725</v>
      </c>
      <c r="I5">
        <v>17</v>
      </c>
      <c r="M5" t="s">
        <v>725</v>
      </c>
      <c r="N5">
        <v>40</v>
      </c>
    </row>
    <row r="6" spans="2:14">
      <c r="B6" t="s">
        <v>724</v>
      </c>
      <c r="C6">
        <v>8</v>
      </c>
      <c r="H6" t="s">
        <v>727</v>
      </c>
      <c r="I6">
        <v>35</v>
      </c>
      <c r="M6" t="s">
        <v>727</v>
      </c>
      <c r="N6">
        <v>40</v>
      </c>
    </row>
    <row r="7" spans="2:14">
      <c r="B7" t="s">
        <v>725</v>
      </c>
      <c r="C7">
        <v>6</v>
      </c>
      <c r="H7" t="s">
        <v>729</v>
      </c>
      <c r="K7" t="s">
        <v>144</v>
      </c>
      <c r="M7" t="s">
        <v>729</v>
      </c>
    </row>
    <row r="8" spans="2:14">
      <c r="B8" t="s">
        <v>727</v>
      </c>
      <c r="C8">
        <v>14</v>
      </c>
      <c r="K8" t="s">
        <v>731</v>
      </c>
    </row>
    <row r="9" spans="2:14">
      <c r="B9" t="s">
        <v>743</v>
      </c>
      <c r="C9" t="s">
        <v>744</v>
      </c>
      <c r="D9" t="s">
        <v>731</v>
      </c>
    </row>
    <row r="10" spans="2:14">
      <c r="C10" t="s">
        <v>745</v>
      </c>
      <c r="D10" t="s">
        <v>731</v>
      </c>
    </row>
    <row r="13" spans="2:14">
      <c r="B13" t="s">
        <v>726</v>
      </c>
      <c r="C13" t="s">
        <v>728</v>
      </c>
    </row>
    <row r="14" spans="2:14">
      <c r="B14" t="s">
        <v>724</v>
      </c>
      <c r="C14">
        <v>20</v>
      </c>
      <c r="H14" t="s">
        <v>740</v>
      </c>
      <c r="I14" t="s">
        <v>747</v>
      </c>
    </row>
    <row r="15" spans="2:14">
      <c r="B15" t="s">
        <v>725</v>
      </c>
      <c r="C15">
        <v>0</v>
      </c>
      <c r="H15" t="s">
        <v>724</v>
      </c>
      <c r="I15">
        <v>17</v>
      </c>
    </row>
    <row r="16" spans="2:14">
      <c r="B16" t="s">
        <v>727</v>
      </c>
      <c r="C16">
        <v>20</v>
      </c>
      <c r="H16" t="s">
        <v>725</v>
      </c>
      <c r="I16">
        <v>19</v>
      </c>
    </row>
    <row r="17" spans="2:11">
      <c r="B17" t="s">
        <v>729</v>
      </c>
      <c r="D17" t="s">
        <v>730</v>
      </c>
      <c r="H17" t="s">
        <v>727</v>
      </c>
      <c r="I17">
        <v>36</v>
      </c>
    </row>
    <row r="18" spans="2:11">
      <c r="D18" t="s">
        <v>731</v>
      </c>
      <c r="H18" t="s">
        <v>729</v>
      </c>
      <c r="K18" t="s">
        <v>741</v>
      </c>
    </row>
    <row r="19" spans="2:11">
      <c r="K19" t="s">
        <v>731</v>
      </c>
    </row>
    <row r="20" spans="2:11">
      <c r="B20" t="s">
        <v>732</v>
      </c>
      <c r="C20" t="s">
        <v>733</v>
      </c>
    </row>
    <row r="21" spans="2:11">
      <c r="B21" t="s">
        <v>724</v>
      </c>
      <c r="C21">
        <v>19</v>
      </c>
    </row>
    <row r="22" spans="2:11">
      <c r="B22" t="s">
        <v>725</v>
      </c>
      <c r="C22">
        <v>0</v>
      </c>
    </row>
    <row r="23" spans="2:11">
      <c r="B23" t="s">
        <v>727</v>
      </c>
      <c r="C23">
        <v>19</v>
      </c>
    </row>
    <row r="24" spans="2:11">
      <c r="B24" t="s">
        <v>729</v>
      </c>
      <c r="D24" t="s">
        <v>734</v>
      </c>
    </row>
    <row r="25" spans="2:11">
      <c r="D25" t="s">
        <v>731</v>
      </c>
    </row>
    <row r="27" spans="2:11">
      <c r="B27" t="s">
        <v>735</v>
      </c>
      <c r="C27" t="s">
        <v>737</v>
      </c>
    </row>
    <row r="28" spans="2:11">
      <c r="B28" t="s">
        <v>724</v>
      </c>
      <c r="C28">
        <v>15</v>
      </c>
    </row>
    <row r="29" spans="2:11">
      <c r="B29" t="s">
        <v>725</v>
      </c>
      <c r="C29">
        <v>21</v>
      </c>
    </row>
    <row r="30" spans="2:11">
      <c r="B30" t="s">
        <v>738</v>
      </c>
      <c r="C30">
        <v>36</v>
      </c>
    </row>
    <row r="31" spans="2:11">
      <c r="B31" t="s">
        <v>736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189D4-1FFA-44A9-99E2-4E3427B97A1E}">
  <dimension ref="A1:J201"/>
  <sheetViews>
    <sheetView topLeftCell="E1" zoomScale="180" zoomScaleNormal="180" workbookViewId="0">
      <selection activeCell="H9" sqref="H9"/>
    </sheetView>
  </sheetViews>
  <sheetFormatPr defaultRowHeight="14.4"/>
  <cols>
    <col min="2" max="3" width="30.44140625" customWidth="1"/>
    <col min="4" max="4" width="9.5546875" bestFit="1" customWidth="1"/>
    <col min="7" max="7" width="33" customWidth="1"/>
    <col min="8" max="8" width="21.44140625" customWidth="1"/>
    <col min="9" max="9" width="16.44140625" customWidth="1"/>
  </cols>
  <sheetData>
    <row r="1" spans="1:10">
      <c r="A1" s="133" t="s">
        <v>0</v>
      </c>
      <c r="B1" s="133" t="s">
        <v>716</v>
      </c>
      <c r="C1" s="133" t="s">
        <v>717</v>
      </c>
      <c r="D1" s="133" t="s">
        <v>718</v>
      </c>
    </row>
    <row r="2" spans="1:10" ht="28.8">
      <c r="A2" s="135">
        <v>175</v>
      </c>
      <c r="B2" s="136" t="s">
        <v>579</v>
      </c>
      <c r="C2" s="137" t="s">
        <v>675</v>
      </c>
      <c r="D2" s="138">
        <v>88.901764705882357</v>
      </c>
      <c r="G2" s="153" t="s">
        <v>721</v>
      </c>
      <c r="H2" s="152" t="s">
        <v>3</v>
      </c>
      <c r="I2" s="153" t="s">
        <v>719</v>
      </c>
      <c r="J2" s="152" t="s">
        <v>720</v>
      </c>
    </row>
    <row r="3" spans="1:10">
      <c r="A3" s="135">
        <v>178</v>
      </c>
      <c r="B3" s="136" t="s">
        <v>585</v>
      </c>
      <c r="C3" s="137" t="s">
        <v>675</v>
      </c>
      <c r="D3" s="138">
        <v>88.86549019607844</v>
      </c>
      <c r="G3" s="105" t="s">
        <v>579</v>
      </c>
      <c r="H3" s="106" t="s">
        <v>675</v>
      </c>
      <c r="I3" s="132">
        <v>88.901764705882357</v>
      </c>
      <c r="J3" s="151"/>
    </row>
    <row r="4" spans="1:10" ht="15.6">
      <c r="A4" s="139">
        <v>143</v>
      </c>
      <c r="B4" s="140" t="s">
        <v>233</v>
      </c>
      <c r="C4" s="141" t="s">
        <v>197</v>
      </c>
      <c r="D4" s="142">
        <v>88.441307189542499</v>
      </c>
      <c r="G4" s="155" t="s">
        <v>233</v>
      </c>
      <c r="H4" s="156" t="s">
        <v>197</v>
      </c>
      <c r="I4" s="154">
        <v>88.441307189542499</v>
      </c>
      <c r="J4" s="151"/>
    </row>
    <row r="5" spans="1:10" ht="15.6">
      <c r="A5" s="134">
        <v>62</v>
      </c>
      <c r="B5" s="13" t="s">
        <v>69</v>
      </c>
      <c r="C5" s="12" t="s">
        <v>53</v>
      </c>
      <c r="D5" s="132">
        <v>88.10771241830065</v>
      </c>
      <c r="G5" s="157" t="s">
        <v>509</v>
      </c>
      <c r="H5" s="158" t="s">
        <v>630</v>
      </c>
      <c r="I5" s="154">
        <v>87.94477124183004</v>
      </c>
      <c r="J5" s="151"/>
    </row>
    <row r="6" spans="1:10" ht="15.6">
      <c r="A6" s="134">
        <v>95</v>
      </c>
      <c r="B6" s="23" t="s">
        <v>136</v>
      </c>
      <c r="C6" s="24" t="s">
        <v>126</v>
      </c>
      <c r="D6" s="132">
        <v>88.062222222222204</v>
      </c>
      <c r="G6" s="157" t="s">
        <v>457</v>
      </c>
      <c r="H6" s="158" t="s">
        <v>431</v>
      </c>
      <c r="I6" s="154">
        <v>86.711764705882359</v>
      </c>
      <c r="J6" s="151"/>
    </row>
    <row r="7" spans="1:10" ht="15.6">
      <c r="A7" s="143">
        <v>33</v>
      </c>
      <c r="B7" s="144" t="s">
        <v>509</v>
      </c>
      <c r="C7" s="145" t="s">
        <v>630</v>
      </c>
      <c r="D7" s="146">
        <v>87.94477124183004</v>
      </c>
    </row>
    <row r="8" spans="1:10">
      <c r="A8" s="134">
        <v>192</v>
      </c>
      <c r="B8" s="105" t="s">
        <v>613</v>
      </c>
      <c r="C8" s="106" t="s">
        <v>675</v>
      </c>
      <c r="D8" s="132">
        <v>87.909803921568624</v>
      </c>
    </row>
    <row r="9" spans="1:10" ht="15.6">
      <c r="A9" s="134">
        <v>43</v>
      </c>
      <c r="B9" s="94" t="s">
        <v>529</v>
      </c>
      <c r="C9" s="93" t="s">
        <v>631</v>
      </c>
      <c r="D9" s="132">
        <v>87.696666666666658</v>
      </c>
    </row>
    <row r="10" spans="1:10" ht="15.6">
      <c r="A10" s="134">
        <v>60</v>
      </c>
      <c r="B10" s="13" t="s">
        <v>65</v>
      </c>
      <c r="C10" s="12" t="s">
        <v>53</v>
      </c>
      <c r="D10" s="132">
        <v>87.204836601307193</v>
      </c>
    </row>
    <row r="11" spans="1:10" ht="15.6">
      <c r="A11" s="134">
        <v>118</v>
      </c>
      <c r="B11" s="23" t="s">
        <v>182</v>
      </c>
      <c r="C11" s="24" t="s">
        <v>126</v>
      </c>
      <c r="D11" s="132">
        <v>87.146339869281036</v>
      </c>
    </row>
    <row r="12" spans="1:10">
      <c r="A12" s="134">
        <v>181</v>
      </c>
      <c r="B12" s="105" t="s">
        <v>591</v>
      </c>
      <c r="C12" s="106" t="s">
        <v>675</v>
      </c>
      <c r="D12" s="132">
        <v>87.142352941176469</v>
      </c>
    </row>
    <row r="13" spans="1:10" ht="15.6">
      <c r="A13" s="134">
        <v>125</v>
      </c>
      <c r="B13" s="13" t="s">
        <v>196</v>
      </c>
      <c r="C13" s="25" t="s">
        <v>197</v>
      </c>
      <c r="D13" s="132">
        <v>86.80575163398693</v>
      </c>
    </row>
    <row r="14" spans="1:10" ht="15.6">
      <c r="A14" s="134">
        <v>120</v>
      </c>
      <c r="B14" s="23" t="s">
        <v>186</v>
      </c>
      <c r="C14" s="24" t="s">
        <v>126</v>
      </c>
      <c r="D14" s="132">
        <v>86.79045751633987</v>
      </c>
    </row>
    <row r="15" spans="1:10" ht="15.6">
      <c r="A15" s="147">
        <v>14</v>
      </c>
      <c r="B15" s="148" t="s">
        <v>457</v>
      </c>
      <c r="C15" s="149" t="s">
        <v>431</v>
      </c>
      <c r="D15" s="150">
        <v>86.711764705882359</v>
      </c>
    </row>
    <row r="16" spans="1:10" ht="15.6">
      <c r="A16" s="134">
        <v>124</v>
      </c>
      <c r="B16" s="23" t="s">
        <v>194</v>
      </c>
      <c r="C16" s="24" t="s">
        <v>126</v>
      </c>
      <c r="D16" s="132">
        <v>86.653594771241828</v>
      </c>
    </row>
    <row r="17" spans="1:4" ht="15.6">
      <c r="A17" s="134">
        <v>102</v>
      </c>
      <c r="B17" s="23" t="s">
        <v>150</v>
      </c>
      <c r="C17" s="24" t="s">
        <v>126</v>
      </c>
      <c r="D17" s="132">
        <v>86.501176470588248</v>
      </c>
    </row>
    <row r="18" spans="1:4">
      <c r="A18" s="134">
        <v>189</v>
      </c>
      <c r="B18" s="105" t="s">
        <v>607</v>
      </c>
      <c r="C18" s="106" t="s">
        <v>675</v>
      </c>
      <c r="D18" s="132">
        <v>86.445686274509782</v>
      </c>
    </row>
    <row r="19" spans="1:4" ht="15.6">
      <c r="A19" s="134">
        <v>63</v>
      </c>
      <c r="B19" s="13" t="s">
        <v>71</v>
      </c>
      <c r="C19" s="12" t="s">
        <v>53</v>
      </c>
      <c r="D19" s="132">
        <v>86.387320261437921</v>
      </c>
    </row>
    <row r="20" spans="1:4" ht="15.6">
      <c r="A20" s="134">
        <v>112</v>
      </c>
      <c r="B20" s="23" t="s">
        <v>170</v>
      </c>
      <c r="C20" s="24" t="s">
        <v>126</v>
      </c>
      <c r="D20" s="132">
        <v>86.350522875816992</v>
      </c>
    </row>
    <row r="21" spans="1:4">
      <c r="A21" s="134">
        <v>184</v>
      </c>
      <c r="B21" s="105" t="s">
        <v>597</v>
      </c>
      <c r="C21" s="106" t="s">
        <v>675</v>
      </c>
      <c r="D21" s="132">
        <v>86.311372549019623</v>
      </c>
    </row>
    <row r="22" spans="1:4" ht="15.6">
      <c r="A22" s="134">
        <v>127</v>
      </c>
      <c r="B22" s="13" t="s">
        <v>201</v>
      </c>
      <c r="C22" s="25" t="s">
        <v>197</v>
      </c>
      <c r="D22" s="132">
        <v>86.293006535947711</v>
      </c>
    </row>
    <row r="23" spans="1:4" ht="15.6">
      <c r="A23" s="134">
        <v>83</v>
      </c>
      <c r="B23" s="13" t="s">
        <v>111</v>
      </c>
      <c r="C23" s="12" t="s">
        <v>53</v>
      </c>
      <c r="D23" s="132">
        <v>86.230784313725493</v>
      </c>
    </row>
    <row r="24" spans="1:4" ht="15.6">
      <c r="A24" s="134">
        <v>97</v>
      </c>
      <c r="B24" s="23" t="s">
        <v>140</v>
      </c>
      <c r="C24" s="24" t="s">
        <v>126</v>
      </c>
      <c r="D24" s="132">
        <v>86.182418300653595</v>
      </c>
    </row>
    <row r="25" spans="1:4" ht="15.6">
      <c r="A25" s="134">
        <v>119</v>
      </c>
      <c r="B25" s="23" t="s">
        <v>184</v>
      </c>
      <c r="C25" s="24" t="s">
        <v>126</v>
      </c>
      <c r="D25" s="132">
        <v>86.180065359477126</v>
      </c>
    </row>
    <row r="26" spans="1:4" ht="15.6">
      <c r="A26" s="134">
        <v>142</v>
      </c>
      <c r="B26" s="13" t="s">
        <v>231</v>
      </c>
      <c r="C26" s="25" t="s">
        <v>197</v>
      </c>
      <c r="D26" s="132">
        <v>86.105098039215676</v>
      </c>
    </row>
    <row r="27" spans="1:4" ht="15.6">
      <c r="A27" s="134">
        <v>73</v>
      </c>
      <c r="B27" s="13" t="s">
        <v>91</v>
      </c>
      <c r="C27" s="12" t="s">
        <v>53</v>
      </c>
      <c r="D27" s="132">
        <v>85.954967320261431</v>
      </c>
    </row>
    <row r="28" spans="1:4">
      <c r="A28" s="134">
        <v>198</v>
      </c>
      <c r="B28" s="105" t="s">
        <v>625</v>
      </c>
      <c r="C28" s="106" t="s">
        <v>675</v>
      </c>
      <c r="D28" s="132">
        <v>85.948431372549024</v>
      </c>
    </row>
    <row r="29" spans="1:4" ht="15.6">
      <c r="A29" s="134">
        <v>147</v>
      </c>
      <c r="B29" s="13" t="s">
        <v>241</v>
      </c>
      <c r="C29" s="25" t="s">
        <v>197</v>
      </c>
      <c r="D29" s="132">
        <v>85.862941176470585</v>
      </c>
    </row>
    <row r="30" spans="1:4">
      <c r="A30" s="134">
        <v>196</v>
      </c>
      <c r="B30" s="105" t="s">
        <v>621</v>
      </c>
      <c r="C30" s="106" t="s">
        <v>675</v>
      </c>
      <c r="D30" s="132">
        <v>85.807058823529403</v>
      </c>
    </row>
    <row r="31" spans="1:4" ht="15.6">
      <c r="A31" s="134">
        <v>79</v>
      </c>
      <c r="B31" s="13" t="s">
        <v>103</v>
      </c>
      <c r="C31" s="12" t="s">
        <v>53</v>
      </c>
      <c r="D31" s="132">
        <v>85.723529411764716</v>
      </c>
    </row>
    <row r="32" spans="1:4" ht="15.6">
      <c r="A32" s="134">
        <v>157</v>
      </c>
      <c r="B32" s="13" t="s">
        <v>261</v>
      </c>
      <c r="C32" s="25" t="s">
        <v>197</v>
      </c>
      <c r="D32" s="132">
        <v>85.690261437908518</v>
      </c>
    </row>
    <row r="33" spans="1:4" ht="15.6">
      <c r="A33" s="134">
        <v>80</v>
      </c>
      <c r="B33" s="13" t="s">
        <v>105</v>
      </c>
      <c r="C33" s="12" t="s">
        <v>53</v>
      </c>
      <c r="D33" s="132">
        <v>85.647843137254895</v>
      </c>
    </row>
    <row r="34" spans="1:4" ht="15.6">
      <c r="A34" s="134">
        <v>17</v>
      </c>
      <c r="B34" s="94" t="s">
        <v>477</v>
      </c>
      <c r="C34" s="93" t="s">
        <v>630</v>
      </c>
      <c r="D34" s="132">
        <v>85.436274509803937</v>
      </c>
    </row>
    <row r="35" spans="1:4" ht="15.6">
      <c r="A35" s="134">
        <v>15</v>
      </c>
      <c r="B35" s="94" t="s">
        <v>473</v>
      </c>
      <c r="C35" s="93" t="s">
        <v>630</v>
      </c>
      <c r="D35" s="132">
        <v>85.420653594771252</v>
      </c>
    </row>
    <row r="36" spans="1:4" ht="15.6">
      <c r="A36" s="134">
        <v>61</v>
      </c>
      <c r="B36" s="13" t="s">
        <v>67</v>
      </c>
      <c r="C36" s="12" t="s">
        <v>53</v>
      </c>
      <c r="D36" s="132">
        <v>85.410784313725486</v>
      </c>
    </row>
    <row r="37" spans="1:4" ht="15.6">
      <c r="A37" s="134">
        <v>74</v>
      </c>
      <c r="B37" s="13" t="s">
        <v>93</v>
      </c>
      <c r="C37" s="12" t="s">
        <v>53</v>
      </c>
      <c r="D37" s="132">
        <v>85.381176470588244</v>
      </c>
    </row>
    <row r="38" spans="1:4" ht="15.6">
      <c r="A38" s="134">
        <v>137</v>
      </c>
      <c r="B38" s="13" t="s">
        <v>221</v>
      </c>
      <c r="C38" s="25" t="s">
        <v>197</v>
      </c>
      <c r="D38" s="132">
        <v>85.361176470588248</v>
      </c>
    </row>
    <row r="39" spans="1:4" ht="15.6">
      <c r="A39" s="134">
        <v>131</v>
      </c>
      <c r="B39" s="13" t="s">
        <v>209</v>
      </c>
      <c r="C39" s="25" t="s">
        <v>197</v>
      </c>
      <c r="D39" s="132">
        <v>85.33660130718954</v>
      </c>
    </row>
    <row r="40" spans="1:4">
      <c r="A40" s="134">
        <v>173</v>
      </c>
      <c r="B40" s="105" t="s">
        <v>575</v>
      </c>
      <c r="C40" s="106" t="s">
        <v>675</v>
      </c>
      <c r="D40" s="132">
        <v>85.312352941176471</v>
      </c>
    </row>
    <row r="41" spans="1:4" ht="15.6">
      <c r="A41" s="134">
        <v>151</v>
      </c>
      <c r="B41" s="13" t="s">
        <v>249</v>
      </c>
      <c r="C41" s="25" t="s">
        <v>197</v>
      </c>
      <c r="D41" s="132">
        <v>85.310065359477122</v>
      </c>
    </row>
    <row r="42" spans="1:4" ht="15.6">
      <c r="A42" s="134">
        <v>115</v>
      </c>
      <c r="B42" s="23" t="s">
        <v>176</v>
      </c>
      <c r="C42" s="24" t="s">
        <v>126</v>
      </c>
      <c r="D42" s="132">
        <v>85.301111111111112</v>
      </c>
    </row>
    <row r="43" spans="1:4">
      <c r="A43" s="134">
        <v>187</v>
      </c>
      <c r="B43" s="105" t="s">
        <v>603</v>
      </c>
      <c r="C43" s="106" t="s">
        <v>675</v>
      </c>
      <c r="D43" s="132">
        <v>85.282941176470587</v>
      </c>
    </row>
    <row r="44" spans="1:4" ht="15.6">
      <c r="A44" s="134">
        <v>121</v>
      </c>
      <c r="B44" s="23" t="s">
        <v>188</v>
      </c>
      <c r="C44" s="24" t="s">
        <v>126</v>
      </c>
      <c r="D44" s="132">
        <v>85.258562091503265</v>
      </c>
    </row>
    <row r="45" spans="1:4" ht="15.6">
      <c r="A45" s="134">
        <v>92</v>
      </c>
      <c r="B45" s="23" t="s">
        <v>130</v>
      </c>
      <c r="C45" s="24" t="s">
        <v>126</v>
      </c>
      <c r="D45" s="132">
        <v>85.235816993464042</v>
      </c>
    </row>
    <row r="46" spans="1:4" ht="15.6">
      <c r="A46" s="134">
        <v>135</v>
      </c>
      <c r="B46" s="13" t="s">
        <v>217</v>
      </c>
      <c r="C46" s="25" t="s">
        <v>197</v>
      </c>
      <c r="D46" s="132">
        <v>85.165555555555557</v>
      </c>
    </row>
    <row r="47" spans="1:4" ht="15.6">
      <c r="A47" s="134">
        <v>93</v>
      </c>
      <c r="B47" s="23" t="s">
        <v>132</v>
      </c>
      <c r="C47" s="24" t="s">
        <v>126</v>
      </c>
      <c r="D47" s="132">
        <v>85.160653594771247</v>
      </c>
    </row>
    <row r="48" spans="1:4">
      <c r="A48" s="134">
        <v>197</v>
      </c>
      <c r="B48" s="105" t="s">
        <v>623</v>
      </c>
      <c r="C48" s="106" t="s">
        <v>675</v>
      </c>
      <c r="D48" s="132">
        <v>85.14156862745098</v>
      </c>
    </row>
    <row r="49" spans="1:4" ht="15.6">
      <c r="A49" s="134">
        <v>101</v>
      </c>
      <c r="B49" s="23" t="s">
        <v>148</v>
      </c>
      <c r="C49" s="24" t="s">
        <v>126</v>
      </c>
      <c r="D49" s="132">
        <v>85.114183006535939</v>
      </c>
    </row>
    <row r="50" spans="1:4">
      <c r="A50" s="134">
        <v>167</v>
      </c>
      <c r="B50" s="105" t="s">
        <v>563</v>
      </c>
      <c r="C50" s="106" t="s">
        <v>675</v>
      </c>
      <c r="D50" s="132">
        <v>85.077450980392172</v>
      </c>
    </row>
    <row r="51" spans="1:4" ht="15.6">
      <c r="A51" s="134">
        <v>159</v>
      </c>
      <c r="B51" s="13" t="s">
        <v>265</v>
      </c>
      <c r="C51" s="25" t="s">
        <v>197</v>
      </c>
      <c r="D51" s="132">
        <v>85.054901960784321</v>
      </c>
    </row>
    <row r="52" spans="1:4">
      <c r="A52" s="134">
        <v>188</v>
      </c>
      <c r="B52" s="105" t="s">
        <v>605</v>
      </c>
      <c r="C52" s="106" t="s">
        <v>675</v>
      </c>
      <c r="D52" s="132">
        <v>85.018627450980389</v>
      </c>
    </row>
    <row r="53" spans="1:4">
      <c r="A53" s="134">
        <v>177</v>
      </c>
      <c r="B53" s="105" t="s">
        <v>583</v>
      </c>
      <c r="C53" s="106" t="s">
        <v>675</v>
      </c>
      <c r="D53" s="132">
        <v>85.004313725490192</v>
      </c>
    </row>
    <row r="54" spans="1:4" ht="15.6">
      <c r="A54" s="134">
        <v>104</v>
      </c>
      <c r="B54" s="23" t="s">
        <v>154</v>
      </c>
      <c r="C54" s="24" t="s">
        <v>126</v>
      </c>
      <c r="D54" s="132">
        <v>84.981111111111119</v>
      </c>
    </row>
    <row r="55" spans="1:4" ht="15.6">
      <c r="A55" s="134">
        <v>148</v>
      </c>
      <c r="B55" s="13" t="s">
        <v>243</v>
      </c>
      <c r="C55" s="25" t="s">
        <v>197</v>
      </c>
      <c r="D55" s="132">
        <v>84.959019607843146</v>
      </c>
    </row>
    <row r="56" spans="1:4" ht="15.6">
      <c r="A56" s="134">
        <v>23</v>
      </c>
      <c r="B56" s="94" t="s">
        <v>489</v>
      </c>
      <c r="C56" s="93" t="s">
        <v>630</v>
      </c>
      <c r="D56" s="132">
        <v>84.844967320261446</v>
      </c>
    </row>
    <row r="57" spans="1:4">
      <c r="A57" s="134">
        <v>161</v>
      </c>
      <c r="B57" s="105" t="s">
        <v>551</v>
      </c>
      <c r="C57" s="106" t="s">
        <v>675</v>
      </c>
      <c r="D57" s="132">
        <v>84.762352941176459</v>
      </c>
    </row>
    <row r="58" spans="1:4">
      <c r="A58" s="134">
        <v>186</v>
      </c>
      <c r="B58" s="105" t="s">
        <v>601</v>
      </c>
      <c r="C58" s="106" t="s">
        <v>675</v>
      </c>
      <c r="D58" s="132">
        <v>84.757450980392164</v>
      </c>
    </row>
    <row r="59" spans="1:4">
      <c r="A59" s="134">
        <v>176</v>
      </c>
      <c r="B59" s="105" t="s">
        <v>581</v>
      </c>
      <c r="C59" s="106" t="s">
        <v>675</v>
      </c>
      <c r="D59" s="132">
        <v>84.745490196078435</v>
      </c>
    </row>
    <row r="60" spans="1:4" ht="15.6">
      <c r="A60" s="134">
        <v>146</v>
      </c>
      <c r="B60" s="13" t="s">
        <v>239</v>
      </c>
      <c r="C60" s="25" t="s">
        <v>197</v>
      </c>
      <c r="D60" s="132">
        <v>84.728169934640519</v>
      </c>
    </row>
    <row r="61" spans="1:4" ht="15.6">
      <c r="A61" s="134">
        <v>82</v>
      </c>
      <c r="B61" s="13" t="s">
        <v>109</v>
      </c>
      <c r="C61" s="12" t="s">
        <v>53</v>
      </c>
      <c r="D61" s="132">
        <v>84.669934640522882</v>
      </c>
    </row>
    <row r="62" spans="1:4">
      <c r="A62" s="134">
        <v>162</v>
      </c>
      <c r="B62" s="105" t="s">
        <v>553</v>
      </c>
      <c r="C62" s="106" t="s">
        <v>675</v>
      </c>
      <c r="D62" s="132">
        <v>84.63117647058823</v>
      </c>
    </row>
    <row r="63" spans="1:4" ht="15.6">
      <c r="A63" s="134">
        <v>6</v>
      </c>
      <c r="B63" s="94" t="s">
        <v>441</v>
      </c>
      <c r="C63" s="93" t="s">
        <v>431</v>
      </c>
      <c r="D63" s="132">
        <v>84.599150326797385</v>
      </c>
    </row>
    <row r="64" spans="1:4" ht="15.6">
      <c r="A64" s="134">
        <v>160</v>
      </c>
      <c r="B64" s="13" t="s">
        <v>267</v>
      </c>
      <c r="C64" s="25" t="s">
        <v>197</v>
      </c>
      <c r="D64" s="132">
        <v>84.553006535947731</v>
      </c>
    </row>
    <row r="65" spans="1:4" ht="15.6">
      <c r="A65" s="134">
        <v>13</v>
      </c>
      <c r="B65" s="94" t="s">
        <v>455</v>
      </c>
      <c r="C65" s="93" t="s">
        <v>431</v>
      </c>
      <c r="D65" s="132">
        <v>84.522091503267959</v>
      </c>
    </row>
    <row r="66" spans="1:4">
      <c r="A66" s="134">
        <v>200</v>
      </c>
      <c r="B66" s="105" t="s">
        <v>629</v>
      </c>
      <c r="C66" s="106" t="s">
        <v>675</v>
      </c>
      <c r="D66" s="132">
        <v>84.51039215686275</v>
      </c>
    </row>
    <row r="67" spans="1:4" ht="15.6">
      <c r="A67" s="134">
        <v>3</v>
      </c>
      <c r="B67" s="94" t="s">
        <v>435</v>
      </c>
      <c r="C67" s="93" t="s">
        <v>431</v>
      </c>
      <c r="D67" s="132">
        <v>84.442222222222213</v>
      </c>
    </row>
    <row r="68" spans="1:4" ht="15.6">
      <c r="A68" s="134">
        <v>77</v>
      </c>
      <c r="B68" s="13" t="s">
        <v>99</v>
      </c>
      <c r="C68" s="12" t="s">
        <v>53</v>
      </c>
      <c r="D68" s="132">
        <v>84.403202614379083</v>
      </c>
    </row>
    <row r="69" spans="1:4" ht="15.6">
      <c r="A69" s="134">
        <v>94</v>
      </c>
      <c r="B69" s="23" t="s">
        <v>134</v>
      </c>
      <c r="C69" s="24" t="s">
        <v>126</v>
      </c>
      <c r="D69" s="132">
        <v>84.40307189542483</v>
      </c>
    </row>
    <row r="70" spans="1:4" ht="15.6">
      <c r="A70" s="134">
        <v>126</v>
      </c>
      <c r="B70" s="13" t="s">
        <v>199</v>
      </c>
      <c r="C70" s="25" t="s">
        <v>197</v>
      </c>
      <c r="D70" s="132">
        <v>84.389803921568628</v>
      </c>
    </row>
    <row r="71" spans="1:4" ht="15.6">
      <c r="A71" s="134">
        <v>76</v>
      </c>
      <c r="B71" s="13" t="s">
        <v>97</v>
      </c>
      <c r="C71" s="12" t="s">
        <v>53</v>
      </c>
      <c r="D71" s="132">
        <v>84.385882352941167</v>
      </c>
    </row>
    <row r="72" spans="1:4" ht="15.6">
      <c r="A72" s="134">
        <v>57</v>
      </c>
      <c r="B72" s="13" t="s">
        <v>59</v>
      </c>
      <c r="C72" s="12" t="s">
        <v>53</v>
      </c>
      <c r="D72" s="132">
        <v>84.383660130718951</v>
      </c>
    </row>
    <row r="73" spans="1:4" ht="15.6">
      <c r="A73" s="134">
        <v>86</v>
      </c>
      <c r="B73" s="13" t="s">
        <v>117</v>
      </c>
      <c r="C73" s="12" t="s">
        <v>53</v>
      </c>
      <c r="D73" s="132">
        <v>84.336797385620926</v>
      </c>
    </row>
    <row r="74" spans="1:4" ht="15.6">
      <c r="A74" s="134">
        <v>107</v>
      </c>
      <c r="B74" s="23" t="s">
        <v>160</v>
      </c>
      <c r="C74" s="24" t="s">
        <v>126</v>
      </c>
      <c r="D74" s="132">
        <v>84.236078431372547</v>
      </c>
    </row>
    <row r="75" spans="1:4" ht="15.6">
      <c r="A75" s="134">
        <v>9</v>
      </c>
      <c r="B75" s="94" t="s">
        <v>447</v>
      </c>
      <c r="C75" s="93" t="s">
        <v>431</v>
      </c>
      <c r="D75" s="132">
        <v>84.232287581699353</v>
      </c>
    </row>
    <row r="76" spans="1:4" ht="15.6">
      <c r="A76" s="134">
        <v>20</v>
      </c>
      <c r="B76" s="94" t="s">
        <v>483</v>
      </c>
      <c r="C76" s="93" t="s">
        <v>630</v>
      </c>
      <c r="D76" s="132">
        <v>84.205228758169937</v>
      </c>
    </row>
    <row r="77" spans="1:4" ht="15.6">
      <c r="A77" s="134">
        <v>72</v>
      </c>
      <c r="B77" s="13" t="s">
        <v>89</v>
      </c>
      <c r="C77" s="12" t="s">
        <v>53</v>
      </c>
      <c r="D77" s="132">
        <v>84.201176470588209</v>
      </c>
    </row>
    <row r="78" spans="1:4">
      <c r="A78" s="134">
        <v>199</v>
      </c>
      <c r="B78" s="105" t="s">
        <v>627</v>
      </c>
      <c r="C78" s="106" t="s">
        <v>675</v>
      </c>
      <c r="D78" s="132">
        <v>84.190784313725487</v>
      </c>
    </row>
    <row r="79" spans="1:4" ht="15.6">
      <c r="A79" s="134">
        <v>139</v>
      </c>
      <c r="B79" s="13" t="s">
        <v>225</v>
      </c>
      <c r="C79" s="25" t="s">
        <v>197</v>
      </c>
      <c r="D79" s="132">
        <v>84.152091503267968</v>
      </c>
    </row>
    <row r="80" spans="1:4">
      <c r="A80" s="134">
        <v>168</v>
      </c>
      <c r="B80" s="105" t="s">
        <v>565</v>
      </c>
      <c r="C80" s="106" t="s">
        <v>675</v>
      </c>
      <c r="D80" s="132">
        <v>83.96882352941175</v>
      </c>
    </row>
    <row r="81" spans="1:4" ht="15.6">
      <c r="A81" s="134">
        <v>88</v>
      </c>
      <c r="B81" s="13" t="s">
        <v>121</v>
      </c>
      <c r="C81" s="12" t="s">
        <v>53</v>
      </c>
      <c r="D81" s="132">
        <v>83.96666666666664</v>
      </c>
    </row>
    <row r="82" spans="1:4">
      <c r="A82" s="134">
        <v>172</v>
      </c>
      <c r="B82" s="105" t="s">
        <v>573</v>
      </c>
      <c r="C82" s="106" t="s">
        <v>675</v>
      </c>
      <c r="D82" s="132">
        <v>83.938431372549019</v>
      </c>
    </row>
    <row r="83" spans="1:4" ht="15.6">
      <c r="A83" s="134">
        <v>91</v>
      </c>
      <c r="B83" s="23" t="s">
        <v>128</v>
      </c>
      <c r="C83" s="24" t="s">
        <v>126</v>
      </c>
      <c r="D83" s="132">
        <v>83.93124183006536</v>
      </c>
    </row>
    <row r="84" spans="1:4" ht="15.6">
      <c r="A84" s="134">
        <v>28</v>
      </c>
      <c r="B84" s="94" t="s">
        <v>499</v>
      </c>
      <c r="C84" s="93" t="s">
        <v>630</v>
      </c>
      <c r="D84" s="132">
        <v>83.902222222222221</v>
      </c>
    </row>
    <row r="85" spans="1:4">
      <c r="A85" s="134">
        <v>179</v>
      </c>
      <c r="B85" s="105" t="s">
        <v>587</v>
      </c>
      <c r="C85" s="106" t="s">
        <v>675</v>
      </c>
      <c r="D85" s="132">
        <v>83.895686274509799</v>
      </c>
    </row>
    <row r="86" spans="1:4" ht="15.6">
      <c r="A86" s="134">
        <v>144</v>
      </c>
      <c r="B86" s="13" t="s">
        <v>235</v>
      </c>
      <c r="C86" s="25" t="s">
        <v>197</v>
      </c>
      <c r="D86" s="132">
        <v>83.799411764705894</v>
      </c>
    </row>
    <row r="87" spans="1:4" ht="15.6">
      <c r="A87" s="134">
        <v>90</v>
      </c>
      <c r="B87" s="23" t="s">
        <v>125</v>
      </c>
      <c r="C87" s="24" t="s">
        <v>126</v>
      </c>
      <c r="D87" s="132">
        <v>83.773006535947715</v>
      </c>
    </row>
    <row r="88" spans="1:4" ht="15.6">
      <c r="A88" s="134">
        <v>134</v>
      </c>
      <c r="B88" s="13" t="s">
        <v>215</v>
      </c>
      <c r="C88" s="25" t="s">
        <v>197</v>
      </c>
      <c r="D88" s="132">
        <v>83.741307189542468</v>
      </c>
    </row>
    <row r="89" spans="1:4" ht="15.6">
      <c r="A89" s="134">
        <v>149</v>
      </c>
      <c r="B89" s="13" t="s">
        <v>245</v>
      </c>
      <c r="C89" s="25" t="s">
        <v>197</v>
      </c>
      <c r="D89" s="132">
        <v>83.617189542483672</v>
      </c>
    </row>
    <row r="90" spans="1:4">
      <c r="A90" s="134">
        <v>164</v>
      </c>
      <c r="B90" s="105" t="s">
        <v>557</v>
      </c>
      <c r="C90" s="106" t="s">
        <v>675</v>
      </c>
      <c r="D90" s="132">
        <v>83.548235294117646</v>
      </c>
    </row>
    <row r="91" spans="1:4">
      <c r="A91" s="134">
        <v>165</v>
      </c>
      <c r="B91" s="105" t="s">
        <v>559</v>
      </c>
      <c r="C91" s="106" t="s">
        <v>675</v>
      </c>
      <c r="D91" s="132">
        <v>83.476274509803901</v>
      </c>
    </row>
    <row r="92" spans="1:4" ht="15.6">
      <c r="A92" s="134">
        <v>109</v>
      </c>
      <c r="B92" s="23" t="s">
        <v>164</v>
      </c>
      <c r="C92" s="24" t="s">
        <v>126</v>
      </c>
      <c r="D92" s="132">
        <v>83.441503267973872</v>
      </c>
    </row>
    <row r="93" spans="1:4" ht="15.6">
      <c r="A93" s="134">
        <v>113</v>
      </c>
      <c r="B93" s="23" t="s">
        <v>172</v>
      </c>
      <c r="C93" s="24" t="s">
        <v>126</v>
      </c>
      <c r="D93" s="132">
        <v>83.424052287581702</v>
      </c>
    </row>
    <row r="94" spans="1:4" ht="15.6">
      <c r="A94" s="134">
        <v>111</v>
      </c>
      <c r="B94" s="23" t="s">
        <v>168</v>
      </c>
      <c r="C94" s="24" t="s">
        <v>126</v>
      </c>
      <c r="D94" s="132">
        <v>83.419281045751632</v>
      </c>
    </row>
    <row r="95" spans="1:4">
      <c r="A95" s="134">
        <v>195</v>
      </c>
      <c r="B95" s="105" t="s">
        <v>619</v>
      </c>
      <c r="C95" s="106" t="s">
        <v>675</v>
      </c>
      <c r="D95" s="132">
        <v>83.407843137254901</v>
      </c>
    </row>
    <row r="96" spans="1:4" ht="15.6">
      <c r="A96" s="134">
        <v>49</v>
      </c>
      <c r="B96" s="94" t="s">
        <v>541</v>
      </c>
      <c r="C96" s="93" t="s">
        <v>631</v>
      </c>
      <c r="D96" s="132">
        <v>83.407254901960783</v>
      </c>
    </row>
    <row r="97" spans="1:4" ht="15.6">
      <c r="A97" s="134">
        <v>53</v>
      </c>
      <c r="B97" s="102" t="s">
        <v>549</v>
      </c>
      <c r="C97" s="103" t="s">
        <v>631</v>
      </c>
      <c r="D97" s="132">
        <v>83.387254901960773</v>
      </c>
    </row>
    <row r="98" spans="1:4" ht="15.6">
      <c r="A98" s="134">
        <v>106</v>
      </c>
      <c r="B98" s="23" t="s">
        <v>158</v>
      </c>
      <c r="C98" s="24" t="s">
        <v>126</v>
      </c>
      <c r="D98" s="132">
        <v>83.385424836601331</v>
      </c>
    </row>
    <row r="99" spans="1:4" ht="15.6">
      <c r="A99" s="134">
        <v>130</v>
      </c>
      <c r="B99" s="13" t="s">
        <v>207</v>
      </c>
      <c r="C99" s="25" t="s">
        <v>197</v>
      </c>
      <c r="D99" s="132">
        <v>83.36745098039215</v>
      </c>
    </row>
    <row r="100" spans="1:4" ht="15.6">
      <c r="A100" s="134">
        <v>128</v>
      </c>
      <c r="B100" s="13" t="s">
        <v>203</v>
      </c>
      <c r="C100" s="25" t="s">
        <v>197</v>
      </c>
      <c r="D100" s="132">
        <v>83.365228758169934</v>
      </c>
    </row>
    <row r="101" spans="1:4" ht="15.6">
      <c r="A101" s="134">
        <v>145</v>
      </c>
      <c r="B101" s="13" t="s">
        <v>237</v>
      </c>
      <c r="C101" s="25" t="s">
        <v>197</v>
      </c>
      <c r="D101" s="132">
        <v>83.231176470588238</v>
      </c>
    </row>
    <row r="102" spans="1:4">
      <c r="A102" s="134">
        <v>182</v>
      </c>
      <c r="B102" s="105" t="s">
        <v>593</v>
      </c>
      <c r="C102" s="106" t="s">
        <v>675</v>
      </c>
      <c r="D102" s="132">
        <v>83.220784313725503</v>
      </c>
    </row>
    <row r="103" spans="1:4">
      <c r="A103" s="134">
        <v>174</v>
      </c>
      <c r="B103" s="105" t="s">
        <v>577</v>
      </c>
      <c r="C103" s="106" t="s">
        <v>675</v>
      </c>
      <c r="D103" s="132">
        <v>83.219803921568612</v>
      </c>
    </row>
    <row r="104" spans="1:4" ht="15.6">
      <c r="A104" s="134">
        <v>19</v>
      </c>
      <c r="B104" s="94" t="s">
        <v>481</v>
      </c>
      <c r="C104" s="93" t="s">
        <v>630</v>
      </c>
      <c r="D104" s="132">
        <v>83.216862745098013</v>
      </c>
    </row>
    <row r="105" spans="1:4">
      <c r="A105" s="134">
        <v>193</v>
      </c>
      <c r="B105" s="105" t="s">
        <v>615</v>
      </c>
      <c r="C105" s="106" t="s">
        <v>675</v>
      </c>
      <c r="D105" s="132">
        <v>83.205098039215684</v>
      </c>
    </row>
    <row r="106" spans="1:4" ht="15.6">
      <c r="A106" s="134">
        <v>140</v>
      </c>
      <c r="B106" s="13" t="s">
        <v>227</v>
      </c>
      <c r="C106" s="25" t="s">
        <v>197</v>
      </c>
      <c r="D106" s="132">
        <v>83.184640522875824</v>
      </c>
    </row>
    <row r="107" spans="1:4" ht="15.6">
      <c r="A107" s="134">
        <v>31</v>
      </c>
      <c r="B107" s="94" t="s">
        <v>505</v>
      </c>
      <c r="C107" s="93" t="s">
        <v>630</v>
      </c>
      <c r="D107" s="132">
        <v>83.167581699346414</v>
      </c>
    </row>
    <row r="108" spans="1:4" ht="15.6">
      <c r="A108" s="134">
        <v>100</v>
      </c>
      <c r="B108" s="23" t="s">
        <v>146</v>
      </c>
      <c r="C108" s="24" t="s">
        <v>126</v>
      </c>
      <c r="D108" s="132">
        <v>83.091503267973849</v>
      </c>
    </row>
    <row r="109" spans="1:4" ht="15.6">
      <c r="A109" s="134">
        <v>39</v>
      </c>
      <c r="B109" s="94" t="s">
        <v>521</v>
      </c>
      <c r="C109" s="93" t="s">
        <v>631</v>
      </c>
      <c r="D109" s="132">
        <v>83.042091503267969</v>
      </c>
    </row>
    <row r="110" spans="1:4" ht="15.6">
      <c r="A110" s="134">
        <v>54</v>
      </c>
      <c r="B110" s="13" t="s">
        <v>52</v>
      </c>
      <c r="C110" s="12" t="s">
        <v>53</v>
      </c>
      <c r="D110" s="132">
        <v>82.986862745098037</v>
      </c>
    </row>
    <row r="111" spans="1:4">
      <c r="A111" s="134">
        <v>166</v>
      </c>
      <c r="B111" s="105" t="s">
        <v>561</v>
      </c>
      <c r="C111" s="106" t="s">
        <v>675</v>
      </c>
      <c r="D111" s="132">
        <v>82.942352941176452</v>
      </c>
    </row>
    <row r="112" spans="1:4" ht="15.6">
      <c r="A112" s="134">
        <v>75</v>
      </c>
      <c r="B112" s="13" t="s">
        <v>95</v>
      </c>
      <c r="C112" s="12" t="s">
        <v>53</v>
      </c>
      <c r="D112" s="132">
        <v>82.940130718954265</v>
      </c>
    </row>
    <row r="113" spans="1:4" ht="15.6">
      <c r="A113" s="134">
        <v>58</v>
      </c>
      <c r="B113" s="13" t="s">
        <v>61</v>
      </c>
      <c r="C113" s="12" t="s">
        <v>53</v>
      </c>
      <c r="D113" s="132">
        <v>82.920392156862746</v>
      </c>
    </row>
    <row r="114" spans="1:4" ht="15.6">
      <c r="A114" s="134">
        <v>38</v>
      </c>
      <c r="B114" s="94" t="s">
        <v>519</v>
      </c>
      <c r="C114" s="93" t="s">
        <v>631</v>
      </c>
      <c r="D114" s="132">
        <v>82.898104575163387</v>
      </c>
    </row>
    <row r="115" spans="1:4" ht="15.6">
      <c r="A115" s="134">
        <v>153</v>
      </c>
      <c r="B115" s="13" t="s">
        <v>253</v>
      </c>
      <c r="C115" s="25" t="s">
        <v>197</v>
      </c>
      <c r="D115" s="132">
        <v>82.826993464052293</v>
      </c>
    </row>
    <row r="116" spans="1:4" ht="15.6">
      <c r="A116" s="134">
        <v>8</v>
      </c>
      <c r="B116" s="94" t="s">
        <v>445</v>
      </c>
      <c r="C116" s="93" t="s">
        <v>431</v>
      </c>
      <c r="D116" s="132">
        <v>82.730915032679732</v>
      </c>
    </row>
    <row r="117" spans="1:4">
      <c r="A117" s="134">
        <v>190</v>
      </c>
      <c r="B117" s="105" t="s">
        <v>609</v>
      </c>
      <c r="C117" s="106" t="s">
        <v>675</v>
      </c>
      <c r="D117" s="132">
        <v>82.714509803921572</v>
      </c>
    </row>
    <row r="118" spans="1:4" ht="15.6">
      <c r="A118" s="134">
        <v>24</v>
      </c>
      <c r="B118" s="94" t="s">
        <v>491</v>
      </c>
      <c r="C118" s="93" t="s">
        <v>630</v>
      </c>
      <c r="D118" s="132">
        <v>82.686666666666667</v>
      </c>
    </row>
    <row r="119" spans="1:4">
      <c r="A119" s="134">
        <v>183</v>
      </c>
      <c r="B119" s="105" t="s">
        <v>595</v>
      </c>
      <c r="C119" s="106" t="s">
        <v>675</v>
      </c>
      <c r="D119" s="132">
        <v>82.664705882352933</v>
      </c>
    </row>
    <row r="120" spans="1:4" ht="15.6">
      <c r="A120" s="134">
        <v>18</v>
      </c>
      <c r="B120" s="94" t="s">
        <v>479</v>
      </c>
      <c r="C120" s="93" t="s">
        <v>630</v>
      </c>
      <c r="D120" s="132">
        <v>82.642196078431368</v>
      </c>
    </row>
    <row r="121" spans="1:4" ht="15.6">
      <c r="A121" s="134">
        <v>156</v>
      </c>
      <c r="B121" s="13" t="s">
        <v>259</v>
      </c>
      <c r="C121" s="25" t="s">
        <v>197</v>
      </c>
      <c r="D121" s="132">
        <v>82.615294117647068</v>
      </c>
    </row>
    <row r="122" spans="1:4">
      <c r="A122" s="134">
        <v>171</v>
      </c>
      <c r="B122" s="105" t="s">
        <v>571</v>
      </c>
      <c r="C122" s="106" t="s">
        <v>675</v>
      </c>
      <c r="D122" s="132">
        <v>82.565098039215698</v>
      </c>
    </row>
    <row r="123" spans="1:4" ht="15.6">
      <c r="A123" s="134">
        <v>133</v>
      </c>
      <c r="B123" s="13" t="s">
        <v>213</v>
      </c>
      <c r="C123" s="25" t="s">
        <v>197</v>
      </c>
      <c r="D123" s="132">
        <v>82.531241830065369</v>
      </c>
    </row>
    <row r="124" spans="1:4" ht="15.6">
      <c r="A124" s="134">
        <v>122</v>
      </c>
      <c r="B124" s="23" t="s">
        <v>190</v>
      </c>
      <c r="C124" s="24" t="s">
        <v>126</v>
      </c>
      <c r="D124" s="132">
        <v>82.46882352941175</v>
      </c>
    </row>
    <row r="125" spans="1:4" ht="15.6">
      <c r="A125" s="134">
        <v>46</v>
      </c>
      <c r="B125" s="94" t="s">
        <v>535</v>
      </c>
      <c r="C125" s="93" t="s">
        <v>631</v>
      </c>
      <c r="D125" s="132">
        <v>82.371960784313728</v>
      </c>
    </row>
    <row r="126" spans="1:4" ht="15.6">
      <c r="A126" s="134">
        <v>10</v>
      </c>
      <c r="B126" s="94" t="s">
        <v>449</v>
      </c>
      <c r="C126" s="93" t="s">
        <v>431</v>
      </c>
      <c r="D126" s="132">
        <v>82.346993464052304</v>
      </c>
    </row>
    <row r="127" spans="1:4" ht="15.6">
      <c r="A127" s="134">
        <v>136</v>
      </c>
      <c r="B127" s="13" t="s">
        <v>219</v>
      </c>
      <c r="C127" s="25" t="s">
        <v>197</v>
      </c>
      <c r="D127" s="132">
        <v>82.300588235294114</v>
      </c>
    </row>
    <row r="128" spans="1:4" ht="15.6">
      <c r="A128" s="134">
        <v>21</v>
      </c>
      <c r="B128" s="94" t="s">
        <v>485</v>
      </c>
      <c r="C128" s="93" t="s">
        <v>630</v>
      </c>
      <c r="D128" s="132">
        <v>82.19424836601307</v>
      </c>
    </row>
    <row r="129" spans="1:4" ht="15.6">
      <c r="A129" s="134">
        <v>84</v>
      </c>
      <c r="B129" s="13" t="s">
        <v>113</v>
      </c>
      <c r="C129" s="12" t="s">
        <v>53</v>
      </c>
      <c r="D129" s="132">
        <v>82.128039215686286</v>
      </c>
    </row>
    <row r="130" spans="1:4" ht="15.6">
      <c r="A130" s="134">
        <v>110</v>
      </c>
      <c r="B130" s="23" t="s">
        <v>166</v>
      </c>
      <c r="C130" s="24" t="s">
        <v>126</v>
      </c>
      <c r="D130" s="132">
        <v>82.120392156862749</v>
      </c>
    </row>
    <row r="131" spans="1:4" ht="15.6">
      <c r="A131" s="134">
        <v>45</v>
      </c>
      <c r="B131" s="94" t="s">
        <v>533</v>
      </c>
      <c r="C131" s="93" t="s">
        <v>631</v>
      </c>
      <c r="D131" s="132">
        <v>82.110588235294131</v>
      </c>
    </row>
    <row r="132" spans="1:4" ht="15.6">
      <c r="A132" s="134">
        <v>129</v>
      </c>
      <c r="B132" s="13" t="s">
        <v>205</v>
      </c>
      <c r="C132" s="25" t="s">
        <v>197</v>
      </c>
      <c r="D132" s="132">
        <v>82.08803921568628</v>
      </c>
    </row>
    <row r="133" spans="1:4" ht="15.6">
      <c r="A133" s="134">
        <v>103</v>
      </c>
      <c r="B133" s="23" t="s">
        <v>152</v>
      </c>
      <c r="C133" s="24" t="s">
        <v>126</v>
      </c>
      <c r="D133" s="132">
        <v>82.045947712418297</v>
      </c>
    </row>
    <row r="134" spans="1:4">
      <c r="A134" s="134">
        <v>170</v>
      </c>
      <c r="B134" s="105" t="s">
        <v>569</v>
      </c>
      <c r="C134" s="106" t="s">
        <v>675</v>
      </c>
      <c r="D134" s="132">
        <v>82.037647058823538</v>
      </c>
    </row>
    <row r="135" spans="1:4" ht="15.6">
      <c r="A135" s="134">
        <v>67</v>
      </c>
      <c r="B135" s="13" t="s">
        <v>79</v>
      </c>
      <c r="C135" s="12" t="s">
        <v>53</v>
      </c>
      <c r="D135" s="132">
        <v>82.032549019607828</v>
      </c>
    </row>
    <row r="136" spans="1:4" ht="15.6">
      <c r="A136" s="134">
        <v>116</v>
      </c>
      <c r="B136" s="23" t="s">
        <v>178</v>
      </c>
      <c r="C136" s="24" t="s">
        <v>126</v>
      </c>
      <c r="D136" s="132">
        <v>82.010196078431377</v>
      </c>
    </row>
    <row r="137" spans="1:4" ht="15.6">
      <c r="A137" s="134">
        <v>87</v>
      </c>
      <c r="B137" s="13" t="s">
        <v>119</v>
      </c>
      <c r="C137" s="12" t="s">
        <v>53</v>
      </c>
      <c r="D137" s="132">
        <v>82.002418300653588</v>
      </c>
    </row>
    <row r="138" spans="1:4" ht="15.6">
      <c r="A138" s="134">
        <v>52</v>
      </c>
      <c r="B138" s="102" t="s">
        <v>547</v>
      </c>
      <c r="C138" s="103" t="s">
        <v>631</v>
      </c>
      <c r="D138" s="132">
        <v>81.97176470588235</v>
      </c>
    </row>
    <row r="139" spans="1:4" ht="15.6">
      <c r="A139" s="134">
        <v>40</v>
      </c>
      <c r="B139" s="94" t="s">
        <v>523</v>
      </c>
      <c r="C139" s="93" t="s">
        <v>631</v>
      </c>
      <c r="D139" s="132">
        <v>81.96019607843138</v>
      </c>
    </row>
    <row r="140" spans="1:4" ht="15.6">
      <c r="A140" s="134">
        <v>65</v>
      </c>
      <c r="B140" s="13" t="s">
        <v>75</v>
      </c>
      <c r="C140" s="12" t="s">
        <v>53</v>
      </c>
      <c r="D140" s="132">
        <v>81.941241830065351</v>
      </c>
    </row>
    <row r="141" spans="1:4">
      <c r="A141" s="134">
        <v>169</v>
      </c>
      <c r="B141" s="105" t="s">
        <v>567</v>
      </c>
      <c r="C141" s="106" t="s">
        <v>675</v>
      </c>
      <c r="D141" s="132">
        <v>81.839803921568631</v>
      </c>
    </row>
    <row r="142" spans="1:4" ht="15.6">
      <c r="A142" s="134">
        <v>26</v>
      </c>
      <c r="B142" s="94" t="s">
        <v>495</v>
      </c>
      <c r="C142" s="93" t="s">
        <v>630</v>
      </c>
      <c r="D142" s="132">
        <v>81.834575163398682</v>
      </c>
    </row>
    <row r="143" spans="1:4" ht="15.6">
      <c r="A143" s="134">
        <v>70</v>
      </c>
      <c r="B143" s="13" t="s">
        <v>85</v>
      </c>
      <c r="C143" s="12" t="s">
        <v>53</v>
      </c>
      <c r="D143" s="132">
        <v>81.831633986928097</v>
      </c>
    </row>
    <row r="144" spans="1:4" ht="15.6">
      <c r="A144" s="134">
        <v>96</v>
      </c>
      <c r="B144" s="23" t="s">
        <v>138</v>
      </c>
      <c r="C144" s="24" t="s">
        <v>126</v>
      </c>
      <c r="D144" s="132">
        <v>81.826797385620921</v>
      </c>
    </row>
    <row r="145" spans="1:4" ht="15.6">
      <c r="A145" s="134">
        <v>50</v>
      </c>
      <c r="B145" s="94" t="s">
        <v>543</v>
      </c>
      <c r="C145" s="93" t="s">
        <v>631</v>
      </c>
      <c r="D145" s="132">
        <v>81.818235294117656</v>
      </c>
    </row>
    <row r="146" spans="1:4" ht="15.6">
      <c r="A146" s="134">
        <v>51</v>
      </c>
      <c r="B146" s="102" t="s">
        <v>545</v>
      </c>
      <c r="C146" s="103" t="s">
        <v>631</v>
      </c>
      <c r="D146" s="132">
        <v>81.801372549019604</v>
      </c>
    </row>
    <row r="147" spans="1:4" ht="15.6">
      <c r="A147" s="134">
        <v>98</v>
      </c>
      <c r="B147" s="23" t="s">
        <v>142</v>
      </c>
      <c r="C147" s="24" t="s">
        <v>126</v>
      </c>
      <c r="D147" s="132">
        <v>81.693660130718968</v>
      </c>
    </row>
    <row r="148" spans="1:4" ht="15.6">
      <c r="A148" s="134">
        <v>12</v>
      </c>
      <c r="B148" s="94" t="s">
        <v>453</v>
      </c>
      <c r="C148" s="93" t="s">
        <v>431</v>
      </c>
      <c r="D148" s="132">
        <v>81.691830065359454</v>
      </c>
    </row>
    <row r="149" spans="1:4">
      <c r="A149" s="134">
        <v>180</v>
      </c>
      <c r="B149" s="105" t="s">
        <v>589</v>
      </c>
      <c r="C149" s="106" t="s">
        <v>675</v>
      </c>
      <c r="D149" s="132">
        <v>81.68686274509804</v>
      </c>
    </row>
    <row r="150" spans="1:4" ht="15.6">
      <c r="A150" s="134">
        <v>37</v>
      </c>
      <c r="B150" s="94" t="s">
        <v>517</v>
      </c>
      <c r="C150" s="93" t="s">
        <v>631</v>
      </c>
      <c r="D150" s="132">
        <v>81.614379084967311</v>
      </c>
    </row>
    <row r="151" spans="1:4" ht="15.6">
      <c r="A151" s="134">
        <v>155</v>
      </c>
      <c r="B151" s="13" t="s">
        <v>257</v>
      </c>
      <c r="C151" s="25" t="s">
        <v>197</v>
      </c>
      <c r="D151" s="132">
        <v>81.580784313725488</v>
      </c>
    </row>
    <row r="152" spans="1:4" ht="15.6">
      <c r="A152" s="134">
        <v>108</v>
      </c>
      <c r="B152" s="23" t="s">
        <v>162</v>
      </c>
      <c r="C152" s="24" t="s">
        <v>126</v>
      </c>
      <c r="D152" s="132">
        <v>81.528039215686277</v>
      </c>
    </row>
    <row r="153" spans="1:4" ht="15.6">
      <c r="A153" s="134">
        <v>141</v>
      </c>
      <c r="B153" s="13" t="s">
        <v>229</v>
      </c>
      <c r="C153" s="25" t="s">
        <v>197</v>
      </c>
      <c r="D153" s="132">
        <v>81.452352941176471</v>
      </c>
    </row>
    <row r="154" spans="1:4" ht="15.6">
      <c r="A154" s="134">
        <v>55</v>
      </c>
      <c r="B154" s="13" t="s">
        <v>55</v>
      </c>
      <c r="C154" s="12" t="s">
        <v>53</v>
      </c>
      <c r="D154" s="132">
        <v>81.402614379084966</v>
      </c>
    </row>
    <row r="155" spans="1:4" ht="15.6">
      <c r="A155" s="134">
        <v>105</v>
      </c>
      <c r="B155" s="23" t="s">
        <v>156</v>
      </c>
      <c r="C155" s="24" t="s">
        <v>126</v>
      </c>
      <c r="D155" s="132">
        <v>81.324901960784317</v>
      </c>
    </row>
    <row r="156" spans="1:4" ht="15.6">
      <c r="A156" s="134">
        <v>158</v>
      </c>
      <c r="B156" s="13" t="s">
        <v>263</v>
      </c>
      <c r="C156" s="25" t="s">
        <v>197</v>
      </c>
      <c r="D156" s="132">
        <v>81.28372549019609</v>
      </c>
    </row>
    <row r="157" spans="1:4" ht="15.6">
      <c r="A157" s="134">
        <v>48</v>
      </c>
      <c r="B157" s="94" t="s">
        <v>539</v>
      </c>
      <c r="C157" s="93" t="s">
        <v>631</v>
      </c>
      <c r="D157" s="132">
        <v>81.280196078431388</v>
      </c>
    </row>
    <row r="158" spans="1:4" ht="15.6">
      <c r="A158" s="134">
        <v>47</v>
      </c>
      <c r="B158" s="94" t="s">
        <v>537</v>
      </c>
      <c r="C158" s="93" t="s">
        <v>631</v>
      </c>
      <c r="D158" s="132">
        <v>81.256274509803916</v>
      </c>
    </row>
    <row r="159" spans="1:4" ht="15.6">
      <c r="A159" s="134">
        <v>30</v>
      </c>
      <c r="B159" s="94" t="s">
        <v>503</v>
      </c>
      <c r="C159" s="93" t="s">
        <v>630</v>
      </c>
      <c r="D159" s="132">
        <v>81.251960784313724</v>
      </c>
    </row>
    <row r="160" spans="1:4" ht="15.6">
      <c r="A160" s="134">
        <v>41</v>
      </c>
      <c r="B160" s="94" t="s">
        <v>525</v>
      </c>
      <c r="C160" s="93" t="s">
        <v>631</v>
      </c>
      <c r="D160" s="132">
        <v>81.23843137254903</v>
      </c>
    </row>
    <row r="161" spans="1:4" ht="15.6">
      <c r="A161" s="134">
        <v>27</v>
      </c>
      <c r="B161" s="94" t="s">
        <v>497</v>
      </c>
      <c r="C161" s="93" t="s">
        <v>630</v>
      </c>
      <c r="D161" s="132">
        <v>81.2362091503268</v>
      </c>
    </row>
    <row r="162" spans="1:4" ht="15.6">
      <c r="A162" s="134">
        <v>81</v>
      </c>
      <c r="B162" s="13" t="s">
        <v>107</v>
      </c>
      <c r="C162" s="12" t="s">
        <v>53</v>
      </c>
      <c r="D162" s="132">
        <v>81.22993464052287</v>
      </c>
    </row>
    <row r="163" spans="1:4">
      <c r="A163" s="134">
        <v>185</v>
      </c>
      <c r="B163" s="105" t="s">
        <v>599</v>
      </c>
      <c r="C163" s="106" t="s">
        <v>675</v>
      </c>
      <c r="D163" s="132">
        <v>81.17313725490196</v>
      </c>
    </row>
    <row r="164" spans="1:4" ht="15.6">
      <c r="A164" s="134">
        <v>132</v>
      </c>
      <c r="B164" s="13" t="s">
        <v>211</v>
      </c>
      <c r="C164" s="25" t="s">
        <v>197</v>
      </c>
      <c r="D164" s="132">
        <v>81.126928104575157</v>
      </c>
    </row>
    <row r="165" spans="1:4" ht="15.6">
      <c r="A165" s="134">
        <v>150</v>
      </c>
      <c r="B165" s="13" t="s">
        <v>247</v>
      </c>
      <c r="C165" s="25" t="s">
        <v>197</v>
      </c>
      <c r="D165" s="132">
        <v>81.031372549019594</v>
      </c>
    </row>
    <row r="166" spans="1:4" ht="15.6">
      <c r="A166" s="134">
        <v>4</v>
      </c>
      <c r="B166" s="94" t="s">
        <v>437</v>
      </c>
      <c r="C166" s="93" t="s">
        <v>431</v>
      </c>
      <c r="D166" s="132">
        <v>81.018954248366015</v>
      </c>
    </row>
    <row r="167" spans="1:4" ht="15.6">
      <c r="A167" s="134">
        <v>11</v>
      </c>
      <c r="B167" s="94" t="s">
        <v>451</v>
      </c>
      <c r="C167" s="93" t="s">
        <v>431</v>
      </c>
      <c r="D167" s="132">
        <v>80.928300653594761</v>
      </c>
    </row>
    <row r="168" spans="1:4" ht="15.6">
      <c r="A168" s="134">
        <v>16</v>
      </c>
      <c r="B168" s="94" t="s">
        <v>475</v>
      </c>
      <c r="C168" s="93" t="s">
        <v>630</v>
      </c>
      <c r="D168" s="132">
        <v>80.745555555555569</v>
      </c>
    </row>
    <row r="169" spans="1:4" ht="15.6">
      <c r="A169" s="134">
        <v>71</v>
      </c>
      <c r="B169" s="13" t="s">
        <v>87</v>
      </c>
      <c r="C169" s="12" t="s">
        <v>53</v>
      </c>
      <c r="D169" s="132">
        <v>80.695555555555558</v>
      </c>
    </row>
    <row r="170" spans="1:4" ht="15.6">
      <c r="A170" s="134">
        <v>35</v>
      </c>
      <c r="B170" s="94" t="s">
        <v>513</v>
      </c>
      <c r="C170" s="93" t="s">
        <v>631</v>
      </c>
      <c r="D170" s="132">
        <v>80.619150326797396</v>
      </c>
    </row>
    <row r="171" spans="1:4" ht="15.6">
      <c r="A171" s="134">
        <v>44</v>
      </c>
      <c r="B171" s="94" t="s">
        <v>531</v>
      </c>
      <c r="C171" s="93" t="s">
        <v>631</v>
      </c>
      <c r="D171" s="132">
        <v>80.568823529411773</v>
      </c>
    </row>
    <row r="172" spans="1:4">
      <c r="A172" s="134">
        <v>163</v>
      </c>
      <c r="B172" s="105" t="s">
        <v>555</v>
      </c>
      <c r="C172" s="106" t="s">
        <v>675</v>
      </c>
      <c r="D172" s="132">
        <v>80.506470588235302</v>
      </c>
    </row>
    <row r="173" spans="1:4">
      <c r="A173" s="134">
        <v>191</v>
      </c>
      <c r="B173" s="105" t="s">
        <v>611</v>
      </c>
      <c r="C173" s="106" t="s">
        <v>675</v>
      </c>
      <c r="D173" s="132">
        <v>80.463333333333338</v>
      </c>
    </row>
    <row r="174" spans="1:4" ht="15.6">
      <c r="A174" s="134">
        <v>25</v>
      </c>
      <c r="B174" s="94" t="s">
        <v>493</v>
      </c>
      <c r="C174" s="93" t="s">
        <v>630</v>
      </c>
      <c r="D174" s="132">
        <v>80.384901960784305</v>
      </c>
    </row>
    <row r="175" spans="1:4" ht="15.6">
      <c r="A175" s="134">
        <v>89</v>
      </c>
      <c r="B175" s="13" t="s">
        <v>123</v>
      </c>
      <c r="C175" s="12" t="s">
        <v>53</v>
      </c>
      <c r="D175" s="132">
        <v>80.263790849673214</v>
      </c>
    </row>
    <row r="176" spans="1:4" ht="15.6">
      <c r="A176" s="134">
        <v>152</v>
      </c>
      <c r="B176" s="30" t="s">
        <v>251</v>
      </c>
      <c r="C176" s="31" t="s">
        <v>197</v>
      </c>
      <c r="D176" s="132">
        <v>80.184705882352944</v>
      </c>
    </row>
    <row r="177" spans="1:4" ht="15.6">
      <c r="A177" s="134">
        <v>34</v>
      </c>
      <c r="B177" s="94" t="s">
        <v>511</v>
      </c>
      <c r="C177" s="93" t="s">
        <v>630</v>
      </c>
      <c r="D177" s="132">
        <v>80.143790849673195</v>
      </c>
    </row>
    <row r="178" spans="1:4" ht="15.6">
      <c r="A178" s="134">
        <v>59</v>
      </c>
      <c r="B178" s="13" t="s">
        <v>63</v>
      </c>
      <c r="C178" s="12" t="s">
        <v>53</v>
      </c>
      <c r="D178" s="132">
        <v>80.095032679738551</v>
      </c>
    </row>
    <row r="179" spans="1:4" ht="15.6">
      <c r="A179" s="134">
        <v>117</v>
      </c>
      <c r="B179" s="23" t="s">
        <v>180</v>
      </c>
      <c r="C179" s="24" t="s">
        <v>126</v>
      </c>
      <c r="D179" s="132">
        <v>80.049346405228746</v>
      </c>
    </row>
    <row r="180" spans="1:4" ht="15.6">
      <c r="A180" s="134">
        <v>123</v>
      </c>
      <c r="B180" s="23" t="s">
        <v>192</v>
      </c>
      <c r="C180" s="24" t="s">
        <v>126</v>
      </c>
      <c r="D180" s="132">
        <v>80.032810457516348</v>
      </c>
    </row>
    <row r="181" spans="1:4" ht="15.6">
      <c r="A181" s="134">
        <v>29</v>
      </c>
      <c r="B181" s="94" t="s">
        <v>501</v>
      </c>
      <c r="C181" s="93" t="s">
        <v>630</v>
      </c>
      <c r="D181" s="132">
        <v>79.981830065359489</v>
      </c>
    </row>
    <row r="182" spans="1:4" ht="15.6">
      <c r="A182" s="134">
        <v>78</v>
      </c>
      <c r="B182" s="13" t="s">
        <v>101</v>
      </c>
      <c r="C182" s="12" t="s">
        <v>53</v>
      </c>
      <c r="D182" s="132">
        <v>79.958692810457521</v>
      </c>
    </row>
    <row r="183" spans="1:4" ht="15.6">
      <c r="A183" s="134">
        <v>154</v>
      </c>
      <c r="B183" s="13" t="s">
        <v>255</v>
      </c>
      <c r="C183" s="25" t="s">
        <v>197</v>
      </c>
      <c r="D183" s="132">
        <v>79.85287581699346</v>
      </c>
    </row>
    <row r="184" spans="1:4" ht="15.6">
      <c r="A184" s="134">
        <v>138</v>
      </c>
      <c r="B184" s="13" t="s">
        <v>223</v>
      </c>
      <c r="C184" s="25" t="s">
        <v>197</v>
      </c>
      <c r="D184" s="132">
        <v>79.704705882352926</v>
      </c>
    </row>
    <row r="185" spans="1:4" ht="15.6">
      <c r="A185" s="134">
        <v>5</v>
      </c>
      <c r="B185" s="94" t="s">
        <v>439</v>
      </c>
      <c r="C185" s="93" t="s">
        <v>431</v>
      </c>
      <c r="D185" s="132">
        <v>79.693725490196073</v>
      </c>
    </row>
    <row r="186" spans="1:4" ht="15.6">
      <c r="A186" s="134">
        <v>66</v>
      </c>
      <c r="B186" s="13" t="s">
        <v>77</v>
      </c>
      <c r="C186" s="12" t="s">
        <v>53</v>
      </c>
      <c r="D186" s="132">
        <v>79.654640522875823</v>
      </c>
    </row>
    <row r="187" spans="1:4" ht="15.6">
      <c r="A187" s="134">
        <v>56</v>
      </c>
      <c r="B187" s="13" t="s">
        <v>57</v>
      </c>
      <c r="C187" s="12" t="s">
        <v>53</v>
      </c>
      <c r="D187" s="132">
        <v>79.620522875816988</v>
      </c>
    </row>
    <row r="188" spans="1:4">
      <c r="A188" s="134">
        <v>194</v>
      </c>
      <c r="B188" s="105" t="s">
        <v>617</v>
      </c>
      <c r="C188" s="106" t="s">
        <v>675</v>
      </c>
      <c r="D188" s="132">
        <v>79.604901960784332</v>
      </c>
    </row>
    <row r="189" spans="1:4" ht="15.6">
      <c r="A189" s="134">
        <v>69</v>
      </c>
      <c r="B189" s="13" t="s">
        <v>83</v>
      </c>
      <c r="C189" s="12" t="s">
        <v>53</v>
      </c>
      <c r="D189" s="132">
        <v>79.601176470588243</v>
      </c>
    </row>
    <row r="190" spans="1:4" ht="15.6">
      <c r="A190" s="134">
        <v>32</v>
      </c>
      <c r="B190" s="94" t="s">
        <v>507</v>
      </c>
      <c r="C190" s="93" t="s">
        <v>630</v>
      </c>
      <c r="D190" s="132">
        <v>79.445490196078424</v>
      </c>
    </row>
    <row r="191" spans="1:4" ht="15.6">
      <c r="A191" s="134">
        <v>64</v>
      </c>
      <c r="B191" s="13" t="s">
        <v>73</v>
      </c>
      <c r="C191" s="12" t="s">
        <v>53</v>
      </c>
      <c r="D191" s="132">
        <v>79.175620915032667</v>
      </c>
    </row>
    <row r="192" spans="1:4" ht="15.6">
      <c r="A192" s="134">
        <v>85</v>
      </c>
      <c r="B192" s="13" t="s">
        <v>115</v>
      </c>
      <c r="C192" s="12" t="s">
        <v>53</v>
      </c>
      <c r="D192" s="132">
        <v>79.052679738562091</v>
      </c>
    </row>
    <row r="193" spans="1:4" ht="15.6">
      <c r="A193" s="134">
        <v>68</v>
      </c>
      <c r="B193" s="13" t="s">
        <v>81</v>
      </c>
      <c r="C193" s="12" t="s">
        <v>53</v>
      </c>
      <c r="D193" s="132">
        <v>78.945294117647066</v>
      </c>
    </row>
    <row r="194" spans="1:4" ht="15.6">
      <c r="A194" s="134">
        <v>42</v>
      </c>
      <c r="B194" s="94" t="s">
        <v>527</v>
      </c>
      <c r="C194" s="93" t="s">
        <v>631</v>
      </c>
      <c r="D194" s="132">
        <v>78.846274509803933</v>
      </c>
    </row>
    <row r="195" spans="1:4" ht="15.6">
      <c r="A195" s="134">
        <v>1</v>
      </c>
      <c r="B195" s="94" t="s">
        <v>430</v>
      </c>
      <c r="C195" s="93" t="s">
        <v>431</v>
      </c>
      <c r="D195" s="132">
        <v>78.468039215686275</v>
      </c>
    </row>
    <row r="196" spans="1:4" ht="15.6">
      <c r="A196" s="134">
        <v>2</v>
      </c>
      <c r="B196" s="94" t="s">
        <v>433</v>
      </c>
      <c r="C196" s="93" t="s">
        <v>431</v>
      </c>
      <c r="D196" s="132">
        <v>78.206797385620902</v>
      </c>
    </row>
    <row r="197" spans="1:4" ht="15.6">
      <c r="A197" s="134">
        <v>22</v>
      </c>
      <c r="B197" s="94" t="s">
        <v>487</v>
      </c>
      <c r="C197" s="93" t="s">
        <v>630</v>
      </c>
      <c r="D197" s="132">
        <v>78.136209150326806</v>
      </c>
    </row>
    <row r="198" spans="1:4" ht="15.6">
      <c r="A198" s="134">
        <v>99</v>
      </c>
      <c r="B198" s="23" t="s">
        <v>144</v>
      </c>
      <c r="C198" s="24" t="s">
        <v>126</v>
      </c>
      <c r="D198" s="132">
        <v>78.114379084967311</v>
      </c>
    </row>
    <row r="199" spans="1:4" ht="15.6">
      <c r="A199" s="134">
        <v>114</v>
      </c>
      <c r="B199" s="23" t="s">
        <v>174</v>
      </c>
      <c r="C199" s="24" t="s">
        <v>126</v>
      </c>
      <c r="D199" s="132">
        <v>77.804052287581698</v>
      </c>
    </row>
    <row r="200" spans="1:4" ht="15.6">
      <c r="A200" s="134">
        <v>7</v>
      </c>
      <c r="B200" s="94" t="s">
        <v>443</v>
      </c>
      <c r="C200" s="93" t="s">
        <v>431</v>
      </c>
      <c r="D200" s="132">
        <v>77.707450980392153</v>
      </c>
    </row>
    <row r="201" spans="1:4" ht="15.6">
      <c r="A201" s="134">
        <v>36</v>
      </c>
      <c r="B201" s="94" t="s">
        <v>515</v>
      </c>
      <c r="C201" s="93" t="s">
        <v>631</v>
      </c>
      <c r="D201" s="132">
        <v>77.500392156862745</v>
      </c>
    </row>
  </sheetData>
  <sortState xmlns:xlrd2="http://schemas.microsoft.com/office/spreadsheetml/2017/richdata2" ref="A2:D201">
    <sortCondition descending="1" ref="D2:D20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4D48F-0BFB-442D-B64B-ACB1BAEFA864}">
  <sheetPr>
    <tabColor rgb="FFC00000"/>
  </sheetPr>
  <dimension ref="A1:AJ153"/>
  <sheetViews>
    <sheetView topLeftCell="A55" zoomScale="70" zoomScaleNormal="70" workbookViewId="0">
      <selection activeCell="G14" sqref="G14"/>
    </sheetView>
  </sheetViews>
  <sheetFormatPr defaultColWidth="9" defaultRowHeight="14.4"/>
  <cols>
    <col min="1" max="1" width="4.109375" style="42" customWidth="1"/>
    <col min="2" max="2" width="12.6640625" style="42" customWidth="1"/>
    <col min="3" max="3" width="20.6640625" style="42" customWidth="1"/>
    <col min="4" max="4" width="13.6640625" style="42" customWidth="1"/>
    <col min="5" max="5" width="13.33203125" style="42" customWidth="1"/>
    <col min="6" max="6" width="13" style="42" customWidth="1"/>
    <col min="7" max="7" width="12" style="42" customWidth="1"/>
    <col min="8" max="8" width="11.88671875" style="42" customWidth="1"/>
    <col min="9" max="9" width="10" style="42" customWidth="1"/>
    <col min="10" max="10" width="13.109375" style="42" customWidth="1"/>
    <col min="11" max="15" width="10.6640625" style="42" customWidth="1"/>
    <col min="16" max="16" width="9.109375" style="42" customWidth="1"/>
    <col min="17" max="17" width="10.6640625" style="42" customWidth="1"/>
    <col min="18" max="18" width="11.88671875" style="42" customWidth="1"/>
    <col min="19" max="19" width="11.44140625" style="42" customWidth="1"/>
    <col min="20" max="20" width="12.109375" style="42" customWidth="1"/>
    <col min="21" max="21" width="16.44140625" style="42" customWidth="1"/>
    <col min="22" max="22" width="8" style="42" customWidth="1"/>
    <col min="23" max="16384" width="9" style="42"/>
  </cols>
  <sheetData>
    <row r="1" spans="1:36" ht="24.75" customHeight="1">
      <c r="A1" s="245" t="s">
        <v>272</v>
      </c>
      <c r="B1" s="245"/>
      <c r="C1" s="245"/>
      <c r="D1" s="245"/>
      <c r="E1" s="245"/>
      <c r="F1" s="245"/>
      <c r="G1" s="245"/>
      <c r="H1" s="245"/>
      <c r="I1" s="245"/>
      <c r="J1" s="245"/>
      <c r="K1" s="245"/>
      <c r="L1" s="245"/>
      <c r="M1" s="245"/>
      <c r="N1" s="245"/>
      <c r="O1" s="245"/>
      <c r="P1" s="245"/>
      <c r="Q1" s="245"/>
      <c r="R1" s="245"/>
      <c r="S1" s="245"/>
      <c r="T1" s="245"/>
      <c r="U1" s="245"/>
      <c r="V1" s="245"/>
    </row>
    <row r="2" spans="1:36" ht="24.75" customHeight="1">
      <c r="A2" s="246" t="s">
        <v>273</v>
      </c>
      <c r="B2" s="246"/>
      <c r="C2" s="246"/>
      <c r="D2" s="246"/>
      <c r="E2" s="246"/>
      <c r="F2" s="246"/>
      <c r="G2" s="246"/>
      <c r="H2" s="246"/>
      <c r="I2" s="246"/>
      <c r="J2" s="246"/>
      <c r="K2" s="246"/>
      <c r="L2" s="246"/>
      <c r="M2" s="246"/>
      <c r="N2" s="246"/>
      <c r="O2" s="246"/>
      <c r="P2" s="246"/>
      <c r="Q2" s="246"/>
      <c r="R2" s="246"/>
      <c r="S2" s="246"/>
      <c r="T2" s="246"/>
      <c r="U2" s="246"/>
      <c r="V2" s="246"/>
    </row>
    <row r="3" spans="1:36" ht="10.5" customHeight="1">
      <c r="C3" s="43"/>
      <c r="D3" s="43"/>
      <c r="E3" s="43"/>
      <c r="F3" s="43"/>
      <c r="G3" s="43"/>
      <c r="H3" s="43"/>
      <c r="I3" s="43"/>
      <c r="J3" s="43"/>
      <c r="K3" s="43"/>
      <c r="L3" s="43"/>
      <c r="M3" s="43"/>
      <c r="N3" s="43"/>
      <c r="O3" s="43"/>
      <c r="P3" s="43"/>
      <c r="Q3" s="43"/>
      <c r="R3" s="43"/>
      <c r="S3" s="43"/>
      <c r="T3" s="43"/>
      <c r="U3" s="43"/>
      <c r="V3" s="43"/>
    </row>
    <row r="4" spans="1:36" ht="21.75" customHeight="1">
      <c r="A4" s="81" t="s">
        <v>274</v>
      </c>
      <c r="B4" s="81"/>
      <c r="C4" s="81"/>
      <c r="D4" s="81" t="s">
        <v>307</v>
      </c>
      <c r="E4" s="81"/>
      <c r="F4" s="81"/>
      <c r="G4" s="82"/>
      <c r="H4" s="82"/>
      <c r="I4" s="82"/>
      <c r="J4" s="82"/>
      <c r="K4" s="82"/>
      <c r="L4" s="82"/>
      <c r="M4" s="45"/>
      <c r="N4" s="45"/>
      <c r="O4" s="45"/>
      <c r="P4" s="45"/>
      <c r="Q4" s="45"/>
      <c r="R4" s="45"/>
      <c r="S4" s="45"/>
      <c r="T4" s="45"/>
      <c r="U4" s="45"/>
      <c r="V4" s="46"/>
    </row>
    <row r="5" spans="1:36" ht="18.75" customHeight="1">
      <c r="A5" s="83" t="s">
        <v>275</v>
      </c>
      <c r="B5" s="83"/>
      <c r="C5" s="83"/>
      <c r="D5" s="81" t="s">
        <v>308</v>
      </c>
      <c r="E5" s="81"/>
      <c r="F5" s="81"/>
      <c r="G5" s="81"/>
      <c r="H5" s="81"/>
      <c r="I5" s="81"/>
      <c r="J5" s="81"/>
      <c r="K5" s="81"/>
      <c r="L5" s="81"/>
      <c r="M5" s="44"/>
      <c r="N5" s="44"/>
      <c r="O5" s="44"/>
      <c r="P5" s="44"/>
      <c r="Q5" s="44"/>
      <c r="R5" s="44"/>
      <c r="S5" s="44"/>
      <c r="T5" s="44"/>
      <c r="U5" s="44"/>
      <c r="V5" s="46"/>
    </row>
    <row r="6" spans="1:36">
      <c r="A6" s="47"/>
      <c r="B6" s="47"/>
      <c r="C6" s="47"/>
      <c r="D6" s="47"/>
      <c r="E6" s="48"/>
      <c r="F6" s="47"/>
      <c r="G6" s="47"/>
      <c r="H6" s="47"/>
      <c r="I6" s="47"/>
      <c r="J6" s="47"/>
      <c r="K6" s="47"/>
      <c r="L6" s="47"/>
      <c r="M6" s="47"/>
      <c r="N6" s="47"/>
      <c r="O6" s="47"/>
      <c r="P6" s="47"/>
      <c r="Q6" s="47"/>
      <c r="R6" s="47"/>
      <c r="S6" s="47"/>
      <c r="T6" s="47"/>
      <c r="U6" s="47"/>
    </row>
    <row r="7" spans="1:36" ht="15" thickBot="1">
      <c r="A7" s="47"/>
      <c r="B7" s="47"/>
      <c r="C7" s="47"/>
      <c r="D7" s="44"/>
      <c r="E7" s="47"/>
      <c r="F7" s="47"/>
      <c r="G7" s="47"/>
      <c r="H7" s="47"/>
      <c r="I7" s="47"/>
      <c r="J7" s="47"/>
      <c r="K7" s="47"/>
      <c r="L7" s="47"/>
      <c r="M7" s="47"/>
      <c r="N7" s="47"/>
      <c r="O7" s="47"/>
      <c r="P7" s="47"/>
      <c r="Q7" s="47"/>
      <c r="R7" s="47"/>
      <c r="S7" s="47"/>
      <c r="T7" s="47"/>
      <c r="U7" s="47"/>
    </row>
    <row r="8" spans="1:36" ht="18.75" customHeight="1" thickBot="1">
      <c r="A8" s="247" t="s">
        <v>276</v>
      </c>
      <c r="B8" s="250" t="s">
        <v>1</v>
      </c>
      <c r="C8" s="250" t="s">
        <v>277</v>
      </c>
      <c r="D8" s="49"/>
      <c r="E8" s="253" t="s">
        <v>268</v>
      </c>
      <c r="F8" s="254"/>
      <c r="G8" s="254"/>
      <c r="H8" s="254"/>
      <c r="I8" s="254"/>
      <c r="J8" s="255"/>
      <c r="K8" s="256" t="s">
        <v>269</v>
      </c>
      <c r="L8" s="255"/>
      <c r="M8" s="256" t="s">
        <v>270</v>
      </c>
      <c r="N8" s="254"/>
      <c r="O8" s="254"/>
      <c r="P8" s="254"/>
      <c r="Q8" s="254"/>
      <c r="R8" s="254"/>
      <c r="S8" s="254"/>
      <c r="T8" s="254"/>
      <c r="U8" s="255"/>
      <c r="V8" s="257" t="s">
        <v>278</v>
      </c>
    </row>
    <row r="9" spans="1:36" ht="18" customHeight="1">
      <c r="A9" s="248"/>
      <c r="B9" s="251"/>
      <c r="C9" s="251"/>
      <c r="D9" s="260" t="s">
        <v>279</v>
      </c>
      <c r="E9" s="266" t="s">
        <v>280</v>
      </c>
      <c r="F9" s="266" t="s">
        <v>281</v>
      </c>
      <c r="G9" s="266" t="s">
        <v>282</v>
      </c>
      <c r="H9" s="266" t="s">
        <v>283</v>
      </c>
      <c r="I9" s="266" t="s">
        <v>284</v>
      </c>
      <c r="J9" s="266" t="s">
        <v>285</v>
      </c>
      <c r="K9" s="265" t="s">
        <v>286</v>
      </c>
      <c r="L9" s="265" t="s">
        <v>309</v>
      </c>
      <c r="M9" s="262" t="s">
        <v>287</v>
      </c>
      <c r="N9" s="262" t="s">
        <v>288</v>
      </c>
      <c r="O9" s="262" t="s">
        <v>289</v>
      </c>
      <c r="P9" s="265" t="s">
        <v>271</v>
      </c>
      <c r="Q9" s="265" t="s">
        <v>290</v>
      </c>
      <c r="R9" s="265" t="s">
        <v>291</v>
      </c>
      <c r="S9" s="265" t="s">
        <v>292</v>
      </c>
      <c r="T9" s="260" t="s">
        <v>293</v>
      </c>
      <c r="U9" s="260" t="s">
        <v>310</v>
      </c>
      <c r="V9" s="258"/>
      <c r="Z9" s="50"/>
      <c r="AA9" s="50"/>
      <c r="AB9" s="50"/>
      <c r="AC9" s="50"/>
      <c r="AD9" s="50"/>
      <c r="AE9" s="50"/>
      <c r="AF9" s="50"/>
      <c r="AG9" s="50"/>
      <c r="AH9" s="50"/>
      <c r="AI9" s="50"/>
      <c r="AJ9" s="50"/>
    </row>
    <row r="10" spans="1:36" ht="18" customHeight="1">
      <c r="A10" s="248"/>
      <c r="B10" s="251"/>
      <c r="C10" s="251"/>
      <c r="D10" s="260"/>
      <c r="E10" s="266"/>
      <c r="F10" s="266"/>
      <c r="G10" s="266"/>
      <c r="H10" s="266"/>
      <c r="I10" s="266"/>
      <c r="J10" s="266"/>
      <c r="K10" s="260"/>
      <c r="L10" s="260"/>
      <c r="M10" s="263"/>
      <c r="N10" s="263"/>
      <c r="O10" s="263"/>
      <c r="P10" s="260"/>
      <c r="Q10" s="260"/>
      <c r="R10" s="260"/>
      <c r="S10" s="260"/>
      <c r="T10" s="260"/>
      <c r="U10" s="260"/>
      <c r="V10" s="258"/>
      <c r="Z10" s="50"/>
      <c r="AA10" s="50"/>
      <c r="AB10" s="50">
        <v>49</v>
      </c>
      <c r="AC10" s="50"/>
      <c r="AD10" s="50"/>
      <c r="AE10" s="50"/>
      <c r="AF10" s="50"/>
      <c r="AG10" s="50"/>
      <c r="AH10" s="50"/>
      <c r="AI10" s="50"/>
      <c r="AJ10" s="50"/>
    </row>
    <row r="11" spans="1:36" ht="39.75" customHeight="1" thickBot="1">
      <c r="A11" s="249"/>
      <c r="B11" s="252"/>
      <c r="C11" s="252"/>
      <c r="D11" s="261"/>
      <c r="E11" s="267"/>
      <c r="F11" s="267"/>
      <c r="G11" s="267"/>
      <c r="H11" s="267"/>
      <c r="I11" s="267"/>
      <c r="J11" s="267"/>
      <c r="K11" s="261"/>
      <c r="L11" s="261"/>
      <c r="M11" s="264"/>
      <c r="N11" s="264"/>
      <c r="O11" s="264"/>
      <c r="P11" s="261"/>
      <c r="Q11" s="261"/>
      <c r="R11" s="261"/>
      <c r="S11" s="261"/>
      <c r="T11" s="261"/>
      <c r="U11" s="261"/>
      <c r="V11" s="259"/>
      <c r="W11" s="87"/>
      <c r="X11" s="87"/>
      <c r="Y11" s="87"/>
      <c r="Z11" s="51"/>
      <c r="AA11" s="51"/>
      <c r="AB11" s="51">
        <v>12</v>
      </c>
      <c r="AC11" s="51"/>
      <c r="AD11" s="51"/>
      <c r="AE11" s="51"/>
      <c r="AF11" s="51"/>
      <c r="AG11" s="51"/>
      <c r="AH11" s="51"/>
      <c r="AI11" s="51"/>
      <c r="AJ11" s="51"/>
    </row>
    <row r="12" spans="1:36" ht="18.75" customHeight="1" thickBot="1">
      <c r="A12" s="268">
        <v>1</v>
      </c>
      <c r="B12" s="276" t="s">
        <v>458</v>
      </c>
      <c r="C12" s="277" t="s">
        <v>430</v>
      </c>
      <c r="D12" s="52" t="s">
        <v>294</v>
      </c>
      <c r="E12" s="53">
        <f>te!$E$5</f>
        <v>82</v>
      </c>
      <c r="F12" s="53">
        <f>te!$K$5</f>
        <v>80</v>
      </c>
      <c r="G12" s="53">
        <f>te!$Q$5</f>
        <v>80</v>
      </c>
      <c r="H12" s="53">
        <f>te!$W$5</f>
        <v>82</v>
      </c>
      <c r="I12" s="53">
        <f>te!$AA$5</f>
        <v>75</v>
      </c>
      <c r="J12" s="53">
        <f>te!$AE$5</f>
        <v>83</v>
      </c>
      <c r="K12" s="54">
        <f>te!$AG$5</f>
        <v>83</v>
      </c>
      <c r="L12" s="55"/>
      <c r="M12" s="53">
        <f>te!$AM$5</f>
        <v>75</v>
      </c>
      <c r="N12" s="53">
        <f>te!$AS$5</f>
        <v>73</v>
      </c>
      <c r="O12" s="53">
        <f>te!$AY$5</f>
        <v>75</v>
      </c>
      <c r="P12" s="54">
        <f>te!$BA$5</f>
        <v>79</v>
      </c>
      <c r="Q12" s="54">
        <f>te!$BC$5</f>
        <v>85</v>
      </c>
      <c r="R12" s="55"/>
      <c r="S12" s="55"/>
      <c r="T12" s="55"/>
      <c r="U12" s="55"/>
      <c r="V12" s="56"/>
      <c r="W12" s="88"/>
      <c r="X12" s="278">
        <v>5</v>
      </c>
      <c r="Y12" s="88"/>
      <c r="Z12" s="57"/>
      <c r="AA12" s="57"/>
      <c r="AB12" s="57">
        <v>44</v>
      </c>
      <c r="AC12" s="57"/>
      <c r="AD12" s="57"/>
      <c r="AE12" s="57"/>
      <c r="AF12" s="57"/>
      <c r="AG12" s="57"/>
      <c r="AH12" s="57"/>
      <c r="AI12" s="57"/>
      <c r="AJ12" s="57"/>
    </row>
    <row r="13" spans="1:36" ht="18.75" customHeight="1" thickBot="1">
      <c r="A13" s="268"/>
      <c r="B13" s="271"/>
      <c r="C13" s="274"/>
      <c r="D13" s="52" t="s">
        <v>295</v>
      </c>
      <c r="E13" s="53">
        <f>te!$F$5</f>
        <v>89</v>
      </c>
      <c r="F13" s="53">
        <f>te!$L$5</f>
        <v>81</v>
      </c>
      <c r="G13" s="53">
        <f>te!$R$5</f>
        <v>77</v>
      </c>
      <c r="H13" s="53">
        <f>te!$X$5</f>
        <v>83</v>
      </c>
      <c r="I13" s="53">
        <f>te!$AB$5</f>
        <v>78</v>
      </c>
      <c r="J13" s="53">
        <f>te!$AF$5</f>
        <v>83</v>
      </c>
      <c r="K13" s="54">
        <f>te!$AH$5</f>
        <v>85</v>
      </c>
      <c r="L13" s="55"/>
      <c r="M13" s="53">
        <f>te!$AN$5</f>
        <v>76</v>
      </c>
      <c r="N13" s="53">
        <f>te!$AT$5</f>
        <v>73</v>
      </c>
      <c r="O13" s="53">
        <f>te!$AZ$5</f>
        <v>80</v>
      </c>
      <c r="P13" s="54">
        <f>te!$BB$5</f>
        <v>80</v>
      </c>
      <c r="Q13" s="54">
        <f>te!$BD$5</f>
        <v>75</v>
      </c>
      <c r="R13" s="55"/>
      <c r="S13" s="55"/>
      <c r="T13" s="55"/>
      <c r="U13" s="55"/>
      <c r="V13" s="58"/>
      <c r="W13" s="88"/>
      <c r="X13" s="278">
        <v>5</v>
      </c>
      <c r="Y13" s="88"/>
      <c r="Z13" s="57"/>
      <c r="AA13" s="57"/>
      <c r="AB13" s="57">
        <v>34</v>
      </c>
      <c r="AC13" s="57"/>
      <c r="AD13" s="57"/>
      <c r="AE13" s="57"/>
      <c r="AF13" s="57"/>
      <c r="AG13" s="57"/>
      <c r="AH13" s="57"/>
      <c r="AI13" s="57"/>
      <c r="AJ13" s="57"/>
    </row>
    <row r="14" spans="1:36" ht="18.75" customHeight="1" thickBot="1">
      <c r="A14" s="268"/>
      <c r="B14" s="271"/>
      <c r="C14" s="274"/>
      <c r="D14" s="52" t="s">
        <v>296</v>
      </c>
      <c r="E14" s="53">
        <f>te!$G$5</f>
        <v>86</v>
      </c>
      <c r="F14" s="53">
        <f>te!$M$5</f>
        <v>70</v>
      </c>
      <c r="G14" s="53">
        <f>te!$S$5</f>
        <v>70</v>
      </c>
      <c r="H14" s="53">
        <f>te!$Y$5</f>
        <v>80</v>
      </c>
      <c r="I14" s="53">
        <f>te!$AC$5</f>
        <v>73</v>
      </c>
      <c r="J14" s="59"/>
      <c r="K14" s="54">
        <f>te!$AI$5</f>
        <v>70</v>
      </c>
      <c r="L14" s="55"/>
      <c r="M14" s="53">
        <f>te!$AO$5</f>
        <v>72</v>
      </c>
      <c r="N14" s="53">
        <f>te!$AU$5</f>
        <v>71</v>
      </c>
      <c r="O14" s="59"/>
      <c r="P14" s="55"/>
      <c r="Q14" s="55"/>
      <c r="R14" s="54">
        <f>te!$BS$5</f>
        <v>75.666666666666671</v>
      </c>
      <c r="S14" s="54">
        <f>te!$BW$5</f>
        <v>82</v>
      </c>
      <c r="T14" s="55"/>
      <c r="U14" s="54">
        <f>te!$CB$5</f>
        <v>70</v>
      </c>
      <c r="V14" s="58"/>
      <c r="W14" s="89"/>
      <c r="X14" s="278">
        <v>5</v>
      </c>
      <c r="Y14" s="89"/>
      <c r="Z14" s="60"/>
      <c r="AA14" s="60"/>
      <c r="AB14" s="60">
        <v>33</v>
      </c>
      <c r="AC14" s="60"/>
      <c r="AD14" s="61"/>
      <c r="AE14" s="60"/>
      <c r="AF14" s="60"/>
      <c r="AG14" s="60"/>
      <c r="AH14" s="60"/>
      <c r="AI14" s="60"/>
      <c r="AJ14" s="60"/>
    </row>
    <row r="15" spans="1:36" ht="18.75" customHeight="1" thickBot="1">
      <c r="A15" s="268"/>
      <c r="B15" s="271"/>
      <c r="C15" s="274"/>
      <c r="D15" s="62" t="s">
        <v>297</v>
      </c>
      <c r="E15" s="53">
        <f>te!$H$5</f>
        <v>85</v>
      </c>
      <c r="F15" s="53">
        <f>te!$N$5</f>
        <v>83</v>
      </c>
      <c r="G15" s="53">
        <f>te!$T$5</f>
        <v>72</v>
      </c>
      <c r="H15" s="53">
        <f>te!$Z$5</f>
        <v>83</v>
      </c>
      <c r="I15" s="53">
        <f>te!$AD$5</f>
        <v>75</v>
      </c>
      <c r="J15" s="59"/>
      <c r="K15" s="54">
        <f>te!$AJ$5</f>
        <v>80</v>
      </c>
      <c r="L15" s="55"/>
      <c r="M15" s="53">
        <f>te!$AP$5</f>
        <v>73</v>
      </c>
      <c r="N15" s="53">
        <f>te!$AV$5</f>
        <v>70</v>
      </c>
      <c r="O15" s="59"/>
      <c r="P15" s="55"/>
      <c r="Q15" s="55"/>
      <c r="R15" s="54">
        <f>te!$BT$5</f>
        <v>79.333333333333329</v>
      </c>
      <c r="S15" s="54">
        <f>te!$BX$5</f>
        <v>80</v>
      </c>
      <c r="T15" s="63"/>
      <c r="U15" s="54">
        <f>te!$CC$5</f>
        <v>72</v>
      </c>
      <c r="V15" s="58"/>
      <c r="W15" s="90"/>
      <c r="X15" s="278">
        <v>5</v>
      </c>
      <c r="Y15" s="90"/>
      <c r="Z15" s="64"/>
      <c r="AA15" s="64"/>
      <c r="AB15" s="64">
        <v>42</v>
      </c>
      <c r="AC15" s="64"/>
      <c r="AD15" s="64"/>
      <c r="AE15" s="64"/>
      <c r="AF15" s="64"/>
      <c r="AG15" s="64"/>
      <c r="AH15" s="64"/>
      <c r="AI15" s="64"/>
      <c r="AJ15" s="64"/>
    </row>
    <row r="16" spans="1:36" ht="18.75" customHeight="1">
      <c r="A16" s="268"/>
      <c r="B16" s="271"/>
      <c r="C16" s="274"/>
      <c r="D16" s="62" t="s">
        <v>298</v>
      </c>
      <c r="E16" s="53">
        <f>te!$I$5</f>
        <v>80</v>
      </c>
      <c r="F16" s="53">
        <f>te!$O$5</f>
        <v>88</v>
      </c>
      <c r="G16" s="53">
        <f>te!$U$5</f>
        <v>73</v>
      </c>
      <c r="H16" s="65"/>
      <c r="I16" s="65"/>
      <c r="J16" s="59"/>
      <c r="K16" s="59"/>
      <c r="L16" s="53">
        <f>te!$AK$5</f>
        <v>89</v>
      </c>
      <c r="M16" s="53">
        <f>te!$AQ$5</f>
        <v>76</v>
      </c>
      <c r="N16" s="53">
        <f>te!$AW$5</f>
        <v>73</v>
      </c>
      <c r="O16" s="59"/>
      <c r="P16" s="55"/>
      <c r="Q16" s="55"/>
      <c r="R16" s="54">
        <f>te!$BU$5</f>
        <v>77</v>
      </c>
      <c r="S16" s="54">
        <f>te!$BY$5</f>
        <v>70</v>
      </c>
      <c r="T16" s="54"/>
      <c r="U16" s="54">
        <f>te!$CD$5</f>
        <v>74</v>
      </c>
      <c r="V16" s="58"/>
      <c r="W16" s="90"/>
      <c r="X16" s="278">
        <v>5</v>
      </c>
      <c r="Y16" s="90"/>
      <c r="Z16" s="64"/>
      <c r="AA16" s="64"/>
      <c r="AB16" s="64">
        <v>43</v>
      </c>
      <c r="AC16" s="64"/>
      <c r="AD16" s="64"/>
      <c r="AE16" s="64"/>
      <c r="AF16" s="64"/>
      <c r="AG16" s="64"/>
      <c r="AH16" s="64"/>
      <c r="AI16" s="64"/>
      <c r="AJ16" s="64"/>
    </row>
    <row r="17" spans="1:36" ht="18.75" customHeight="1">
      <c r="A17" s="268"/>
      <c r="B17" s="271"/>
      <c r="C17" s="274"/>
      <c r="D17" s="66" t="s">
        <v>299</v>
      </c>
      <c r="E17" s="67">
        <f>AVERAGE(E12:E16)</f>
        <v>84.4</v>
      </c>
      <c r="F17" s="67">
        <f>AVERAGE(F12:F16)</f>
        <v>80.400000000000006</v>
      </c>
      <c r="G17" s="67">
        <f>AVERAGE(G12:G16)</f>
        <v>74.400000000000006</v>
      </c>
      <c r="H17" s="68"/>
      <c r="I17" s="68"/>
      <c r="J17" s="69"/>
      <c r="K17" s="69"/>
      <c r="L17" s="67">
        <f>AVERAGE(L12:L16)</f>
        <v>89</v>
      </c>
      <c r="M17" s="67">
        <f>AVERAGE(M12:M16)</f>
        <v>74.400000000000006</v>
      </c>
      <c r="N17" s="67">
        <f>AVERAGE(N12:N16)</f>
        <v>72</v>
      </c>
      <c r="O17" s="69"/>
      <c r="P17" s="63"/>
      <c r="Q17" s="63"/>
      <c r="R17" s="84">
        <f>AVERAGE(R14:R16)</f>
        <v>77.333333333333329</v>
      </c>
      <c r="S17" s="84">
        <f>AVERAGE(S14:S16)</f>
        <v>77.333333333333329</v>
      </c>
      <c r="T17" s="63"/>
      <c r="U17" s="84">
        <f>AVERAGE(U12:U16)</f>
        <v>72</v>
      </c>
      <c r="V17" s="58"/>
      <c r="W17" s="90"/>
      <c r="X17" s="278">
        <v>5</v>
      </c>
      <c r="Y17" s="90"/>
      <c r="Z17" s="64"/>
      <c r="AA17" s="64"/>
      <c r="AB17" s="64">
        <v>29</v>
      </c>
      <c r="AC17" s="64"/>
      <c r="AD17" s="64"/>
      <c r="AE17" s="64"/>
      <c r="AF17" s="64"/>
      <c r="AG17" s="64"/>
      <c r="AH17" s="64"/>
      <c r="AI17" s="64"/>
      <c r="AJ17" s="64"/>
    </row>
    <row r="18" spans="1:36" ht="18.75" customHeight="1">
      <c r="A18" s="268"/>
      <c r="B18" s="271"/>
      <c r="C18" s="274"/>
      <c r="D18" s="70" t="s">
        <v>300</v>
      </c>
      <c r="E18" s="71">
        <f>te!$J$5</f>
        <v>80</v>
      </c>
      <c r="F18" s="71">
        <f>te!$P$5</f>
        <v>81</v>
      </c>
      <c r="G18" s="71">
        <f>te!$V$5</f>
        <v>78</v>
      </c>
      <c r="H18" s="72"/>
      <c r="I18" s="72"/>
      <c r="J18" s="73"/>
      <c r="K18" s="73"/>
      <c r="L18" s="71">
        <f>te!$AL$5</f>
        <v>78</v>
      </c>
      <c r="M18" s="71">
        <f>te!$AR$5</f>
        <v>80</v>
      </c>
      <c r="N18" s="71">
        <f>te!$AX$5</f>
        <v>80</v>
      </c>
      <c r="O18" s="73"/>
      <c r="P18" s="74"/>
      <c r="Q18" s="74"/>
      <c r="R18" s="85">
        <f>te!$BV$5</f>
        <v>80</v>
      </c>
      <c r="S18" s="85">
        <f>te!$BZ$5</f>
        <v>79</v>
      </c>
      <c r="T18" s="85">
        <f>te!$CA$5</f>
        <v>80</v>
      </c>
      <c r="U18" s="75">
        <f>te!$CE$5</f>
        <v>80</v>
      </c>
      <c r="V18" s="58"/>
      <c r="W18" s="90"/>
      <c r="X18" s="278">
        <v>5</v>
      </c>
      <c r="Y18" s="90"/>
      <c r="Z18" s="64"/>
      <c r="AA18" s="64"/>
      <c r="AB18" s="64">
        <v>58</v>
      </c>
      <c r="AC18" s="64"/>
      <c r="AD18" s="64"/>
      <c r="AE18" s="64"/>
      <c r="AF18" s="64"/>
      <c r="AG18" s="64"/>
      <c r="AH18" s="64"/>
      <c r="AI18" s="64"/>
      <c r="AJ18" s="64"/>
    </row>
    <row r="19" spans="1:36" ht="18.75" customHeight="1">
      <c r="A19" s="268"/>
      <c r="B19" s="271"/>
      <c r="C19" s="274"/>
      <c r="D19" s="76" t="s">
        <v>301</v>
      </c>
      <c r="E19" s="77">
        <f>te!$CF$5</f>
        <v>81</v>
      </c>
      <c r="F19" s="77">
        <f>te!$CG$5</f>
        <v>75</v>
      </c>
      <c r="G19" s="77">
        <f>te!$CH$5</f>
        <v>75</v>
      </c>
      <c r="H19" s="72"/>
      <c r="I19" s="72"/>
      <c r="J19" s="73"/>
      <c r="K19" s="73"/>
      <c r="L19" s="77">
        <f>te!$CI$5</f>
        <v>75</v>
      </c>
      <c r="M19" s="77">
        <f>te!$CJ$5</f>
        <v>76</v>
      </c>
      <c r="N19" s="77">
        <f>te!$CK$5</f>
        <v>80</v>
      </c>
      <c r="O19" s="73"/>
      <c r="P19" s="74"/>
      <c r="Q19" s="74"/>
      <c r="R19" s="86">
        <f>te!$CN$5</f>
        <v>70</v>
      </c>
      <c r="S19" s="86">
        <f>te!$CM$5</f>
        <v>71</v>
      </c>
      <c r="T19" s="74"/>
      <c r="U19" s="86">
        <f>te!$CL$5</f>
        <v>70</v>
      </c>
      <c r="V19" s="58"/>
      <c r="W19" s="90"/>
      <c r="X19" s="278">
        <v>5</v>
      </c>
      <c r="Y19" s="90"/>
      <c r="Z19" s="64"/>
      <c r="AA19" s="64"/>
      <c r="AB19" s="64">
        <v>34</v>
      </c>
      <c r="AC19" s="64"/>
      <c r="AD19" s="64"/>
      <c r="AE19" s="64"/>
      <c r="AF19" s="64"/>
      <c r="AG19" s="64"/>
      <c r="AH19" s="64"/>
      <c r="AI19" s="64"/>
      <c r="AJ19" s="64"/>
    </row>
    <row r="20" spans="1:36" ht="18.75" customHeight="1" thickBot="1">
      <c r="A20" s="269"/>
      <c r="B20" s="272"/>
      <c r="C20" s="275"/>
      <c r="D20" s="78" t="s">
        <v>302</v>
      </c>
      <c r="E20" s="79">
        <f>(E17*4+E18*3+E19*3)/10</f>
        <v>82.06</v>
      </c>
      <c r="F20" s="79">
        <f t="shared" ref="F20:U20" si="0">(F17*4+F18*3+F19*3)/10</f>
        <v>78.960000000000008</v>
      </c>
      <c r="G20" s="79">
        <f t="shared" si="0"/>
        <v>75.66</v>
      </c>
      <c r="H20" s="79">
        <f>AVERAGE(H12:H15)</f>
        <v>82</v>
      </c>
      <c r="I20" s="79">
        <f>AVERAGE(I12:I15)</f>
        <v>75.25</v>
      </c>
      <c r="J20" s="79">
        <f>AVERAGE(J12:J13)</f>
        <v>83</v>
      </c>
      <c r="K20" s="79">
        <f>AVERAGE(K12:K15)</f>
        <v>79.5</v>
      </c>
      <c r="L20" s="79">
        <f>(L17*4+L18*3+L19*3)/10</f>
        <v>81.5</v>
      </c>
      <c r="M20" s="79">
        <f>(M17*4+M18*3+M19*3)/10</f>
        <v>76.56</v>
      </c>
      <c r="N20" s="79">
        <f>(N17*4+N18*3+N19*3)/10</f>
        <v>76.8</v>
      </c>
      <c r="O20" s="79">
        <f>AVERAGE(O12:O13)</f>
        <v>77.5</v>
      </c>
      <c r="P20" s="79">
        <f>AVERAGE(P12:P13)</f>
        <v>79.5</v>
      </c>
      <c r="Q20" s="79">
        <f>AVERAGE(Q12:Q13)</f>
        <v>80</v>
      </c>
      <c r="R20" s="79">
        <f>(R17*4+R18*3+R19*3)/10</f>
        <v>75.933333333333323</v>
      </c>
      <c r="S20" s="79">
        <f>(S17*4+S18*3+S19*3)/10</f>
        <v>75.933333333333323</v>
      </c>
      <c r="T20" s="79">
        <f>T18</f>
        <v>80</v>
      </c>
      <c r="U20" s="79">
        <f t="shared" si="0"/>
        <v>73.8</v>
      </c>
      <c r="V20" s="80">
        <f>AVERAGE(E20:U20)</f>
        <v>78.468039215686275</v>
      </c>
      <c r="W20" s="90"/>
      <c r="X20" s="278">
        <v>5</v>
      </c>
      <c r="Y20" s="90"/>
      <c r="Z20" s="64"/>
      <c r="AA20" s="64"/>
      <c r="AB20" s="64">
        <v>32</v>
      </c>
      <c r="AC20" s="64"/>
      <c r="AD20" s="64"/>
      <c r="AE20" s="64"/>
      <c r="AF20" s="64"/>
      <c r="AG20" s="64"/>
      <c r="AH20" s="64"/>
      <c r="AI20" s="64"/>
      <c r="AJ20" s="64"/>
    </row>
    <row r="21" spans="1:36" ht="18.75" customHeight="1" thickTop="1" thickBot="1">
      <c r="A21" s="268">
        <v>2</v>
      </c>
      <c r="B21" s="270" t="s">
        <v>459</v>
      </c>
      <c r="C21" s="273" t="s">
        <v>433</v>
      </c>
      <c r="D21" s="52" t="s">
        <v>294</v>
      </c>
      <c r="E21" s="53">
        <f>te!$E$6</f>
        <v>82</v>
      </c>
      <c r="F21" s="53">
        <f>te!$K$6</f>
        <v>80</v>
      </c>
      <c r="G21" s="53">
        <f>te!$Q$6</f>
        <v>80</v>
      </c>
      <c r="H21" s="53">
        <f>te!$W$6</f>
        <v>80</v>
      </c>
      <c r="I21" s="53">
        <f>te!$AA$6</f>
        <v>75</v>
      </c>
      <c r="J21" s="53">
        <f>te!$AE$6</f>
        <v>83</v>
      </c>
      <c r="K21" s="54">
        <f>te!$AG$6</f>
        <v>83</v>
      </c>
      <c r="L21" s="55"/>
      <c r="M21" s="53">
        <f>te!$AM$6</f>
        <v>73</v>
      </c>
      <c r="N21" s="53">
        <f>te!$AS$6</f>
        <v>72</v>
      </c>
      <c r="O21" s="53">
        <f>te!$AY$6</f>
        <v>74</v>
      </c>
      <c r="P21" s="54">
        <f>te!$BA$6</f>
        <v>78</v>
      </c>
      <c r="Q21" s="54">
        <f>te!$BC$6</f>
        <v>90</v>
      </c>
      <c r="R21" s="55"/>
      <c r="S21" s="55"/>
      <c r="T21" s="55"/>
      <c r="U21" s="55"/>
      <c r="V21" s="56"/>
      <c r="W21" s="90"/>
      <c r="X21" s="278">
        <v>6</v>
      </c>
      <c r="Y21" s="90"/>
      <c r="Z21" s="64"/>
      <c r="AA21" s="64"/>
      <c r="AB21" s="64">
        <v>14</v>
      </c>
      <c r="AC21" s="64"/>
      <c r="AD21" s="64"/>
      <c r="AE21" s="64"/>
      <c r="AF21" s="64"/>
      <c r="AG21" s="64"/>
      <c r="AH21" s="64"/>
      <c r="AI21" s="64"/>
      <c r="AJ21" s="64"/>
    </row>
    <row r="22" spans="1:36" ht="18.75" customHeight="1" thickBot="1">
      <c r="A22" s="268">
        <v>2</v>
      </c>
      <c r="B22" s="271"/>
      <c r="C22" s="274"/>
      <c r="D22" s="52" t="s">
        <v>295</v>
      </c>
      <c r="E22" s="53">
        <f>te!$F$6</f>
        <v>88</v>
      </c>
      <c r="F22" s="53">
        <f>te!$L$6</f>
        <v>81</v>
      </c>
      <c r="G22" s="53">
        <f>te!$R$6</f>
        <v>77</v>
      </c>
      <c r="H22" s="53">
        <f>te!$X$6</f>
        <v>83</v>
      </c>
      <c r="I22" s="53">
        <f>te!$AB$6</f>
        <v>78</v>
      </c>
      <c r="J22" s="53">
        <f>te!$AF$6</f>
        <v>83</v>
      </c>
      <c r="K22" s="54">
        <f>te!$AH$6</f>
        <v>84</v>
      </c>
      <c r="L22" s="55"/>
      <c r="M22" s="53">
        <f>te!$AN$6</f>
        <v>74</v>
      </c>
      <c r="N22" s="53">
        <f>te!$AT$6</f>
        <v>74</v>
      </c>
      <c r="O22" s="53">
        <f>te!$AZ$6</f>
        <v>79</v>
      </c>
      <c r="P22" s="54">
        <f>te!$BB$6</f>
        <v>81</v>
      </c>
      <c r="Q22" s="54">
        <f>te!$BD$6</f>
        <v>77</v>
      </c>
      <c r="R22" s="55"/>
      <c r="S22" s="55"/>
      <c r="T22" s="55"/>
      <c r="U22" s="55"/>
      <c r="V22" s="58"/>
      <c r="W22" s="90"/>
      <c r="X22" s="278">
        <v>6</v>
      </c>
      <c r="Y22" s="90"/>
      <c r="Z22" s="64"/>
      <c r="AA22" s="64"/>
      <c r="AB22" s="64"/>
      <c r="AC22" s="64"/>
      <c r="AD22" s="64"/>
      <c r="AE22" s="64"/>
      <c r="AF22" s="64"/>
      <c r="AG22" s="64"/>
      <c r="AH22" s="64"/>
      <c r="AI22" s="64"/>
      <c r="AJ22" s="64"/>
    </row>
    <row r="23" spans="1:36" ht="18.75" customHeight="1" thickBot="1">
      <c r="A23" s="268">
        <v>2</v>
      </c>
      <c r="B23" s="271"/>
      <c r="C23" s="274"/>
      <c r="D23" s="52" t="s">
        <v>296</v>
      </c>
      <c r="E23" s="53">
        <f>te!$G$6</f>
        <v>87</v>
      </c>
      <c r="F23" s="53">
        <f>te!$M$6</f>
        <v>70</v>
      </c>
      <c r="G23" s="53">
        <f>te!$S$6</f>
        <v>70</v>
      </c>
      <c r="H23" s="53">
        <f>te!$Y$6</f>
        <v>80</v>
      </c>
      <c r="I23" s="53">
        <f>te!$AC$6</f>
        <v>80</v>
      </c>
      <c r="J23" s="59"/>
      <c r="K23" s="54">
        <f>te!$AI$6</f>
        <v>70</v>
      </c>
      <c r="L23" s="55"/>
      <c r="M23" s="53">
        <f>te!$AO$6</f>
        <v>73</v>
      </c>
      <c r="N23" s="53">
        <f>te!$AU$6</f>
        <v>72</v>
      </c>
      <c r="O23" s="59"/>
      <c r="P23" s="55"/>
      <c r="Q23" s="55"/>
      <c r="R23" s="54">
        <f>te!$BS$6</f>
        <v>74.666666666666671</v>
      </c>
      <c r="S23" s="54">
        <f>te!$BW$6</f>
        <v>82</v>
      </c>
      <c r="T23" s="55"/>
      <c r="U23" s="54">
        <f>te!$CB$6</f>
        <v>72</v>
      </c>
      <c r="V23" s="58"/>
      <c r="W23" s="90"/>
      <c r="X23" s="278">
        <v>6</v>
      </c>
      <c r="Y23" s="90"/>
      <c r="Z23" s="64"/>
      <c r="AA23" s="64"/>
      <c r="AB23" s="64"/>
      <c r="AC23" s="64"/>
      <c r="AD23" s="64"/>
      <c r="AE23" s="64"/>
      <c r="AF23" s="64"/>
      <c r="AG23" s="64"/>
      <c r="AH23" s="64"/>
      <c r="AI23" s="64"/>
      <c r="AJ23" s="64"/>
    </row>
    <row r="24" spans="1:36" ht="18.75" customHeight="1" thickBot="1">
      <c r="A24" s="268">
        <v>2</v>
      </c>
      <c r="B24" s="271"/>
      <c r="C24" s="274"/>
      <c r="D24" s="62" t="s">
        <v>297</v>
      </c>
      <c r="E24" s="53">
        <f>te!$H$6</f>
        <v>85</v>
      </c>
      <c r="F24" s="53">
        <f>te!$N$6</f>
        <v>83</v>
      </c>
      <c r="G24" s="53">
        <f>te!$T$6</f>
        <v>73</v>
      </c>
      <c r="H24" s="53">
        <f>te!$Z$6</f>
        <v>83</v>
      </c>
      <c r="I24" s="53">
        <f>te!$AD$6</f>
        <v>80</v>
      </c>
      <c r="J24" s="59"/>
      <c r="K24" s="54">
        <f>te!$AJ$6</f>
        <v>80</v>
      </c>
      <c r="L24" s="55"/>
      <c r="M24" s="53">
        <f>te!$AP$6</f>
        <v>74</v>
      </c>
      <c r="N24" s="53">
        <f>te!$AV$6</f>
        <v>70</v>
      </c>
      <c r="O24" s="59"/>
      <c r="P24" s="55"/>
      <c r="Q24" s="55"/>
      <c r="R24" s="54">
        <f>te!$BT$6</f>
        <v>78</v>
      </c>
      <c r="S24" s="54">
        <f>te!$BX$6</f>
        <v>80</v>
      </c>
      <c r="T24" s="63"/>
      <c r="U24" s="54">
        <f>te!$CC$6</f>
        <v>74</v>
      </c>
      <c r="V24" s="58"/>
      <c r="W24" s="90"/>
      <c r="X24" s="278">
        <v>6</v>
      </c>
      <c r="Y24" s="90"/>
      <c r="Z24" s="64"/>
      <c r="AA24" s="64"/>
      <c r="AB24" s="64"/>
      <c r="AC24" s="64"/>
      <c r="AD24" s="64"/>
      <c r="AE24" s="64"/>
      <c r="AF24" s="64"/>
      <c r="AG24" s="64"/>
      <c r="AH24" s="64"/>
      <c r="AI24" s="64"/>
      <c r="AJ24" s="64"/>
    </row>
    <row r="25" spans="1:36" ht="18.75" customHeight="1">
      <c r="A25" s="268">
        <v>2</v>
      </c>
      <c r="B25" s="271"/>
      <c r="C25" s="274"/>
      <c r="D25" s="62" t="s">
        <v>298</v>
      </c>
      <c r="E25" s="53">
        <f>te!$I$6</f>
        <v>84</v>
      </c>
      <c r="F25" s="53">
        <f>te!$O$6</f>
        <v>88</v>
      </c>
      <c r="G25" s="53">
        <f>te!$U$6</f>
        <v>75</v>
      </c>
      <c r="H25" s="65"/>
      <c r="I25" s="65"/>
      <c r="J25" s="59"/>
      <c r="K25" s="59"/>
      <c r="L25" s="53">
        <f>te!$AK$6</f>
        <v>80</v>
      </c>
      <c r="M25" s="53">
        <f>te!$AQ$6</f>
        <v>75</v>
      </c>
      <c r="N25" s="53">
        <f>te!$AW$6</f>
        <v>77</v>
      </c>
      <c r="O25" s="59"/>
      <c r="P25" s="55"/>
      <c r="Q25" s="55"/>
      <c r="R25" s="54">
        <f>te!$BU$6</f>
        <v>79</v>
      </c>
      <c r="S25" s="54">
        <f>te!$BY$6</f>
        <v>70</v>
      </c>
      <c r="T25" s="54"/>
      <c r="U25" s="54">
        <f>te!$CD$6</f>
        <v>74</v>
      </c>
      <c r="V25" s="58"/>
      <c r="W25" s="90"/>
      <c r="X25" s="278">
        <v>6</v>
      </c>
      <c r="Y25" s="90"/>
      <c r="Z25" s="64"/>
      <c r="AA25" s="64"/>
      <c r="AB25" s="64"/>
      <c r="AC25" s="64"/>
      <c r="AD25" s="64"/>
      <c r="AE25" s="64"/>
      <c r="AF25" s="64"/>
      <c r="AG25" s="64"/>
      <c r="AH25" s="64"/>
      <c r="AI25" s="64"/>
      <c r="AJ25" s="64"/>
    </row>
    <row r="26" spans="1:36" ht="18.75" customHeight="1">
      <c r="A26" s="268">
        <v>2</v>
      </c>
      <c r="B26" s="271"/>
      <c r="C26" s="274"/>
      <c r="D26" s="66" t="s">
        <v>299</v>
      </c>
      <c r="E26" s="67">
        <f>AVERAGE(E21:E25)</f>
        <v>85.2</v>
      </c>
      <c r="F26" s="67">
        <f>AVERAGE(F21:F25)</f>
        <v>80.400000000000006</v>
      </c>
      <c r="G26" s="67">
        <f>AVERAGE(G21:G25)</f>
        <v>75</v>
      </c>
      <c r="H26" s="68"/>
      <c r="I26" s="68"/>
      <c r="J26" s="69"/>
      <c r="K26" s="69"/>
      <c r="L26" s="67">
        <f>AVERAGE(L21:L25)</f>
        <v>80</v>
      </c>
      <c r="M26" s="67">
        <f>AVERAGE(M21:M25)</f>
        <v>73.8</v>
      </c>
      <c r="N26" s="67">
        <f>AVERAGE(N21:N25)</f>
        <v>73</v>
      </c>
      <c r="O26" s="69"/>
      <c r="P26" s="63"/>
      <c r="Q26" s="63"/>
      <c r="R26" s="84">
        <f>AVERAGE(R23:R25)</f>
        <v>77.222222222222229</v>
      </c>
      <c r="S26" s="84">
        <f>AVERAGE(S23:S25)</f>
        <v>77.333333333333329</v>
      </c>
      <c r="T26" s="63"/>
      <c r="U26" s="84">
        <f>AVERAGE(U21:U25)</f>
        <v>73.333333333333329</v>
      </c>
      <c r="V26" s="58"/>
      <c r="W26" s="90"/>
      <c r="X26" s="278">
        <v>6</v>
      </c>
      <c r="Y26" s="90"/>
      <c r="Z26" s="64"/>
      <c r="AA26" s="64"/>
      <c r="AB26" s="64"/>
      <c r="AC26" s="64"/>
      <c r="AD26" s="64"/>
      <c r="AE26" s="64"/>
      <c r="AF26" s="64"/>
      <c r="AG26" s="64"/>
      <c r="AH26" s="64"/>
      <c r="AI26" s="64"/>
      <c r="AJ26" s="64"/>
    </row>
    <row r="27" spans="1:36" ht="18.75" customHeight="1">
      <c r="A27" s="268">
        <v>2</v>
      </c>
      <c r="B27" s="271"/>
      <c r="C27" s="274"/>
      <c r="D27" s="70" t="s">
        <v>300</v>
      </c>
      <c r="E27" s="71">
        <f>te!$J$6</f>
        <v>76</v>
      </c>
      <c r="F27" s="71">
        <f>te!$P$6</f>
        <v>78</v>
      </c>
      <c r="G27" s="71">
        <f>te!$V$6</f>
        <v>78</v>
      </c>
      <c r="H27" s="72"/>
      <c r="I27" s="72"/>
      <c r="J27" s="73"/>
      <c r="K27" s="73"/>
      <c r="L27" s="71">
        <f>te!$AL$6</f>
        <v>78</v>
      </c>
      <c r="M27" s="71">
        <f>te!$AR$6</f>
        <v>77</v>
      </c>
      <c r="N27" s="71">
        <f>te!$AX$6</f>
        <v>77</v>
      </c>
      <c r="O27" s="73"/>
      <c r="P27" s="74"/>
      <c r="Q27" s="74"/>
      <c r="R27" s="85">
        <f>te!$BV$6</f>
        <v>78</v>
      </c>
      <c r="S27" s="85">
        <f>te!$BZ$6</f>
        <v>79</v>
      </c>
      <c r="T27" s="85">
        <f>te!$CA$6</f>
        <v>78</v>
      </c>
      <c r="U27" s="75">
        <f>te!$CE$6</f>
        <v>77</v>
      </c>
      <c r="V27" s="58"/>
      <c r="W27" s="90"/>
      <c r="X27" s="278">
        <v>6</v>
      </c>
      <c r="Y27" s="90"/>
      <c r="Z27" s="64"/>
      <c r="AA27" s="64"/>
      <c r="AB27" s="64"/>
      <c r="AC27" s="64"/>
      <c r="AD27" s="64"/>
      <c r="AE27" s="64"/>
      <c r="AF27" s="64"/>
      <c r="AG27" s="64"/>
      <c r="AH27" s="64"/>
      <c r="AI27" s="64"/>
      <c r="AJ27" s="64"/>
    </row>
    <row r="28" spans="1:36" ht="18.75" customHeight="1">
      <c r="A28" s="268">
        <v>2</v>
      </c>
      <c r="B28" s="271"/>
      <c r="C28" s="274"/>
      <c r="D28" s="76" t="s">
        <v>301</v>
      </c>
      <c r="E28" s="77">
        <f>te!$CF$6</f>
        <v>84</v>
      </c>
      <c r="F28" s="77">
        <f>te!$CG$6</f>
        <v>75</v>
      </c>
      <c r="G28" s="77">
        <f>te!$CH$6</f>
        <v>75</v>
      </c>
      <c r="H28" s="72"/>
      <c r="I28" s="72"/>
      <c r="J28" s="73"/>
      <c r="K28" s="73"/>
      <c r="L28" s="77">
        <f>te!$CI$6</f>
        <v>70</v>
      </c>
      <c r="M28" s="77">
        <f>te!$CJ$6</f>
        <v>76</v>
      </c>
      <c r="N28" s="77">
        <f>te!$CK$6</f>
        <v>80</v>
      </c>
      <c r="O28" s="73"/>
      <c r="P28" s="74"/>
      <c r="Q28" s="74"/>
      <c r="R28" s="86">
        <f>te!$CN$6</f>
        <v>70</v>
      </c>
      <c r="S28" s="86">
        <f>te!$CM$6</f>
        <v>73</v>
      </c>
      <c r="T28" s="74"/>
      <c r="U28" s="86">
        <f>te!$CL$6</f>
        <v>72</v>
      </c>
      <c r="V28" s="58"/>
      <c r="W28" s="90"/>
      <c r="X28" s="278">
        <v>6</v>
      </c>
      <c r="Y28" s="90"/>
      <c r="Z28" s="64"/>
      <c r="AA28" s="64"/>
      <c r="AB28" s="64"/>
      <c r="AC28" s="64"/>
      <c r="AD28" s="64"/>
      <c r="AE28" s="64"/>
      <c r="AF28" s="64"/>
      <c r="AG28" s="64"/>
      <c r="AH28" s="64"/>
      <c r="AI28" s="64"/>
      <c r="AJ28" s="64"/>
    </row>
    <row r="29" spans="1:36" ht="18.75" customHeight="1" thickBot="1">
      <c r="A29" s="269">
        <v>2</v>
      </c>
      <c r="B29" s="272"/>
      <c r="C29" s="275"/>
      <c r="D29" s="78" t="s">
        <v>302</v>
      </c>
      <c r="E29" s="79">
        <f>(E26*4+E27*3+E28*3)/10</f>
        <v>82.08</v>
      </c>
      <c r="F29" s="79">
        <f t="shared" ref="F29:G29" si="1">(F26*4+F27*3+F28*3)/10</f>
        <v>78.06</v>
      </c>
      <c r="G29" s="79">
        <f t="shared" si="1"/>
        <v>75.900000000000006</v>
      </c>
      <c r="H29" s="79">
        <f>AVERAGE(H21:H24)</f>
        <v>81.5</v>
      </c>
      <c r="I29" s="79">
        <f>AVERAGE(I21:I24)</f>
        <v>78.25</v>
      </c>
      <c r="J29" s="79">
        <f>AVERAGE(J21:J22)</f>
        <v>83</v>
      </c>
      <c r="K29" s="79">
        <f>AVERAGE(K21:K24)</f>
        <v>79.25</v>
      </c>
      <c r="L29" s="79">
        <f>(L26*4+L27*3+L28*3)/10</f>
        <v>76.400000000000006</v>
      </c>
      <c r="M29" s="79">
        <f>(M26*4+M27*3+M28*3)/10</f>
        <v>75.42</v>
      </c>
      <c r="N29" s="79">
        <f>(N26*4+N27*3+N28*3)/10</f>
        <v>76.3</v>
      </c>
      <c r="O29" s="79">
        <f>AVERAGE(O21:O22)</f>
        <v>76.5</v>
      </c>
      <c r="P29" s="79">
        <f>AVERAGE(P21:P22)</f>
        <v>79.5</v>
      </c>
      <c r="Q29" s="79">
        <f>AVERAGE(Q21:Q22)</f>
        <v>83.5</v>
      </c>
      <c r="R29" s="79">
        <f>(R26*4+R27*3+R28*3)/10</f>
        <v>75.288888888888891</v>
      </c>
      <c r="S29" s="79">
        <f>(S26*4+S27*3+S28*3)/10</f>
        <v>76.533333333333331</v>
      </c>
      <c r="T29" s="79">
        <f>T27</f>
        <v>78</v>
      </c>
      <c r="U29" s="79">
        <f t="shared" ref="U29" si="2">(U26*4+U27*3+U28*3)/10</f>
        <v>74.033333333333331</v>
      </c>
      <c r="V29" s="80">
        <f>AVERAGE(E29:U29)</f>
        <v>78.206797385620902</v>
      </c>
      <c r="W29" s="90"/>
      <c r="X29" s="278">
        <v>6</v>
      </c>
      <c r="Y29" s="90"/>
      <c r="Z29" s="64"/>
      <c r="AA29" s="64"/>
      <c r="AB29" s="64"/>
      <c r="AC29" s="64"/>
      <c r="AD29" s="64"/>
      <c r="AE29" s="64"/>
      <c r="AF29" s="64"/>
      <c r="AG29" s="64"/>
      <c r="AH29" s="64"/>
      <c r="AI29" s="64"/>
      <c r="AJ29" s="64"/>
    </row>
    <row r="30" spans="1:36" ht="18.75" customHeight="1" thickTop="1" thickBot="1">
      <c r="A30" s="268">
        <v>3</v>
      </c>
      <c r="B30" s="270" t="s">
        <v>460</v>
      </c>
      <c r="C30" s="273" t="s">
        <v>435</v>
      </c>
      <c r="D30" s="52" t="s">
        <v>294</v>
      </c>
      <c r="E30" s="53">
        <f>te!$E$7</f>
        <v>82</v>
      </c>
      <c r="F30" s="53">
        <f>te!$K$7</f>
        <v>81</v>
      </c>
      <c r="G30" s="53">
        <f>te!$Q$7</f>
        <v>85</v>
      </c>
      <c r="H30" s="53">
        <f>te!$W$7</f>
        <v>82</v>
      </c>
      <c r="I30" s="53">
        <f>te!$AA$7</f>
        <v>80</v>
      </c>
      <c r="J30" s="53">
        <f>te!$AE$7</f>
        <v>85</v>
      </c>
      <c r="K30" s="54">
        <f>te!$AG$7</f>
        <v>85</v>
      </c>
      <c r="L30" s="55"/>
      <c r="M30" s="53">
        <f>te!$AM$7</f>
        <v>75</v>
      </c>
      <c r="N30" s="53">
        <f>te!$AS$7</f>
        <v>74</v>
      </c>
      <c r="O30" s="53">
        <f>te!$AY$7</f>
        <v>77</v>
      </c>
      <c r="P30" s="54">
        <f>te!$BA$7</f>
        <v>83</v>
      </c>
      <c r="Q30" s="54">
        <f>te!$BC$7</f>
        <v>80</v>
      </c>
      <c r="R30" s="55"/>
      <c r="S30" s="55"/>
      <c r="T30" s="55"/>
      <c r="U30" s="55"/>
      <c r="V30" s="56"/>
      <c r="W30" s="90"/>
      <c r="X30" s="278">
        <v>7</v>
      </c>
      <c r="Y30" s="90"/>
      <c r="Z30" s="64"/>
      <c r="AA30" s="64"/>
      <c r="AB30" s="64"/>
      <c r="AC30" s="64"/>
      <c r="AD30" s="64"/>
      <c r="AE30" s="64"/>
      <c r="AF30" s="64"/>
      <c r="AG30" s="64"/>
      <c r="AH30" s="64"/>
      <c r="AI30" s="64"/>
      <c r="AJ30" s="64"/>
    </row>
    <row r="31" spans="1:36" ht="18.75" customHeight="1" thickBot="1">
      <c r="A31" s="268">
        <v>3</v>
      </c>
      <c r="B31" s="271"/>
      <c r="C31" s="274"/>
      <c r="D31" s="52" t="s">
        <v>295</v>
      </c>
      <c r="E31" s="53">
        <f>te!$F$7</f>
        <v>87</v>
      </c>
      <c r="F31" s="53">
        <f>te!$L$7</f>
        <v>83</v>
      </c>
      <c r="G31" s="53">
        <f>te!$R$7</f>
        <v>80</v>
      </c>
      <c r="H31" s="53">
        <f>te!$X$7</f>
        <v>85</v>
      </c>
      <c r="I31" s="53">
        <f>te!$AB$7</f>
        <v>88</v>
      </c>
      <c r="J31" s="53">
        <f>te!$AF$7</f>
        <v>83</v>
      </c>
      <c r="K31" s="54">
        <f>te!$AH$7</f>
        <v>85</v>
      </c>
      <c r="L31" s="55"/>
      <c r="M31" s="53">
        <f>te!$AN$7</f>
        <v>77</v>
      </c>
      <c r="N31" s="53">
        <f>te!$AT$7</f>
        <v>79</v>
      </c>
      <c r="O31" s="53">
        <f>te!$AZ$7</f>
        <v>81</v>
      </c>
      <c r="P31" s="54">
        <f>te!$BB$7</f>
        <v>82</v>
      </c>
      <c r="Q31" s="54">
        <f>te!$BD$7</f>
        <v>80</v>
      </c>
      <c r="R31" s="55"/>
      <c r="S31" s="55"/>
      <c r="T31" s="55"/>
      <c r="U31" s="55"/>
      <c r="V31" s="58"/>
      <c r="W31" s="90"/>
      <c r="X31" s="278">
        <v>7</v>
      </c>
      <c r="Y31" s="90"/>
      <c r="Z31" s="64"/>
      <c r="AA31" s="64"/>
      <c r="AB31" s="64"/>
      <c r="AC31" s="64"/>
      <c r="AD31" s="64"/>
      <c r="AE31" s="64"/>
      <c r="AF31" s="64"/>
      <c r="AG31" s="64"/>
      <c r="AH31" s="64"/>
      <c r="AI31" s="64"/>
      <c r="AJ31" s="64"/>
    </row>
    <row r="32" spans="1:36" ht="18.75" customHeight="1" thickBot="1">
      <c r="A32" s="268">
        <v>3</v>
      </c>
      <c r="B32" s="271"/>
      <c r="C32" s="274"/>
      <c r="D32" s="52" t="s">
        <v>296</v>
      </c>
      <c r="E32" s="53">
        <f>te!$G$7</f>
        <v>86</v>
      </c>
      <c r="F32" s="53">
        <f>te!$M$7</f>
        <v>83</v>
      </c>
      <c r="G32" s="53">
        <f>te!$S$7</f>
        <v>89</v>
      </c>
      <c r="H32" s="53">
        <f>te!$Y$7</f>
        <v>83</v>
      </c>
      <c r="I32" s="53">
        <f>te!$AC$7</f>
        <v>85</v>
      </c>
      <c r="J32" s="59"/>
      <c r="K32" s="54">
        <f>te!$AI$7</f>
        <v>72</v>
      </c>
      <c r="L32" s="55"/>
      <c r="M32" s="53">
        <f>te!$AO$7</f>
        <v>75</v>
      </c>
      <c r="N32" s="53">
        <f>te!$AU$7</f>
        <v>82</v>
      </c>
      <c r="O32" s="59"/>
      <c r="P32" s="55"/>
      <c r="Q32" s="55"/>
      <c r="R32" s="54">
        <f>te!$BS$7</f>
        <v>80</v>
      </c>
      <c r="S32" s="54">
        <f>te!$BW$7</f>
        <v>84</v>
      </c>
      <c r="T32" s="55"/>
      <c r="U32" s="54">
        <f>te!$CB$7</f>
        <v>79</v>
      </c>
      <c r="V32" s="58"/>
      <c r="W32" s="90"/>
      <c r="X32" s="278">
        <v>7</v>
      </c>
      <c r="Y32" s="90"/>
      <c r="Z32" s="64"/>
      <c r="AA32" s="64"/>
      <c r="AB32" s="64"/>
      <c r="AC32" s="64"/>
      <c r="AD32" s="64"/>
      <c r="AE32" s="64"/>
      <c r="AF32" s="64"/>
      <c r="AG32" s="64"/>
      <c r="AH32" s="64"/>
      <c r="AI32" s="64"/>
      <c r="AJ32" s="64"/>
    </row>
    <row r="33" spans="1:36" ht="18.75" customHeight="1" thickBot="1">
      <c r="A33" s="268">
        <v>3</v>
      </c>
      <c r="B33" s="271"/>
      <c r="C33" s="274"/>
      <c r="D33" s="62" t="s">
        <v>297</v>
      </c>
      <c r="E33" s="53">
        <f>te!$H$7</f>
        <v>85</v>
      </c>
      <c r="F33" s="53">
        <f>te!$N$7</f>
        <v>88</v>
      </c>
      <c r="G33" s="53">
        <f>te!$T$7</f>
        <v>87</v>
      </c>
      <c r="H33" s="53">
        <f>te!$Z$7</f>
        <v>84</v>
      </c>
      <c r="I33" s="53">
        <f>te!$AD$7</f>
        <v>86</v>
      </c>
      <c r="J33" s="59"/>
      <c r="K33" s="54">
        <f>te!$AJ$7</f>
        <v>81</v>
      </c>
      <c r="L33" s="55"/>
      <c r="M33" s="53">
        <f>te!$AP$7</f>
        <v>76</v>
      </c>
      <c r="N33" s="53">
        <f>te!$AV$7</f>
        <v>74</v>
      </c>
      <c r="O33" s="59"/>
      <c r="P33" s="55"/>
      <c r="Q33" s="55"/>
      <c r="R33" s="54">
        <f>te!$BT$7</f>
        <v>81.333333333333329</v>
      </c>
      <c r="S33" s="54">
        <f>te!$BX$7</f>
        <v>81</v>
      </c>
      <c r="T33" s="63"/>
      <c r="U33" s="54">
        <f>te!$CC$7</f>
        <v>92</v>
      </c>
      <c r="V33" s="58"/>
      <c r="W33" s="90"/>
      <c r="X33" s="278">
        <v>7</v>
      </c>
      <c r="Y33" s="90"/>
      <c r="Z33" s="64"/>
      <c r="AA33" s="64"/>
      <c r="AB33" s="64"/>
      <c r="AC33" s="64"/>
      <c r="AD33" s="64"/>
      <c r="AE33" s="64"/>
      <c r="AF33" s="64"/>
      <c r="AG33" s="64"/>
      <c r="AH33" s="64"/>
      <c r="AI33" s="64"/>
      <c r="AJ33" s="64"/>
    </row>
    <row r="34" spans="1:36" ht="18.75" customHeight="1">
      <c r="A34" s="268">
        <v>3</v>
      </c>
      <c r="B34" s="271"/>
      <c r="C34" s="274"/>
      <c r="D34" s="62" t="s">
        <v>298</v>
      </c>
      <c r="E34" s="53">
        <f>te!$I$7</f>
        <v>84</v>
      </c>
      <c r="F34" s="53">
        <f>te!$O$7</f>
        <v>93</v>
      </c>
      <c r="G34" s="53">
        <f>te!$U$7</f>
        <v>81</v>
      </c>
      <c r="H34" s="65"/>
      <c r="I34" s="65"/>
      <c r="J34" s="59"/>
      <c r="K34" s="59"/>
      <c r="L34" s="53">
        <f>te!$AK$7</f>
        <v>84</v>
      </c>
      <c r="M34" s="53">
        <f>te!$AQ$7</f>
        <v>82</v>
      </c>
      <c r="N34" s="53">
        <f>te!$AW$7</f>
        <v>85</v>
      </c>
      <c r="O34" s="59"/>
      <c r="P34" s="55"/>
      <c r="Q34" s="55"/>
      <c r="R34" s="54">
        <f>te!$BU$7</f>
        <v>82.75</v>
      </c>
      <c r="S34" s="54">
        <f>te!$BY$7</f>
        <v>86</v>
      </c>
      <c r="T34" s="54"/>
      <c r="U34" s="54">
        <f>te!$CD$7</f>
        <v>89</v>
      </c>
      <c r="V34" s="58"/>
      <c r="W34" s="90"/>
      <c r="X34" s="278">
        <v>7</v>
      </c>
      <c r="Y34" s="90"/>
      <c r="Z34" s="64"/>
      <c r="AA34" s="64"/>
      <c r="AB34" s="64"/>
      <c r="AC34" s="64"/>
      <c r="AD34" s="64"/>
      <c r="AE34" s="64"/>
      <c r="AF34" s="64"/>
      <c r="AG34" s="64"/>
      <c r="AH34" s="64"/>
      <c r="AI34" s="64"/>
      <c r="AJ34" s="64"/>
    </row>
    <row r="35" spans="1:36" ht="18.75" customHeight="1">
      <c r="A35" s="268">
        <v>3</v>
      </c>
      <c r="B35" s="271"/>
      <c r="C35" s="274"/>
      <c r="D35" s="66" t="s">
        <v>299</v>
      </c>
      <c r="E35" s="67">
        <f>AVERAGE(E30:E34)</f>
        <v>84.8</v>
      </c>
      <c r="F35" s="67">
        <f>AVERAGE(F30:F34)</f>
        <v>85.6</v>
      </c>
      <c r="G35" s="67">
        <f>AVERAGE(G30:G34)</f>
        <v>84.4</v>
      </c>
      <c r="H35" s="68"/>
      <c r="I35" s="68"/>
      <c r="J35" s="69"/>
      <c r="K35" s="69"/>
      <c r="L35" s="67">
        <f>AVERAGE(L30:L34)</f>
        <v>84</v>
      </c>
      <c r="M35" s="67">
        <f>AVERAGE(M30:M34)</f>
        <v>77</v>
      </c>
      <c r="N35" s="67">
        <f>AVERAGE(N30:N34)</f>
        <v>78.8</v>
      </c>
      <c r="O35" s="69"/>
      <c r="P35" s="63"/>
      <c r="Q35" s="63"/>
      <c r="R35" s="84">
        <f>AVERAGE(R32:R34)</f>
        <v>81.3611111111111</v>
      </c>
      <c r="S35" s="84">
        <f>AVERAGE(S32:S34)</f>
        <v>83.666666666666671</v>
      </c>
      <c r="T35" s="63"/>
      <c r="U35" s="84">
        <f>AVERAGE(U30:U34)</f>
        <v>86.666666666666671</v>
      </c>
      <c r="V35" s="58"/>
      <c r="W35" s="90"/>
      <c r="X35" s="278">
        <v>7</v>
      </c>
      <c r="Y35" s="90"/>
      <c r="Z35" s="64"/>
      <c r="AA35" s="64"/>
      <c r="AB35" s="64"/>
      <c r="AC35" s="64"/>
      <c r="AD35" s="64"/>
      <c r="AE35" s="64"/>
      <c r="AF35" s="64"/>
      <c r="AG35" s="64"/>
      <c r="AH35" s="64"/>
      <c r="AI35" s="64"/>
      <c r="AJ35" s="64"/>
    </row>
    <row r="36" spans="1:36" ht="18.75" customHeight="1">
      <c r="A36" s="268">
        <v>3</v>
      </c>
      <c r="B36" s="271"/>
      <c r="C36" s="274"/>
      <c r="D36" s="70" t="s">
        <v>300</v>
      </c>
      <c r="E36" s="71">
        <f>te!$J$7</f>
        <v>86</v>
      </c>
      <c r="F36" s="71">
        <f>te!$P$7</f>
        <v>95</v>
      </c>
      <c r="G36" s="71">
        <f>te!$V$7</f>
        <v>86</v>
      </c>
      <c r="H36" s="72"/>
      <c r="I36" s="72"/>
      <c r="J36" s="73"/>
      <c r="K36" s="73"/>
      <c r="L36" s="71">
        <f>te!$AL$7</f>
        <v>86</v>
      </c>
      <c r="M36" s="71">
        <f>te!$AR$7</f>
        <v>91</v>
      </c>
      <c r="N36" s="71">
        <f>te!$AX$7</f>
        <v>91</v>
      </c>
      <c r="O36" s="73"/>
      <c r="P36" s="74"/>
      <c r="Q36" s="74"/>
      <c r="R36" s="85">
        <f>te!$BV$7</f>
        <v>90</v>
      </c>
      <c r="S36" s="85">
        <f>te!$BZ$7</f>
        <v>90</v>
      </c>
      <c r="T36" s="85">
        <f>te!$CA$7</f>
        <v>90</v>
      </c>
      <c r="U36" s="75">
        <f>te!$CE$7</f>
        <v>91</v>
      </c>
      <c r="V36" s="58"/>
      <c r="X36" s="278">
        <v>7</v>
      </c>
      <c r="Z36" s="50"/>
      <c r="AA36" s="50"/>
      <c r="AB36" s="50"/>
      <c r="AC36" s="50"/>
      <c r="AD36" s="50"/>
      <c r="AE36" s="50"/>
      <c r="AF36" s="50"/>
      <c r="AG36" s="50"/>
      <c r="AH36" s="50"/>
      <c r="AI36" s="50"/>
      <c r="AJ36" s="50"/>
    </row>
    <row r="37" spans="1:36" ht="18.75" customHeight="1">
      <c r="A37" s="268">
        <v>3</v>
      </c>
      <c r="B37" s="271"/>
      <c r="C37" s="274"/>
      <c r="D37" s="76" t="s">
        <v>301</v>
      </c>
      <c r="E37" s="77">
        <f>te!$CF$7</f>
        <v>86</v>
      </c>
      <c r="F37" s="77">
        <f>te!$CG$7</f>
        <v>85</v>
      </c>
      <c r="G37" s="77">
        <f>te!$CH$7</f>
        <v>82</v>
      </c>
      <c r="H37" s="72"/>
      <c r="I37" s="72"/>
      <c r="J37" s="73"/>
      <c r="K37" s="73"/>
      <c r="L37" s="77">
        <f>te!$CI$7</f>
        <v>95</v>
      </c>
      <c r="M37" s="77">
        <f>te!$CJ$7</f>
        <v>83</v>
      </c>
      <c r="N37" s="77">
        <f>te!$CK$7</f>
        <v>85</v>
      </c>
      <c r="O37" s="73"/>
      <c r="P37" s="74"/>
      <c r="Q37" s="74"/>
      <c r="R37" s="86">
        <f>te!$CN$7</f>
        <v>82</v>
      </c>
      <c r="S37" s="86">
        <f>te!$CM$7</f>
        <v>87</v>
      </c>
      <c r="T37" s="74"/>
      <c r="U37" s="86">
        <f>te!$CL$7</f>
        <v>84</v>
      </c>
      <c r="V37" s="58"/>
      <c r="X37" s="278">
        <v>7</v>
      </c>
      <c r="Z37" s="50"/>
      <c r="AA37" s="50"/>
      <c r="AB37" s="50"/>
      <c r="AC37" s="50"/>
      <c r="AD37" s="50"/>
      <c r="AE37" s="50"/>
      <c r="AF37" s="50"/>
      <c r="AG37" s="50"/>
      <c r="AH37" s="50"/>
      <c r="AI37" s="50"/>
      <c r="AJ37" s="50"/>
    </row>
    <row r="38" spans="1:36" ht="18.75" customHeight="1" thickBot="1">
      <c r="A38" s="269">
        <v>3</v>
      </c>
      <c r="B38" s="272"/>
      <c r="C38" s="275"/>
      <c r="D38" s="78" t="s">
        <v>302</v>
      </c>
      <c r="E38" s="79">
        <f>(E35*4+E36*3+E37*3)/10</f>
        <v>85.52000000000001</v>
      </c>
      <c r="F38" s="79">
        <f t="shared" ref="F38:G38" si="3">(F35*4+F36*3+F37*3)/10</f>
        <v>88.24</v>
      </c>
      <c r="G38" s="79">
        <f t="shared" si="3"/>
        <v>84.16</v>
      </c>
      <c r="H38" s="79">
        <f>AVERAGE(H30:H33)</f>
        <v>83.5</v>
      </c>
      <c r="I38" s="79">
        <f>AVERAGE(I30:I33)</f>
        <v>84.75</v>
      </c>
      <c r="J38" s="79">
        <f>AVERAGE(J30:J31)</f>
        <v>84</v>
      </c>
      <c r="K38" s="79">
        <f>AVERAGE(K30:K33)</f>
        <v>80.75</v>
      </c>
      <c r="L38" s="79">
        <f>(L35*4+L36*3+L37*3)/10</f>
        <v>87.9</v>
      </c>
      <c r="M38" s="79">
        <f>(M35*4+M36*3+M37*3)/10</f>
        <v>83</v>
      </c>
      <c r="N38" s="79">
        <f>(N35*4+N36*3+N37*3)/10</f>
        <v>84.320000000000007</v>
      </c>
      <c r="O38" s="79">
        <f>AVERAGE(O30:O31)</f>
        <v>79</v>
      </c>
      <c r="P38" s="79">
        <f>AVERAGE(P30:P31)</f>
        <v>82.5</v>
      </c>
      <c r="Q38" s="79">
        <f>AVERAGE(Q30:Q31)</f>
        <v>80</v>
      </c>
      <c r="R38" s="79">
        <f>(R35*4+R36*3+R37*3)/10</f>
        <v>84.144444444444431</v>
      </c>
      <c r="S38" s="79">
        <f>(S35*4+S36*3+S37*3)/10</f>
        <v>86.566666666666677</v>
      </c>
      <c r="T38" s="79">
        <f>T36</f>
        <v>90</v>
      </c>
      <c r="U38" s="79">
        <f t="shared" ref="U38" si="4">(U35*4+U36*3+U37*3)/10</f>
        <v>87.166666666666671</v>
      </c>
      <c r="V38" s="80">
        <f>AVERAGE(E38:U38)</f>
        <v>84.442222222222213</v>
      </c>
      <c r="X38" s="278">
        <v>7</v>
      </c>
      <c r="Z38" s="50"/>
      <c r="AA38" s="50"/>
      <c r="AB38" s="50"/>
      <c r="AC38" s="50"/>
      <c r="AD38" s="50"/>
      <c r="AE38" s="50"/>
      <c r="AF38" s="50"/>
      <c r="AG38" s="50"/>
      <c r="AH38" s="50"/>
      <c r="AI38" s="50"/>
      <c r="AJ38" s="50"/>
    </row>
    <row r="39" spans="1:36" ht="18.75" customHeight="1" thickTop="1" thickBot="1">
      <c r="A39" s="268">
        <v>4</v>
      </c>
      <c r="B39" s="270" t="s">
        <v>461</v>
      </c>
      <c r="C39" s="273" t="s">
        <v>437</v>
      </c>
      <c r="D39" s="52" t="s">
        <v>294</v>
      </c>
      <c r="E39" s="53">
        <f>te!$E$8</f>
        <v>86</v>
      </c>
      <c r="F39" s="53">
        <f>te!$K$8</f>
        <v>83</v>
      </c>
      <c r="G39" s="53">
        <f>te!$Q$8</f>
        <v>87</v>
      </c>
      <c r="H39" s="53">
        <f>te!$W$8</f>
        <v>81</v>
      </c>
      <c r="I39" s="53">
        <f>te!$AA$8</f>
        <v>77</v>
      </c>
      <c r="J39" s="53">
        <f>te!$AE$8</f>
        <v>84</v>
      </c>
      <c r="K39" s="54">
        <f>te!$AG$8</f>
        <v>84</v>
      </c>
      <c r="L39" s="55"/>
      <c r="M39" s="53">
        <f>te!$AM$8</f>
        <v>77</v>
      </c>
      <c r="N39" s="53">
        <f>te!$AS$8</f>
        <v>77</v>
      </c>
      <c r="O39" s="53">
        <f>te!$AY$8</f>
        <v>80</v>
      </c>
      <c r="P39" s="54">
        <f>te!$BA$8</f>
        <v>84</v>
      </c>
      <c r="Q39" s="54">
        <f>te!$BC$8</f>
        <v>83</v>
      </c>
      <c r="R39" s="55"/>
      <c r="S39" s="55"/>
      <c r="T39" s="55"/>
      <c r="U39" s="55"/>
      <c r="V39" s="56"/>
      <c r="X39" s="278">
        <v>8</v>
      </c>
      <c r="Z39" s="50"/>
      <c r="AA39" s="50"/>
      <c r="AB39" s="50"/>
      <c r="AC39" s="50"/>
      <c r="AD39" s="50"/>
      <c r="AE39" s="50"/>
      <c r="AF39" s="50"/>
      <c r="AG39" s="50"/>
      <c r="AH39" s="50"/>
      <c r="AI39" s="50"/>
      <c r="AJ39" s="50"/>
    </row>
    <row r="40" spans="1:36" ht="18.75" customHeight="1" thickBot="1">
      <c r="A40" s="268">
        <v>4</v>
      </c>
      <c r="B40" s="271"/>
      <c r="C40" s="274"/>
      <c r="D40" s="52" t="s">
        <v>295</v>
      </c>
      <c r="E40" s="53">
        <f>te!$F$8</f>
        <v>90</v>
      </c>
      <c r="F40" s="53">
        <f>te!$L$8</f>
        <v>81</v>
      </c>
      <c r="G40" s="53">
        <f>te!$R$8</f>
        <v>80</v>
      </c>
      <c r="H40" s="53">
        <f>te!$X$8</f>
        <v>85</v>
      </c>
      <c r="I40" s="53">
        <f>te!$AB$8</f>
        <v>88</v>
      </c>
      <c r="J40" s="53">
        <f>te!$AF$8</f>
        <v>85</v>
      </c>
      <c r="K40" s="54">
        <f>te!$AH$8</f>
        <v>85</v>
      </c>
      <c r="L40" s="55"/>
      <c r="M40" s="53">
        <f>te!$AN$8</f>
        <v>79</v>
      </c>
      <c r="N40" s="53">
        <f>te!$AT$8</f>
        <v>79</v>
      </c>
      <c r="O40" s="53">
        <f>te!$AZ$8</f>
        <v>82</v>
      </c>
      <c r="P40" s="54">
        <f>te!$BB$8</f>
        <v>85</v>
      </c>
      <c r="Q40" s="54">
        <f>te!$BD$8</f>
        <v>81</v>
      </c>
      <c r="R40" s="55"/>
      <c r="S40" s="55"/>
      <c r="T40" s="55"/>
      <c r="U40" s="55"/>
      <c r="V40" s="58"/>
      <c r="X40" s="278">
        <v>8</v>
      </c>
      <c r="Z40" s="50"/>
      <c r="AA40" s="50"/>
      <c r="AB40" s="50"/>
      <c r="AC40" s="50"/>
      <c r="AD40" s="50"/>
      <c r="AE40" s="50"/>
      <c r="AF40" s="50"/>
      <c r="AG40" s="50"/>
      <c r="AH40" s="50"/>
      <c r="AI40" s="50"/>
      <c r="AJ40" s="50"/>
    </row>
    <row r="41" spans="1:36" ht="18.75" customHeight="1" thickBot="1">
      <c r="A41" s="268">
        <v>4</v>
      </c>
      <c r="B41" s="271"/>
      <c r="C41" s="274"/>
      <c r="D41" s="52" t="s">
        <v>296</v>
      </c>
      <c r="E41" s="53">
        <f>te!$G$8</f>
        <v>88</v>
      </c>
      <c r="F41" s="53">
        <f>te!$M$8</f>
        <v>82</v>
      </c>
      <c r="G41" s="53">
        <f>te!$S$8</f>
        <v>80</v>
      </c>
      <c r="H41" s="53">
        <f>te!$Y$8</f>
        <v>83</v>
      </c>
      <c r="I41" s="53">
        <f>te!$AC$8</f>
        <v>85</v>
      </c>
      <c r="J41" s="59"/>
      <c r="K41" s="54">
        <f>te!$AI$8</f>
        <v>71</v>
      </c>
      <c r="L41" s="55"/>
      <c r="M41" s="53">
        <f>te!$AO$8</f>
        <v>78</v>
      </c>
      <c r="N41" s="53">
        <f>te!$AU$8</f>
        <v>73</v>
      </c>
      <c r="O41" s="59"/>
      <c r="P41" s="55"/>
      <c r="Q41" s="55"/>
      <c r="R41" s="54">
        <f>te!$BS$8</f>
        <v>81.666666666666671</v>
      </c>
      <c r="S41" s="54">
        <f>te!$BW$8</f>
        <v>84</v>
      </c>
      <c r="T41" s="55"/>
      <c r="U41" s="54">
        <f>te!$CB$8</f>
        <v>78</v>
      </c>
      <c r="V41" s="58"/>
      <c r="X41" s="278">
        <v>8</v>
      </c>
      <c r="Z41" s="50"/>
      <c r="AA41" s="50"/>
      <c r="AB41" s="50"/>
      <c r="AC41" s="50"/>
      <c r="AD41" s="50"/>
      <c r="AE41" s="50"/>
      <c r="AF41" s="50"/>
      <c r="AG41" s="50"/>
      <c r="AH41" s="50"/>
      <c r="AI41" s="50"/>
      <c r="AJ41" s="50"/>
    </row>
    <row r="42" spans="1:36" ht="18.75" customHeight="1" thickBot="1">
      <c r="A42" s="268">
        <v>4</v>
      </c>
      <c r="B42" s="271"/>
      <c r="C42" s="274"/>
      <c r="D42" s="62" t="s">
        <v>297</v>
      </c>
      <c r="E42" s="53">
        <f>te!$H$8</f>
        <v>87</v>
      </c>
      <c r="F42" s="53">
        <f>te!$N$8</f>
        <v>89</v>
      </c>
      <c r="G42" s="53">
        <f>te!$T$8</f>
        <v>80</v>
      </c>
      <c r="H42" s="53">
        <f>te!$Z$8</f>
        <v>84</v>
      </c>
      <c r="I42" s="53">
        <f>te!$AD$8</f>
        <v>86</v>
      </c>
      <c r="J42" s="59"/>
      <c r="K42" s="54">
        <f>te!$AJ$8</f>
        <v>81</v>
      </c>
      <c r="L42" s="55"/>
      <c r="M42" s="53">
        <f>te!$AP$8</f>
        <v>79</v>
      </c>
      <c r="N42" s="53">
        <f>te!$AV$8</f>
        <v>72</v>
      </c>
      <c r="O42" s="59"/>
      <c r="P42" s="55"/>
      <c r="Q42" s="55"/>
      <c r="R42" s="54">
        <f>te!$BT$8</f>
        <v>80</v>
      </c>
      <c r="S42" s="54">
        <f>te!$BX$8</f>
        <v>81</v>
      </c>
      <c r="T42" s="63"/>
      <c r="U42" s="54">
        <f>te!$CC$8</f>
        <v>91</v>
      </c>
      <c r="V42" s="58"/>
      <c r="X42" s="278">
        <v>8</v>
      </c>
      <c r="Z42" s="50"/>
      <c r="AA42" s="50"/>
      <c r="AB42" s="50"/>
      <c r="AC42" s="50"/>
      <c r="AD42" s="50"/>
      <c r="AE42" s="50"/>
      <c r="AF42" s="50"/>
      <c r="AG42" s="50"/>
      <c r="AH42" s="50"/>
      <c r="AI42" s="50"/>
      <c r="AJ42" s="50"/>
    </row>
    <row r="43" spans="1:36" ht="18.75" customHeight="1">
      <c r="A43" s="268">
        <v>4</v>
      </c>
      <c r="B43" s="271"/>
      <c r="C43" s="274"/>
      <c r="D43" s="62" t="s">
        <v>298</v>
      </c>
      <c r="E43" s="53">
        <f>te!$I$8</f>
        <v>90</v>
      </c>
      <c r="F43" s="53">
        <f>te!$O$8</f>
        <v>89</v>
      </c>
      <c r="G43" s="53">
        <f>te!$U$8</f>
        <v>85</v>
      </c>
      <c r="H43" s="65"/>
      <c r="I43" s="65"/>
      <c r="J43" s="59"/>
      <c r="K43" s="59"/>
      <c r="L43" s="53">
        <f>te!$AK$8</f>
        <v>85</v>
      </c>
      <c r="M43" s="53">
        <f>te!$AQ$8</f>
        <v>82</v>
      </c>
      <c r="N43" s="53">
        <f>te!$AW$8</f>
        <v>82</v>
      </c>
      <c r="O43" s="59"/>
      <c r="P43" s="55"/>
      <c r="Q43" s="55"/>
      <c r="R43" s="54">
        <f>te!$BU$8</f>
        <v>82.5</v>
      </c>
      <c r="S43" s="54">
        <f>te!$BY$8</f>
        <v>86</v>
      </c>
      <c r="T43" s="54"/>
      <c r="U43" s="54">
        <f>te!$CD$8</f>
        <v>74</v>
      </c>
      <c r="V43" s="58"/>
      <c r="X43" s="278">
        <v>8</v>
      </c>
      <c r="Z43" s="50"/>
      <c r="AA43" s="50"/>
      <c r="AB43" s="50"/>
      <c r="AC43" s="50"/>
      <c r="AD43" s="50"/>
      <c r="AE43" s="50"/>
      <c r="AF43" s="50"/>
      <c r="AG43" s="50"/>
      <c r="AH43" s="50"/>
      <c r="AI43" s="50"/>
      <c r="AJ43" s="50"/>
    </row>
    <row r="44" spans="1:36" ht="18.75" customHeight="1">
      <c r="A44" s="268">
        <v>4</v>
      </c>
      <c r="B44" s="271"/>
      <c r="C44" s="274"/>
      <c r="D44" s="66" t="s">
        <v>299</v>
      </c>
      <c r="E44" s="67">
        <f>AVERAGE(E39:E43)</f>
        <v>88.2</v>
      </c>
      <c r="F44" s="67">
        <f>AVERAGE(F39:F43)</f>
        <v>84.8</v>
      </c>
      <c r="G44" s="67">
        <f>AVERAGE(G39:G43)</f>
        <v>82.4</v>
      </c>
      <c r="H44" s="68"/>
      <c r="I44" s="68"/>
      <c r="J44" s="69"/>
      <c r="K44" s="69"/>
      <c r="L44" s="67">
        <f>AVERAGE(L39:L43)</f>
        <v>85</v>
      </c>
      <c r="M44" s="67">
        <f>AVERAGE(M39:M43)</f>
        <v>79</v>
      </c>
      <c r="N44" s="67">
        <f>AVERAGE(N39:N43)</f>
        <v>76.599999999999994</v>
      </c>
      <c r="O44" s="69"/>
      <c r="P44" s="63"/>
      <c r="Q44" s="63"/>
      <c r="R44" s="84">
        <f>AVERAGE(R41:R43)</f>
        <v>81.3888888888889</v>
      </c>
      <c r="S44" s="84">
        <f>AVERAGE(S41:S43)</f>
        <v>83.666666666666671</v>
      </c>
      <c r="T44" s="63"/>
      <c r="U44" s="84">
        <f>AVERAGE(U39:U43)</f>
        <v>81</v>
      </c>
      <c r="V44" s="58"/>
      <c r="X44" s="278">
        <v>8</v>
      </c>
      <c r="Z44" s="50"/>
      <c r="AA44" s="50"/>
      <c r="AB44" s="50"/>
      <c r="AC44" s="50"/>
      <c r="AD44" s="50"/>
      <c r="AE44" s="50"/>
      <c r="AF44" s="50"/>
      <c r="AG44" s="50"/>
      <c r="AH44" s="50"/>
      <c r="AI44" s="50"/>
      <c r="AJ44" s="50"/>
    </row>
    <row r="45" spans="1:36" ht="18.75" customHeight="1">
      <c r="A45" s="268">
        <v>4</v>
      </c>
      <c r="B45" s="271"/>
      <c r="C45" s="274"/>
      <c r="D45" s="70" t="s">
        <v>300</v>
      </c>
      <c r="E45" s="71">
        <f>te!$J$8</f>
        <v>75</v>
      </c>
      <c r="F45" s="71">
        <f>te!$P$8</f>
        <v>70</v>
      </c>
      <c r="G45" s="71">
        <f>te!$V$8</f>
        <v>79</v>
      </c>
      <c r="H45" s="72"/>
      <c r="I45" s="72"/>
      <c r="J45" s="73"/>
      <c r="K45" s="73"/>
      <c r="L45" s="71">
        <f>te!$AL$8</f>
        <v>79</v>
      </c>
      <c r="M45" s="71">
        <f>te!$AR$8</f>
        <v>72</v>
      </c>
      <c r="N45" s="71">
        <f>te!$AX$8</f>
        <v>72</v>
      </c>
      <c r="O45" s="73"/>
      <c r="P45" s="74"/>
      <c r="Q45" s="74"/>
      <c r="R45" s="85">
        <f>te!$BV$8</f>
        <v>75</v>
      </c>
      <c r="S45" s="85">
        <f>te!$BZ$8</f>
        <v>79</v>
      </c>
      <c r="T45" s="85">
        <f>te!$CA$8</f>
        <v>75</v>
      </c>
      <c r="U45" s="75">
        <f>te!$CE$8</f>
        <v>72</v>
      </c>
      <c r="V45" s="58"/>
      <c r="X45" s="278">
        <v>8</v>
      </c>
      <c r="Z45" s="50"/>
      <c r="AA45" s="50"/>
      <c r="AB45" s="50"/>
      <c r="AC45" s="50"/>
      <c r="AD45" s="50"/>
      <c r="AE45" s="50"/>
      <c r="AF45" s="50"/>
      <c r="AG45" s="50"/>
      <c r="AH45" s="50"/>
      <c r="AI45" s="50"/>
      <c r="AJ45" s="50"/>
    </row>
    <row r="46" spans="1:36" ht="18.75" customHeight="1">
      <c r="A46" s="268">
        <v>4</v>
      </c>
      <c r="B46" s="271"/>
      <c r="C46" s="274"/>
      <c r="D46" s="76" t="s">
        <v>301</v>
      </c>
      <c r="E46" s="77">
        <f>te!$CF$8</f>
        <v>89</v>
      </c>
      <c r="F46" s="77">
        <f>te!$CG$8</f>
        <v>85</v>
      </c>
      <c r="G46" s="77">
        <f>te!$CH$8</f>
        <v>85</v>
      </c>
      <c r="H46" s="72"/>
      <c r="I46" s="72"/>
      <c r="J46" s="73"/>
      <c r="K46" s="73"/>
      <c r="L46" s="77">
        <f>te!$CI$8</f>
        <v>77</v>
      </c>
      <c r="M46" s="77">
        <f>te!$CJ$8</f>
        <v>83</v>
      </c>
      <c r="N46" s="77">
        <f>te!$CK$8</f>
        <v>82</v>
      </c>
      <c r="O46" s="73"/>
      <c r="P46" s="74"/>
      <c r="Q46" s="74"/>
      <c r="R46" s="86">
        <f>te!$CN$8</f>
        <v>72</v>
      </c>
      <c r="S46" s="86">
        <f>te!$CM$8</f>
        <v>90</v>
      </c>
      <c r="T46" s="74"/>
      <c r="U46" s="86">
        <f>te!$CL$8</f>
        <v>84</v>
      </c>
      <c r="V46" s="58"/>
      <c r="X46" s="278">
        <v>8</v>
      </c>
      <c r="Z46" s="50"/>
      <c r="AA46" s="50"/>
      <c r="AB46" s="50"/>
      <c r="AC46" s="50"/>
      <c r="AD46" s="50"/>
      <c r="AE46" s="50"/>
      <c r="AF46" s="50"/>
      <c r="AG46" s="50"/>
      <c r="AH46" s="50"/>
      <c r="AI46" s="50"/>
      <c r="AJ46" s="50"/>
    </row>
    <row r="47" spans="1:36" ht="18.75" customHeight="1" thickBot="1">
      <c r="A47" s="269">
        <v>4</v>
      </c>
      <c r="B47" s="272"/>
      <c r="C47" s="275"/>
      <c r="D47" s="78" t="s">
        <v>302</v>
      </c>
      <c r="E47" s="79">
        <f>(E44*4+E45*3+E46*3)/10</f>
        <v>84.47999999999999</v>
      </c>
      <c r="F47" s="79">
        <f t="shared" ref="F47:G47" si="5">(F44*4+F45*3+F46*3)/10</f>
        <v>80.42</v>
      </c>
      <c r="G47" s="79">
        <f t="shared" si="5"/>
        <v>82.16</v>
      </c>
      <c r="H47" s="79">
        <f>AVERAGE(H39:H42)</f>
        <v>83.25</v>
      </c>
      <c r="I47" s="79">
        <f>AVERAGE(I39:I42)</f>
        <v>84</v>
      </c>
      <c r="J47" s="79">
        <f>AVERAGE(J39:J40)</f>
        <v>84.5</v>
      </c>
      <c r="K47" s="79">
        <f>AVERAGE(K39:K42)</f>
        <v>80.25</v>
      </c>
      <c r="L47" s="79">
        <f>(L44*4+L45*3+L46*3)/10</f>
        <v>80.8</v>
      </c>
      <c r="M47" s="79">
        <f>(M44*4+M45*3+M46*3)/10</f>
        <v>78.099999999999994</v>
      </c>
      <c r="N47" s="79">
        <f>(N44*4+N45*3+N46*3)/10</f>
        <v>76.84</v>
      </c>
      <c r="O47" s="79">
        <f>AVERAGE(O39:O40)</f>
        <v>81</v>
      </c>
      <c r="P47" s="79">
        <f>AVERAGE(P39:P40)</f>
        <v>84.5</v>
      </c>
      <c r="Q47" s="79">
        <f>AVERAGE(Q39:Q40)</f>
        <v>82</v>
      </c>
      <c r="R47" s="79">
        <f>(R44*4+R45*3+R46*3)/10</f>
        <v>76.655555555555566</v>
      </c>
      <c r="S47" s="79">
        <f>(S44*4+S45*3+S46*3)/10</f>
        <v>84.166666666666671</v>
      </c>
      <c r="T47" s="79">
        <f>T45</f>
        <v>75</v>
      </c>
      <c r="U47" s="79">
        <f t="shared" ref="U47" si="6">(U44*4+U45*3+U46*3)/10</f>
        <v>79.2</v>
      </c>
      <c r="V47" s="80">
        <f>AVERAGE(E47:U47)</f>
        <v>81.018954248366015</v>
      </c>
      <c r="X47" s="278">
        <v>8</v>
      </c>
      <c r="Z47" s="50"/>
      <c r="AA47" s="50"/>
      <c r="AB47" s="50"/>
      <c r="AC47" s="50"/>
      <c r="AD47" s="50"/>
      <c r="AE47" s="50"/>
      <c r="AF47" s="50"/>
      <c r="AG47" s="50"/>
      <c r="AH47" s="50"/>
      <c r="AI47" s="50"/>
      <c r="AJ47" s="50"/>
    </row>
    <row r="48" spans="1:36" ht="18.75" customHeight="1" thickTop="1" thickBot="1">
      <c r="A48" s="268">
        <v>5</v>
      </c>
      <c r="B48" s="270" t="s">
        <v>462</v>
      </c>
      <c r="C48" s="273" t="s">
        <v>439</v>
      </c>
      <c r="D48" s="52" t="s">
        <v>294</v>
      </c>
      <c r="E48" s="53">
        <f>te!$E$9</f>
        <v>86</v>
      </c>
      <c r="F48" s="53">
        <f>te!$K$9</f>
        <v>80</v>
      </c>
      <c r="G48" s="53">
        <f>te!$Q$9</f>
        <v>80</v>
      </c>
      <c r="H48" s="53">
        <f>te!$W$9</f>
        <v>81</v>
      </c>
      <c r="I48" s="53">
        <f>te!$AA$9</f>
        <v>79</v>
      </c>
      <c r="J48" s="53">
        <f>te!$AE$9</f>
        <v>82</v>
      </c>
      <c r="K48" s="54">
        <f>te!$AG$9</f>
        <v>82</v>
      </c>
      <c r="L48" s="55"/>
      <c r="M48" s="53">
        <f>te!$AM$9</f>
        <v>74</v>
      </c>
      <c r="N48" s="53">
        <f>te!$AS$9</f>
        <v>73</v>
      </c>
      <c r="O48" s="53">
        <f>te!$AY$9</f>
        <v>75</v>
      </c>
      <c r="P48" s="54">
        <f>te!$BA$9</f>
        <v>80</v>
      </c>
      <c r="Q48" s="54">
        <f>te!$BC$9</f>
        <v>77</v>
      </c>
      <c r="R48" s="55"/>
      <c r="S48" s="55"/>
      <c r="T48" s="55"/>
      <c r="U48" s="55"/>
      <c r="V48" s="56"/>
      <c r="X48" s="278">
        <v>9</v>
      </c>
      <c r="Z48" s="50"/>
      <c r="AA48" s="50"/>
      <c r="AB48" s="50"/>
      <c r="AC48" s="50"/>
      <c r="AD48" s="50"/>
      <c r="AE48" s="50"/>
      <c r="AF48" s="50"/>
      <c r="AG48" s="50"/>
      <c r="AH48" s="50"/>
      <c r="AI48" s="50"/>
      <c r="AJ48" s="50"/>
    </row>
    <row r="49" spans="1:36" ht="18.75" customHeight="1" thickBot="1">
      <c r="A49" s="268">
        <v>5</v>
      </c>
      <c r="B49" s="271"/>
      <c r="C49" s="274"/>
      <c r="D49" s="52" t="s">
        <v>295</v>
      </c>
      <c r="E49" s="53">
        <f>te!$F$9</f>
        <v>89</v>
      </c>
      <c r="F49" s="53">
        <f>te!$L$9</f>
        <v>82</v>
      </c>
      <c r="G49" s="53">
        <f>te!$R$9</f>
        <v>77</v>
      </c>
      <c r="H49" s="53">
        <f>te!$X$9</f>
        <v>84</v>
      </c>
      <c r="I49" s="53">
        <f>te!$AB$9</f>
        <v>80</v>
      </c>
      <c r="J49" s="53">
        <f>te!$AF$9</f>
        <v>83</v>
      </c>
      <c r="K49" s="54">
        <f>te!$AH$9</f>
        <v>83</v>
      </c>
      <c r="L49" s="55"/>
      <c r="M49" s="53">
        <f>te!$AN$9</f>
        <v>75</v>
      </c>
      <c r="N49" s="53">
        <f>te!$AT$9</f>
        <v>76</v>
      </c>
      <c r="O49" s="53">
        <f>te!$AZ$9</f>
        <v>79</v>
      </c>
      <c r="P49" s="54">
        <f>te!$BB$9</f>
        <v>84</v>
      </c>
      <c r="Q49" s="54">
        <f>te!$BD$9</f>
        <v>83</v>
      </c>
      <c r="R49" s="55"/>
      <c r="S49" s="55"/>
      <c r="T49" s="55"/>
      <c r="U49" s="55"/>
      <c r="V49" s="58"/>
      <c r="X49" s="278">
        <v>9</v>
      </c>
      <c r="Z49" s="50"/>
      <c r="AA49" s="50"/>
      <c r="AB49" s="50"/>
      <c r="AC49" s="50"/>
      <c r="AD49" s="50"/>
      <c r="AE49" s="50"/>
      <c r="AF49" s="50"/>
      <c r="AG49" s="50"/>
      <c r="AH49" s="50"/>
      <c r="AI49" s="50"/>
      <c r="AJ49" s="50"/>
    </row>
    <row r="50" spans="1:36" ht="18.75" customHeight="1" thickBot="1">
      <c r="A50" s="268">
        <v>5</v>
      </c>
      <c r="B50" s="271"/>
      <c r="C50" s="274"/>
      <c r="D50" s="52" t="s">
        <v>296</v>
      </c>
      <c r="E50" s="53">
        <f>te!$G$9</f>
        <v>86</v>
      </c>
      <c r="F50" s="53">
        <f>te!$M$9</f>
        <v>88</v>
      </c>
      <c r="G50" s="53">
        <f>te!$S$9</f>
        <v>76</v>
      </c>
      <c r="H50" s="53">
        <f>te!$Y$9</f>
        <v>83</v>
      </c>
      <c r="I50" s="53">
        <f>te!$AC$9</f>
        <v>81</v>
      </c>
      <c r="J50" s="59"/>
      <c r="K50" s="54">
        <f>te!$AI$9</f>
        <v>70</v>
      </c>
      <c r="L50" s="55"/>
      <c r="M50" s="53">
        <f>te!$AO$9</f>
        <v>74</v>
      </c>
      <c r="N50" s="53">
        <f>te!$AU$9</f>
        <v>79</v>
      </c>
      <c r="O50" s="59"/>
      <c r="P50" s="55"/>
      <c r="Q50" s="55"/>
      <c r="R50" s="54">
        <f>te!$BS$9</f>
        <v>80.333333333333329</v>
      </c>
      <c r="S50" s="54">
        <f>te!$BW$9</f>
        <v>84</v>
      </c>
      <c r="T50" s="55"/>
      <c r="U50" s="54">
        <f>te!$CB$9</f>
        <v>74</v>
      </c>
      <c r="V50" s="58"/>
      <c r="X50" s="278">
        <v>9</v>
      </c>
      <c r="Z50" s="50"/>
      <c r="AA50" s="50"/>
      <c r="AB50" s="50"/>
      <c r="AC50" s="50"/>
      <c r="AD50" s="50"/>
      <c r="AE50" s="50"/>
      <c r="AF50" s="50"/>
      <c r="AG50" s="50"/>
      <c r="AH50" s="50"/>
      <c r="AI50" s="50"/>
      <c r="AJ50" s="50"/>
    </row>
    <row r="51" spans="1:36" ht="18.75" customHeight="1" thickBot="1">
      <c r="A51" s="268">
        <v>5</v>
      </c>
      <c r="B51" s="271"/>
      <c r="C51" s="274"/>
      <c r="D51" s="62" t="s">
        <v>297</v>
      </c>
      <c r="E51" s="53">
        <f>te!$H$9</f>
        <v>85</v>
      </c>
      <c r="F51" s="53">
        <f>te!$N$9</f>
        <v>90</v>
      </c>
      <c r="G51" s="53">
        <f>te!$T$9</f>
        <v>79</v>
      </c>
      <c r="H51" s="53">
        <f>te!$Z$9</f>
        <v>84</v>
      </c>
      <c r="I51" s="53">
        <f>te!$AD$9</f>
        <v>81</v>
      </c>
      <c r="J51" s="59"/>
      <c r="K51" s="54">
        <f>te!$AJ$9</f>
        <v>82</v>
      </c>
      <c r="L51" s="55"/>
      <c r="M51" s="53">
        <f>te!$AP$9</f>
        <v>75</v>
      </c>
      <c r="N51" s="53">
        <f>te!$AV$9</f>
        <v>70</v>
      </c>
      <c r="O51" s="59"/>
      <c r="P51" s="55"/>
      <c r="Q51" s="55"/>
      <c r="R51" s="54">
        <f>te!$BT$9</f>
        <v>81.666666666666671</v>
      </c>
      <c r="S51" s="54">
        <f>te!$BX$9</f>
        <v>80</v>
      </c>
      <c r="T51" s="63"/>
      <c r="U51" s="54">
        <f>te!$CC$9</f>
        <v>85</v>
      </c>
      <c r="V51" s="58"/>
      <c r="X51" s="278">
        <v>9</v>
      </c>
      <c r="Z51" s="50"/>
      <c r="AA51" s="50"/>
      <c r="AB51" s="50"/>
      <c r="AC51" s="50"/>
      <c r="AD51" s="50"/>
      <c r="AE51" s="50"/>
      <c r="AF51" s="50"/>
      <c r="AG51" s="50"/>
      <c r="AH51" s="50"/>
      <c r="AI51" s="50"/>
      <c r="AJ51" s="50"/>
    </row>
    <row r="52" spans="1:36" ht="18.75" customHeight="1">
      <c r="A52" s="268">
        <v>5</v>
      </c>
      <c r="B52" s="271"/>
      <c r="C52" s="274"/>
      <c r="D52" s="62" t="s">
        <v>298</v>
      </c>
      <c r="E52" s="53">
        <f>te!$I$9</f>
        <v>86</v>
      </c>
      <c r="F52" s="53">
        <f>te!$O$9</f>
        <v>93</v>
      </c>
      <c r="G52" s="53">
        <f>te!$U$9</f>
        <v>77</v>
      </c>
      <c r="H52" s="65"/>
      <c r="I52" s="65"/>
      <c r="J52" s="59"/>
      <c r="K52" s="59"/>
      <c r="L52" s="53">
        <f>te!$AK$9</f>
        <v>80</v>
      </c>
      <c r="M52" s="53">
        <f>te!$AQ$9</f>
        <v>79</v>
      </c>
      <c r="N52" s="53">
        <f>te!$AW$9</f>
        <v>83</v>
      </c>
      <c r="O52" s="59"/>
      <c r="P52" s="55"/>
      <c r="Q52" s="55"/>
      <c r="R52" s="54">
        <f>te!$BU$9</f>
        <v>80.5</v>
      </c>
      <c r="S52" s="54">
        <f>te!$BY$9</f>
        <v>85</v>
      </c>
      <c r="T52" s="54"/>
      <c r="U52" s="54">
        <f>te!$CD$9</f>
        <v>75</v>
      </c>
      <c r="V52" s="58"/>
      <c r="W52" s="90"/>
      <c r="X52" s="278">
        <v>9</v>
      </c>
      <c r="Y52" s="90"/>
      <c r="Z52" s="64"/>
      <c r="AA52" s="64"/>
      <c r="AB52" s="64"/>
      <c r="AC52" s="64"/>
      <c r="AD52" s="64"/>
      <c r="AE52" s="64"/>
      <c r="AF52" s="64"/>
      <c r="AG52" s="64"/>
      <c r="AH52" s="64"/>
      <c r="AI52" s="64"/>
      <c r="AJ52" s="64"/>
    </row>
    <row r="53" spans="1:36" ht="18.75" customHeight="1">
      <c r="A53" s="268">
        <v>5</v>
      </c>
      <c r="B53" s="271"/>
      <c r="C53" s="274"/>
      <c r="D53" s="66" t="s">
        <v>299</v>
      </c>
      <c r="E53" s="67">
        <f>AVERAGE(E48:E52)</f>
        <v>86.4</v>
      </c>
      <c r="F53" s="67">
        <f>AVERAGE(F48:F52)</f>
        <v>86.6</v>
      </c>
      <c r="G53" s="67">
        <f>AVERAGE(G48:G52)</f>
        <v>77.8</v>
      </c>
      <c r="H53" s="68"/>
      <c r="I53" s="68"/>
      <c r="J53" s="69"/>
      <c r="K53" s="69"/>
      <c r="L53" s="67">
        <f>AVERAGE(L48:L52)</f>
        <v>80</v>
      </c>
      <c r="M53" s="67">
        <f>AVERAGE(M48:M52)</f>
        <v>75.400000000000006</v>
      </c>
      <c r="N53" s="67">
        <f>AVERAGE(N48:N52)</f>
        <v>76.2</v>
      </c>
      <c r="O53" s="69"/>
      <c r="P53" s="63"/>
      <c r="Q53" s="63"/>
      <c r="R53" s="84">
        <f>AVERAGE(R50:R52)</f>
        <v>80.833333333333329</v>
      </c>
      <c r="S53" s="84">
        <f>AVERAGE(S50:S52)</f>
        <v>83</v>
      </c>
      <c r="T53" s="63"/>
      <c r="U53" s="84">
        <f>AVERAGE(U48:U52)</f>
        <v>78</v>
      </c>
      <c r="V53" s="58"/>
      <c r="X53" s="278">
        <v>9</v>
      </c>
      <c r="Z53" s="50"/>
      <c r="AA53" s="50"/>
      <c r="AB53" s="50"/>
      <c r="AC53" s="50"/>
      <c r="AD53" s="50"/>
      <c r="AE53" s="50"/>
      <c r="AF53" s="50"/>
      <c r="AG53" s="50"/>
      <c r="AH53" s="50"/>
      <c r="AI53" s="50"/>
      <c r="AJ53" s="50"/>
    </row>
    <row r="54" spans="1:36" ht="18.75" customHeight="1">
      <c r="A54" s="268">
        <v>5</v>
      </c>
      <c r="B54" s="271"/>
      <c r="C54" s="274"/>
      <c r="D54" s="70" t="s">
        <v>300</v>
      </c>
      <c r="E54" s="71">
        <f>te!$J$9</f>
        <v>74</v>
      </c>
      <c r="F54" s="71">
        <f>te!$P$9</f>
        <v>85</v>
      </c>
      <c r="G54" s="71">
        <f>te!$V$9</f>
        <v>75</v>
      </c>
      <c r="H54" s="72"/>
      <c r="I54" s="72"/>
      <c r="J54" s="73"/>
      <c r="K54" s="73"/>
      <c r="L54" s="71">
        <f>te!$AL$9</f>
        <v>75</v>
      </c>
      <c r="M54" s="71">
        <f>te!$AR$9</f>
        <v>74</v>
      </c>
      <c r="N54" s="71">
        <f>te!$AX$9</f>
        <v>74</v>
      </c>
      <c r="O54" s="73"/>
      <c r="P54" s="74"/>
      <c r="Q54" s="74"/>
      <c r="R54" s="85">
        <f>te!$BV$9</f>
        <v>76</v>
      </c>
      <c r="S54" s="85">
        <f>te!$BZ$9</f>
        <v>74</v>
      </c>
      <c r="T54" s="85">
        <f>te!$CA$9</f>
        <v>76</v>
      </c>
      <c r="U54" s="75">
        <f>te!$CE$9</f>
        <v>74</v>
      </c>
      <c r="V54" s="58"/>
      <c r="X54" s="278">
        <v>9</v>
      </c>
      <c r="Z54" s="50"/>
      <c r="AA54" s="50"/>
      <c r="AB54" s="50"/>
      <c r="AC54" s="50"/>
      <c r="AD54" s="50"/>
      <c r="AE54" s="50"/>
      <c r="AF54" s="50"/>
      <c r="AG54" s="50"/>
      <c r="AH54" s="50"/>
      <c r="AI54" s="50"/>
      <c r="AJ54" s="50"/>
    </row>
    <row r="55" spans="1:36" ht="18.75" customHeight="1">
      <c r="A55" s="268">
        <v>5</v>
      </c>
      <c r="B55" s="271"/>
      <c r="C55" s="274"/>
      <c r="D55" s="76" t="s">
        <v>301</v>
      </c>
      <c r="E55" s="77">
        <f>te!$CF$9</f>
        <v>86</v>
      </c>
      <c r="F55" s="77">
        <f>te!$CG$9</f>
        <v>82</v>
      </c>
      <c r="G55" s="77">
        <f>te!$CH$9</f>
        <v>75</v>
      </c>
      <c r="H55" s="72"/>
      <c r="I55" s="72"/>
      <c r="J55" s="73"/>
      <c r="K55" s="73"/>
      <c r="L55" s="77">
        <f>te!$CI$9</f>
        <v>90</v>
      </c>
      <c r="M55" s="77">
        <f>te!$CJ$9</f>
        <v>80</v>
      </c>
      <c r="N55" s="77">
        <f>te!$CK$9</f>
        <v>80</v>
      </c>
      <c r="O55" s="73"/>
      <c r="P55" s="74"/>
      <c r="Q55" s="74"/>
      <c r="R55" s="86">
        <f>te!$CN$9</f>
        <v>75</v>
      </c>
      <c r="S55" s="86">
        <f>te!$CM$9</f>
        <v>80</v>
      </c>
      <c r="T55" s="74"/>
      <c r="U55" s="86">
        <f>te!$CL$9</f>
        <v>88</v>
      </c>
      <c r="V55" s="58"/>
      <c r="X55" s="278">
        <v>9</v>
      </c>
      <c r="Z55" s="50"/>
      <c r="AA55" s="50"/>
      <c r="AB55" s="50"/>
      <c r="AC55" s="50"/>
      <c r="AD55" s="50"/>
      <c r="AE55" s="50"/>
      <c r="AF55" s="50"/>
      <c r="AG55" s="50"/>
      <c r="AH55" s="50"/>
      <c r="AI55" s="50"/>
      <c r="AJ55" s="50"/>
    </row>
    <row r="56" spans="1:36" ht="17.25" customHeight="1" thickBot="1">
      <c r="A56" s="269">
        <v>5</v>
      </c>
      <c r="B56" s="272"/>
      <c r="C56" s="275"/>
      <c r="D56" s="78" t="s">
        <v>302</v>
      </c>
      <c r="E56" s="79">
        <f>(E53*4+E54*3+E55*3)/10</f>
        <v>82.56</v>
      </c>
      <c r="F56" s="79">
        <f t="shared" ref="F56:G56" si="7">(F53*4+F54*3+F55*3)/10</f>
        <v>84.74</v>
      </c>
      <c r="G56" s="79">
        <f t="shared" si="7"/>
        <v>76.12</v>
      </c>
      <c r="H56" s="79">
        <f>AVERAGE(H48:H51)</f>
        <v>83</v>
      </c>
      <c r="I56" s="79">
        <f>AVERAGE(I48:I51)</f>
        <v>80.25</v>
      </c>
      <c r="J56" s="79">
        <f>AVERAGE(J48:J49)</f>
        <v>82.5</v>
      </c>
      <c r="K56" s="79">
        <f>AVERAGE(K48:K51)</f>
        <v>79.25</v>
      </c>
      <c r="L56" s="79">
        <f>(L53*4+L54*3+L55*3)/10</f>
        <v>81.5</v>
      </c>
      <c r="M56" s="79">
        <f>(M53*4+M54*3+M55*3)/10</f>
        <v>76.36</v>
      </c>
      <c r="N56" s="79">
        <f>(N53*4+N54*3+N55*3)/10</f>
        <v>76.679999999999993</v>
      </c>
      <c r="O56" s="79">
        <f>AVERAGE(O48:O49)</f>
        <v>77</v>
      </c>
      <c r="P56" s="79">
        <f>AVERAGE(P48:P49)</f>
        <v>82</v>
      </c>
      <c r="Q56" s="79">
        <f>AVERAGE(Q48:Q49)</f>
        <v>80</v>
      </c>
      <c r="R56" s="79">
        <f>(R53*4+R54*3+R55*3)/10</f>
        <v>77.633333333333326</v>
      </c>
      <c r="S56" s="79">
        <f>(S53*4+S54*3+S55*3)/10</f>
        <v>79.400000000000006</v>
      </c>
      <c r="T56" s="79">
        <f>T54</f>
        <v>76</v>
      </c>
      <c r="U56" s="79">
        <f t="shared" ref="U56" si="8">(U53*4+U54*3+U55*3)/10</f>
        <v>79.8</v>
      </c>
      <c r="V56" s="80">
        <f>AVERAGE(E56:U56)</f>
        <v>79.693725490196073</v>
      </c>
      <c r="X56" s="278">
        <v>9</v>
      </c>
      <c r="Z56" s="50"/>
      <c r="AA56" s="50"/>
      <c r="AB56" s="50"/>
      <c r="AC56" s="50"/>
      <c r="AD56" s="50"/>
      <c r="AE56" s="50"/>
      <c r="AF56" s="50"/>
      <c r="AG56" s="50"/>
      <c r="AH56" s="50"/>
      <c r="AI56" s="50"/>
      <c r="AJ56" s="50"/>
    </row>
    <row r="57" spans="1:36" ht="18" customHeight="1" thickTop="1" thickBot="1">
      <c r="A57" s="268">
        <v>6</v>
      </c>
      <c r="B57" s="270" t="s">
        <v>463</v>
      </c>
      <c r="C57" s="273" t="s">
        <v>441</v>
      </c>
      <c r="D57" s="52" t="s">
        <v>294</v>
      </c>
      <c r="E57" s="53">
        <f>te!$E$10</f>
        <v>84</v>
      </c>
      <c r="F57" s="53">
        <f>te!$K$10</f>
        <v>87</v>
      </c>
      <c r="G57" s="53">
        <f>te!$Q$10</f>
        <v>85</v>
      </c>
      <c r="H57" s="53">
        <f>te!$W$10</f>
        <v>83</v>
      </c>
      <c r="I57" s="53">
        <f>te!$AA$10</f>
        <v>82</v>
      </c>
      <c r="J57" s="53">
        <f>te!$AE$10</f>
        <v>84</v>
      </c>
      <c r="K57" s="54">
        <f>te!$AG$10</f>
        <v>84</v>
      </c>
      <c r="L57" s="55"/>
      <c r="M57" s="53">
        <f>te!$AM$10</f>
        <v>79</v>
      </c>
      <c r="N57" s="53">
        <f>te!$AS$10</f>
        <v>73</v>
      </c>
      <c r="O57" s="53">
        <f>te!$AY$10</f>
        <v>80</v>
      </c>
      <c r="P57" s="54">
        <f>te!$BA$10</f>
        <v>83</v>
      </c>
      <c r="Q57" s="54">
        <f>te!$BC$10</f>
        <v>91</v>
      </c>
      <c r="R57" s="55"/>
      <c r="S57" s="55"/>
      <c r="T57" s="55"/>
      <c r="U57" s="55"/>
      <c r="V57" s="56"/>
      <c r="X57" s="278">
        <v>10</v>
      </c>
    </row>
    <row r="58" spans="1:36" ht="15" thickBot="1">
      <c r="A58" s="268">
        <v>6</v>
      </c>
      <c r="B58" s="271"/>
      <c r="C58" s="274"/>
      <c r="D58" s="52" t="s">
        <v>295</v>
      </c>
      <c r="E58" s="53">
        <f>te!$F$10</f>
        <v>89</v>
      </c>
      <c r="F58" s="53">
        <f>te!$L$10</f>
        <v>83</v>
      </c>
      <c r="G58" s="53">
        <f>te!$R$10</f>
        <v>81</v>
      </c>
      <c r="H58" s="53">
        <f>te!$X$10</f>
        <v>85</v>
      </c>
      <c r="I58" s="53">
        <f>te!$AB$10</f>
        <v>80</v>
      </c>
      <c r="J58" s="53">
        <f>te!$AF$10</f>
        <v>84</v>
      </c>
      <c r="K58" s="54">
        <f>te!$AH$10</f>
        <v>85</v>
      </c>
      <c r="L58" s="55"/>
      <c r="M58" s="53">
        <f>te!$AN$10</f>
        <v>81</v>
      </c>
      <c r="N58" s="53">
        <f>te!$AT$10</f>
        <v>77</v>
      </c>
      <c r="O58" s="53">
        <f>te!$AZ$10</f>
        <v>82</v>
      </c>
      <c r="P58" s="54">
        <f>te!$BB$10</f>
        <v>83</v>
      </c>
      <c r="Q58" s="54">
        <f>te!$BD$10</f>
        <v>85</v>
      </c>
      <c r="R58" s="55"/>
      <c r="S58" s="55"/>
      <c r="T58" s="55"/>
      <c r="U58" s="55"/>
      <c r="V58" s="58"/>
      <c r="X58" s="278">
        <v>10</v>
      </c>
    </row>
    <row r="59" spans="1:36" ht="15" thickBot="1">
      <c r="A59" s="268">
        <v>6</v>
      </c>
      <c r="B59" s="271"/>
      <c r="C59" s="274"/>
      <c r="D59" s="52" t="s">
        <v>296</v>
      </c>
      <c r="E59" s="53">
        <f>te!$G$10</f>
        <v>87</v>
      </c>
      <c r="F59" s="53">
        <f>te!$M$10</f>
        <v>85</v>
      </c>
      <c r="G59" s="53">
        <f>te!$S$10</f>
        <v>78</v>
      </c>
      <c r="H59" s="53">
        <f>te!$Y$10</f>
        <v>83</v>
      </c>
      <c r="I59" s="53">
        <f>te!$AC$10</f>
        <v>85</v>
      </c>
      <c r="J59" s="59"/>
      <c r="K59" s="54">
        <f>te!$AI$10</f>
        <v>70</v>
      </c>
      <c r="L59" s="55"/>
      <c r="M59" s="53">
        <f>te!$AO$10</f>
        <v>88</v>
      </c>
      <c r="N59" s="53">
        <f>te!$AU$10</f>
        <v>76</v>
      </c>
      <c r="O59" s="59"/>
      <c r="P59" s="55"/>
      <c r="Q59" s="55"/>
      <c r="R59" s="54">
        <f>te!$BS$10</f>
        <v>81</v>
      </c>
      <c r="S59" s="54">
        <f>te!$BW$10</f>
        <v>85</v>
      </c>
      <c r="T59" s="55"/>
      <c r="U59" s="54">
        <f>te!$CB$10</f>
        <v>78</v>
      </c>
      <c r="V59" s="58"/>
      <c r="X59" s="278">
        <v>10</v>
      </c>
    </row>
    <row r="60" spans="1:36" ht="15" thickBot="1">
      <c r="A60" s="268">
        <v>6</v>
      </c>
      <c r="B60" s="271"/>
      <c r="C60" s="274"/>
      <c r="D60" s="62" t="s">
        <v>297</v>
      </c>
      <c r="E60" s="53">
        <f>te!$H$10</f>
        <v>87</v>
      </c>
      <c r="F60" s="53">
        <f>te!$N$10</f>
        <v>92</v>
      </c>
      <c r="G60" s="53">
        <f>te!$T$10</f>
        <v>86</v>
      </c>
      <c r="H60" s="53">
        <f>te!$Z$10</f>
        <v>84</v>
      </c>
      <c r="I60" s="53">
        <f>te!$AD$10</f>
        <v>85</v>
      </c>
      <c r="J60" s="59"/>
      <c r="K60" s="54">
        <f>te!$AJ$10</f>
        <v>81</v>
      </c>
      <c r="L60" s="55"/>
      <c r="M60" s="53">
        <f>te!$AP$10</f>
        <v>84</v>
      </c>
      <c r="N60" s="53">
        <f>te!$AV$10</f>
        <v>71</v>
      </c>
      <c r="O60" s="59"/>
      <c r="P60" s="55"/>
      <c r="Q60" s="55"/>
      <c r="R60" s="54">
        <f>te!$BT$10</f>
        <v>81.666666666666671</v>
      </c>
      <c r="S60" s="54">
        <f>te!$BX$10</f>
        <v>81</v>
      </c>
      <c r="T60" s="63"/>
      <c r="U60" s="54">
        <f>te!$CC$10</f>
        <v>90</v>
      </c>
      <c r="V60" s="58"/>
      <c r="X60" s="278">
        <v>10</v>
      </c>
    </row>
    <row r="61" spans="1:36">
      <c r="A61" s="268">
        <v>6</v>
      </c>
      <c r="B61" s="271"/>
      <c r="C61" s="274"/>
      <c r="D61" s="62" t="s">
        <v>298</v>
      </c>
      <c r="E61" s="53">
        <f>te!$I$10</f>
        <v>83</v>
      </c>
      <c r="F61" s="53">
        <f>te!$O$10</f>
        <v>94</v>
      </c>
      <c r="G61" s="53">
        <f>te!$U$10</f>
        <v>79</v>
      </c>
      <c r="H61" s="65"/>
      <c r="I61" s="65"/>
      <c r="J61" s="59"/>
      <c r="K61" s="59"/>
      <c r="L61" s="53">
        <f>te!$AK$10</f>
        <v>86</v>
      </c>
      <c r="M61" s="53">
        <f>te!$AQ$10</f>
        <v>84</v>
      </c>
      <c r="N61" s="53">
        <f>te!$AW$10</f>
        <v>83</v>
      </c>
      <c r="O61" s="59"/>
      <c r="P61" s="55"/>
      <c r="Q61" s="55"/>
      <c r="R61" s="54">
        <f>te!$BU$10</f>
        <v>82.75</v>
      </c>
      <c r="S61" s="54">
        <f>te!$BY$10</f>
        <v>86</v>
      </c>
      <c r="T61" s="54"/>
      <c r="U61" s="54">
        <f>te!$CD$10</f>
        <v>85</v>
      </c>
      <c r="V61" s="58"/>
      <c r="X61" s="278">
        <v>10</v>
      </c>
    </row>
    <row r="62" spans="1:36">
      <c r="A62" s="268">
        <v>6</v>
      </c>
      <c r="B62" s="271"/>
      <c r="C62" s="274"/>
      <c r="D62" s="66" t="s">
        <v>299</v>
      </c>
      <c r="E62" s="67">
        <f>AVERAGE(E57:E61)</f>
        <v>86</v>
      </c>
      <c r="F62" s="67">
        <f>AVERAGE(F57:F61)</f>
        <v>88.2</v>
      </c>
      <c r="G62" s="67">
        <f>AVERAGE(G57:G61)</f>
        <v>81.8</v>
      </c>
      <c r="H62" s="68"/>
      <c r="I62" s="68"/>
      <c r="J62" s="69"/>
      <c r="K62" s="69"/>
      <c r="L62" s="67">
        <f>AVERAGE(L57:L61)</f>
        <v>86</v>
      </c>
      <c r="M62" s="67">
        <f>AVERAGE(M57:M61)</f>
        <v>83.2</v>
      </c>
      <c r="N62" s="67">
        <f>AVERAGE(N57:N61)</f>
        <v>76</v>
      </c>
      <c r="O62" s="69"/>
      <c r="P62" s="63"/>
      <c r="Q62" s="63"/>
      <c r="R62" s="84">
        <f>AVERAGE(R59:R61)</f>
        <v>81.805555555555557</v>
      </c>
      <c r="S62" s="84">
        <f>AVERAGE(S59:S61)</f>
        <v>84</v>
      </c>
      <c r="T62" s="63"/>
      <c r="U62" s="84">
        <f>AVERAGE(U57:U61)</f>
        <v>84.333333333333329</v>
      </c>
      <c r="V62" s="58"/>
      <c r="X62" s="278">
        <v>10</v>
      </c>
    </row>
    <row r="63" spans="1:36">
      <c r="A63" s="268">
        <v>6</v>
      </c>
      <c r="B63" s="271"/>
      <c r="C63" s="274"/>
      <c r="D63" s="70" t="s">
        <v>300</v>
      </c>
      <c r="E63" s="71">
        <f>te!$J$10</f>
        <v>89</v>
      </c>
      <c r="F63" s="71">
        <f>te!$P$10</f>
        <v>92</v>
      </c>
      <c r="G63" s="71">
        <f>te!$V$10</f>
        <v>86</v>
      </c>
      <c r="H63" s="72"/>
      <c r="I63" s="72"/>
      <c r="J63" s="73"/>
      <c r="K63" s="73"/>
      <c r="L63" s="71">
        <f>te!$AL$10</f>
        <v>86</v>
      </c>
      <c r="M63" s="71">
        <f>te!$AR$10</f>
        <v>90</v>
      </c>
      <c r="N63" s="71">
        <f>te!$AX$10</f>
        <v>90</v>
      </c>
      <c r="O63" s="73"/>
      <c r="P63" s="74"/>
      <c r="Q63" s="74"/>
      <c r="R63" s="85">
        <f>te!$BV$10</f>
        <v>89</v>
      </c>
      <c r="S63" s="85">
        <f>te!$BZ$10</f>
        <v>89</v>
      </c>
      <c r="T63" s="85">
        <f>te!$CA$10</f>
        <v>89</v>
      </c>
      <c r="U63" s="75">
        <f>te!$CE$10</f>
        <v>90</v>
      </c>
      <c r="V63" s="58"/>
      <c r="X63" s="278">
        <v>10</v>
      </c>
    </row>
    <row r="64" spans="1:36">
      <c r="A64" s="268">
        <v>6</v>
      </c>
      <c r="B64" s="271"/>
      <c r="C64" s="274"/>
      <c r="D64" s="76" t="s">
        <v>301</v>
      </c>
      <c r="E64" s="77">
        <f>te!$CF$10</f>
        <v>84</v>
      </c>
      <c r="F64" s="77">
        <f>te!$CG$10</f>
        <v>85</v>
      </c>
      <c r="G64" s="77">
        <f>te!$CH$10</f>
        <v>80</v>
      </c>
      <c r="H64" s="72"/>
      <c r="I64" s="72"/>
      <c r="J64" s="73"/>
      <c r="K64" s="73"/>
      <c r="L64" s="77">
        <f>te!$CI$10</f>
        <v>82</v>
      </c>
      <c r="M64" s="77">
        <f>te!$CJ$10</f>
        <v>84</v>
      </c>
      <c r="N64" s="77">
        <f>te!$CK$10</f>
        <v>83</v>
      </c>
      <c r="O64" s="73"/>
      <c r="P64" s="74"/>
      <c r="Q64" s="74"/>
      <c r="R64" s="86">
        <f>te!$CN$10</f>
        <v>80</v>
      </c>
      <c r="S64" s="86">
        <f>te!$CM$10</f>
        <v>90</v>
      </c>
      <c r="T64" s="74"/>
      <c r="U64" s="86">
        <f>te!$CL$10</f>
        <v>84</v>
      </c>
      <c r="V64" s="58"/>
      <c r="X64" s="278">
        <v>10</v>
      </c>
    </row>
    <row r="65" spans="1:24" ht="15" thickBot="1">
      <c r="A65" s="269">
        <v>6</v>
      </c>
      <c r="B65" s="272"/>
      <c r="C65" s="275"/>
      <c r="D65" s="78" t="s">
        <v>302</v>
      </c>
      <c r="E65" s="79">
        <f>(E62*4+E63*3+E64*3)/10</f>
        <v>86.3</v>
      </c>
      <c r="F65" s="79">
        <f t="shared" ref="F65:G65" si="9">(F62*4+F63*3+F64*3)/10</f>
        <v>88.38</v>
      </c>
      <c r="G65" s="79">
        <f t="shared" si="9"/>
        <v>82.52000000000001</v>
      </c>
      <c r="H65" s="79">
        <f>AVERAGE(H57:H60)</f>
        <v>83.75</v>
      </c>
      <c r="I65" s="79">
        <f>AVERAGE(I57:I60)</f>
        <v>83</v>
      </c>
      <c r="J65" s="79">
        <f>AVERAGE(J57:J58)</f>
        <v>84</v>
      </c>
      <c r="K65" s="79">
        <f>AVERAGE(K57:K60)</f>
        <v>80</v>
      </c>
      <c r="L65" s="79">
        <f>(L62*4+L63*3+L64*3)/10</f>
        <v>84.8</v>
      </c>
      <c r="M65" s="79">
        <f>(M62*4+M63*3+M64*3)/10</f>
        <v>85.47999999999999</v>
      </c>
      <c r="N65" s="79">
        <f>(N62*4+N63*3+N64*3)/10</f>
        <v>82.3</v>
      </c>
      <c r="O65" s="79">
        <f>AVERAGE(O57:O58)</f>
        <v>81</v>
      </c>
      <c r="P65" s="79">
        <f>AVERAGE(P57:P58)</f>
        <v>83</v>
      </c>
      <c r="Q65" s="79">
        <f>AVERAGE(Q57:Q58)</f>
        <v>88</v>
      </c>
      <c r="R65" s="79">
        <f>(R62*4+R63*3+R64*3)/10</f>
        <v>83.422222222222217</v>
      </c>
      <c r="S65" s="79">
        <f>(S62*4+S63*3+S64*3)/10</f>
        <v>87.3</v>
      </c>
      <c r="T65" s="79">
        <f>T63</f>
        <v>89</v>
      </c>
      <c r="U65" s="79">
        <f t="shared" ref="U65" si="10">(U62*4+U63*3+U64*3)/10</f>
        <v>85.933333333333323</v>
      </c>
      <c r="V65" s="80">
        <f>AVERAGE(E65:U65)</f>
        <v>84.599150326797385</v>
      </c>
      <c r="X65" s="278">
        <v>10</v>
      </c>
    </row>
    <row r="66" spans="1:24" ht="15.6" thickTop="1" thickBot="1">
      <c r="A66" s="268">
        <v>7</v>
      </c>
      <c r="B66" s="270" t="s">
        <v>464</v>
      </c>
      <c r="C66" s="273" t="s">
        <v>443</v>
      </c>
      <c r="D66" s="52" t="s">
        <v>294</v>
      </c>
      <c r="E66" s="53">
        <f>te!$E$11</f>
        <v>80</v>
      </c>
      <c r="F66" s="53">
        <f>te!$K$11</f>
        <v>80</v>
      </c>
      <c r="G66" s="53">
        <f>te!$Q$11</f>
        <v>78</v>
      </c>
      <c r="H66" s="53">
        <f>te!$W$11</f>
        <v>85</v>
      </c>
      <c r="I66" s="53">
        <f>te!$AA$11</f>
        <v>78</v>
      </c>
      <c r="J66" s="53">
        <f>te!$AE$11</f>
        <v>80</v>
      </c>
      <c r="K66" s="54">
        <f>te!$AG$11</f>
        <v>80</v>
      </c>
      <c r="L66" s="55"/>
      <c r="M66" s="53">
        <f>te!$AM$11</f>
        <v>74</v>
      </c>
      <c r="N66" s="53">
        <f>te!$AS$11</f>
        <v>71</v>
      </c>
      <c r="O66" s="53">
        <f>te!$AY$11</f>
        <v>77</v>
      </c>
      <c r="P66" s="54">
        <f>te!$BA$11</f>
        <v>78</v>
      </c>
      <c r="Q66" s="54">
        <f>te!$BC$11</f>
        <v>77</v>
      </c>
      <c r="R66" s="55"/>
      <c r="S66" s="55"/>
      <c r="T66" s="55"/>
      <c r="U66" s="55"/>
      <c r="V66" s="56"/>
      <c r="X66" s="278">
        <v>11</v>
      </c>
    </row>
    <row r="67" spans="1:24" ht="15" thickBot="1">
      <c r="A67" s="268">
        <v>7</v>
      </c>
      <c r="B67" s="271"/>
      <c r="C67" s="274"/>
      <c r="D67" s="52" t="s">
        <v>295</v>
      </c>
      <c r="E67" s="53">
        <f>te!$F$11</f>
        <v>87</v>
      </c>
      <c r="F67" s="53">
        <f>te!$L$11</f>
        <v>81</v>
      </c>
      <c r="G67" s="53">
        <f>te!$R$11</f>
        <v>78</v>
      </c>
      <c r="H67" s="53">
        <f>te!$X$11</f>
        <v>86</v>
      </c>
      <c r="I67" s="53">
        <f>te!$AB$11</f>
        <v>80</v>
      </c>
      <c r="J67" s="53">
        <f>te!$AF$11</f>
        <v>79</v>
      </c>
      <c r="K67" s="54">
        <f>te!$AH$11</f>
        <v>81</v>
      </c>
      <c r="L67" s="55"/>
      <c r="M67" s="53">
        <f>te!$AN$11</f>
        <v>76</v>
      </c>
      <c r="N67" s="53">
        <f>te!$AT$11</f>
        <v>73</v>
      </c>
      <c r="O67" s="53">
        <f>te!$AZ$11</f>
        <v>78</v>
      </c>
      <c r="P67" s="54">
        <f>te!$BB$11</f>
        <v>81</v>
      </c>
      <c r="Q67" s="54">
        <f>te!$BD$11</f>
        <v>77</v>
      </c>
      <c r="R67" s="55"/>
      <c r="S67" s="55"/>
      <c r="T67" s="55"/>
      <c r="U67" s="55"/>
      <c r="V67" s="58"/>
      <c r="X67" s="278">
        <v>11</v>
      </c>
    </row>
    <row r="68" spans="1:24" ht="15" thickBot="1">
      <c r="A68" s="268">
        <v>7</v>
      </c>
      <c r="B68" s="271"/>
      <c r="C68" s="274"/>
      <c r="D68" s="52" t="s">
        <v>296</v>
      </c>
      <c r="E68" s="53">
        <f>te!$G$11</f>
        <v>88</v>
      </c>
      <c r="F68" s="53">
        <f>te!$M$11</f>
        <v>92</v>
      </c>
      <c r="G68" s="53">
        <f>te!$S$11</f>
        <v>70</v>
      </c>
      <c r="H68" s="53">
        <f>te!$Y$11</f>
        <v>84</v>
      </c>
      <c r="I68" s="53">
        <f>te!$AC$11</f>
        <v>83</v>
      </c>
      <c r="J68" s="59"/>
      <c r="K68" s="54">
        <f>te!$AI$11</f>
        <v>71</v>
      </c>
      <c r="L68" s="55"/>
      <c r="M68" s="53">
        <f>te!$AO$11</f>
        <v>73</v>
      </c>
      <c r="N68" s="53">
        <f>te!$AU$11</f>
        <v>70</v>
      </c>
      <c r="O68" s="59"/>
      <c r="P68" s="55"/>
      <c r="Q68" s="55"/>
      <c r="R68" s="54">
        <f>te!$BS$11</f>
        <v>80.333333333333329</v>
      </c>
      <c r="S68" s="54">
        <f>te!$BW$11</f>
        <v>84</v>
      </c>
      <c r="T68" s="55"/>
      <c r="U68" s="54">
        <f>te!$CB$11</f>
        <v>72</v>
      </c>
      <c r="V68" s="58"/>
      <c r="X68" s="278">
        <v>11</v>
      </c>
    </row>
    <row r="69" spans="1:24" ht="15" thickBot="1">
      <c r="A69" s="268">
        <v>7</v>
      </c>
      <c r="B69" s="271"/>
      <c r="C69" s="274"/>
      <c r="D69" s="62" t="s">
        <v>297</v>
      </c>
      <c r="E69" s="53">
        <f>te!$H$11</f>
        <v>87</v>
      </c>
      <c r="F69" s="53">
        <f>te!$N$11</f>
        <v>88</v>
      </c>
      <c r="G69" s="53">
        <f>te!$T$11</f>
        <v>71</v>
      </c>
      <c r="H69" s="53">
        <f>te!$Z$11</f>
        <v>85</v>
      </c>
      <c r="I69" s="53">
        <f>te!$AD$11</f>
        <v>84</v>
      </c>
      <c r="J69" s="59"/>
      <c r="K69" s="54">
        <f>te!$AJ$11</f>
        <v>81</v>
      </c>
      <c r="L69" s="55"/>
      <c r="M69" s="53">
        <f>te!$AP$11</f>
        <v>74</v>
      </c>
      <c r="N69" s="53">
        <f>te!$AV$11</f>
        <v>70</v>
      </c>
      <c r="O69" s="59"/>
      <c r="P69" s="55"/>
      <c r="Q69" s="55"/>
      <c r="R69" s="54">
        <f>te!$BT$11</f>
        <v>79.666666666666671</v>
      </c>
      <c r="S69" s="54">
        <f>te!$BX$11</f>
        <v>80</v>
      </c>
      <c r="T69" s="63"/>
      <c r="U69" s="54">
        <f>te!$CC$11</f>
        <v>77</v>
      </c>
      <c r="V69" s="58"/>
      <c r="X69" s="278">
        <v>11</v>
      </c>
    </row>
    <row r="70" spans="1:24">
      <c r="A70" s="268">
        <v>7</v>
      </c>
      <c r="B70" s="271"/>
      <c r="C70" s="274"/>
      <c r="D70" s="62" t="s">
        <v>298</v>
      </c>
      <c r="E70" s="53">
        <f>te!$I$11</f>
        <v>85</v>
      </c>
      <c r="F70" s="53">
        <f>te!$O$11</f>
        <v>93</v>
      </c>
      <c r="G70" s="53">
        <f>te!$U$11</f>
        <v>73</v>
      </c>
      <c r="H70" s="65"/>
      <c r="I70" s="65"/>
      <c r="J70" s="59"/>
      <c r="K70" s="59"/>
      <c r="L70" s="53">
        <f>te!$AK$11</f>
        <v>80</v>
      </c>
      <c r="M70" s="53">
        <f>te!$AQ$11</f>
        <v>72</v>
      </c>
      <c r="N70" s="53">
        <f>te!$AW$11</f>
        <v>73</v>
      </c>
      <c r="O70" s="59"/>
      <c r="P70" s="55"/>
      <c r="Q70" s="55"/>
      <c r="R70" s="54">
        <f>te!$BU$11</f>
        <v>81.25</v>
      </c>
      <c r="S70" s="54">
        <f>te!$BY$11</f>
        <v>70</v>
      </c>
      <c r="T70" s="54"/>
      <c r="U70" s="54">
        <f>te!$CD$11</f>
        <v>73</v>
      </c>
      <c r="V70" s="58"/>
      <c r="X70" s="278">
        <v>11</v>
      </c>
    </row>
    <row r="71" spans="1:24">
      <c r="A71" s="268">
        <v>7</v>
      </c>
      <c r="B71" s="271"/>
      <c r="C71" s="274"/>
      <c r="D71" s="66" t="s">
        <v>299</v>
      </c>
      <c r="E71" s="67">
        <f>AVERAGE(E66:E70)</f>
        <v>85.4</v>
      </c>
      <c r="F71" s="67">
        <f>AVERAGE(F66:F70)</f>
        <v>86.8</v>
      </c>
      <c r="G71" s="67">
        <f>AVERAGE(G66:G70)</f>
        <v>74</v>
      </c>
      <c r="H71" s="68"/>
      <c r="I71" s="68"/>
      <c r="J71" s="69"/>
      <c r="K71" s="69"/>
      <c r="L71" s="67">
        <f>AVERAGE(L66:L70)</f>
        <v>80</v>
      </c>
      <c r="M71" s="67">
        <f>AVERAGE(M66:M70)</f>
        <v>73.8</v>
      </c>
      <c r="N71" s="67">
        <f>AVERAGE(N66:N70)</f>
        <v>71.400000000000006</v>
      </c>
      <c r="O71" s="69"/>
      <c r="P71" s="63"/>
      <c r="Q71" s="63"/>
      <c r="R71" s="84">
        <f>AVERAGE(R68:R70)</f>
        <v>80.416666666666671</v>
      </c>
      <c r="S71" s="84">
        <f>AVERAGE(S68:S70)</f>
        <v>78</v>
      </c>
      <c r="T71" s="63"/>
      <c r="U71" s="84">
        <f>AVERAGE(U66:U70)</f>
        <v>74</v>
      </c>
      <c r="V71" s="58"/>
      <c r="X71" s="278">
        <v>11</v>
      </c>
    </row>
    <row r="72" spans="1:24">
      <c r="A72" s="268">
        <v>7</v>
      </c>
      <c r="B72" s="271"/>
      <c r="C72" s="274"/>
      <c r="D72" s="70" t="s">
        <v>300</v>
      </c>
      <c r="E72" s="71">
        <f>te!$J$11</f>
        <v>75</v>
      </c>
      <c r="F72" s="71">
        <f>te!$P$11</f>
        <v>75</v>
      </c>
      <c r="G72" s="71">
        <f>te!$V$11</f>
        <v>75</v>
      </c>
      <c r="H72" s="72"/>
      <c r="I72" s="72"/>
      <c r="J72" s="73"/>
      <c r="K72" s="73"/>
      <c r="L72" s="71">
        <f>te!$AL$11</f>
        <v>75</v>
      </c>
      <c r="M72" s="71">
        <f>te!$AR$11</f>
        <v>75</v>
      </c>
      <c r="N72" s="71">
        <f>te!$AX$11</f>
        <v>75</v>
      </c>
      <c r="O72" s="73"/>
      <c r="P72" s="74"/>
      <c r="Q72" s="74"/>
      <c r="R72" s="85">
        <f>te!$BV$11</f>
        <v>75</v>
      </c>
      <c r="S72" s="85">
        <f>te!$BZ$11</f>
        <v>75</v>
      </c>
      <c r="T72" s="85">
        <f>te!$CA$11</f>
        <v>75</v>
      </c>
      <c r="U72" s="75">
        <f>te!$CE$11</f>
        <v>75</v>
      </c>
      <c r="V72" s="58"/>
      <c r="X72" s="278">
        <v>11</v>
      </c>
    </row>
    <row r="73" spans="1:24">
      <c r="A73" s="268">
        <v>7</v>
      </c>
      <c r="B73" s="271"/>
      <c r="C73" s="274"/>
      <c r="D73" s="76" t="s">
        <v>301</v>
      </c>
      <c r="E73" s="77">
        <f>te!$CF$11</f>
        <v>86</v>
      </c>
      <c r="F73" s="77">
        <f>te!$CG$11</f>
        <v>70</v>
      </c>
      <c r="G73" s="77">
        <f>te!$CH$11</f>
        <v>70</v>
      </c>
      <c r="H73" s="72"/>
      <c r="I73" s="72"/>
      <c r="J73" s="73"/>
      <c r="K73" s="73"/>
      <c r="L73" s="77">
        <f>te!$CI$11</f>
        <v>70</v>
      </c>
      <c r="M73" s="77">
        <f>te!$CJ$11</f>
        <v>75</v>
      </c>
      <c r="N73" s="77">
        <f>te!$CK$11</f>
        <v>80</v>
      </c>
      <c r="O73" s="73"/>
      <c r="P73" s="74"/>
      <c r="Q73" s="74"/>
      <c r="R73" s="86">
        <f>te!$CN$11</f>
        <v>70</v>
      </c>
      <c r="S73" s="86">
        <f>te!$CM$11</f>
        <v>73</v>
      </c>
      <c r="T73" s="74"/>
      <c r="U73" s="86">
        <f>te!$CL$11</f>
        <v>86</v>
      </c>
      <c r="V73" s="58"/>
      <c r="X73" s="278">
        <v>11</v>
      </c>
    </row>
    <row r="74" spans="1:24" ht="15" thickBot="1">
      <c r="A74" s="269">
        <v>7</v>
      </c>
      <c r="B74" s="272"/>
      <c r="C74" s="275"/>
      <c r="D74" s="78" t="s">
        <v>302</v>
      </c>
      <c r="E74" s="79">
        <f>(E71*4+E72*3+E73*3)/10</f>
        <v>82.460000000000008</v>
      </c>
      <c r="F74" s="79">
        <f t="shared" ref="F74:G74" si="11">(F71*4+F72*3+F73*3)/10</f>
        <v>78.22</v>
      </c>
      <c r="G74" s="79">
        <f t="shared" si="11"/>
        <v>73.099999999999994</v>
      </c>
      <c r="H74" s="79">
        <f>AVERAGE(H66:H69)</f>
        <v>85</v>
      </c>
      <c r="I74" s="79">
        <f>AVERAGE(I66:I69)</f>
        <v>81.25</v>
      </c>
      <c r="J74" s="79">
        <f>AVERAGE(J66:J67)</f>
        <v>79.5</v>
      </c>
      <c r="K74" s="79">
        <f>AVERAGE(K66:K69)</f>
        <v>78.25</v>
      </c>
      <c r="L74" s="79">
        <f>(L71*4+L72*3+L73*3)/10</f>
        <v>75.5</v>
      </c>
      <c r="M74" s="79">
        <f>(M71*4+M72*3+M73*3)/10</f>
        <v>74.52000000000001</v>
      </c>
      <c r="N74" s="79">
        <f>(N71*4+N72*3+N73*3)/10</f>
        <v>75.06</v>
      </c>
      <c r="O74" s="79">
        <f>AVERAGE(O66:O67)</f>
        <v>77.5</v>
      </c>
      <c r="P74" s="79">
        <f>AVERAGE(P66:P67)</f>
        <v>79.5</v>
      </c>
      <c r="Q74" s="79">
        <f>AVERAGE(Q66:Q67)</f>
        <v>77</v>
      </c>
      <c r="R74" s="79">
        <f>(R71*4+R72*3+R73*3)/10</f>
        <v>75.666666666666671</v>
      </c>
      <c r="S74" s="79">
        <f>(S71*4+S72*3+S73*3)/10</f>
        <v>75.599999999999994</v>
      </c>
      <c r="T74" s="79">
        <f>T72</f>
        <v>75</v>
      </c>
      <c r="U74" s="79">
        <f t="shared" ref="U74" si="12">(U71*4+U72*3+U73*3)/10</f>
        <v>77.900000000000006</v>
      </c>
      <c r="V74" s="80">
        <f>AVERAGE(E74:U74)</f>
        <v>77.707450980392153</v>
      </c>
      <c r="X74" s="278">
        <v>11</v>
      </c>
    </row>
    <row r="75" spans="1:24" ht="15.6" thickTop="1" thickBot="1">
      <c r="A75" s="268">
        <v>8</v>
      </c>
      <c r="B75" s="270" t="s">
        <v>465</v>
      </c>
      <c r="C75" s="273" t="s">
        <v>445</v>
      </c>
      <c r="D75" s="52" t="s">
        <v>294</v>
      </c>
      <c r="E75" s="53">
        <f>te!$E$12</f>
        <v>82</v>
      </c>
      <c r="F75" s="53">
        <f>te!$K$12</f>
        <v>80</v>
      </c>
      <c r="G75" s="53">
        <f>te!$Q$12</f>
        <v>78</v>
      </c>
      <c r="H75" s="53">
        <f>te!$W$12</f>
        <v>85</v>
      </c>
      <c r="I75" s="53">
        <f>te!$AA$12</f>
        <v>80</v>
      </c>
      <c r="J75" s="53">
        <f>te!$AE$12</f>
        <v>81</v>
      </c>
      <c r="K75" s="54">
        <f>te!$AG$12</f>
        <v>81</v>
      </c>
      <c r="L75" s="55"/>
      <c r="M75" s="53">
        <f>te!$AM$12</f>
        <v>74</v>
      </c>
      <c r="N75" s="53">
        <f>te!$AS$12</f>
        <v>71</v>
      </c>
      <c r="O75" s="53">
        <f>te!$AY$12</f>
        <v>77</v>
      </c>
      <c r="P75" s="54">
        <f>te!$BA$12</f>
        <v>78</v>
      </c>
      <c r="Q75" s="54">
        <f>te!$BC$12</f>
        <v>77</v>
      </c>
      <c r="R75" s="55"/>
      <c r="S75" s="55"/>
      <c r="T75" s="55"/>
      <c r="U75" s="55"/>
      <c r="V75" s="56"/>
      <c r="X75" s="278">
        <v>12</v>
      </c>
    </row>
    <row r="76" spans="1:24" ht="15" thickBot="1">
      <c r="A76" s="268">
        <v>8</v>
      </c>
      <c r="B76" s="271"/>
      <c r="C76" s="274"/>
      <c r="D76" s="52" t="s">
        <v>295</v>
      </c>
      <c r="E76" s="53">
        <f>te!$F$12</f>
        <v>87</v>
      </c>
      <c r="F76" s="53">
        <f>te!$L$12</f>
        <v>80</v>
      </c>
      <c r="G76" s="53">
        <f>te!$R$12</f>
        <v>78</v>
      </c>
      <c r="H76" s="53">
        <f>te!$X$12</f>
        <v>85</v>
      </c>
      <c r="I76" s="53">
        <f>te!$AB$12</f>
        <v>82</v>
      </c>
      <c r="J76" s="53">
        <f>te!$AF$12</f>
        <v>80</v>
      </c>
      <c r="K76" s="54">
        <f>te!$AH$12</f>
        <v>86</v>
      </c>
      <c r="L76" s="55"/>
      <c r="M76" s="53">
        <f>te!$AN$12</f>
        <v>75</v>
      </c>
      <c r="N76" s="53">
        <f>te!$AT$12</f>
        <v>74</v>
      </c>
      <c r="O76" s="53">
        <f>te!$AZ$12</f>
        <v>79</v>
      </c>
      <c r="P76" s="54">
        <f>te!$BB$12</f>
        <v>81</v>
      </c>
      <c r="Q76" s="54">
        <f>te!$BD$12</f>
        <v>80</v>
      </c>
      <c r="R76" s="55"/>
      <c r="S76" s="55"/>
      <c r="T76" s="55"/>
      <c r="U76" s="55"/>
      <c r="V76" s="58"/>
      <c r="X76" s="278">
        <v>12</v>
      </c>
    </row>
    <row r="77" spans="1:24" ht="15" thickBot="1">
      <c r="A77" s="268">
        <v>8</v>
      </c>
      <c r="B77" s="271"/>
      <c r="C77" s="274"/>
      <c r="D77" s="52" t="s">
        <v>296</v>
      </c>
      <c r="E77" s="53">
        <f>te!$G$12</f>
        <v>84</v>
      </c>
      <c r="F77" s="53">
        <f>te!$M$12</f>
        <v>93</v>
      </c>
      <c r="G77" s="53">
        <f>te!$S$12</f>
        <v>70</v>
      </c>
      <c r="H77" s="53">
        <f>te!$Y$12</f>
        <v>84</v>
      </c>
      <c r="I77" s="53">
        <f>te!$AC$12</f>
        <v>83</v>
      </c>
      <c r="J77" s="59"/>
      <c r="K77" s="54">
        <f>te!$AI$12</f>
        <v>70</v>
      </c>
      <c r="L77" s="55"/>
      <c r="M77" s="53">
        <f>te!$AO$12</f>
        <v>72</v>
      </c>
      <c r="N77" s="53">
        <f>te!$AU$12</f>
        <v>72</v>
      </c>
      <c r="O77" s="59"/>
      <c r="P77" s="55"/>
      <c r="Q77" s="55"/>
      <c r="R77" s="54">
        <f>te!$BS$12</f>
        <v>76.666666666666671</v>
      </c>
      <c r="S77" s="54">
        <f>te!$BW$12</f>
        <v>84</v>
      </c>
      <c r="T77" s="55"/>
      <c r="U77" s="54">
        <f>te!$CB$12</f>
        <v>70</v>
      </c>
      <c r="V77" s="58"/>
      <c r="X77" s="278">
        <v>12</v>
      </c>
    </row>
    <row r="78" spans="1:24" ht="15" thickBot="1">
      <c r="A78" s="268">
        <v>8</v>
      </c>
      <c r="B78" s="271"/>
      <c r="C78" s="274"/>
      <c r="D78" s="62" t="s">
        <v>297</v>
      </c>
      <c r="E78" s="53">
        <f>te!$H$12</f>
        <v>83</v>
      </c>
      <c r="F78" s="53">
        <f>te!$N$12</f>
        <v>95</v>
      </c>
      <c r="G78" s="53">
        <f>te!$T$12</f>
        <v>73</v>
      </c>
      <c r="H78" s="53">
        <f>te!$Z$12</f>
        <v>85</v>
      </c>
      <c r="I78" s="53">
        <f>te!$AD$12</f>
        <v>83</v>
      </c>
      <c r="J78" s="59"/>
      <c r="K78" s="54">
        <f>te!$AJ$12</f>
        <v>81</v>
      </c>
      <c r="L78" s="55"/>
      <c r="M78" s="53">
        <f>te!$AP$12</f>
        <v>73</v>
      </c>
      <c r="N78" s="53">
        <f>te!$AV$12</f>
        <v>71</v>
      </c>
      <c r="O78" s="59"/>
      <c r="P78" s="55"/>
      <c r="Q78" s="55"/>
      <c r="R78" s="54">
        <f>te!$BT$12</f>
        <v>80</v>
      </c>
      <c r="S78" s="54">
        <f>te!$BX$12</f>
        <v>80</v>
      </c>
      <c r="T78" s="63"/>
      <c r="U78" s="54">
        <f>te!$CC$12</f>
        <v>74</v>
      </c>
      <c r="V78" s="58"/>
      <c r="X78" s="278">
        <v>12</v>
      </c>
    </row>
    <row r="79" spans="1:24">
      <c r="A79" s="268">
        <v>8</v>
      </c>
      <c r="B79" s="271"/>
      <c r="C79" s="274"/>
      <c r="D79" s="62" t="s">
        <v>298</v>
      </c>
      <c r="E79" s="53">
        <f>te!$I$12</f>
        <v>85</v>
      </c>
      <c r="F79" s="53">
        <f>te!$O$12</f>
        <v>95</v>
      </c>
      <c r="G79" s="53">
        <f>te!$U$12</f>
        <v>73</v>
      </c>
      <c r="H79" s="65"/>
      <c r="I79" s="65"/>
      <c r="J79" s="59"/>
      <c r="K79" s="59"/>
      <c r="L79" s="53">
        <f>te!$AK$12</f>
        <v>80</v>
      </c>
      <c r="M79" s="53">
        <f>te!$AQ$12</f>
        <v>74</v>
      </c>
      <c r="N79" s="53">
        <f>te!$AW$12</f>
        <v>77</v>
      </c>
      <c r="O79" s="59"/>
      <c r="P79" s="55"/>
      <c r="Q79" s="55"/>
      <c r="R79" s="54">
        <f>te!$BU$12</f>
        <v>77.25</v>
      </c>
      <c r="S79" s="54">
        <f>te!$BY$12</f>
        <v>70</v>
      </c>
      <c r="T79" s="54"/>
      <c r="U79" s="54">
        <f>te!$CD$12</f>
        <v>77</v>
      </c>
      <c r="V79" s="58"/>
      <c r="X79" s="278">
        <v>12</v>
      </c>
    </row>
    <row r="80" spans="1:24">
      <c r="A80" s="268">
        <v>8</v>
      </c>
      <c r="B80" s="271"/>
      <c r="C80" s="274"/>
      <c r="D80" s="66" t="s">
        <v>299</v>
      </c>
      <c r="E80" s="67">
        <f>AVERAGE(E75:E79)</f>
        <v>84.2</v>
      </c>
      <c r="F80" s="67">
        <f>AVERAGE(F75:F79)</f>
        <v>88.6</v>
      </c>
      <c r="G80" s="67">
        <f>AVERAGE(G75:G79)</f>
        <v>74.400000000000006</v>
      </c>
      <c r="H80" s="68"/>
      <c r="I80" s="68"/>
      <c r="J80" s="69"/>
      <c r="K80" s="69"/>
      <c r="L80" s="67">
        <f>AVERAGE(L75:L79)</f>
        <v>80</v>
      </c>
      <c r="M80" s="67">
        <f>AVERAGE(M75:M79)</f>
        <v>73.599999999999994</v>
      </c>
      <c r="N80" s="67">
        <f>AVERAGE(N75:N79)</f>
        <v>73</v>
      </c>
      <c r="O80" s="69"/>
      <c r="P80" s="63"/>
      <c r="Q80" s="63"/>
      <c r="R80" s="84">
        <f>AVERAGE(R77:R79)</f>
        <v>77.972222222222229</v>
      </c>
      <c r="S80" s="84">
        <f>AVERAGE(S77:S79)</f>
        <v>78</v>
      </c>
      <c r="T80" s="63"/>
      <c r="U80" s="84">
        <f>AVERAGE(U75:U79)</f>
        <v>73.666666666666671</v>
      </c>
      <c r="V80" s="58"/>
      <c r="X80" s="278">
        <v>12</v>
      </c>
    </row>
    <row r="81" spans="1:24">
      <c r="A81" s="268">
        <v>8</v>
      </c>
      <c r="B81" s="271"/>
      <c r="C81" s="274"/>
      <c r="D81" s="70" t="s">
        <v>300</v>
      </c>
      <c r="E81" s="71">
        <f>te!$J$12</f>
        <v>90</v>
      </c>
      <c r="F81" s="71">
        <f>te!$P$12</f>
        <v>93</v>
      </c>
      <c r="G81" s="71">
        <f>te!$V$12</f>
        <v>89</v>
      </c>
      <c r="H81" s="72"/>
      <c r="I81" s="72"/>
      <c r="J81" s="73"/>
      <c r="K81" s="73"/>
      <c r="L81" s="71">
        <f>te!$AL$12</f>
        <v>89</v>
      </c>
      <c r="M81" s="71">
        <f>te!$AR$12</f>
        <v>90</v>
      </c>
      <c r="N81" s="71">
        <f>te!$AX$12</f>
        <v>90</v>
      </c>
      <c r="O81" s="73"/>
      <c r="P81" s="74"/>
      <c r="Q81" s="74"/>
      <c r="R81" s="85">
        <f>te!$BV$12</f>
        <v>91</v>
      </c>
      <c r="S81" s="85">
        <f>te!$BZ$12</f>
        <v>93</v>
      </c>
      <c r="T81" s="85">
        <f>te!$CA$12</f>
        <v>91</v>
      </c>
      <c r="U81" s="75">
        <f>te!$CE$12</f>
        <v>90</v>
      </c>
      <c r="V81" s="58"/>
      <c r="X81" s="278">
        <v>12</v>
      </c>
    </row>
    <row r="82" spans="1:24">
      <c r="A82" s="268">
        <v>8</v>
      </c>
      <c r="B82" s="271"/>
      <c r="C82" s="274"/>
      <c r="D82" s="76" t="s">
        <v>301</v>
      </c>
      <c r="E82" s="77">
        <f>te!$CF$12</f>
        <v>81</v>
      </c>
      <c r="F82" s="77">
        <f>te!$CG$12</f>
        <v>90</v>
      </c>
      <c r="G82" s="77">
        <f>te!$CH$12</f>
        <v>70</v>
      </c>
      <c r="H82" s="72"/>
      <c r="I82" s="72"/>
      <c r="J82" s="73"/>
      <c r="K82" s="73"/>
      <c r="L82" s="77">
        <f>te!$CI$12</f>
        <v>95</v>
      </c>
      <c r="M82" s="77">
        <f>te!$CJ$12</f>
        <v>76</v>
      </c>
      <c r="N82" s="77">
        <f>te!$CK$12</f>
        <v>80</v>
      </c>
      <c r="O82" s="73"/>
      <c r="P82" s="74"/>
      <c r="Q82" s="74"/>
      <c r="R82" s="86">
        <f>te!$CN$12</f>
        <v>95</v>
      </c>
      <c r="S82" s="86">
        <f>te!$CM$12</f>
        <v>93</v>
      </c>
      <c r="T82" s="74"/>
      <c r="U82" s="86">
        <f>te!$CL$12</f>
        <v>76</v>
      </c>
      <c r="V82" s="58"/>
      <c r="X82" s="278">
        <v>12</v>
      </c>
    </row>
    <row r="83" spans="1:24" ht="15" thickBot="1">
      <c r="A83" s="269">
        <v>8</v>
      </c>
      <c r="B83" s="272"/>
      <c r="C83" s="275"/>
      <c r="D83" s="78" t="s">
        <v>302</v>
      </c>
      <c r="E83" s="79">
        <f>(E80*4+E81*3+E82*3)/10</f>
        <v>84.97999999999999</v>
      </c>
      <c r="F83" s="79">
        <f t="shared" ref="F83:G83" si="13">(F80*4+F81*3+F82*3)/10</f>
        <v>90.34</v>
      </c>
      <c r="G83" s="79">
        <f t="shared" si="13"/>
        <v>77.460000000000008</v>
      </c>
      <c r="H83" s="79">
        <f>AVERAGE(H75:H78)</f>
        <v>84.75</v>
      </c>
      <c r="I83" s="79">
        <f>AVERAGE(I75:I78)</f>
        <v>82</v>
      </c>
      <c r="J83" s="79">
        <f>AVERAGE(J75:J76)</f>
        <v>80.5</v>
      </c>
      <c r="K83" s="79">
        <f>AVERAGE(K75:K78)</f>
        <v>79.5</v>
      </c>
      <c r="L83" s="79">
        <f>(L80*4+L81*3+L82*3)/10</f>
        <v>87.2</v>
      </c>
      <c r="M83" s="79">
        <f>(M80*4+M81*3+M82*3)/10</f>
        <v>79.239999999999995</v>
      </c>
      <c r="N83" s="79">
        <f>(N80*4+N81*3+N82*3)/10</f>
        <v>80.2</v>
      </c>
      <c r="O83" s="79">
        <f>AVERAGE(O75:O76)</f>
        <v>78</v>
      </c>
      <c r="P83" s="79">
        <f>AVERAGE(P75:P76)</f>
        <v>79.5</v>
      </c>
      <c r="Q83" s="79">
        <f>AVERAGE(Q75:Q76)</f>
        <v>78.5</v>
      </c>
      <c r="R83" s="79">
        <f>(R80*4+R81*3+R82*3)/10</f>
        <v>86.988888888888894</v>
      </c>
      <c r="S83" s="79">
        <f>(S80*4+S81*3+S82*3)/10</f>
        <v>87</v>
      </c>
      <c r="T83" s="79">
        <f>T81</f>
        <v>91</v>
      </c>
      <c r="U83" s="79">
        <f t="shared" ref="U83" si="14">(U80*4+U81*3+U82*3)/10</f>
        <v>79.26666666666668</v>
      </c>
      <c r="V83" s="80">
        <f>AVERAGE(E83:U83)</f>
        <v>82.730915032679732</v>
      </c>
      <c r="X83" s="278">
        <v>12</v>
      </c>
    </row>
    <row r="84" spans="1:24" ht="15.6" thickTop="1" thickBot="1">
      <c r="A84" s="268">
        <v>9</v>
      </c>
      <c r="B84" s="270" t="s">
        <v>466</v>
      </c>
      <c r="C84" s="273" t="s">
        <v>447</v>
      </c>
      <c r="D84" s="52" t="s">
        <v>294</v>
      </c>
      <c r="E84" s="53">
        <f>te!$E$13</f>
        <v>86</v>
      </c>
      <c r="F84" s="53">
        <f>te!$K$13</f>
        <v>82</v>
      </c>
      <c r="G84" s="53">
        <f>te!$Q$13</f>
        <v>90</v>
      </c>
      <c r="H84" s="53">
        <f>te!$W$13</f>
        <v>82</v>
      </c>
      <c r="I84" s="53">
        <f>te!$AA$13</f>
        <v>89</v>
      </c>
      <c r="J84" s="53">
        <f>te!$AE$13</f>
        <v>81</v>
      </c>
      <c r="K84" s="54">
        <f>te!$AG$13</f>
        <v>81</v>
      </c>
      <c r="L84" s="55"/>
      <c r="M84" s="53">
        <f>te!$AM$13</f>
        <v>84</v>
      </c>
      <c r="N84" s="53">
        <f>te!$AS$13</f>
        <v>81</v>
      </c>
      <c r="O84" s="53">
        <f>te!$AY$13</f>
        <v>79</v>
      </c>
      <c r="P84" s="54">
        <f>te!$BA$13</f>
        <v>88</v>
      </c>
      <c r="Q84" s="54">
        <f>te!$BC$13</f>
        <v>90</v>
      </c>
      <c r="R84" s="55"/>
      <c r="S84" s="55"/>
      <c r="T84" s="55"/>
      <c r="U84" s="55"/>
      <c r="V84" s="56"/>
      <c r="X84" s="278">
        <v>13</v>
      </c>
    </row>
    <row r="85" spans="1:24" ht="15" thickBot="1">
      <c r="A85" s="268">
        <v>9</v>
      </c>
      <c r="B85" s="271"/>
      <c r="C85" s="274"/>
      <c r="D85" s="52" t="s">
        <v>295</v>
      </c>
      <c r="E85" s="53">
        <f>te!$F$13</f>
        <v>89</v>
      </c>
      <c r="F85" s="53">
        <f>te!$L$13</f>
        <v>87</v>
      </c>
      <c r="G85" s="53">
        <f>te!$R$13</f>
        <v>83</v>
      </c>
      <c r="H85" s="53">
        <f>te!$X$13</f>
        <v>85</v>
      </c>
      <c r="I85" s="53">
        <f>te!$AB$13</f>
        <v>89</v>
      </c>
      <c r="J85" s="53">
        <f>te!$AF$13</f>
        <v>83</v>
      </c>
      <c r="K85" s="54">
        <f>te!$AH$13</f>
        <v>82</v>
      </c>
      <c r="L85" s="55"/>
      <c r="M85" s="53">
        <f>te!$AN$13</f>
        <v>85</v>
      </c>
      <c r="N85" s="53">
        <f>te!$AT$13</f>
        <v>83</v>
      </c>
      <c r="O85" s="53">
        <f>te!$AZ$13</f>
        <v>80</v>
      </c>
      <c r="P85" s="54">
        <f>te!$BB$13</f>
        <v>90</v>
      </c>
      <c r="Q85" s="54">
        <f>te!$BD$13</f>
        <v>87</v>
      </c>
      <c r="R85" s="55"/>
      <c r="S85" s="55"/>
      <c r="T85" s="55"/>
      <c r="U85" s="55"/>
      <c r="V85" s="58"/>
      <c r="X85" s="278">
        <v>13</v>
      </c>
    </row>
    <row r="86" spans="1:24" ht="15" thickBot="1">
      <c r="A86" s="268">
        <v>9</v>
      </c>
      <c r="B86" s="271"/>
      <c r="C86" s="274"/>
      <c r="D86" s="52" t="s">
        <v>296</v>
      </c>
      <c r="E86" s="53">
        <f>te!$G$13</f>
        <v>87</v>
      </c>
      <c r="F86" s="53">
        <f>te!$M$13</f>
        <v>95</v>
      </c>
      <c r="G86" s="53">
        <f>te!$S$13</f>
        <v>89</v>
      </c>
      <c r="H86" s="53">
        <f>te!$Y$13</f>
        <v>83</v>
      </c>
      <c r="I86" s="53">
        <f>te!$AC$13</f>
        <v>85</v>
      </c>
      <c r="J86" s="59"/>
      <c r="K86" s="54">
        <f>te!$AI$13</f>
        <v>71</v>
      </c>
      <c r="L86" s="55"/>
      <c r="M86" s="53">
        <f>te!$AO$13</f>
        <v>89</v>
      </c>
      <c r="N86" s="53">
        <f>te!$AU$13</f>
        <v>85</v>
      </c>
      <c r="O86" s="59"/>
      <c r="P86" s="55"/>
      <c r="Q86" s="55"/>
      <c r="R86" s="54">
        <f>te!$BS$13</f>
        <v>83.333333333333329</v>
      </c>
      <c r="S86" s="54">
        <f>te!$BW$13</f>
        <v>85</v>
      </c>
      <c r="T86" s="55"/>
      <c r="U86" s="54">
        <f>te!$CB$13</f>
        <v>81</v>
      </c>
      <c r="V86" s="58"/>
      <c r="X86" s="278">
        <v>13</v>
      </c>
    </row>
    <row r="87" spans="1:24" ht="15" thickBot="1">
      <c r="A87" s="268">
        <v>9</v>
      </c>
      <c r="B87" s="271"/>
      <c r="C87" s="274"/>
      <c r="D87" s="62" t="s">
        <v>297</v>
      </c>
      <c r="E87" s="53">
        <f>te!$H$13</f>
        <v>87</v>
      </c>
      <c r="F87" s="53">
        <f>te!$N$13</f>
        <v>95</v>
      </c>
      <c r="G87" s="53">
        <f>te!$T$13</f>
        <v>85</v>
      </c>
      <c r="H87" s="53">
        <f>te!$Z$13</f>
        <v>84</v>
      </c>
      <c r="I87" s="53">
        <f>te!$AD$13</f>
        <v>86</v>
      </c>
      <c r="J87" s="59"/>
      <c r="K87" s="54">
        <f>te!$AJ$13</f>
        <v>83</v>
      </c>
      <c r="L87" s="55"/>
      <c r="M87" s="53">
        <f>te!$AP$13</f>
        <v>90</v>
      </c>
      <c r="N87" s="53">
        <f>te!$AV$13</f>
        <v>85</v>
      </c>
      <c r="O87" s="59"/>
      <c r="P87" s="55"/>
      <c r="Q87" s="55"/>
      <c r="R87" s="54">
        <f>te!$BT$13</f>
        <v>83.333333333333329</v>
      </c>
      <c r="S87" s="54">
        <f>te!$BX$13</f>
        <v>80</v>
      </c>
      <c r="T87" s="63"/>
      <c r="U87" s="54">
        <f>te!$CC$13</f>
        <v>88</v>
      </c>
      <c r="V87" s="58"/>
      <c r="X87" s="278">
        <v>13</v>
      </c>
    </row>
    <row r="88" spans="1:24">
      <c r="A88" s="268">
        <v>9</v>
      </c>
      <c r="B88" s="271"/>
      <c r="C88" s="274"/>
      <c r="D88" s="62" t="s">
        <v>298</v>
      </c>
      <c r="E88" s="53">
        <f>te!$I$13</f>
        <v>92</v>
      </c>
      <c r="F88" s="53">
        <f>te!$O$13</f>
        <v>95</v>
      </c>
      <c r="G88" s="53">
        <f>te!$U$13</f>
        <v>87</v>
      </c>
      <c r="H88" s="65"/>
      <c r="I88" s="65"/>
      <c r="J88" s="59"/>
      <c r="K88" s="59"/>
      <c r="L88" s="53">
        <f>te!$AK$13</f>
        <v>83</v>
      </c>
      <c r="M88" s="53">
        <f>te!$AQ$13</f>
        <v>86</v>
      </c>
      <c r="N88" s="53">
        <f>te!$AW$13</f>
        <v>85</v>
      </c>
      <c r="O88" s="59"/>
      <c r="P88" s="55"/>
      <c r="Q88" s="55"/>
      <c r="R88" s="54">
        <f>te!$BU$13</f>
        <v>83</v>
      </c>
      <c r="S88" s="54">
        <f>te!$BY$13</f>
        <v>85</v>
      </c>
      <c r="T88" s="54"/>
      <c r="U88" s="54">
        <f>te!$CD$13</f>
        <v>76</v>
      </c>
      <c r="V88" s="58"/>
      <c r="X88" s="278">
        <v>13</v>
      </c>
    </row>
    <row r="89" spans="1:24">
      <c r="A89" s="268">
        <v>9</v>
      </c>
      <c r="B89" s="271"/>
      <c r="C89" s="274"/>
      <c r="D89" s="66" t="s">
        <v>299</v>
      </c>
      <c r="E89" s="67">
        <f>AVERAGE(E84:E88)</f>
        <v>88.2</v>
      </c>
      <c r="F89" s="67">
        <f>AVERAGE(F84:F88)</f>
        <v>90.8</v>
      </c>
      <c r="G89" s="67">
        <f>AVERAGE(G84:G88)</f>
        <v>86.8</v>
      </c>
      <c r="H89" s="68"/>
      <c r="I89" s="68"/>
      <c r="J89" s="69"/>
      <c r="K89" s="69"/>
      <c r="L89" s="67">
        <f>AVERAGE(L84:L88)</f>
        <v>83</v>
      </c>
      <c r="M89" s="67">
        <f>AVERAGE(M84:M88)</f>
        <v>86.8</v>
      </c>
      <c r="N89" s="67">
        <f>AVERAGE(N84:N88)</f>
        <v>83.8</v>
      </c>
      <c r="O89" s="69"/>
      <c r="P89" s="63"/>
      <c r="Q89" s="63"/>
      <c r="R89" s="84">
        <f>AVERAGE(R86:R88)</f>
        <v>83.222222222222214</v>
      </c>
      <c r="S89" s="84">
        <f>AVERAGE(S86:S88)</f>
        <v>83.333333333333329</v>
      </c>
      <c r="T89" s="63"/>
      <c r="U89" s="84">
        <f>AVERAGE(U84:U88)</f>
        <v>81.666666666666671</v>
      </c>
      <c r="V89" s="58"/>
      <c r="X89" s="278">
        <v>13</v>
      </c>
    </row>
    <row r="90" spans="1:24">
      <c r="A90" s="268">
        <v>9</v>
      </c>
      <c r="B90" s="271"/>
      <c r="C90" s="274"/>
      <c r="D90" s="70" t="s">
        <v>300</v>
      </c>
      <c r="E90" s="71">
        <f>te!$J$13</f>
        <v>71</v>
      </c>
      <c r="F90" s="71">
        <f>te!$P$13</f>
        <v>85</v>
      </c>
      <c r="G90" s="71">
        <f>te!$V$13</f>
        <v>79</v>
      </c>
      <c r="H90" s="72"/>
      <c r="I90" s="72"/>
      <c r="J90" s="73"/>
      <c r="K90" s="73"/>
      <c r="L90" s="71">
        <f>te!$AL$13</f>
        <v>79</v>
      </c>
      <c r="M90" s="71">
        <f>te!$AR$13</f>
        <v>85</v>
      </c>
      <c r="N90" s="71">
        <f>te!$AX$13</f>
        <v>85</v>
      </c>
      <c r="O90" s="73"/>
      <c r="P90" s="74"/>
      <c r="Q90" s="74"/>
      <c r="R90" s="85">
        <f>te!$BV$13</f>
        <v>82</v>
      </c>
      <c r="S90" s="85">
        <f>te!$BZ$13</f>
        <v>88</v>
      </c>
      <c r="T90" s="85">
        <f>te!$CA$13</f>
        <v>82</v>
      </c>
      <c r="U90" s="75">
        <f>te!$CE$13</f>
        <v>85</v>
      </c>
      <c r="V90" s="58"/>
      <c r="X90" s="278">
        <v>13</v>
      </c>
    </row>
    <row r="91" spans="1:24">
      <c r="A91" s="268">
        <v>9</v>
      </c>
      <c r="B91" s="271"/>
      <c r="C91" s="274"/>
      <c r="D91" s="76" t="s">
        <v>301</v>
      </c>
      <c r="E91" s="77">
        <f>te!$CF$13</f>
        <v>80</v>
      </c>
      <c r="F91" s="77">
        <f>te!$CG$13</f>
        <v>95</v>
      </c>
      <c r="G91" s="77">
        <f>te!$CH$13</f>
        <v>78</v>
      </c>
      <c r="H91" s="72"/>
      <c r="I91" s="72"/>
      <c r="J91" s="73"/>
      <c r="K91" s="73"/>
      <c r="L91" s="77">
        <f>te!$CI$13</f>
        <v>85</v>
      </c>
      <c r="M91" s="77">
        <f>te!$CJ$13</f>
        <v>87</v>
      </c>
      <c r="N91" s="77">
        <f>te!$CK$13</f>
        <v>85</v>
      </c>
      <c r="O91" s="73"/>
      <c r="P91" s="74"/>
      <c r="Q91" s="74"/>
      <c r="R91" s="86">
        <f>te!$CN$13</f>
        <v>90</v>
      </c>
      <c r="S91" s="86">
        <f>te!$CM$13</f>
        <v>85</v>
      </c>
      <c r="T91" s="74"/>
      <c r="U91" s="86">
        <f>te!$CL$13</f>
        <v>89</v>
      </c>
      <c r="V91" s="58"/>
      <c r="X91" s="278">
        <v>13</v>
      </c>
    </row>
    <row r="92" spans="1:24" ht="15" thickBot="1">
      <c r="A92" s="269">
        <v>9</v>
      </c>
      <c r="B92" s="272"/>
      <c r="C92" s="275"/>
      <c r="D92" s="78" t="s">
        <v>302</v>
      </c>
      <c r="E92" s="79">
        <f>(E89*4+E90*3+E91*3)/10</f>
        <v>80.58</v>
      </c>
      <c r="F92" s="79">
        <f t="shared" ref="F92:G92" si="15">(F89*4+F90*3+F91*3)/10</f>
        <v>90.320000000000007</v>
      </c>
      <c r="G92" s="79">
        <f t="shared" si="15"/>
        <v>81.820000000000007</v>
      </c>
      <c r="H92" s="79">
        <f>AVERAGE(H84:H87)</f>
        <v>83.5</v>
      </c>
      <c r="I92" s="79">
        <f>AVERAGE(I84:I87)</f>
        <v>87.25</v>
      </c>
      <c r="J92" s="79">
        <f>AVERAGE(J84:J85)</f>
        <v>82</v>
      </c>
      <c r="K92" s="79">
        <f>AVERAGE(K84:K87)</f>
        <v>79.25</v>
      </c>
      <c r="L92" s="79">
        <f>(L89*4+L90*3+L91*3)/10</f>
        <v>82.4</v>
      </c>
      <c r="M92" s="79">
        <f>(M89*4+M90*3+M91*3)/10</f>
        <v>86.320000000000007</v>
      </c>
      <c r="N92" s="79">
        <f>(N89*4+N90*3+N91*3)/10</f>
        <v>84.52000000000001</v>
      </c>
      <c r="O92" s="79">
        <f>AVERAGE(O84:O85)</f>
        <v>79.5</v>
      </c>
      <c r="P92" s="79">
        <f>AVERAGE(P84:P85)</f>
        <v>89</v>
      </c>
      <c r="Q92" s="79">
        <f>AVERAGE(Q84:Q85)</f>
        <v>88.5</v>
      </c>
      <c r="R92" s="79">
        <f>(R89*4+R90*3+R91*3)/10</f>
        <v>84.888888888888886</v>
      </c>
      <c r="S92" s="79">
        <f>(S89*4+S90*3+S91*3)/10</f>
        <v>85.23333333333332</v>
      </c>
      <c r="T92" s="79">
        <f>T90</f>
        <v>82</v>
      </c>
      <c r="U92" s="79">
        <f t="shared" ref="U92" si="16">(U89*4+U90*3+U91*3)/10</f>
        <v>84.866666666666674</v>
      </c>
      <c r="V92" s="80">
        <f>AVERAGE(E92:U92)</f>
        <v>84.232287581699353</v>
      </c>
      <c r="X92" s="278">
        <v>13</v>
      </c>
    </row>
    <row r="93" spans="1:24" ht="15.6" thickTop="1" thickBot="1">
      <c r="A93" s="268">
        <v>10</v>
      </c>
      <c r="B93" s="270" t="s">
        <v>467</v>
      </c>
      <c r="C93" s="273" t="s">
        <v>449</v>
      </c>
      <c r="D93" s="52" t="s">
        <v>294</v>
      </c>
      <c r="E93" s="53">
        <f>te!$E$14</f>
        <v>86</v>
      </c>
      <c r="F93" s="53">
        <f>te!$K$14</f>
        <v>84</v>
      </c>
      <c r="G93" s="53">
        <f>te!$Q$14</f>
        <v>83</v>
      </c>
      <c r="H93" s="53">
        <f>te!$W$14</f>
        <v>82</v>
      </c>
      <c r="I93" s="53">
        <f>te!$AA$14</f>
        <v>89</v>
      </c>
      <c r="J93" s="53">
        <f>te!$AE$14</f>
        <v>87</v>
      </c>
      <c r="K93" s="54">
        <f>te!$AG$14</f>
        <v>87</v>
      </c>
      <c r="L93" s="55"/>
      <c r="M93" s="53">
        <f>te!$AM$14</f>
        <v>80</v>
      </c>
      <c r="N93" s="53">
        <f>te!$AS$14</f>
        <v>77</v>
      </c>
      <c r="O93" s="53">
        <f>te!$AY$14</f>
        <v>75</v>
      </c>
      <c r="P93" s="54">
        <f>te!$BA$14</f>
        <v>86</v>
      </c>
      <c r="Q93" s="54">
        <f>te!$BC$14</f>
        <v>90</v>
      </c>
      <c r="R93" s="55"/>
      <c r="S93" s="55"/>
      <c r="T93" s="55"/>
      <c r="U93" s="55"/>
      <c r="V93" s="56"/>
      <c r="X93" s="278">
        <v>14</v>
      </c>
    </row>
    <row r="94" spans="1:24" ht="15" thickBot="1">
      <c r="A94" s="268">
        <v>10</v>
      </c>
      <c r="B94" s="271"/>
      <c r="C94" s="274"/>
      <c r="D94" s="52" t="s">
        <v>295</v>
      </c>
      <c r="E94" s="53">
        <f>te!$F$14</f>
        <v>89</v>
      </c>
      <c r="F94" s="53">
        <f>te!$L$14</f>
        <v>80</v>
      </c>
      <c r="G94" s="53">
        <f>te!$R$14</f>
        <v>77</v>
      </c>
      <c r="H94" s="53">
        <f>te!$X$14</f>
        <v>84</v>
      </c>
      <c r="I94" s="53">
        <f>te!$AB$14</f>
        <v>86</v>
      </c>
      <c r="J94" s="53">
        <f>te!$AF$14</f>
        <v>92</v>
      </c>
      <c r="K94" s="54">
        <f>te!$AH$14</f>
        <v>85</v>
      </c>
      <c r="L94" s="55"/>
      <c r="M94" s="53">
        <f>te!$AN$14</f>
        <v>80</v>
      </c>
      <c r="N94" s="53">
        <f>te!$AT$14</f>
        <v>83</v>
      </c>
      <c r="O94" s="53">
        <f>te!$AZ$14</f>
        <v>79</v>
      </c>
      <c r="P94" s="54">
        <f>te!$BB$14</f>
        <v>88</v>
      </c>
      <c r="Q94" s="54">
        <f>te!$BD$14</f>
        <v>88</v>
      </c>
      <c r="R94" s="55"/>
      <c r="S94" s="55"/>
      <c r="T94" s="55"/>
      <c r="U94" s="55"/>
      <c r="V94" s="58"/>
      <c r="X94" s="278">
        <v>14</v>
      </c>
    </row>
    <row r="95" spans="1:24" ht="15" thickBot="1">
      <c r="A95" s="268">
        <v>10</v>
      </c>
      <c r="B95" s="271"/>
      <c r="C95" s="274"/>
      <c r="D95" s="52" t="s">
        <v>296</v>
      </c>
      <c r="E95" s="53">
        <f>te!$G$14</f>
        <v>89</v>
      </c>
      <c r="F95" s="53">
        <f>te!$M$14</f>
        <v>92</v>
      </c>
      <c r="G95" s="53">
        <f>te!$S$14</f>
        <v>81</v>
      </c>
      <c r="H95" s="53">
        <f>te!$Y$14</f>
        <v>82</v>
      </c>
      <c r="I95" s="53">
        <f>te!$AC$14</f>
        <v>73</v>
      </c>
      <c r="J95" s="59"/>
      <c r="K95" s="54">
        <f>te!$AI$14</f>
        <v>74</v>
      </c>
      <c r="L95" s="55"/>
      <c r="M95" s="53">
        <f>te!$AO$14</f>
        <v>79</v>
      </c>
      <c r="N95" s="53">
        <f>te!$AU$14</f>
        <v>80</v>
      </c>
      <c r="O95" s="59"/>
      <c r="P95" s="55"/>
      <c r="Q95" s="55"/>
      <c r="R95" s="54">
        <f>te!$BS$14</f>
        <v>86.333333333333329</v>
      </c>
      <c r="S95" s="54">
        <f>te!$BW$14</f>
        <v>85</v>
      </c>
      <c r="T95" s="55"/>
      <c r="U95" s="54">
        <f>te!$CB$14</f>
        <v>80</v>
      </c>
      <c r="V95" s="58"/>
      <c r="X95" s="278">
        <v>14</v>
      </c>
    </row>
    <row r="96" spans="1:24" ht="15" thickBot="1">
      <c r="A96" s="268">
        <v>10</v>
      </c>
      <c r="B96" s="271"/>
      <c r="C96" s="274"/>
      <c r="D96" s="62" t="s">
        <v>297</v>
      </c>
      <c r="E96" s="53">
        <f>te!$H$14</f>
        <v>86</v>
      </c>
      <c r="F96" s="53">
        <f>te!$N$14</f>
        <v>92</v>
      </c>
      <c r="G96" s="53">
        <f>te!$T$14</f>
        <v>79</v>
      </c>
      <c r="H96" s="53">
        <f>te!$Z$14</f>
        <v>84</v>
      </c>
      <c r="I96" s="53">
        <f>te!$AD$14</f>
        <v>80</v>
      </c>
      <c r="J96" s="59"/>
      <c r="K96" s="54">
        <f>te!$AJ$14</f>
        <v>83</v>
      </c>
      <c r="L96" s="55"/>
      <c r="M96" s="53">
        <f>te!$AP$14</f>
        <v>80</v>
      </c>
      <c r="N96" s="53">
        <f>te!$AV$14</f>
        <v>75</v>
      </c>
      <c r="O96" s="59"/>
      <c r="P96" s="55"/>
      <c r="Q96" s="55"/>
      <c r="R96" s="54">
        <f>te!$BT$14</f>
        <v>83.333333333333329</v>
      </c>
      <c r="S96" s="54">
        <f>te!$BX$14</f>
        <v>80</v>
      </c>
      <c r="T96" s="63"/>
      <c r="U96" s="54">
        <f>te!$CC$14</f>
        <v>86</v>
      </c>
      <c r="V96" s="58"/>
      <c r="X96" s="278">
        <v>14</v>
      </c>
    </row>
    <row r="97" spans="1:24">
      <c r="A97" s="268">
        <v>10</v>
      </c>
      <c r="B97" s="271"/>
      <c r="C97" s="274"/>
      <c r="D97" s="62" t="s">
        <v>298</v>
      </c>
      <c r="E97" s="53">
        <f>te!$I$14</f>
        <v>90</v>
      </c>
      <c r="F97" s="53">
        <f>te!$O$14</f>
        <v>92</v>
      </c>
      <c r="G97" s="53">
        <f>te!$U$14</f>
        <v>76</v>
      </c>
      <c r="H97" s="65"/>
      <c r="I97" s="65"/>
      <c r="J97" s="59"/>
      <c r="K97" s="59"/>
      <c r="L97" s="53">
        <f>te!$AK$14</f>
        <v>80</v>
      </c>
      <c r="M97" s="53">
        <f>te!$AQ$14</f>
        <v>81</v>
      </c>
      <c r="N97" s="53">
        <f>te!$AW$14</f>
        <v>86</v>
      </c>
      <c r="O97" s="59"/>
      <c r="P97" s="55"/>
      <c r="Q97" s="55"/>
      <c r="R97" s="54">
        <f>te!$BU$14</f>
        <v>84</v>
      </c>
      <c r="S97" s="54">
        <f>te!$BY$14</f>
        <v>86</v>
      </c>
      <c r="T97" s="54"/>
      <c r="U97" s="54">
        <f>te!$CD$14</f>
        <v>74</v>
      </c>
      <c r="V97" s="58"/>
      <c r="X97" s="278">
        <v>14</v>
      </c>
    </row>
    <row r="98" spans="1:24">
      <c r="A98" s="268">
        <v>10</v>
      </c>
      <c r="B98" s="271"/>
      <c r="C98" s="274"/>
      <c r="D98" s="66" t="s">
        <v>299</v>
      </c>
      <c r="E98" s="67">
        <f>AVERAGE(E93:E97)</f>
        <v>88</v>
      </c>
      <c r="F98" s="67">
        <f>AVERAGE(F93:F97)</f>
        <v>88</v>
      </c>
      <c r="G98" s="67">
        <f>AVERAGE(G93:G97)</f>
        <v>79.2</v>
      </c>
      <c r="H98" s="68"/>
      <c r="I98" s="68"/>
      <c r="J98" s="69"/>
      <c r="K98" s="69"/>
      <c r="L98" s="67">
        <f>AVERAGE(L93:L97)</f>
        <v>80</v>
      </c>
      <c r="M98" s="67">
        <f>AVERAGE(M93:M97)</f>
        <v>80</v>
      </c>
      <c r="N98" s="67">
        <f>AVERAGE(N93:N97)</f>
        <v>80.2</v>
      </c>
      <c r="O98" s="69"/>
      <c r="P98" s="63"/>
      <c r="Q98" s="63"/>
      <c r="R98" s="84">
        <f>AVERAGE(R95:R97)</f>
        <v>84.555555555555557</v>
      </c>
      <c r="S98" s="84">
        <f>AVERAGE(S95:S97)</f>
        <v>83.666666666666671</v>
      </c>
      <c r="T98" s="63"/>
      <c r="U98" s="84">
        <f>AVERAGE(U93:U97)</f>
        <v>80</v>
      </c>
      <c r="V98" s="58"/>
      <c r="X98" s="278">
        <v>14</v>
      </c>
    </row>
    <row r="99" spans="1:24">
      <c r="A99" s="268">
        <v>10</v>
      </c>
      <c r="B99" s="271"/>
      <c r="C99" s="274"/>
      <c r="D99" s="70" t="s">
        <v>300</v>
      </c>
      <c r="E99" s="71">
        <f>te!$J$14</f>
        <v>78</v>
      </c>
      <c r="F99" s="71">
        <f>te!$P$14</f>
        <v>79</v>
      </c>
      <c r="G99" s="71">
        <f>te!$V$14</f>
        <v>77</v>
      </c>
      <c r="H99" s="72"/>
      <c r="I99" s="72"/>
      <c r="J99" s="73"/>
      <c r="K99" s="73"/>
      <c r="L99" s="71">
        <f>te!$AL$14</f>
        <v>77</v>
      </c>
      <c r="M99" s="71">
        <f>te!$AR$14</f>
        <v>78</v>
      </c>
      <c r="N99" s="71">
        <f>te!$AX$14</f>
        <v>78</v>
      </c>
      <c r="O99" s="73"/>
      <c r="P99" s="74"/>
      <c r="Q99" s="74"/>
      <c r="R99" s="85">
        <f>te!$BV$14</f>
        <v>78</v>
      </c>
      <c r="S99" s="85">
        <f>te!$BZ$14</f>
        <v>79</v>
      </c>
      <c r="T99" s="85">
        <f>te!$CA$14</f>
        <v>78</v>
      </c>
      <c r="U99" s="75">
        <f>te!$CE$14</f>
        <v>78</v>
      </c>
      <c r="V99" s="58"/>
      <c r="X99" s="278">
        <v>14</v>
      </c>
    </row>
    <row r="100" spans="1:24">
      <c r="A100" s="268">
        <v>10</v>
      </c>
      <c r="B100" s="271"/>
      <c r="C100" s="274"/>
      <c r="D100" s="76" t="s">
        <v>301</v>
      </c>
      <c r="E100" s="77">
        <f>te!$CF$14</f>
        <v>82</v>
      </c>
      <c r="F100" s="77">
        <f>te!$CG$14</f>
        <v>92</v>
      </c>
      <c r="G100" s="77">
        <f>te!$CH$14</f>
        <v>75</v>
      </c>
      <c r="H100" s="72"/>
      <c r="I100" s="72"/>
      <c r="J100" s="73"/>
      <c r="K100" s="73"/>
      <c r="L100" s="77">
        <f>te!$CI$14</f>
        <v>82</v>
      </c>
      <c r="M100" s="77">
        <f>te!$CJ$14</f>
        <v>82</v>
      </c>
      <c r="N100" s="77">
        <f>te!$CK$14</f>
        <v>85</v>
      </c>
      <c r="O100" s="73"/>
      <c r="P100" s="74"/>
      <c r="Q100" s="74"/>
      <c r="R100" s="86">
        <f>te!$CN$14</f>
        <v>72</v>
      </c>
      <c r="S100" s="86">
        <f>te!$CM$14</f>
        <v>89</v>
      </c>
      <c r="T100" s="74"/>
      <c r="U100" s="86">
        <f>te!$CL$14</f>
        <v>88</v>
      </c>
      <c r="V100" s="58"/>
      <c r="X100" s="278">
        <v>14</v>
      </c>
    </row>
    <row r="101" spans="1:24" ht="15" thickBot="1">
      <c r="A101" s="269">
        <v>10</v>
      </c>
      <c r="B101" s="272"/>
      <c r="C101" s="275"/>
      <c r="D101" s="78" t="s">
        <v>302</v>
      </c>
      <c r="E101" s="79">
        <f>(E98*4+E99*3+E100*3)/10</f>
        <v>83.2</v>
      </c>
      <c r="F101" s="79">
        <f t="shared" ref="F101:G101" si="17">(F98*4+F99*3+F100*3)/10</f>
        <v>86.5</v>
      </c>
      <c r="G101" s="79">
        <f t="shared" si="17"/>
        <v>77.28</v>
      </c>
      <c r="H101" s="79">
        <f>AVERAGE(H93:H96)</f>
        <v>83</v>
      </c>
      <c r="I101" s="79">
        <f>AVERAGE(I93:I96)</f>
        <v>82</v>
      </c>
      <c r="J101" s="79">
        <f>AVERAGE(J93:J94)</f>
        <v>89.5</v>
      </c>
      <c r="K101" s="79">
        <f>AVERAGE(K93:K96)</f>
        <v>82.25</v>
      </c>
      <c r="L101" s="79">
        <f>(L98*4+L99*3+L100*3)/10</f>
        <v>79.7</v>
      </c>
      <c r="M101" s="79">
        <f>(M98*4+M99*3+M100*3)/10</f>
        <v>80</v>
      </c>
      <c r="N101" s="79">
        <f>(N98*4+N99*3+N100*3)/10</f>
        <v>80.97999999999999</v>
      </c>
      <c r="O101" s="79">
        <f>AVERAGE(O93:O94)</f>
        <v>77</v>
      </c>
      <c r="P101" s="79">
        <f>AVERAGE(P93:P94)</f>
        <v>87</v>
      </c>
      <c r="Q101" s="79">
        <f>AVERAGE(Q93:Q94)</f>
        <v>89</v>
      </c>
      <c r="R101" s="79">
        <f>(R98*4+R99*3+R100*3)/10</f>
        <v>78.822222222222223</v>
      </c>
      <c r="S101" s="79">
        <f>(S98*4+S99*3+S100*3)/10</f>
        <v>83.866666666666674</v>
      </c>
      <c r="T101" s="79">
        <f>T99</f>
        <v>78</v>
      </c>
      <c r="U101" s="79">
        <f t="shared" ref="U101" si="18">(U98*4+U99*3+U100*3)/10</f>
        <v>81.8</v>
      </c>
      <c r="V101" s="80">
        <f>AVERAGE(E101:U101)</f>
        <v>82.346993464052304</v>
      </c>
      <c r="X101" s="278">
        <v>14</v>
      </c>
    </row>
    <row r="102" spans="1:24" ht="18" customHeight="1" thickTop="1" thickBot="1">
      <c r="A102" s="268">
        <v>11</v>
      </c>
      <c r="B102" s="270" t="s">
        <v>468</v>
      </c>
      <c r="C102" s="273" t="s">
        <v>451</v>
      </c>
      <c r="D102" s="52" t="s">
        <v>294</v>
      </c>
      <c r="E102" s="53">
        <f>te!$E$15</f>
        <v>82</v>
      </c>
      <c r="F102" s="53">
        <f>te!$K$15</f>
        <v>80</v>
      </c>
      <c r="G102" s="53">
        <f>te!$Q$15</f>
        <v>82</v>
      </c>
      <c r="H102" s="53">
        <f>te!$W$15</f>
        <v>82</v>
      </c>
      <c r="I102" s="53">
        <f>te!$AA$15</f>
        <v>81</v>
      </c>
      <c r="J102" s="53">
        <f>te!$AE$15</f>
        <v>83</v>
      </c>
      <c r="K102" s="54">
        <f>te!$AG$15</f>
        <v>83</v>
      </c>
      <c r="L102" s="55"/>
      <c r="M102" s="53">
        <f>te!$AM$15</f>
        <v>76</v>
      </c>
      <c r="N102" s="53">
        <f>te!$AS$15</f>
        <v>72</v>
      </c>
      <c r="O102" s="53">
        <f>te!$AY$15</f>
        <v>75</v>
      </c>
      <c r="P102" s="54">
        <f>te!$BA$15</f>
        <v>82</v>
      </c>
      <c r="Q102" s="54">
        <f>te!$BC$15</f>
        <v>79</v>
      </c>
      <c r="R102" s="55"/>
      <c r="S102" s="55"/>
      <c r="T102" s="55"/>
      <c r="U102" s="55"/>
      <c r="V102" s="56"/>
      <c r="X102" s="278">
        <v>15</v>
      </c>
    </row>
    <row r="103" spans="1:24" ht="15" thickBot="1">
      <c r="A103" s="268">
        <v>11</v>
      </c>
      <c r="B103" s="271"/>
      <c r="C103" s="274"/>
      <c r="D103" s="52" t="s">
        <v>295</v>
      </c>
      <c r="E103" s="53">
        <f>te!$F$15</f>
        <v>87</v>
      </c>
      <c r="F103" s="53">
        <f>te!$L$15</f>
        <v>80</v>
      </c>
      <c r="G103" s="53">
        <f>te!$R$15</f>
        <v>80</v>
      </c>
      <c r="H103" s="53">
        <f>te!$X$15</f>
        <v>85</v>
      </c>
      <c r="I103" s="53">
        <f>te!$AB$15</f>
        <v>84</v>
      </c>
      <c r="J103" s="53">
        <f>te!$AF$15</f>
        <v>84</v>
      </c>
      <c r="K103" s="54">
        <f>te!$AH$15</f>
        <v>85</v>
      </c>
      <c r="L103" s="55"/>
      <c r="M103" s="53">
        <f>te!$AN$15</f>
        <v>76</v>
      </c>
      <c r="N103" s="53">
        <f>te!$AT$15</f>
        <v>77</v>
      </c>
      <c r="O103" s="53">
        <f>te!$AZ$15</f>
        <v>79</v>
      </c>
      <c r="P103" s="54">
        <f>te!$BB$15</f>
        <v>86</v>
      </c>
      <c r="Q103" s="54">
        <f>te!$BD$15</f>
        <v>86</v>
      </c>
      <c r="R103" s="55"/>
      <c r="S103" s="55"/>
      <c r="T103" s="55"/>
      <c r="U103" s="55"/>
      <c r="V103" s="58"/>
      <c r="X103" s="278">
        <v>15</v>
      </c>
    </row>
    <row r="104" spans="1:24" ht="15" thickBot="1">
      <c r="A104" s="268">
        <v>11</v>
      </c>
      <c r="B104" s="271"/>
      <c r="C104" s="274"/>
      <c r="D104" s="52" t="s">
        <v>296</v>
      </c>
      <c r="E104" s="53">
        <f>te!$G$15</f>
        <v>86</v>
      </c>
      <c r="F104" s="53">
        <f>te!$M$15</f>
        <v>88</v>
      </c>
      <c r="G104" s="53">
        <f>te!$S$15</f>
        <v>77</v>
      </c>
      <c r="H104" s="53">
        <f>te!$Y$15</f>
        <v>84</v>
      </c>
      <c r="I104" s="53">
        <f>te!$AC$15</f>
        <v>73</v>
      </c>
      <c r="J104" s="59"/>
      <c r="K104" s="54">
        <f>te!$AI$15</f>
        <v>70</v>
      </c>
      <c r="L104" s="55"/>
      <c r="M104" s="53">
        <f>te!$AO$15</f>
        <v>73</v>
      </c>
      <c r="N104" s="53">
        <f>te!$AU$15</f>
        <v>75</v>
      </c>
      <c r="O104" s="59"/>
      <c r="P104" s="55"/>
      <c r="Q104" s="55"/>
      <c r="R104" s="54">
        <f>te!$BS$15</f>
        <v>82.333333333333329</v>
      </c>
      <c r="S104" s="54">
        <f>te!$BW$15</f>
        <v>85</v>
      </c>
      <c r="T104" s="55"/>
      <c r="U104" s="54">
        <f>te!$CB$15</f>
        <v>74</v>
      </c>
      <c r="V104" s="58"/>
      <c r="X104" s="278">
        <v>15</v>
      </c>
    </row>
    <row r="105" spans="1:24" ht="15" thickBot="1">
      <c r="A105" s="268">
        <v>11</v>
      </c>
      <c r="B105" s="271"/>
      <c r="C105" s="274"/>
      <c r="D105" s="62" t="s">
        <v>297</v>
      </c>
      <c r="E105" s="53">
        <f>te!$H$15</f>
        <v>85</v>
      </c>
      <c r="F105" s="53">
        <f>te!$N$15</f>
        <v>83</v>
      </c>
      <c r="G105" s="53">
        <f>te!$T$15</f>
        <v>72</v>
      </c>
      <c r="H105" s="53">
        <f>te!$Z$15</f>
        <v>85</v>
      </c>
      <c r="I105" s="53">
        <f>te!$AD$15</f>
        <v>78</v>
      </c>
      <c r="J105" s="59"/>
      <c r="K105" s="54">
        <f>te!$AJ$15</f>
        <v>81</v>
      </c>
      <c r="L105" s="55"/>
      <c r="M105" s="53">
        <f>te!$AP$15</f>
        <v>74</v>
      </c>
      <c r="N105" s="53">
        <f>te!$AV$15</f>
        <v>73</v>
      </c>
      <c r="O105" s="59"/>
      <c r="P105" s="55"/>
      <c r="Q105" s="55"/>
      <c r="R105" s="54">
        <f>te!$BT$15</f>
        <v>81</v>
      </c>
      <c r="S105" s="54">
        <f>te!$BX$15</f>
        <v>80</v>
      </c>
      <c r="T105" s="63"/>
      <c r="U105" s="54">
        <f>te!$CC$15</f>
        <v>78</v>
      </c>
      <c r="V105" s="58"/>
      <c r="X105" s="278">
        <v>15</v>
      </c>
    </row>
    <row r="106" spans="1:24">
      <c r="A106" s="268">
        <v>11</v>
      </c>
      <c r="B106" s="271"/>
      <c r="C106" s="274"/>
      <c r="D106" s="62" t="s">
        <v>298</v>
      </c>
      <c r="E106" s="53">
        <f>te!$I$15</f>
        <v>84</v>
      </c>
      <c r="F106" s="53">
        <f>te!$O$15</f>
        <v>88</v>
      </c>
      <c r="G106" s="53">
        <f>te!$U$15</f>
        <v>77</v>
      </c>
      <c r="H106" s="65"/>
      <c r="I106" s="65"/>
      <c r="J106" s="59"/>
      <c r="K106" s="59"/>
      <c r="L106" s="53">
        <f>te!$AK$15</f>
        <v>80</v>
      </c>
      <c r="M106" s="53">
        <f>te!$AQ$15</f>
        <v>79</v>
      </c>
      <c r="N106" s="53">
        <f>te!$AW$15</f>
        <v>83</v>
      </c>
      <c r="O106" s="59"/>
      <c r="P106" s="55"/>
      <c r="Q106" s="55"/>
      <c r="R106" s="54">
        <f>te!$BU$15</f>
        <v>83</v>
      </c>
      <c r="S106" s="54">
        <f>te!$BY$15</f>
        <v>85</v>
      </c>
      <c r="T106" s="54"/>
      <c r="U106" s="54">
        <f>te!$CD$15</f>
        <v>74</v>
      </c>
      <c r="V106" s="58"/>
      <c r="X106" s="278">
        <v>15</v>
      </c>
    </row>
    <row r="107" spans="1:24">
      <c r="A107" s="268">
        <v>11</v>
      </c>
      <c r="B107" s="271"/>
      <c r="C107" s="274"/>
      <c r="D107" s="66" t="s">
        <v>299</v>
      </c>
      <c r="E107" s="67">
        <f>AVERAGE(E102:E106)</f>
        <v>84.8</v>
      </c>
      <c r="F107" s="67">
        <f>AVERAGE(F102:F106)</f>
        <v>83.8</v>
      </c>
      <c r="G107" s="67">
        <f>AVERAGE(G102:G106)</f>
        <v>77.599999999999994</v>
      </c>
      <c r="H107" s="68"/>
      <c r="I107" s="68"/>
      <c r="J107" s="69"/>
      <c r="K107" s="69"/>
      <c r="L107" s="67">
        <f>AVERAGE(L102:L106)</f>
        <v>80</v>
      </c>
      <c r="M107" s="67">
        <f>AVERAGE(M102:M106)</f>
        <v>75.599999999999994</v>
      </c>
      <c r="N107" s="67">
        <f>AVERAGE(N102:N106)</f>
        <v>76</v>
      </c>
      <c r="O107" s="69"/>
      <c r="P107" s="63"/>
      <c r="Q107" s="63"/>
      <c r="R107" s="84">
        <f>AVERAGE(R104:R106)</f>
        <v>82.1111111111111</v>
      </c>
      <c r="S107" s="84">
        <f>AVERAGE(S104:S106)</f>
        <v>83.333333333333329</v>
      </c>
      <c r="T107" s="63"/>
      <c r="U107" s="84">
        <f>AVERAGE(U102:U106)</f>
        <v>75.333333333333329</v>
      </c>
      <c r="V107" s="58"/>
      <c r="X107" s="278">
        <v>15</v>
      </c>
    </row>
    <row r="108" spans="1:24">
      <c r="A108" s="268">
        <v>11</v>
      </c>
      <c r="B108" s="271"/>
      <c r="C108" s="274"/>
      <c r="D108" s="70" t="s">
        <v>300</v>
      </c>
      <c r="E108" s="71">
        <f>te!$J$15</f>
        <v>79</v>
      </c>
      <c r="F108" s="71">
        <f>te!$P$15</f>
        <v>79</v>
      </c>
      <c r="G108" s="71">
        <f>te!$V$15</f>
        <v>79</v>
      </c>
      <c r="H108" s="72"/>
      <c r="I108" s="72"/>
      <c r="J108" s="73"/>
      <c r="K108" s="73"/>
      <c r="L108" s="71">
        <f>te!$AL$15</f>
        <v>79</v>
      </c>
      <c r="M108" s="71">
        <f>te!$AR$15</f>
        <v>80</v>
      </c>
      <c r="N108" s="71">
        <f>te!$AX$15</f>
        <v>80</v>
      </c>
      <c r="O108" s="73"/>
      <c r="P108" s="74"/>
      <c r="Q108" s="74"/>
      <c r="R108" s="85">
        <f>te!$BV$15</f>
        <v>80</v>
      </c>
      <c r="S108" s="85">
        <f>te!$BZ$15</f>
        <v>81</v>
      </c>
      <c r="T108" s="85">
        <f>te!$CA$15</f>
        <v>80</v>
      </c>
      <c r="U108" s="75">
        <f>te!$CE$15</f>
        <v>80</v>
      </c>
      <c r="V108" s="58"/>
      <c r="X108" s="278">
        <v>15</v>
      </c>
    </row>
    <row r="109" spans="1:24">
      <c r="A109" s="268">
        <v>11</v>
      </c>
      <c r="B109" s="271"/>
      <c r="C109" s="274"/>
      <c r="D109" s="76" t="s">
        <v>301</v>
      </c>
      <c r="E109" s="77">
        <f>te!$CF$15</f>
        <v>85</v>
      </c>
      <c r="F109" s="77">
        <f>te!$CG$15</f>
        <v>90</v>
      </c>
      <c r="G109" s="77">
        <f>te!$CH$15</f>
        <v>75</v>
      </c>
      <c r="H109" s="72"/>
      <c r="I109" s="72"/>
      <c r="J109" s="73"/>
      <c r="K109" s="73"/>
      <c r="L109" s="77">
        <f>te!$CI$15</f>
        <v>80</v>
      </c>
      <c r="M109" s="77">
        <f>te!$CJ$15</f>
        <v>80</v>
      </c>
      <c r="N109" s="77">
        <f>te!$CK$15</f>
        <v>83</v>
      </c>
      <c r="O109" s="73"/>
      <c r="P109" s="74"/>
      <c r="Q109" s="74"/>
      <c r="R109" s="86">
        <f>te!$CN$15</f>
        <v>70</v>
      </c>
      <c r="S109" s="86">
        <f>te!$CM$15</f>
        <v>97</v>
      </c>
      <c r="T109" s="74"/>
      <c r="U109" s="86">
        <f>te!$CL$15</f>
        <v>85</v>
      </c>
      <c r="V109" s="58"/>
      <c r="X109" s="278">
        <v>15</v>
      </c>
    </row>
    <row r="110" spans="1:24" ht="15" thickBot="1">
      <c r="A110" s="269">
        <v>11</v>
      </c>
      <c r="B110" s="272"/>
      <c r="C110" s="275"/>
      <c r="D110" s="78" t="s">
        <v>302</v>
      </c>
      <c r="E110" s="79">
        <f>(E107*4+E108*3+E109*3)/10</f>
        <v>83.12</v>
      </c>
      <c r="F110" s="79">
        <f t="shared" ref="F110:G110" si="19">(F107*4+F108*3+F109*3)/10</f>
        <v>84.22</v>
      </c>
      <c r="G110" s="79">
        <f t="shared" si="19"/>
        <v>77.239999999999995</v>
      </c>
      <c r="H110" s="79">
        <f>AVERAGE(H102:H105)</f>
        <v>84</v>
      </c>
      <c r="I110" s="79">
        <f>AVERAGE(I102:I105)</f>
        <v>79</v>
      </c>
      <c r="J110" s="79">
        <f>AVERAGE(J102:J103)</f>
        <v>83.5</v>
      </c>
      <c r="K110" s="79">
        <f>AVERAGE(K102:K105)</f>
        <v>79.75</v>
      </c>
      <c r="L110" s="79">
        <f>(L107*4+L108*3+L109*3)/10</f>
        <v>79.7</v>
      </c>
      <c r="M110" s="79">
        <f>(M107*4+M108*3+M109*3)/10</f>
        <v>78.239999999999995</v>
      </c>
      <c r="N110" s="79">
        <f>(N107*4+N108*3+N109*3)/10</f>
        <v>79.3</v>
      </c>
      <c r="O110" s="79">
        <f>AVERAGE(O102:O103)</f>
        <v>77</v>
      </c>
      <c r="P110" s="79">
        <f>AVERAGE(P102:P103)</f>
        <v>84</v>
      </c>
      <c r="Q110" s="79">
        <f>AVERAGE(Q102:Q103)</f>
        <v>82.5</v>
      </c>
      <c r="R110" s="79">
        <f>(R107*4+R108*3+R109*3)/10</f>
        <v>77.844444444444434</v>
      </c>
      <c r="S110" s="79">
        <f>(S107*4+S108*3+S109*3)/10</f>
        <v>86.73333333333332</v>
      </c>
      <c r="T110" s="79">
        <f>T108</f>
        <v>80</v>
      </c>
      <c r="U110" s="79">
        <f t="shared" ref="U110" si="20">(U107*4+U108*3+U109*3)/10</f>
        <v>79.633333333333326</v>
      </c>
      <c r="V110" s="80">
        <f>AVERAGE(E110:U110)</f>
        <v>80.928300653594761</v>
      </c>
      <c r="X110" s="278">
        <v>15</v>
      </c>
    </row>
    <row r="111" spans="1:24" ht="15.6" thickTop="1" thickBot="1">
      <c r="A111" s="268">
        <v>12</v>
      </c>
      <c r="B111" s="270" t="s">
        <v>469</v>
      </c>
      <c r="C111" s="273" t="s">
        <v>453</v>
      </c>
      <c r="D111" s="52" t="s">
        <v>294</v>
      </c>
      <c r="E111" s="53">
        <f>te!$E$16</f>
        <v>88</v>
      </c>
      <c r="F111" s="53">
        <f>te!$K$16</f>
        <v>86</v>
      </c>
      <c r="G111" s="53">
        <f>te!$Q$16</f>
        <v>85</v>
      </c>
      <c r="H111" s="53">
        <f>te!$W$16</f>
        <v>82</v>
      </c>
      <c r="I111" s="53">
        <f>te!$AA$16</f>
        <v>80</v>
      </c>
      <c r="J111" s="53">
        <f>te!$AE$16</f>
        <v>85</v>
      </c>
      <c r="K111" s="54">
        <f>te!$AG$16</f>
        <v>85</v>
      </c>
      <c r="L111" s="55"/>
      <c r="M111" s="53">
        <f>te!$AM$16</f>
        <v>75</v>
      </c>
      <c r="N111" s="53">
        <f>te!$AS$16</f>
        <v>77</v>
      </c>
      <c r="O111" s="53">
        <f>te!$AY$16</f>
        <v>78</v>
      </c>
      <c r="P111" s="54">
        <f>te!$BA$16</f>
        <v>82</v>
      </c>
      <c r="Q111" s="54">
        <f>te!$BC$16</f>
        <v>91</v>
      </c>
      <c r="R111" s="55"/>
      <c r="S111" s="55"/>
      <c r="T111" s="55"/>
      <c r="U111" s="55"/>
      <c r="V111" s="56"/>
      <c r="X111" s="278">
        <v>16</v>
      </c>
    </row>
    <row r="112" spans="1:24" ht="15" thickBot="1">
      <c r="A112" s="268">
        <v>12</v>
      </c>
      <c r="B112" s="271"/>
      <c r="C112" s="274"/>
      <c r="D112" s="52" t="s">
        <v>295</v>
      </c>
      <c r="E112" s="53">
        <f>te!$F$16</f>
        <v>90</v>
      </c>
      <c r="F112" s="53">
        <f>te!$L$16</f>
        <v>80</v>
      </c>
      <c r="G112" s="53">
        <f>te!$R$16</f>
        <v>79</v>
      </c>
      <c r="H112" s="53">
        <f>te!$X$16</f>
        <v>85</v>
      </c>
      <c r="I112" s="53">
        <f>te!$AB$16</f>
        <v>82</v>
      </c>
      <c r="J112" s="53">
        <f>te!$AF$16</f>
        <v>86</v>
      </c>
      <c r="K112" s="54">
        <f>te!$AH$16</f>
        <v>87</v>
      </c>
      <c r="L112" s="55"/>
      <c r="M112" s="53">
        <f>te!$AN$16</f>
        <v>77</v>
      </c>
      <c r="N112" s="53">
        <f>te!$AT$16</f>
        <v>80</v>
      </c>
      <c r="O112" s="53">
        <f>te!$AZ$16</f>
        <v>79</v>
      </c>
      <c r="P112" s="54">
        <f>te!$BB$16</f>
        <v>82</v>
      </c>
      <c r="Q112" s="54">
        <f>te!$BD$16</f>
        <v>80</v>
      </c>
      <c r="R112" s="55"/>
      <c r="S112" s="55"/>
      <c r="T112" s="55"/>
      <c r="U112" s="55"/>
      <c r="V112" s="58"/>
      <c r="X112" s="278">
        <v>16</v>
      </c>
    </row>
    <row r="113" spans="1:24" ht="15" thickBot="1">
      <c r="A113" s="268">
        <v>12</v>
      </c>
      <c r="B113" s="271"/>
      <c r="C113" s="274"/>
      <c r="D113" s="52" t="s">
        <v>296</v>
      </c>
      <c r="E113" s="53">
        <f>te!$G$16</f>
        <v>88</v>
      </c>
      <c r="F113" s="53">
        <f>te!$M$16</f>
        <v>81</v>
      </c>
      <c r="G113" s="53">
        <f>te!$S$16</f>
        <v>81</v>
      </c>
      <c r="H113" s="53">
        <f>te!$Y$16</f>
        <v>82</v>
      </c>
      <c r="I113" s="53">
        <f>te!$AC$16</f>
        <v>85</v>
      </c>
      <c r="J113" s="59"/>
      <c r="K113" s="54">
        <f>te!$AI$16</f>
        <v>80</v>
      </c>
      <c r="L113" s="55"/>
      <c r="M113" s="53">
        <f>te!$AO$16</f>
        <v>77</v>
      </c>
      <c r="N113" s="53">
        <f>te!$AU$16</f>
        <v>74</v>
      </c>
      <c r="O113" s="59"/>
      <c r="P113" s="55"/>
      <c r="Q113" s="55"/>
      <c r="R113" s="54">
        <f>te!$BS$16</f>
        <v>81.666666666666671</v>
      </c>
      <c r="S113" s="54">
        <f>te!$BW$16</f>
        <v>84</v>
      </c>
      <c r="T113" s="55"/>
      <c r="U113" s="54">
        <f>te!$CB$16</f>
        <v>78</v>
      </c>
      <c r="V113" s="58"/>
      <c r="X113" s="278">
        <v>16</v>
      </c>
    </row>
    <row r="114" spans="1:24" ht="15" thickBot="1">
      <c r="A114" s="268">
        <v>12</v>
      </c>
      <c r="B114" s="271"/>
      <c r="C114" s="274"/>
      <c r="D114" s="62" t="s">
        <v>297</v>
      </c>
      <c r="E114" s="53">
        <f>te!$H$16</f>
        <v>88</v>
      </c>
      <c r="F114" s="53">
        <f>te!$N$16</f>
        <v>88</v>
      </c>
      <c r="G114" s="53">
        <f>te!$T$16</f>
        <v>78</v>
      </c>
      <c r="H114" s="53">
        <f>te!$Z$16</f>
        <v>83</v>
      </c>
      <c r="I114" s="53">
        <f>te!$AD$16</f>
        <v>86</v>
      </c>
      <c r="J114" s="59"/>
      <c r="K114" s="54">
        <f>te!$AJ$16</f>
        <v>82</v>
      </c>
      <c r="L114" s="55"/>
      <c r="M114" s="53">
        <f>te!$AP$16</f>
        <v>78</v>
      </c>
      <c r="N114" s="53">
        <f>te!$AV$16</f>
        <v>75</v>
      </c>
      <c r="O114" s="59"/>
      <c r="P114" s="55"/>
      <c r="Q114" s="55"/>
      <c r="R114" s="54">
        <f>te!$BT$16</f>
        <v>80.666666666666671</v>
      </c>
      <c r="S114" s="54">
        <f>te!$BX$16</f>
        <v>81</v>
      </c>
      <c r="T114" s="63"/>
      <c r="U114" s="54">
        <f>te!$CC$16</f>
        <v>91</v>
      </c>
      <c r="V114" s="58"/>
      <c r="X114" s="278">
        <v>16</v>
      </c>
    </row>
    <row r="115" spans="1:24">
      <c r="A115" s="268">
        <v>12</v>
      </c>
      <c r="B115" s="271"/>
      <c r="C115" s="274"/>
      <c r="D115" s="62" t="s">
        <v>298</v>
      </c>
      <c r="E115" s="53">
        <f>te!$I$16</f>
        <v>91</v>
      </c>
      <c r="F115" s="53">
        <f>te!$O$16</f>
        <v>88</v>
      </c>
      <c r="G115" s="53">
        <f>te!$U$16</f>
        <v>77</v>
      </c>
      <c r="H115" s="65"/>
      <c r="I115" s="65"/>
      <c r="J115" s="59"/>
      <c r="K115" s="59"/>
      <c r="L115" s="53">
        <f>te!$AK$16</f>
        <v>84</v>
      </c>
      <c r="M115" s="53">
        <f>te!$AQ$16</f>
        <v>82</v>
      </c>
      <c r="N115" s="53">
        <f>te!$AW$16</f>
        <v>77</v>
      </c>
      <c r="O115" s="59"/>
      <c r="P115" s="55"/>
      <c r="Q115" s="55"/>
      <c r="R115" s="54">
        <f>te!$BU$16</f>
        <v>82.5</v>
      </c>
      <c r="S115" s="54">
        <f>te!$BY$16</f>
        <v>86</v>
      </c>
      <c r="T115" s="54"/>
      <c r="U115" s="54">
        <f>te!$CD$16</f>
        <v>74</v>
      </c>
      <c r="V115" s="58"/>
      <c r="X115" s="278">
        <v>16</v>
      </c>
    </row>
    <row r="116" spans="1:24">
      <c r="A116" s="268">
        <v>12</v>
      </c>
      <c r="B116" s="271"/>
      <c r="C116" s="274"/>
      <c r="D116" s="66" t="s">
        <v>299</v>
      </c>
      <c r="E116" s="67">
        <f>AVERAGE(E111:E115)</f>
        <v>89</v>
      </c>
      <c r="F116" s="67">
        <f>AVERAGE(F111:F115)</f>
        <v>84.6</v>
      </c>
      <c r="G116" s="67">
        <f>AVERAGE(G111:G115)</f>
        <v>80</v>
      </c>
      <c r="H116" s="68"/>
      <c r="I116" s="68"/>
      <c r="J116" s="69"/>
      <c r="K116" s="69"/>
      <c r="L116" s="67">
        <f>AVERAGE(L111:L115)</f>
        <v>84</v>
      </c>
      <c r="M116" s="67">
        <f>AVERAGE(M111:M115)</f>
        <v>77.8</v>
      </c>
      <c r="N116" s="67">
        <f>AVERAGE(N111:N115)</f>
        <v>76.599999999999994</v>
      </c>
      <c r="O116" s="69"/>
      <c r="P116" s="63"/>
      <c r="Q116" s="63"/>
      <c r="R116" s="84">
        <f>AVERAGE(R113:R115)</f>
        <v>81.611111111111114</v>
      </c>
      <c r="S116" s="84">
        <f>AVERAGE(S113:S115)</f>
        <v>83.666666666666671</v>
      </c>
      <c r="T116" s="63"/>
      <c r="U116" s="84">
        <f>AVERAGE(U111:U115)</f>
        <v>81</v>
      </c>
      <c r="V116" s="58"/>
      <c r="X116" s="278">
        <v>16</v>
      </c>
    </row>
    <row r="117" spans="1:24">
      <c r="A117" s="268">
        <v>12</v>
      </c>
      <c r="B117" s="271"/>
      <c r="C117" s="274"/>
      <c r="D117" s="70" t="s">
        <v>300</v>
      </c>
      <c r="E117" s="71">
        <f>te!$J$16</f>
        <v>75</v>
      </c>
      <c r="F117" s="71">
        <f>te!$P$16</f>
        <v>70</v>
      </c>
      <c r="G117" s="71">
        <f>te!$V$16</f>
        <v>79</v>
      </c>
      <c r="H117" s="72"/>
      <c r="I117" s="72"/>
      <c r="J117" s="73"/>
      <c r="K117" s="73"/>
      <c r="L117" s="71">
        <f>te!$AL$16</f>
        <v>79</v>
      </c>
      <c r="M117" s="71">
        <f>te!$AR$16</f>
        <v>75</v>
      </c>
      <c r="N117" s="71">
        <f>te!$AX$16</f>
        <v>75</v>
      </c>
      <c r="O117" s="73"/>
      <c r="P117" s="74"/>
      <c r="Q117" s="74"/>
      <c r="R117" s="85">
        <f>te!$BV$16</f>
        <v>76</v>
      </c>
      <c r="S117" s="85">
        <f>te!$BZ$16</f>
        <v>80</v>
      </c>
      <c r="T117" s="85">
        <f>te!$CA$16</f>
        <v>76</v>
      </c>
      <c r="U117" s="75">
        <f>te!$CE$16</f>
        <v>75</v>
      </c>
      <c r="V117" s="58"/>
      <c r="X117" s="278">
        <v>16</v>
      </c>
    </row>
    <row r="118" spans="1:24">
      <c r="A118" s="268">
        <v>12</v>
      </c>
      <c r="B118" s="271"/>
      <c r="C118" s="274"/>
      <c r="D118" s="76" t="s">
        <v>301</v>
      </c>
      <c r="E118" s="77">
        <f>te!$CF$16</f>
        <v>85</v>
      </c>
      <c r="F118" s="77">
        <f>te!$CG$16</f>
        <v>90</v>
      </c>
      <c r="G118" s="77">
        <f>te!$CH$16</f>
        <v>85</v>
      </c>
      <c r="H118" s="72"/>
      <c r="I118" s="72"/>
      <c r="J118" s="73"/>
      <c r="K118" s="73"/>
      <c r="L118" s="77">
        <f>te!$CI$16</f>
        <v>77</v>
      </c>
      <c r="M118" s="77">
        <f>te!$CJ$16</f>
        <v>83</v>
      </c>
      <c r="N118" s="77">
        <f>te!$CK$16</f>
        <v>85</v>
      </c>
      <c r="O118" s="73"/>
      <c r="P118" s="74"/>
      <c r="Q118" s="74"/>
      <c r="R118" s="86">
        <f>te!$CN$16</f>
        <v>85</v>
      </c>
      <c r="S118" s="86">
        <f>te!$CM$16</f>
        <v>91</v>
      </c>
      <c r="T118" s="74"/>
      <c r="U118" s="86">
        <f>te!$CL$16</f>
        <v>89</v>
      </c>
      <c r="V118" s="58"/>
      <c r="X118" s="278">
        <v>16</v>
      </c>
    </row>
    <row r="119" spans="1:24" ht="15" thickBot="1">
      <c r="A119" s="269">
        <v>12</v>
      </c>
      <c r="B119" s="272"/>
      <c r="C119" s="275"/>
      <c r="D119" s="78" t="s">
        <v>302</v>
      </c>
      <c r="E119" s="79">
        <f>(E116*4+E117*3+E118*3)/10</f>
        <v>83.6</v>
      </c>
      <c r="F119" s="79">
        <f t="shared" ref="F119:G119" si="21">(F116*4+F117*3+F118*3)/10</f>
        <v>81.84</v>
      </c>
      <c r="G119" s="79">
        <f t="shared" si="21"/>
        <v>81.2</v>
      </c>
      <c r="H119" s="79">
        <f>AVERAGE(H111:H114)</f>
        <v>83</v>
      </c>
      <c r="I119" s="79">
        <f>AVERAGE(I111:I114)</f>
        <v>83.25</v>
      </c>
      <c r="J119" s="79">
        <f>AVERAGE(J111:J112)</f>
        <v>85.5</v>
      </c>
      <c r="K119" s="79">
        <f>AVERAGE(K111:K114)</f>
        <v>83.5</v>
      </c>
      <c r="L119" s="79">
        <f>(L116*4+L117*3+L118*3)/10</f>
        <v>80.400000000000006</v>
      </c>
      <c r="M119" s="79">
        <f>(M116*4+M117*3+M118*3)/10</f>
        <v>78.52000000000001</v>
      </c>
      <c r="N119" s="79">
        <f>(N116*4+N117*3+N118*3)/10</f>
        <v>78.64</v>
      </c>
      <c r="O119" s="79">
        <f>AVERAGE(O111:O112)</f>
        <v>78.5</v>
      </c>
      <c r="P119" s="79">
        <f>AVERAGE(P111:P112)</f>
        <v>82</v>
      </c>
      <c r="Q119" s="79">
        <f>AVERAGE(Q111:Q112)</f>
        <v>85.5</v>
      </c>
      <c r="R119" s="79">
        <f>(R116*4+R117*3+R118*3)/10</f>
        <v>80.944444444444443</v>
      </c>
      <c r="S119" s="79">
        <f>(S116*4+S117*3+S118*3)/10</f>
        <v>84.76666666666668</v>
      </c>
      <c r="T119" s="79">
        <f>T117</f>
        <v>76</v>
      </c>
      <c r="U119" s="79">
        <f t="shared" ref="U119" si="22">(U116*4+U117*3+U118*3)/10</f>
        <v>81.599999999999994</v>
      </c>
      <c r="V119" s="80">
        <f>AVERAGE(E119:U119)</f>
        <v>81.691830065359454</v>
      </c>
      <c r="X119" s="278">
        <v>16</v>
      </c>
    </row>
    <row r="120" spans="1:24" ht="15.6" thickTop="1" thickBot="1">
      <c r="A120" s="268">
        <v>13</v>
      </c>
      <c r="B120" s="270" t="s">
        <v>470</v>
      </c>
      <c r="C120" s="273" t="s">
        <v>455</v>
      </c>
      <c r="D120" s="52" t="s">
        <v>294</v>
      </c>
      <c r="E120" s="53">
        <f>te!$E$17</f>
        <v>88</v>
      </c>
      <c r="F120" s="53">
        <f>te!$K$17</f>
        <v>87</v>
      </c>
      <c r="G120" s="53">
        <f>te!$Q$17</f>
        <v>90</v>
      </c>
      <c r="H120" s="53">
        <f>te!$W$17</f>
        <v>82</v>
      </c>
      <c r="I120" s="53">
        <f>te!$AA$17</f>
        <v>82</v>
      </c>
      <c r="J120" s="53">
        <f>te!$AE$17</f>
        <v>86</v>
      </c>
      <c r="K120" s="54">
        <f>te!$AG$17</f>
        <v>86</v>
      </c>
      <c r="L120" s="55"/>
      <c r="M120" s="53">
        <f>te!$AM$17</f>
        <v>81</v>
      </c>
      <c r="N120" s="53">
        <f>te!$AS$17</f>
        <v>78</v>
      </c>
      <c r="O120" s="53">
        <f>te!$AY$17</f>
        <v>81</v>
      </c>
      <c r="P120" s="54">
        <f>te!$BA$17</f>
        <v>86</v>
      </c>
      <c r="Q120" s="54">
        <f>te!$BC$17</f>
        <v>90</v>
      </c>
      <c r="R120" s="55"/>
      <c r="S120" s="55"/>
      <c r="T120" s="55"/>
      <c r="U120" s="55"/>
      <c r="V120" s="56"/>
      <c r="X120" s="278">
        <v>17</v>
      </c>
    </row>
    <row r="121" spans="1:24" ht="15" thickBot="1">
      <c r="A121" s="268">
        <v>13</v>
      </c>
      <c r="B121" s="271"/>
      <c r="C121" s="274"/>
      <c r="D121" s="52" t="s">
        <v>295</v>
      </c>
      <c r="E121" s="53">
        <f>te!$F$17</f>
        <v>90</v>
      </c>
      <c r="F121" s="53">
        <f>te!$L$17</f>
        <v>86</v>
      </c>
      <c r="G121" s="53">
        <f>te!$R$17</f>
        <v>81</v>
      </c>
      <c r="H121" s="53">
        <f>te!$X$17</f>
        <v>85</v>
      </c>
      <c r="I121" s="53">
        <f>te!$AB$17</f>
        <v>88</v>
      </c>
      <c r="J121" s="53">
        <f>te!$AF$17</f>
        <v>93</v>
      </c>
      <c r="K121" s="54">
        <f>te!$AH$17</f>
        <v>89</v>
      </c>
      <c r="L121" s="55"/>
      <c r="M121" s="53">
        <f>te!$AN$17</f>
        <v>81</v>
      </c>
      <c r="N121" s="53">
        <f>te!$AT$17</f>
        <v>81</v>
      </c>
      <c r="O121" s="53">
        <f>te!$AZ$17</f>
        <v>82</v>
      </c>
      <c r="P121" s="54">
        <f>te!$BB$17</f>
        <v>87</v>
      </c>
      <c r="Q121" s="54">
        <f>te!$BD$17</f>
        <v>81</v>
      </c>
      <c r="R121" s="55"/>
      <c r="S121" s="55"/>
      <c r="T121" s="55"/>
      <c r="U121" s="55"/>
      <c r="V121" s="58"/>
      <c r="X121" s="278">
        <v>17</v>
      </c>
    </row>
    <row r="122" spans="1:24" ht="15" thickBot="1">
      <c r="A122" s="268">
        <v>13</v>
      </c>
      <c r="B122" s="271"/>
      <c r="C122" s="274"/>
      <c r="D122" s="52" t="s">
        <v>296</v>
      </c>
      <c r="E122" s="53">
        <f>te!$G$17</f>
        <v>89</v>
      </c>
      <c r="F122" s="53">
        <f>te!$M$17</f>
        <v>88</v>
      </c>
      <c r="G122" s="53">
        <f>te!$S$17</f>
        <v>83</v>
      </c>
      <c r="H122" s="53">
        <f>te!$Y$17</f>
        <v>84</v>
      </c>
      <c r="I122" s="53">
        <f>te!$AC$17</f>
        <v>85</v>
      </c>
      <c r="J122" s="59"/>
      <c r="K122" s="54">
        <f>te!$AI$17</f>
        <v>74</v>
      </c>
      <c r="L122" s="55"/>
      <c r="M122" s="53">
        <f>te!$AO$17</f>
        <v>84</v>
      </c>
      <c r="N122" s="53">
        <f>te!$AU$17</f>
        <v>76</v>
      </c>
      <c r="O122" s="59"/>
      <c r="P122" s="55"/>
      <c r="Q122" s="55"/>
      <c r="R122" s="54">
        <f>te!$BS$17</f>
        <v>84.666666666666671</v>
      </c>
      <c r="S122" s="54">
        <f>te!$BW$17</f>
        <v>84</v>
      </c>
      <c r="T122" s="55"/>
      <c r="U122" s="54">
        <f>te!$CB$17</f>
        <v>79</v>
      </c>
      <c r="V122" s="58"/>
      <c r="X122" s="278">
        <v>17</v>
      </c>
    </row>
    <row r="123" spans="1:24" ht="15" thickBot="1">
      <c r="A123" s="268">
        <v>13</v>
      </c>
      <c r="B123" s="271"/>
      <c r="C123" s="274"/>
      <c r="D123" s="62" t="s">
        <v>297</v>
      </c>
      <c r="E123" s="53">
        <f>te!$H$17</f>
        <v>89</v>
      </c>
      <c r="F123" s="53">
        <f>te!$N$17</f>
        <v>90</v>
      </c>
      <c r="G123" s="53">
        <f>te!$T$17</f>
        <v>80</v>
      </c>
      <c r="H123" s="53">
        <f>te!$Z$17</f>
        <v>84</v>
      </c>
      <c r="I123" s="53">
        <f>te!$AD$17</f>
        <v>86</v>
      </c>
      <c r="J123" s="59"/>
      <c r="K123" s="54">
        <f>te!$AJ$17</f>
        <v>83</v>
      </c>
      <c r="L123" s="55"/>
      <c r="M123" s="53">
        <f>te!$AP$17</f>
        <v>85</v>
      </c>
      <c r="N123" s="53">
        <f>te!$AV$17</f>
        <v>71</v>
      </c>
      <c r="O123" s="59"/>
      <c r="P123" s="55"/>
      <c r="Q123" s="55"/>
      <c r="R123" s="54">
        <f>te!$BT$17</f>
        <v>83</v>
      </c>
      <c r="S123" s="54">
        <f>te!$BX$17</f>
        <v>82</v>
      </c>
      <c r="T123" s="63"/>
      <c r="U123" s="54">
        <f>te!$CC$17</f>
        <v>91</v>
      </c>
      <c r="V123" s="58"/>
      <c r="X123" s="278">
        <v>17</v>
      </c>
    </row>
    <row r="124" spans="1:24">
      <c r="A124" s="268">
        <v>13</v>
      </c>
      <c r="B124" s="271"/>
      <c r="C124" s="274"/>
      <c r="D124" s="62" t="s">
        <v>298</v>
      </c>
      <c r="E124" s="53">
        <f>te!$I$17</f>
        <v>93</v>
      </c>
      <c r="F124" s="53">
        <f>te!$O$17</f>
        <v>93</v>
      </c>
      <c r="G124" s="53">
        <f>te!$U$17</f>
        <v>83</v>
      </c>
      <c r="H124" s="65"/>
      <c r="I124" s="65"/>
      <c r="J124" s="59"/>
      <c r="K124" s="59"/>
      <c r="L124" s="53">
        <f>te!$AK$17</f>
        <v>86</v>
      </c>
      <c r="M124" s="53">
        <f>te!$AQ$17</f>
        <v>83</v>
      </c>
      <c r="N124" s="53">
        <f>te!$AW$17</f>
        <v>84</v>
      </c>
      <c r="O124" s="59"/>
      <c r="P124" s="55"/>
      <c r="Q124" s="55"/>
      <c r="R124" s="54">
        <f>te!$BU$17</f>
        <v>83.5</v>
      </c>
      <c r="S124" s="54">
        <f>te!$BY$17</f>
        <v>86</v>
      </c>
      <c r="T124" s="54"/>
      <c r="U124" s="54">
        <f>te!$CD$17</f>
        <v>84</v>
      </c>
      <c r="V124" s="58"/>
      <c r="X124" s="278">
        <v>17</v>
      </c>
    </row>
    <row r="125" spans="1:24">
      <c r="A125" s="268">
        <v>13</v>
      </c>
      <c r="B125" s="271"/>
      <c r="C125" s="274"/>
      <c r="D125" s="66" t="s">
        <v>299</v>
      </c>
      <c r="E125" s="67">
        <f>AVERAGE(E120:E124)</f>
        <v>89.8</v>
      </c>
      <c r="F125" s="67">
        <f>AVERAGE(F120:F124)</f>
        <v>88.8</v>
      </c>
      <c r="G125" s="67">
        <f>AVERAGE(G120:G124)</f>
        <v>83.4</v>
      </c>
      <c r="H125" s="68"/>
      <c r="I125" s="68"/>
      <c r="J125" s="69"/>
      <c r="K125" s="69"/>
      <c r="L125" s="67">
        <f>AVERAGE(L120:L124)</f>
        <v>86</v>
      </c>
      <c r="M125" s="67">
        <f>AVERAGE(M120:M124)</f>
        <v>82.8</v>
      </c>
      <c r="N125" s="67">
        <f>AVERAGE(N120:N124)</f>
        <v>78</v>
      </c>
      <c r="O125" s="69"/>
      <c r="P125" s="63"/>
      <c r="Q125" s="63"/>
      <c r="R125" s="84">
        <f>AVERAGE(R122:R124)</f>
        <v>83.722222222222229</v>
      </c>
      <c r="S125" s="84">
        <f>AVERAGE(S122:S124)</f>
        <v>84</v>
      </c>
      <c r="T125" s="63"/>
      <c r="U125" s="84">
        <f>AVERAGE(U120:U124)</f>
        <v>84.666666666666671</v>
      </c>
      <c r="V125" s="58"/>
      <c r="X125" s="278">
        <v>17</v>
      </c>
    </row>
    <row r="126" spans="1:24">
      <c r="A126" s="268">
        <v>13</v>
      </c>
      <c r="B126" s="271"/>
      <c r="C126" s="274"/>
      <c r="D126" s="70" t="s">
        <v>300</v>
      </c>
      <c r="E126" s="71">
        <f>te!$J$17</f>
        <v>80</v>
      </c>
      <c r="F126" s="71">
        <f>te!$P$17</f>
        <v>90</v>
      </c>
      <c r="G126" s="71">
        <f>te!$V$17</f>
        <v>80</v>
      </c>
      <c r="H126" s="72"/>
      <c r="I126" s="72"/>
      <c r="J126" s="73"/>
      <c r="K126" s="73"/>
      <c r="L126" s="71">
        <f>te!$AL$17</f>
        <v>80</v>
      </c>
      <c r="M126" s="71">
        <f>te!$AR$17</f>
        <v>80</v>
      </c>
      <c r="N126" s="71">
        <f>te!$AX$17</f>
        <v>80</v>
      </c>
      <c r="O126" s="73"/>
      <c r="P126" s="74"/>
      <c r="Q126" s="74"/>
      <c r="R126" s="85">
        <f>te!$BV$17</f>
        <v>82</v>
      </c>
      <c r="S126" s="85">
        <f>te!$BZ$17</f>
        <v>80</v>
      </c>
      <c r="T126" s="85">
        <f>te!$CA$17</f>
        <v>82</v>
      </c>
      <c r="U126" s="75">
        <f>te!$CE$17</f>
        <v>80</v>
      </c>
      <c r="V126" s="58"/>
      <c r="X126" s="278">
        <v>17</v>
      </c>
    </row>
    <row r="127" spans="1:24">
      <c r="A127" s="268">
        <v>13</v>
      </c>
      <c r="B127" s="271"/>
      <c r="C127" s="274"/>
      <c r="D127" s="76" t="s">
        <v>301</v>
      </c>
      <c r="E127" s="77">
        <f>te!$CF$17</f>
        <v>89</v>
      </c>
      <c r="F127" s="77">
        <f>te!$CG$17</f>
        <v>90</v>
      </c>
      <c r="G127" s="77">
        <f>te!$CH$17</f>
        <v>88</v>
      </c>
      <c r="H127" s="72"/>
      <c r="I127" s="72"/>
      <c r="J127" s="73"/>
      <c r="K127" s="73"/>
      <c r="L127" s="77">
        <f>te!$CI$17</f>
        <v>85</v>
      </c>
      <c r="M127" s="77">
        <f>te!$CJ$17</f>
        <v>84</v>
      </c>
      <c r="N127" s="77">
        <f>te!$CK$17</f>
        <v>84</v>
      </c>
      <c r="O127" s="73"/>
      <c r="P127" s="74"/>
      <c r="Q127" s="74"/>
      <c r="R127" s="86">
        <f>te!$CN$17</f>
        <v>87</v>
      </c>
      <c r="S127" s="86">
        <f>te!$CM$17</f>
        <v>95</v>
      </c>
      <c r="T127" s="74"/>
      <c r="U127" s="86">
        <f>te!$CL$17</f>
        <v>84</v>
      </c>
      <c r="V127" s="58"/>
      <c r="X127" s="278">
        <v>17</v>
      </c>
    </row>
    <row r="128" spans="1:24" ht="15" thickBot="1">
      <c r="A128" s="269">
        <v>13</v>
      </c>
      <c r="B128" s="272"/>
      <c r="C128" s="275"/>
      <c r="D128" s="78" t="s">
        <v>302</v>
      </c>
      <c r="E128" s="79">
        <f>(E125*4+E126*3+E127*3)/10</f>
        <v>86.62</v>
      </c>
      <c r="F128" s="79">
        <f t="shared" ref="F128:G128" si="23">(F125*4+F126*3+F127*3)/10</f>
        <v>89.52000000000001</v>
      </c>
      <c r="G128" s="79">
        <f t="shared" si="23"/>
        <v>83.76</v>
      </c>
      <c r="H128" s="79">
        <f>AVERAGE(H120:H123)</f>
        <v>83.75</v>
      </c>
      <c r="I128" s="79">
        <f>AVERAGE(I120:I123)</f>
        <v>85.25</v>
      </c>
      <c r="J128" s="79">
        <f>AVERAGE(J120:J121)</f>
        <v>89.5</v>
      </c>
      <c r="K128" s="79">
        <f>AVERAGE(K120:K123)</f>
        <v>83</v>
      </c>
      <c r="L128" s="79">
        <f>(L125*4+L126*3+L127*3)/10</f>
        <v>83.9</v>
      </c>
      <c r="M128" s="79">
        <f>(M125*4+M126*3+M127*3)/10</f>
        <v>82.320000000000007</v>
      </c>
      <c r="N128" s="79">
        <f>(N125*4+N126*3+N127*3)/10</f>
        <v>80.400000000000006</v>
      </c>
      <c r="O128" s="79">
        <f>AVERAGE(O120:O121)</f>
        <v>81.5</v>
      </c>
      <c r="P128" s="79">
        <f>AVERAGE(P120:P121)</f>
        <v>86.5</v>
      </c>
      <c r="Q128" s="79">
        <f>AVERAGE(Q120:Q121)</f>
        <v>85.5</v>
      </c>
      <c r="R128" s="79">
        <f>(R125*4+R126*3+R127*3)/10</f>
        <v>84.188888888888897</v>
      </c>
      <c r="S128" s="79">
        <f>(S125*4+S126*3+S127*3)/10</f>
        <v>86.1</v>
      </c>
      <c r="T128" s="79">
        <f>T126</f>
        <v>82</v>
      </c>
      <c r="U128" s="79">
        <f t="shared" ref="U128" si="24">(U125*4+U126*3+U127*3)/10</f>
        <v>83.066666666666677</v>
      </c>
      <c r="V128" s="80">
        <f>AVERAGE(E128:U128)</f>
        <v>84.522091503267959</v>
      </c>
      <c r="X128" s="278">
        <v>17</v>
      </c>
    </row>
    <row r="129" spans="1:24" ht="15.6" thickTop="1" thickBot="1">
      <c r="A129" s="268">
        <v>14</v>
      </c>
      <c r="B129" s="270" t="s">
        <v>471</v>
      </c>
      <c r="C129" s="273" t="s">
        <v>457</v>
      </c>
      <c r="D129" s="52" t="s">
        <v>294</v>
      </c>
      <c r="E129" s="53">
        <f>te!$E$18</f>
        <v>88</v>
      </c>
      <c r="F129" s="53">
        <f>te!$K$18</f>
        <v>85</v>
      </c>
      <c r="G129" s="53">
        <f>te!$Q$18</f>
        <v>90</v>
      </c>
      <c r="H129" s="53">
        <f>te!$W$18</f>
        <v>86</v>
      </c>
      <c r="I129" s="53">
        <f>te!$AA$18</f>
        <v>83</v>
      </c>
      <c r="J129" s="53">
        <f>te!$AE$18</f>
        <v>85</v>
      </c>
      <c r="K129" s="54">
        <f>te!$AG$18</f>
        <v>85</v>
      </c>
      <c r="L129" s="55"/>
      <c r="M129" s="53">
        <f>te!$AM$18</f>
        <v>75</v>
      </c>
      <c r="N129" s="53">
        <f>te!$AS$18</f>
        <v>93</v>
      </c>
      <c r="O129" s="53">
        <f>te!$AY$18</f>
        <v>79</v>
      </c>
      <c r="P129" s="54">
        <f>te!$BA$18</f>
        <v>88</v>
      </c>
      <c r="Q129" s="54">
        <f>te!$BC$18</f>
        <v>91</v>
      </c>
      <c r="R129" s="55"/>
      <c r="S129" s="55"/>
      <c r="T129" s="55"/>
      <c r="U129" s="55"/>
      <c r="V129" s="56"/>
      <c r="X129" s="278">
        <v>18</v>
      </c>
    </row>
    <row r="130" spans="1:24" ht="15" thickBot="1">
      <c r="A130" s="268">
        <v>14</v>
      </c>
      <c r="B130" s="271"/>
      <c r="C130" s="274"/>
      <c r="D130" s="52" t="s">
        <v>295</v>
      </c>
      <c r="E130" s="53">
        <f>te!$F$18</f>
        <v>90</v>
      </c>
      <c r="F130" s="53">
        <f>te!$L$18</f>
        <v>85</v>
      </c>
      <c r="G130" s="53">
        <f>te!$R$18</f>
        <v>85</v>
      </c>
      <c r="H130" s="53">
        <f>te!$X$18</f>
        <v>86</v>
      </c>
      <c r="I130" s="53">
        <f>te!$AB$18</f>
        <v>88</v>
      </c>
      <c r="J130" s="53">
        <f>te!$AF$18</f>
        <v>87</v>
      </c>
      <c r="K130" s="54">
        <f>te!$AH$18</f>
        <v>89</v>
      </c>
      <c r="L130" s="55"/>
      <c r="M130" s="53">
        <f>te!$AN$18</f>
        <v>77</v>
      </c>
      <c r="N130" s="53">
        <f>te!$AT$18</f>
        <v>90</v>
      </c>
      <c r="O130" s="53">
        <f>te!$AZ$18</f>
        <v>80</v>
      </c>
      <c r="P130" s="54">
        <f>te!$BB$18</f>
        <v>95</v>
      </c>
      <c r="Q130" s="54">
        <f>te!$BD$18</f>
        <v>83</v>
      </c>
      <c r="R130" s="55"/>
      <c r="S130" s="55"/>
      <c r="T130" s="55"/>
      <c r="U130" s="55"/>
      <c r="V130" s="58"/>
      <c r="X130" s="278">
        <v>18</v>
      </c>
    </row>
    <row r="131" spans="1:24" ht="15" thickBot="1">
      <c r="A131" s="268">
        <v>14</v>
      </c>
      <c r="B131" s="271"/>
      <c r="C131" s="274"/>
      <c r="D131" s="52" t="s">
        <v>296</v>
      </c>
      <c r="E131" s="53">
        <f>te!$G$18</f>
        <v>89</v>
      </c>
      <c r="F131" s="53">
        <f>te!$M$18</f>
        <v>95</v>
      </c>
      <c r="G131" s="53">
        <f>te!$S$18</f>
        <v>80</v>
      </c>
      <c r="H131" s="53">
        <f>te!$Y$18</f>
        <v>85</v>
      </c>
      <c r="I131" s="53">
        <f>te!$AC$18</f>
        <v>86</v>
      </c>
      <c r="J131" s="59"/>
      <c r="K131" s="54">
        <f>te!$AI$18</f>
        <v>73</v>
      </c>
      <c r="L131" s="55"/>
      <c r="M131" s="53">
        <f>te!$AO$18</f>
        <v>75</v>
      </c>
      <c r="N131" s="53">
        <f>te!$AU$18</f>
        <v>87</v>
      </c>
      <c r="O131" s="59"/>
      <c r="P131" s="55"/>
      <c r="Q131" s="55"/>
      <c r="R131" s="54">
        <f>te!$BS$18</f>
        <v>86</v>
      </c>
      <c r="S131" s="54">
        <f>te!$BW$18</f>
        <v>85</v>
      </c>
      <c r="T131" s="55"/>
      <c r="U131" s="54">
        <f>te!$CB$18</f>
        <v>84</v>
      </c>
      <c r="V131" s="58"/>
      <c r="X131" s="278">
        <v>18</v>
      </c>
    </row>
    <row r="132" spans="1:24" ht="15" thickBot="1">
      <c r="A132" s="268">
        <v>14</v>
      </c>
      <c r="B132" s="271"/>
      <c r="C132" s="274"/>
      <c r="D132" s="62" t="s">
        <v>297</v>
      </c>
      <c r="E132" s="53">
        <f>te!$H$18</f>
        <v>89</v>
      </c>
      <c r="F132" s="53">
        <f>te!$N$18</f>
        <v>95</v>
      </c>
      <c r="G132" s="53">
        <f>te!$T$18</f>
        <v>87</v>
      </c>
      <c r="H132" s="53">
        <f>te!$Z$18</f>
        <v>86</v>
      </c>
      <c r="I132" s="53">
        <f>te!$AD$18</f>
        <v>87</v>
      </c>
      <c r="J132" s="59"/>
      <c r="K132" s="54">
        <f>te!$AJ$18</f>
        <v>82</v>
      </c>
      <c r="L132" s="55"/>
      <c r="M132" s="53">
        <f>te!$AP$18</f>
        <v>76</v>
      </c>
      <c r="N132" s="53">
        <f>te!$AV$18</f>
        <v>83</v>
      </c>
      <c r="O132" s="59"/>
      <c r="P132" s="55"/>
      <c r="Q132" s="55"/>
      <c r="R132" s="54">
        <f>te!$BT$18</f>
        <v>83</v>
      </c>
      <c r="S132" s="54">
        <f>te!$BX$18</f>
        <v>82</v>
      </c>
      <c r="T132" s="63"/>
      <c r="U132" s="54">
        <f>te!$CC$18</f>
        <v>92</v>
      </c>
      <c r="V132" s="58"/>
      <c r="X132" s="278">
        <v>18</v>
      </c>
    </row>
    <row r="133" spans="1:24">
      <c r="A133" s="268">
        <v>14</v>
      </c>
      <c r="B133" s="271"/>
      <c r="C133" s="274"/>
      <c r="D133" s="62" t="s">
        <v>298</v>
      </c>
      <c r="E133" s="53">
        <f>te!$I$18</f>
        <v>91</v>
      </c>
      <c r="F133" s="53">
        <f>te!$O$18</f>
        <v>95</v>
      </c>
      <c r="G133" s="53">
        <f>te!$U$18</f>
        <v>88</v>
      </c>
      <c r="H133" s="65"/>
      <c r="I133" s="65"/>
      <c r="J133" s="59"/>
      <c r="K133" s="59"/>
      <c r="L133" s="53">
        <f>te!$AK$18</f>
        <v>90</v>
      </c>
      <c r="M133" s="53">
        <f>te!$AQ$18</f>
        <v>81</v>
      </c>
      <c r="N133" s="53">
        <f>te!$AW$18</f>
        <v>86</v>
      </c>
      <c r="O133" s="59"/>
      <c r="P133" s="55"/>
      <c r="Q133" s="55"/>
      <c r="R133" s="54">
        <f>te!$BU$18</f>
        <v>84.25</v>
      </c>
      <c r="S133" s="54">
        <f>te!$BY$18</f>
        <v>86</v>
      </c>
      <c r="T133" s="54"/>
      <c r="U133" s="54">
        <f>te!$CD$18</f>
        <v>85</v>
      </c>
      <c r="V133" s="58"/>
      <c r="X133" s="278">
        <v>18</v>
      </c>
    </row>
    <row r="134" spans="1:24">
      <c r="A134" s="268">
        <v>14</v>
      </c>
      <c r="B134" s="271"/>
      <c r="C134" s="274"/>
      <c r="D134" s="66" t="s">
        <v>299</v>
      </c>
      <c r="E134" s="67">
        <f>AVERAGE(E129:E133)</f>
        <v>89.4</v>
      </c>
      <c r="F134" s="67">
        <f>AVERAGE(F129:F133)</f>
        <v>91</v>
      </c>
      <c r="G134" s="67">
        <f>AVERAGE(G129:G133)</f>
        <v>86</v>
      </c>
      <c r="H134" s="68"/>
      <c r="I134" s="68"/>
      <c r="J134" s="69"/>
      <c r="K134" s="69"/>
      <c r="L134" s="67">
        <f>AVERAGE(L129:L133)</f>
        <v>90</v>
      </c>
      <c r="M134" s="67">
        <f>AVERAGE(M129:M133)</f>
        <v>76.8</v>
      </c>
      <c r="N134" s="67">
        <f>AVERAGE(N129:N133)</f>
        <v>87.8</v>
      </c>
      <c r="O134" s="69"/>
      <c r="P134" s="63"/>
      <c r="Q134" s="63"/>
      <c r="R134" s="84">
        <f>AVERAGE(R131:R133)</f>
        <v>84.416666666666671</v>
      </c>
      <c r="S134" s="84">
        <f>AVERAGE(S131:S133)</f>
        <v>84.333333333333329</v>
      </c>
      <c r="T134" s="63"/>
      <c r="U134" s="84">
        <f>AVERAGE(U129:U133)</f>
        <v>87</v>
      </c>
      <c r="V134" s="58"/>
      <c r="X134" s="278">
        <v>18</v>
      </c>
    </row>
    <row r="135" spans="1:24">
      <c r="A135" s="268">
        <v>14</v>
      </c>
      <c r="B135" s="271"/>
      <c r="C135" s="274"/>
      <c r="D135" s="70" t="s">
        <v>300</v>
      </c>
      <c r="E135" s="71">
        <f>te!$J$18</f>
        <v>95</v>
      </c>
      <c r="F135" s="71">
        <f>te!$P$18</f>
        <v>89</v>
      </c>
      <c r="G135" s="71">
        <f>te!$V$18</f>
        <v>87</v>
      </c>
      <c r="H135" s="72"/>
      <c r="I135" s="72"/>
      <c r="J135" s="73"/>
      <c r="K135" s="73"/>
      <c r="L135" s="71">
        <f>te!$AL$18</f>
        <v>87</v>
      </c>
      <c r="M135" s="71">
        <f>te!$AR$18</f>
        <v>86</v>
      </c>
      <c r="N135" s="71">
        <f>te!$AX$18</f>
        <v>86</v>
      </c>
      <c r="O135" s="73"/>
      <c r="P135" s="74"/>
      <c r="Q135" s="74"/>
      <c r="R135" s="85">
        <f>te!$BV$18</f>
        <v>89</v>
      </c>
      <c r="S135" s="85">
        <f>te!$BZ$18</f>
        <v>86</v>
      </c>
      <c r="T135" s="85">
        <f>te!$CA$18</f>
        <v>89</v>
      </c>
      <c r="U135" s="75">
        <f>te!$CE$18</f>
        <v>86</v>
      </c>
      <c r="V135" s="58"/>
      <c r="X135" s="278">
        <v>18</v>
      </c>
    </row>
    <row r="136" spans="1:24">
      <c r="A136" s="268">
        <v>14</v>
      </c>
      <c r="B136" s="271"/>
      <c r="C136" s="274"/>
      <c r="D136" s="76" t="s">
        <v>301</v>
      </c>
      <c r="E136" s="77">
        <f>te!$CF$18</f>
        <v>91</v>
      </c>
      <c r="F136" s="77">
        <f>te!$CG$18</f>
        <v>95</v>
      </c>
      <c r="G136" s="77">
        <f>te!$CH$18</f>
        <v>85</v>
      </c>
      <c r="H136" s="72"/>
      <c r="I136" s="72"/>
      <c r="J136" s="73"/>
      <c r="K136" s="73"/>
      <c r="L136" s="77">
        <f>te!$CI$18</f>
        <v>97</v>
      </c>
      <c r="M136" s="77">
        <f>te!$CJ$18</f>
        <v>82</v>
      </c>
      <c r="N136" s="77">
        <f>te!$CK$18</f>
        <v>86</v>
      </c>
      <c r="O136" s="73"/>
      <c r="P136" s="74"/>
      <c r="Q136" s="74"/>
      <c r="R136" s="86">
        <f>te!$CN$18</f>
        <v>75</v>
      </c>
      <c r="S136" s="86">
        <f>te!$CM$18</f>
        <v>97</v>
      </c>
      <c r="T136" s="74"/>
      <c r="U136" s="86">
        <f>te!$CL$18</f>
        <v>89</v>
      </c>
      <c r="V136" s="58"/>
      <c r="X136" s="278">
        <v>18</v>
      </c>
    </row>
    <row r="137" spans="1:24" ht="15" thickBot="1">
      <c r="A137" s="269">
        <v>14</v>
      </c>
      <c r="B137" s="272"/>
      <c r="C137" s="275"/>
      <c r="D137" s="78" t="s">
        <v>302</v>
      </c>
      <c r="E137" s="79">
        <f>(E134*4+E135*3+E136*3)/10</f>
        <v>91.56</v>
      </c>
      <c r="F137" s="79">
        <f t="shared" ref="F137:G137" si="25">(F134*4+F135*3+F136*3)/10</f>
        <v>91.6</v>
      </c>
      <c r="G137" s="79">
        <f t="shared" si="25"/>
        <v>86</v>
      </c>
      <c r="H137" s="79">
        <f>AVERAGE(H129:H132)</f>
        <v>85.75</v>
      </c>
      <c r="I137" s="79">
        <f>AVERAGE(I129:I132)</f>
        <v>86</v>
      </c>
      <c r="J137" s="79">
        <f>AVERAGE(J129:J130)</f>
        <v>86</v>
      </c>
      <c r="K137" s="79">
        <f>AVERAGE(K129:K132)</f>
        <v>82.25</v>
      </c>
      <c r="L137" s="79">
        <f>(L134*4+L135*3+L136*3)/10</f>
        <v>91.2</v>
      </c>
      <c r="M137" s="79">
        <f>(M134*4+M135*3+M136*3)/10</f>
        <v>81.12</v>
      </c>
      <c r="N137" s="79">
        <f>(N134*4+N135*3+N136*3)/10</f>
        <v>86.72</v>
      </c>
      <c r="O137" s="79">
        <f>AVERAGE(O129:O130)</f>
        <v>79.5</v>
      </c>
      <c r="P137" s="79">
        <f>AVERAGE(P129:P130)</f>
        <v>91.5</v>
      </c>
      <c r="Q137" s="79">
        <f>AVERAGE(Q129:Q130)</f>
        <v>87</v>
      </c>
      <c r="R137" s="79">
        <f>(R134*4+R135*3+R136*3)/10</f>
        <v>82.966666666666669</v>
      </c>
      <c r="S137" s="79">
        <f>(S134*4+S135*3+S136*3)/10</f>
        <v>88.633333333333326</v>
      </c>
      <c r="T137" s="79">
        <f>T135</f>
        <v>89</v>
      </c>
      <c r="U137" s="79">
        <f t="shared" ref="U137" si="26">(U134*4+U135*3+U136*3)/10</f>
        <v>87.3</v>
      </c>
      <c r="V137" s="80">
        <f>AVERAGE(E137:U137)</f>
        <v>86.711764705882359</v>
      </c>
      <c r="X137" s="278">
        <v>18</v>
      </c>
    </row>
    <row r="138" spans="1:24" ht="15" thickTop="1">
      <c r="X138" s="279"/>
    </row>
    <row r="139" spans="1:24">
      <c r="X139" s="279"/>
    </row>
    <row r="140" spans="1:24">
      <c r="X140" s="279"/>
    </row>
    <row r="141" spans="1:24" ht="18">
      <c r="B141" s="42" t="s">
        <v>303</v>
      </c>
      <c r="T141" s="91" t="s">
        <v>715</v>
      </c>
      <c r="X141" s="279"/>
    </row>
    <row r="142" spans="1:24" ht="18">
      <c r="B142" s="42" t="s">
        <v>304</v>
      </c>
      <c r="T142" s="91" t="s">
        <v>419</v>
      </c>
      <c r="X142" s="279"/>
    </row>
    <row r="143" spans="1:24" ht="18">
      <c r="T143" s="91"/>
      <c r="X143" s="279"/>
    </row>
    <row r="144" spans="1:24" ht="18">
      <c r="T144" s="91"/>
      <c r="X144" s="279"/>
    </row>
    <row r="145" spans="2:24" ht="18">
      <c r="T145" s="91"/>
      <c r="X145" s="279"/>
    </row>
    <row r="146" spans="2:24" ht="18">
      <c r="K146" s="47"/>
      <c r="L146" s="47"/>
      <c r="M146" s="47"/>
      <c r="N146" s="47"/>
      <c r="O146" s="47"/>
      <c r="P146" s="47"/>
      <c r="Q146" s="47"/>
      <c r="R146" s="47"/>
      <c r="S146" s="47"/>
      <c r="T146" s="91"/>
      <c r="U146" s="47"/>
      <c r="X146" s="279"/>
    </row>
    <row r="147" spans="2:24" ht="18">
      <c r="T147" s="91"/>
      <c r="X147" s="279"/>
    </row>
    <row r="148" spans="2:24" ht="18">
      <c r="T148" s="91"/>
      <c r="X148" s="279"/>
    </row>
    <row r="149" spans="2:24" ht="18">
      <c r="T149" s="91"/>
      <c r="X149" s="279"/>
    </row>
    <row r="150" spans="2:24" ht="18">
      <c r="B150" s="47" t="s">
        <v>305</v>
      </c>
      <c r="T150" s="92" t="s">
        <v>420</v>
      </c>
      <c r="X150" s="279"/>
    </row>
    <row r="151" spans="2:24" ht="18">
      <c r="B151" s="42" t="s">
        <v>306</v>
      </c>
      <c r="T151" s="92" t="s">
        <v>421</v>
      </c>
      <c r="X151" s="279"/>
    </row>
    <row r="152" spans="2:24">
      <c r="X152" s="279"/>
    </row>
    <row r="153" spans="2:24">
      <c r="X153" s="279"/>
    </row>
  </sheetData>
  <mergeCells count="85">
    <mergeCell ref="X138:X144"/>
    <mergeCell ref="X145:X153"/>
    <mergeCell ref="A129:A137"/>
    <mergeCell ref="B129:B137"/>
    <mergeCell ref="C129:C137"/>
    <mergeCell ref="X129:X137"/>
    <mergeCell ref="A111:A119"/>
    <mergeCell ref="B111:B119"/>
    <mergeCell ref="C111:C119"/>
    <mergeCell ref="X111:X119"/>
    <mergeCell ref="A120:A128"/>
    <mergeCell ref="B120:B128"/>
    <mergeCell ref="C120:C128"/>
    <mergeCell ref="X120:X128"/>
    <mergeCell ref="A93:A101"/>
    <mergeCell ref="B93:B101"/>
    <mergeCell ref="C93:C101"/>
    <mergeCell ref="X93:X101"/>
    <mergeCell ref="A102:A110"/>
    <mergeCell ref="B102:B110"/>
    <mergeCell ref="C102:C110"/>
    <mergeCell ref="X102:X110"/>
    <mergeCell ref="A75:A83"/>
    <mergeCell ref="B75:B83"/>
    <mergeCell ref="C75:C83"/>
    <mergeCell ref="X75:X83"/>
    <mergeCell ref="A84:A92"/>
    <mergeCell ref="B84:B92"/>
    <mergeCell ref="C84:C92"/>
    <mergeCell ref="X84:X92"/>
    <mergeCell ref="A57:A65"/>
    <mergeCell ref="B57:B65"/>
    <mergeCell ref="C57:C65"/>
    <mergeCell ref="X57:X65"/>
    <mergeCell ref="A66:A74"/>
    <mergeCell ref="B66:B74"/>
    <mergeCell ref="C66:C74"/>
    <mergeCell ref="X66:X74"/>
    <mergeCell ref="A39:A47"/>
    <mergeCell ref="B39:B47"/>
    <mergeCell ref="C39:C47"/>
    <mergeCell ref="X39:X47"/>
    <mergeCell ref="A48:A56"/>
    <mergeCell ref="B48:B56"/>
    <mergeCell ref="C48:C56"/>
    <mergeCell ref="X48:X56"/>
    <mergeCell ref="K9:K11"/>
    <mergeCell ref="L9:L11"/>
    <mergeCell ref="M9:M11"/>
    <mergeCell ref="N9:N11"/>
    <mergeCell ref="X12:X20"/>
    <mergeCell ref="X30:X38"/>
    <mergeCell ref="Q9:Q11"/>
    <mergeCell ref="R9:R11"/>
    <mergeCell ref="S9:S11"/>
    <mergeCell ref="T9:T11"/>
    <mergeCell ref="U9:U11"/>
    <mergeCell ref="X21:X29"/>
    <mergeCell ref="I9:I11"/>
    <mergeCell ref="J9:J11"/>
    <mergeCell ref="A30:A38"/>
    <mergeCell ref="B30:B38"/>
    <mergeCell ref="C30:C38"/>
    <mergeCell ref="A12:A20"/>
    <mergeCell ref="B12:B20"/>
    <mergeCell ref="C12:C20"/>
    <mergeCell ref="A21:A29"/>
    <mergeCell ref="B21:B29"/>
    <mergeCell ref="C21:C29"/>
    <mergeCell ref="A1:V1"/>
    <mergeCell ref="A2:V2"/>
    <mergeCell ref="A8:A11"/>
    <mergeCell ref="B8:B11"/>
    <mergeCell ref="C8:C11"/>
    <mergeCell ref="E8:J8"/>
    <mergeCell ref="K8:L8"/>
    <mergeCell ref="M8:U8"/>
    <mergeCell ref="V8:V11"/>
    <mergeCell ref="D9:D11"/>
    <mergeCell ref="O9:O11"/>
    <mergeCell ref="P9:P11"/>
    <mergeCell ref="E9:E11"/>
    <mergeCell ref="F9:F11"/>
    <mergeCell ref="G9:G11"/>
    <mergeCell ref="H9:H11"/>
  </mergeCells>
  <conditionalFormatting sqref="E17:U17">
    <cfRule type="cellIs" dxfId="1303" priority="1012" stopIfTrue="1" operator="between">
      <formula>0</formula>
      <formula>55</formula>
    </cfRule>
    <cfRule type="cellIs" dxfId="1302" priority="1011" stopIfTrue="1" operator="notBetween">
      <formula>0</formula>
      <formula>100</formula>
    </cfRule>
    <cfRule type="cellIs" dxfId="1301" priority="1010" stopIfTrue="1" operator="lessThan">
      <formula>#REF!</formula>
    </cfRule>
    <cfRule type="cellIs" dxfId="1300" priority="1009" stopIfTrue="1" operator="notBetween">
      <formula>0</formula>
      <formula>100</formula>
    </cfRule>
  </conditionalFormatting>
  <conditionalFormatting sqref="E26:U26">
    <cfRule type="cellIs" dxfId="1299" priority="104" stopIfTrue="1" operator="between">
      <formula>0</formula>
      <formula>55</formula>
    </cfRule>
    <cfRule type="cellIs" dxfId="1298" priority="103" stopIfTrue="1" operator="notBetween">
      <formula>0</formula>
      <formula>100</formula>
    </cfRule>
    <cfRule type="cellIs" dxfId="1297" priority="102" stopIfTrue="1" operator="lessThan">
      <formula>#REF!</formula>
    </cfRule>
    <cfRule type="cellIs" dxfId="1296" priority="101" stopIfTrue="1" operator="notBetween">
      <formula>0</formula>
      <formula>100</formula>
    </cfRule>
  </conditionalFormatting>
  <conditionalFormatting sqref="E35:U35">
    <cfRule type="cellIs" dxfId="1295" priority="96" stopIfTrue="1" operator="between">
      <formula>0</formula>
      <formula>55</formula>
    </cfRule>
    <cfRule type="cellIs" dxfId="1294" priority="95" stopIfTrue="1" operator="notBetween">
      <formula>0</formula>
      <formula>100</formula>
    </cfRule>
    <cfRule type="cellIs" dxfId="1293" priority="94" stopIfTrue="1" operator="lessThan">
      <formula>#REF!</formula>
    </cfRule>
    <cfRule type="cellIs" dxfId="1292" priority="93" stopIfTrue="1" operator="notBetween">
      <formula>0</formula>
      <formula>100</formula>
    </cfRule>
  </conditionalFormatting>
  <conditionalFormatting sqref="E44:U44">
    <cfRule type="cellIs" dxfId="1291" priority="85" stopIfTrue="1" operator="notBetween">
      <formula>0</formula>
      <formula>100</formula>
    </cfRule>
    <cfRule type="cellIs" dxfId="1290" priority="86" stopIfTrue="1" operator="lessThan">
      <formula>#REF!</formula>
    </cfRule>
    <cfRule type="cellIs" dxfId="1289" priority="87" stopIfTrue="1" operator="notBetween">
      <formula>0</formula>
      <formula>100</formula>
    </cfRule>
    <cfRule type="cellIs" dxfId="1288" priority="88" stopIfTrue="1" operator="between">
      <formula>0</formula>
      <formula>55</formula>
    </cfRule>
  </conditionalFormatting>
  <conditionalFormatting sqref="E53:U53">
    <cfRule type="cellIs" dxfId="1287" priority="78" stopIfTrue="1" operator="lessThan">
      <formula>#REF!</formula>
    </cfRule>
    <cfRule type="cellIs" dxfId="1286" priority="79" stopIfTrue="1" operator="notBetween">
      <formula>0</formula>
      <formula>100</formula>
    </cfRule>
    <cfRule type="cellIs" dxfId="1285" priority="80" stopIfTrue="1" operator="between">
      <formula>0</formula>
      <formula>55</formula>
    </cfRule>
    <cfRule type="cellIs" dxfId="1284" priority="77" stopIfTrue="1" operator="notBetween">
      <formula>0</formula>
      <formula>100</formula>
    </cfRule>
  </conditionalFormatting>
  <conditionalFormatting sqref="E62:U62">
    <cfRule type="cellIs" dxfId="1283" priority="69" stopIfTrue="1" operator="notBetween">
      <formula>0</formula>
      <formula>100</formula>
    </cfRule>
    <cfRule type="cellIs" dxfId="1282" priority="71" stopIfTrue="1" operator="notBetween">
      <formula>0</formula>
      <formula>100</formula>
    </cfRule>
    <cfRule type="cellIs" dxfId="1281" priority="72" stopIfTrue="1" operator="between">
      <formula>0</formula>
      <formula>55</formula>
    </cfRule>
    <cfRule type="cellIs" dxfId="1280" priority="70" stopIfTrue="1" operator="lessThan">
      <formula>#REF!</formula>
    </cfRule>
  </conditionalFormatting>
  <conditionalFormatting sqref="E71:U71">
    <cfRule type="cellIs" dxfId="1279" priority="64" stopIfTrue="1" operator="between">
      <formula>0</formula>
      <formula>55</formula>
    </cfRule>
    <cfRule type="cellIs" dxfId="1278" priority="63" stopIfTrue="1" operator="notBetween">
      <formula>0</formula>
      <formula>100</formula>
    </cfRule>
    <cfRule type="cellIs" dxfId="1277" priority="62" stopIfTrue="1" operator="lessThan">
      <formula>#REF!</formula>
    </cfRule>
    <cfRule type="cellIs" dxfId="1276" priority="61" stopIfTrue="1" operator="notBetween">
      <formula>0</formula>
      <formula>100</formula>
    </cfRule>
  </conditionalFormatting>
  <conditionalFormatting sqref="E80:U80">
    <cfRule type="cellIs" dxfId="1275" priority="53" stopIfTrue="1" operator="notBetween">
      <formula>0</formula>
      <formula>100</formula>
    </cfRule>
    <cfRule type="cellIs" dxfId="1274" priority="54" stopIfTrue="1" operator="lessThan">
      <formula>#REF!</formula>
    </cfRule>
    <cfRule type="cellIs" dxfId="1273" priority="55" stopIfTrue="1" operator="notBetween">
      <formula>0</formula>
      <formula>100</formula>
    </cfRule>
    <cfRule type="cellIs" dxfId="1272" priority="56" stopIfTrue="1" operator="between">
      <formula>0</formula>
      <formula>55</formula>
    </cfRule>
  </conditionalFormatting>
  <conditionalFormatting sqref="E89:U89">
    <cfRule type="cellIs" dxfId="1271" priority="45" stopIfTrue="1" operator="notBetween">
      <formula>0</formula>
      <formula>100</formula>
    </cfRule>
    <cfRule type="cellIs" dxfId="1270" priority="47" stopIfTrue="1" operator="notBetween">
      <formula>0</formula>
      <formula>100</formula>
    </cfRule>
    <cfRule type="cellIs" dxfId="1269" priority="48" stopIfTrue="1" operator="between">
      <formula>0</formula>
      <formula>55</formula>
    </cfRule>
    <cfRule type="cellIs" dxfId="1268" priority="46" stopIfTrue="1" operator="lessThan">
      <formula>#REF!</formula>
    </cfRule>
  </conditionalFormatting>
  <conditionalFormatting sqref="E98:U98">
    <cfRule type="cellIs" dxfId="1267" priority="38" stopIfTrue="1" operator="lessThan">
      <formula>#REF!</formula>
    </cfRule>
    <cfRule type="cellIs" dxfId="1266" priority="37" stopIfTrue="1" operator="notBetween">
      <formula>0</formula>
      <formula>100</formula>
    </cfRule>
    <cfRule type="cellIs" dxfId="1265" priority="39" stopIfTrue="1" operator="notBetween">
      <formula>0</formula>
      <formula>100</formula>
    </cfRule>
    <cfRule type="cellIs" dxfId="1264" priority="40" stopIfTrue="1" operator="between">
      <formula>0</formula>
      <formula>55</formula>
    </cfRule>
  </conditionalFormatting>
  <conditionalFormatting sqref="E107:U107">
    <cfRule type="cellIs" dxfId="1263" priority="29" stopIfTrue="1" operator="notBetween">
      <formula>0</formula>
      <formula>100</formula>
    </cfRule>
    <cfRule type="cellIs" dxfId="1262" priority="30" stopIfTrue="1" operator="lessThan">
      <formula>#REF!</formula>
    </cfRule>
    <cfRule type="cellIs" dxfId="1261" priority="31" stopIfTrue="1" operator="notBetween">
      <formula>0</formula>
      <formula>100</formula>
    </cfRule>
    <cfRule type="cellIs" dxfId="1260" priority="32" stopIfTrue="1" operator="between">
      <formula>0</formula>
      <formula>55</formula>
    </cfRule>
  </conditionalFormatting>
  <conditionalFormatting sqref="E116:U116">
    <cfRule type="cellIs" dxfId="1259" priority="23" stopIfTrue="1" operator="notBetween">
      <formula>0</formula>
      <formula>100</formula>
    </cfRule>
    <cfRule type="cellIs" dxfId="1258" priority="22" stopIfTrue="1" operator="lessThan">
      <formula>#REF!</formula>
    </cfRule>
    <cfRule type="cellIs" dxfId="1257" priority="21" stopIfTrue="1" operator="notBetween">
      <formula>0</formula>
      <formula>100</formula>
    </cfRule>
    <cfRule type="cellIs" dxfId="1256" priority="24" stopIfTrue="1" operator="between">
      <formula>0</formula>
      <formula>55</formula>
    </cfRule>
  </conditionalFormatting>
  <conditionalFormatting sqref="E125:U125">
    <cfRule type="cellIs" dxfId="1255" priority="16" stopIfTrue="1" operator="between">
      <formula>0</formula>
      <formula>55</formula>
    </cfRule>
    <cfRule type="cellIs" dxfId="1254" priority="15" stopIfTrue="1" operator="notBetween">
      <formula>0</formula>
      <formula>100</formula>
    </cfRule>
    <cfRule type="cellIs" dxfId="1253" priority="14" stopIfTrue="1" operator="lessThan">
      <formula>#REF!</formula>
    </cfRule>
    <cfRule type="cellIs" dxfId="1252" priority="13" stopIfTrue="1" operator="notBetween">
      <formula>0</formula>
      <formula>100</formula>
    </cfRule>
  </conditionalFormatting>
  <conditionalFormatting sqref="E134:U134">
    <cfRule type="cellIs" dxfId="1251" priority="8" stopIfTrue="1" operator="between">
      <formula>0</formula>
      <formula>55</formula>
    </cfRule>
    <cfRule type="cellIs" dxfId="1250" priority="7" stopIfTrue="1" operator="notBetween">
      <formula>0</formula>
      <formula>100</formula>
    </cfRule>
    <cfRule type="cellIs" dxfId="1249" priority="6" stopIfTrue="1" operator="lessThan">
      <formula>#REF!</formula>
    </cfRule>
    <cfRule type="cellIs" dxfId="1248" priority="5" stopIfTrue="1" operator="notBetween">
      <formula>0</formula>
      <formula>100</formula>
    </cfRule>
  </conditionalFormatting>
  <conditionalFormatting sqref="T15">
    <cfRule type="cellIs" dxfId="1247" priority="1006" stopIfTrue="1" operator="lessThan">
      <formula>#REF!</formula>
    </cfRule>
    <cfRule type="cellIs" dxfId="1246" priority="1007" stopIfTrue="1" operator="notBetween">
      <formula>0</formula>
      <formula>100</formula>
    </cfRule>
    <cfRule type="cellIs" dxfId="1245" priority="1008" stopIfTrue="1" operator="between">
      <formula>0</formula>
      <formula>55</formula>
    </cfRule>
    <cfRule type="cellIs" dxfId="1244" priority="1005" stopIfTrue="1" operator="notBetween">
      <formula>0</formula>
      <formula>100</formula>
    </cfRule>
  </conditionalFormatting>
  <conditionalFormatting sqref="T24">
    <cfRule type="cellIs" dxfId="1243" priority="98" stopIfTrue="1" operator="lessThan">
      <formula>#REF!</formula>
    </cfRule>
    <cfRule type="cellIs" dxfId="1242" priority="97" stopIfTrue="1" operator="notBetween">
      <formula>0</formula>
      <formula>100</formula>
    </cfRule>
    <cfRule type="cellIs" dxfId="1241" priority="99" stopIfTrue="1" operator="notBetween">
      <formula>0</formula>
      <formula>100</formula>
    </cfRule>
    <cfRule type="cellIs" dxfId="1240" priority="100" stopIfTrue="1" operator="between">
      <formula>0</formula>
      <formula>55</formula>
    </cfRule>
  </conditionalFormatting>
  <conditionalFormatting sqref="T33">
    <cfRule type="cellIs" dxfId="1239" priority="89" stopIfTrue="1" operator="notBetween">
      <formula>0</formula>
      <formula>100</formula>
    </cfRule>
    <cfRule type="cellIs" dxfId="1238" priority="90" stopIfTrue="1" operator="lessThan">
      <formula>#REF!</formula>
    </cfRule>
    <cfRule type="cellIs" dxfId="1237" priority="92" stopIfTrue="1" operator="between">
      <formula>0</formula>
      <formula>55</formula>
    </cfRule>
    <cfRule type="cellIs" dxfId="1236" priority="91" stopIfTrue="1" operator="notBetween">
      <formula>0</formula>
      <formula>100</formula>
    </cfRule>
  </conditionalFormatting>
  <conditionalFormatting sqref="T42">
    <cfRule type="cellIs" dxfId="1235" priority="81" stopIfTrue="1" operator="notBetween">
      <formula>0</formula>
      <formula>100</formula>
    </cfRule>
    <cfRule type="cellIs" dxfId="1234" priority="82" stopIfTrue="1" operator="lessThan">
      <formula>#REF!</formula>
    </cfRule>
    <cfRule type="cellIs" dxfId="1233" priority="83" stopIfTrue="1" operator="notBetween">
      <formula>0</formula>
      <formula>100</formula>
    </cfRule>
    <cfRule type="cellIs" dxfId="1232" priority="84" stopIfTrue="1" operator="between">
      <formula>0</formula>
      <formula>55</formula>
    </cfRule>
  </conditionalFormatting>
  <conditionalFormatting sqref="T51">
    <cfRule type="cellIs" dxfId="1231" priority="73" stopIfTrue="1" operator="notBetween">
      <formula>0</formula>
      <formula>100</formula>
    </cfRule>
    <cfRule type="cellIs" dxfId="1230" priority="74" stopIfTrue="1" operator="lessThan">
      <formula>#REF!</formula>
    </cfRule>
    <cfRule type="cellIs" dxfId="1229" priority="75" stopIfTrue="1" operator="notBetween">
      <formula>0</formula>
      <formula>100</formula>
    </cfRule>
    <cfRule type="cellIs" dxfId="1228" priority="76" stopIfTrue="1" operator="between">
      <formula>0</formula>
      <formula>55</formula>
    </cfRule>
  </conditionalFormatting>
  <conditionalFormatting sqref="T60">
    <cfRule type="cellIs" dxfId="1227" priority="65" stopIfTrue="1" operator="notBetween">
      <formula>0</formula>
      <formula>100</formula>
    </cfRule>
    <cfRule type="cellIs" dxfId="1226" priority="66" stopIfTrue="1" operator="lessThan">
      <formula>#REF!</formula>
    </cfRule>
    <cfRule type="cellIs" dxfId="1225" priority="67" stopIfTrue="1" operator="notBetween">
      <formula>0</formula>
      <formula>100</formula>
    </cfRule>
    <cfRule type="cellIs" dxfId="1224" priority="68" stopIfTrue="1" operator="between">
      <formula>0</formula>
      <formula>55</formula>
    </cfRule>
  </conditionalFormatting>
  <conditionalFormatting sqref="T69">
    <cfRule type="cellIs" dxfId="1223" priority="60" stopIfTrue="1" operator="between">
      <formula>0</formula>
      <formula>55</formula>
    </cfRule>
    <cfRule type="cellIs" dxfId="1222" priority="58" stopIfTrue="1" operator="lessThan">
      <formula>#REF!</formula>
    </cfRule>
    <cfRule type="cellIs" dxfId="1221" priority="57" stopIfTrue="1" operator="notBetween">
      <formula>0</formula>
      <formula>100</formula>
    </cfRule>
    <cfRule type="cellIs" dxfId="1220" priority="59" stopIfTrue="1" operator="notBetween">
      <formula>0</formula>
      <formula>100</formula>
    </cfRule>
  </conditionalFormatting>
  <conditionalFormatting sqref="T78">
    <cfRule type="cellIs" dxfId="1219" priority="52" stopIfTrue="1" operator="between">
      <formula>0</formula>
      <formula>55</formula>
    </cfRule>
    <cfRule type="cellIs" dxfId="1218" priority="51" stopIfTrue="1" operator="notBetween">
      <formula>0</formula>
      <formula>100</formula>
    </cfRule>
    <cfRule type="cellIs" dxfId="1217" priority="50" stopIfTrue="1" operator="lessThan">
      <formula>#REF!</formula>
    </cfRule>
    <cfRule type="cellIs" dxfId="1216" priority="49" stopIfTrue="1" operator="notBetween">
      <formula>0</formula>
      <formula>100</formula>
    </cfRule>
  </conditionalFormatting>
  <conditionalFormatting sqref="T87">
    <cfRule type="cellIs" dxfId="1215" priority="44" stopIfTrue="1" operator="between">
      <formula>0</formula>
      <formula>55</formula>
    </cfRule>
    <cfRule type="cellIs" dxfId="1214" priority="42" stopIfTrue="1" operator="lessThan">
      <formula>#REF!</formula>
    </cfRule>
    <cfRule type="cellIs" dxfId="1213" priority="41" stopIfTrue="1" operator="notBetween">
      <formula>0</formula>
      <formula>100</formula>
    </cfRule>
    <cfRule type="cellIs" dxfId="1212" priority="43" stopIfTrue="1" operator="notBetween">
      <formula>0</formula>
      <formula>100</formula>
    </cfRule>
  </conditionalFormatting>
  <conditionalFormatting sqref="T96">
    <cfRule type="cellIs" dxfId="1211" priority="36" stopIfTrue="1" operator="between">
      <formula>0</formula>
      <formula>55</formula>
    </cfRule>
    <cfRule type="cellIs" dxfId="1210" priority="35" stopIfTrue="1" operator="notBetween">
      <formula>0</formula>
      <formula>100</formula>
    </cfRule>
    <cfRule type="cellIs" dxfId="1209" priority="34" stopIfTrue="1" operator="lessThan">
      <formula>#REF!</formula>
    </cfRule>
    <cfRule type="cellIs" dxfId="1208" priority="33" stopIfTrue="1" operator="notBetween">
      <formula>0</formula>
      <formula>100</formula>
    </cfRule>
  </conditionalFormatting>
  <conditionalFormatting sqref="T105">
    <cfRule type="cellIs" dxfId="1207" priority="25" stopIfTrue="1" operator="notBetween">
      <formula>0</formula>
      <formula>100</formula>
    </cfRule>
    <cfRule type="cellIs" dxfId="1206" priority="26" stopIfTrue="1" operator="lessThan">
      <formula>#REF!</formula>
    </cfRule>
    <cfRule type="cellIs" dxfId="1205" priority="27" stopIfTrue="1" operator="notBetween">
      <formula>0</formula>
      <formula>100</formula>
    </cfRule>
    <cfRule type="cellIs" dxfId="1204" priority="28" stopIfTrue="1" operator="between">
      <formula>0</formula>
      <formula>55</formula>
    </cfRule>
  </conditionalFormatting>
  <conditionalFormatting sqref="T114">
    <cfRule type="cellIs" dxfId="1203" priority="20" stopIfTrue="1" operator="between">
      <formula>0</formula>
      <formula>55</formula>
    </cfRule>
    <cfRule type="cellIs" dxfId="1202" priority="19" stopIfTrue="1" operator="notBetween">
      <formula>0</formula>
      <formula>100</formula>
    </cfRule>
    <cfRule type="cellIs" dxfId="1201" priority="18" stopIfTrue="1" operator="lessThan">
      <formula>#REF!</formula>
    </cfRule>
    <cfRule type="cellIs" dxfId="1200" priority="17" stopIfTrue="1" operator="notBetween">
      <formula>0</formula>
      <formula>100</formula>
    </cfRule>
  </conditionalFormatting>
  <conditionalFormatting sqref="T123">
    <cfRule type="cellIs" dxfId="1199" priority="12" stopIfTrue="1" operator="between">
      <formula>0</formula>
      <formula>55</formula>
    </cfRule>
    <cfRule type="cellIs" dxfId="1198" priority="11" stopIfTrue="1" operator="notBetween">
      <formula>0</formula>
      <formula>100</formula>
    </cfRule>
    <cfRule type="cellIs" dxfId="1197" priority="10" stopIfTrue="1" operator="lessThan">
      <formula>#REF!</formula>
    </cfRule>
    <cfRule type="cellIs" dxfId="1196" priority="9" stopIfTrue="1" operator="notBetween">
      <formula>0</formula>
      <formula>100</formula>
    </cfRule>
  </conditionalFormatting>
  <conditionalFormatting sqref="T132">
    <cfRule type="cellIs" dxfId="1195" priority="1" stopIfTrue="1" operator="notBetween">
      <formula>0</formula>
      <formula>100</formula>
    </cfRule>
    <cfRule type="cellIs" dxfId="1194" priority="4" stopIfTrue="1" operator="between">
      <formula>0</formula>
      <formula>55</formula>
    </cfRule>
    <cfRule type="cellIs" dxfId="1193" priority="2" stopIfTrue="1" operator="lessThan">
      <formula>#REF!</formula>
    </cfRule>
    <cfRule type="cellIs" dxfId="1192" priority="3" stopIfTrue="1" operator="notBetween">
      <formula>0</formula>
      <formula>100</formula>
    </cfRule>
  </conditionalFormatting>
  <pageMargins left="0.74803149606299213" right="0.15748031496062992" top="0.74803149606299213" bottom="0.43307086614173229" header="0.31496062992125984" footer="0.23622047244094491"/>
  <pageSetup paperSize="768" scale="6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AAC95-821E-4D60-B030-A14180E1451F}">
  <sheetPr>
    <tabColor rgb="FF00B0F0"/>
    <pageSetUpPr fitToPage="1"/>
  </sheetPr>
  <dimension ref="A1:FC43"/>
  <sheetViews>
    <sheetView topLeftCell="DX1" zoomScale="60" zoomScaleNormal="60" workbookViewId="0">
      <selection activeCell="A12" sqref="A12:XFD12"/>
    </sheetView>
  </sheetViews>
  <sheetFormatPr defaultColWidth="9.109375" defaultRowHeight="14.4"/>
  <cols>
    <col min="1" max="1" width="5.5546875" style="2" customWidth="1"/>
    <col min="2" max="2" width="17.109375" style="35" customWidth="1"/>
    <col min="3" max="3" width="50.33203125" style="2" customWidth="1"/>
    <col min="4" max="4" width="17" style="2" customWidth="1"/>
    <col min="5" max="5" width="6.6640625" style="2" customWidth="1"/>
    <col min="6" max="6" width="9" style="2" customWidth="1"/>
    <col min="7" max="30" width="6.6640625" style="2" customWidth="1"/>
    <col min="31" max="31" width="7.33203125" style="2" customWidth="1"/>
    <col min="32" max="32" width="9.33203125" style="2" customWidth="1"/>
    <col min="33" max="50" width="6.6640625" style="2" customWidth="1"/>
    <col min="51" max="51" width="9.5546875" style="2" customWidth="1"/>
    <col min="52" max="52" width="10.88671875" style="2" customWidth="1"/>
    <col min="53" max="53" width="6.6640625" style="2" customWidth="1"/>
    <col min="54" max="54" width="11.44140625" style="2" customWidth="1"/>
    <col min="55" max="55" width="12.5546875" style="2" customWidth="1"/>
    <col min="56" max="56" width="14.33203125" style="2" customWidth="1"/>
    <col min="57" max="60" width="6.6640625" style="2" customWidth="1"/>
    <col min="61" max="61" width="7.33203125" style="2" customWidth="1"/>
    <col min="62" max="70" width="6.6640625" style="2" customWidth="1"/>
    <col min="71" max="71" width="9.109375" style="2" customWidth="1"/>
    <col min="72" max="76" width="6.6640625" style="2" customWidth="1"/>
    <col min="77" max="77" width="10.88671875" style="2" customWidth="1"/>
    <col min="78" max="81" width="6.6640625" style="2" customWidth="1"/>
    <col min="82" max="90" width="9.109375" style="2" customWidth="1"/>
    <col min="91" max="94" width="8.6640625" style="2" customWidth="1"/>
    <col min="95" max="98" width="8.6640625" style="36" customWidth="1"/>
    <col min="99" max="106" width="8.6640625" style="2" customWidth="1"/>
    <col min="107" max="107" width="11.109375" style="2" customWidth="1"/>
    <col min="108" max="108" width="12.44140625" style="2" customWidth="1"/>
    <col min="109" max="128" width="8.6640625" style="2" customWidth="1"/>
    <col min="129" max="129" width="8.33203125" style="2" bestFit="1" customWidth="1"/>
    <col min="130" max="131" width="8.33203125" style="2" customWidth="1"/>
    <col min="132" max="132" width="7.6640625" style="2" customWidth="1"/>
    <col min="133" max="140" width="8.6640625" style="2" customWidth="1"/>
    <col min="141" max="141" width="6.6640625" style="2" customWidth="1"/>
    <col min="142" max="150" width="10.44140625" style="2" bestFit="1" customWidth="1"/>
    <col min="151" max="151" width="13.44140625" style="2" customWidth="1"/>
    <col min="152" max="154" width="10.44140625" style="2" bestFit="1" customWidth="1"/>
    <col min="155" max="155" width="10.109375" style="2" customWidth="1"/>
    <col min="156" max="156" width="10.44140625" style="2" bestFit="1" customWidth="1"/>
    <col min="157" max="157" width="11.109375" style="2" customWidth="1"/>
    <col min="158" max="158" width="11.33203125" style="2" bestFit="1" customWidth="1"/>
    <col min="159" max="159" width="12.5546875" style="2" customWidth="1"/>
    <col min="160" max="16384" width="9.109375" style="2"/>
  </cols>
  <sheetData>
    <row r="1" spans="1:159" ht="15" thickBot="1">
      <c r="A1" s="162" t="s">
        <v>0</v>
      </c>
      <c r="B1" s="280" t="s">
        <v>1</v>
      </c>
      <c r="C1" s="162" t="s">
        <v>2</v>
      </c>
      <c r="D1" s="162" t="s">
        <v>3</v>
      </c>
      <c r="E1" s="162"/>
      <c r="F1" s="162"/>
      <c r="G1" s="162"/>
      <c r="H1" s="162"/>
      <c r="I1" s="162"/>
      <c r="J1" s="1"/>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c r="AQ1" s="162"/>
      <c r="AR1" s="162"/>
      <c r="AS1" s="172"/>
      <c r="AT1" s="173"/>
      <c r="AU1" s="173"/>
      <c r="AV1" s="174"/>
      <c r="AW1" s="172"/>
      <c r="AX1" s="173"/>
      <c r="AY1" s="173"/>
      <c r="AZ1" s="173"/>
      <c r="BA1" s="173"/>
      <c r="BB1" s="173"/>
      <c r="BC1" s="162" t="s">
        <v>4</v>
      </c>
      <c r="BD1" s="162"/>
      <c r="BE1" s="162" t="s">
        <v>5</v>
      </c>
      <c r="BF1" s="162"/>
      <c r="BG1" s="162"/>
      <c r="BH1" s="162"/>
      <c r="BI1" s="162" t="s">
        <v>5</v>
      </c>
      <c r="BJ1" s="162"/>
      <c r="BK1" s="162"/>
      <c r="BL1" s="162"/>
      <c r="BM1" s="162" t="s">
        <v>5</v>
      </c>
      <c r="BN1" s="162"/>
      <c r="BO1" s="162"/>
      <c r="BP1" s="162"/>
      <c r="BQ1" s="1"/>
      <c r="BR1" s="1"/>
      <c r="BS1" s="1"/>
      <c r="BT1" s="1"/>
      <c r="BU1" s="1"/>
      <c r="BV1" s="1"/>
      <c r="BW1" s="1"/>
      <c r="BX1" s="1"/>
      <c r="BY1" s="1"/>
      <c r="BZ1" s="1"/>
      <c r="CA1" s="1"/>
      <c r="CB1" s="1"/>
      <c r="CC1" s="1"/>
      <c r="CD1" s="197" t="s">
        <v>6</v>
      </c>
      <c r="CE1" s="198"/>
      <c r="CF1" s="198"/>
      <c r="CG1" s="198"/>
      <c r="CH1" s="198"/>
      <c r="CI1" s="198"/>
      <c r="CJ1" s="198"/>
      <c r="CK1" s="198"/>
      <c r="CL1" s="198"/>
      <c r="CM1" s="170" t="str">
        <f>E2</f>
        <v>1.Pendidikan Agama Islam (PAI)</v>
      </c>
      <c r="CN1" s="170"/>
      <c r="CO1" s="170"/>
      <c r="CP1" s="170"/>
      <c r="CQ1" s="195" t="str">
        <f>K2</f>
        <v>2.Pendidikan Pancasila</v>
      </c>
      <c r="CR1" s="193"/>
      <c r="CS1" s="193"/>
      <c r="CT1" s="193"/>
      <c r="CU1" s="170" t="str">
        <f>Q2</f>
        <v>3.Bahasa Indonesia</v>
      </c>
      <c r="CV1" s="170"/>
      <c r="CW1" s="170"/>
      <c r="CX1" s="170"/>
      <c r="CY1" s="185" t="str">
        <f>W2</f>
        <v>4.Pendidikan Jasmani Olahraga dan Kesehatan</v>
      </c>
      <c r="CZ1" s="186"/>
      <c r="DA1" s="170" t="str">
        <f>AA2</f>
        <v>5.Sejarah</v>
      </c>
      <c r="DB1" s="170"/>
      <c r="DC1" s="195" t="str">
        <f>AE2</f>
        <v>6.Seni Budaya (Seni Tari)</v>
      </c>
      <c r="DD1" s="193"/>
      <c r="DE1" s="170" t="str">
        <f>AG2</f>
        <v>7.Bahasa Sunda</v>
      </c>
      <c r="DF1" s="170"/>
      <c r="DG1" s="193" t="str">
        <f>AK2</f>
        <v>8.Public speaking</v>
      </c>
      <c r="DH1" s="193"/>
      <c r="DI1" s="193"/>
      <c r="DJ1" s="193"/>
      <c r="DK1" s="170" t="str">
        <f>AM2</f>
        <v>9.Matematika</v>
      </c>
      <c r="DL1" s="170"/>
      <c r="DM1" s="170"/>
      <c r="DN1" s="170"/>
      <c r="DO1" s="195" t="str">
        <f>AS2</f>
        <v>10.Bahasa Inggris</v>
      </c>
      <c r="DP1" s="193"/>
      <c r="DQ1" s="193"/>
      <c r="DR1" s="193"/>
      <c r="DS1" s="195" t="str">
        <f>AY2</f>
        <v>11.Informatika</v>
      </c>
      <c r="DT1" s="193"/>
      <c r="DU1" s="185" t="str">
        <f>BA2</f>
        <v>12.Projek Ilmu Pengetahuan Alam dan Sosial</v>
      </c>
      <c r="DV1" s="186"/>
      <c r="DW1" s="185" t="str">
        <f>BC2</f>
        <v>13.Dasar - dasar Program Keahlian</v>
      </c>
      <c r="DX1" s="186"/>
      <c r="DY1" s="189" t="s">
        <v>311</v>
      </c>
      <c r="DZ1" s="190"/>
      <c r="EA1" s="190"/>
      <c r="EB1" s="190"/>
      <c r="EC1" s="185" t="str">
        <f>BU2</f>
        <v xml:space="preserve">15.Projek Kreatif dan Kewirausahaan </v>
      </c>
      <c r="ED1" s="186"/>
      <c r="EE1" s="186"/>
      <c r="EF1" s="186"/>
      <c r="EG1" s="193" t="s">
        <v>7</v>
      </c>
      <c r="EH1" s="195" t="str">
        <f>BZ2</f>
        <v>17.Bahasa Jepang</v>
      </c>
      <c r="EI1" s="193"/>
      <c r="EJ1" s="193"/>
      <c r="EK1" s="193"/>
      <c r="EL1" s="181" t="s">
        <v>8</v>
      </c>
      <c r="EM1" s="181"/>
      <c r="EN1" s="181"/>
      <c r="EO1" s="181"/>
      <c r="EP1" s="181"/>
      <c r="EQ1" s="181"/>
      <c r="ER1" s="181"/>
      <c r="ES1" s="181"/>
      <c r="ET1" s="181"/>
      <c r="EU1" s="181"/>
      <c r="EV1" s="181"/>
      <c r="EW1" s="181"/>
      <c r="EX1" s="181"/>
      <c r="EY1" s="181"/>
      <c r="EZ1" s="181"/>
      <c r="FA1" s="181"/>
      <c r="FB1" s="181"/>
    </row>
    <row r="2" spans="1:159" s="4" customFormat="1" ht="33.75" customHeight="1" thickBot="1">
      <c r="A2" s="162"/>
      <c r="B2" s="281"/>
      <c r="C2" s="162"/>
      <c r="D2" s="162"/>
      <c r="E2" s="182" t="s">
        <v>9</v>
      </c>
      <c r="F2" s="183"/>
      <c r="G2" s="183"/>
      <c r="H2" s="183"/>
      <c r="I2" s="183"/>
      <c r="J2" s="183"/>
      <c r="K2" s="182" t="s">
        <v>10</v>
      </c>
      <c r="L2" s="183"/>
      <c r="M2" s="183"/>
      <c r="N2" s="183"/>
      <c r="O2" s="183"/>
      <c r="P2" s="183"/>
      <c r="Q2" s="182" t="s">
        <v>11</v>
      </c>
      <c r="R2" s="183"/>
      <c r="S2" s="183"/>
      <c r="T2" s="183"/>
      <c r="U2" s="183"/>
      <c r="V2" s="183"/>
      <c r="W2" s="182" t="s">
        <v>12</v>
      </c>
      <c r="X2" s="183"/>
      <c r="Y2" s="183"/>
      <c r="Z2" s="183"/>
      <c r="AA2" s="182" t="s">
        <v>13</v>
      </c>
      <c r="AB2" s="183"/>
      <c r="AC2" s="183"/>
      <c r="AD2" s="183"/>
      <c r="AE2" s="182" t="s">
        <v>14</v>
      </c>
      <c r="AF2" s="183"/>
      <c r="AG2" s="183" t="s">
        <v>15</v>
      </c>
      <c r="AH2" s="183"/>
      <c r="AI2" s="183"/>
      <c r="AJ2" s="183"/>
      <c r="AK2" s="184" t="s">
        <v>16</v>
      </c>
      <c r="AL2" s="184"/>
      <c r="AM2" s="184" t="s">
        <v>17</v>
      </c>
      <c r="AN2" s="184"/>
      <c r="AO2" s="184"/>
      <c r="AP2" s="184"/>
      <c r="AQ2" s="184"/>
      <c r="AR2" s="184"/>
      <c r="AS2" s="182" t="s">
        <v>18</v>
      </c>
      <c r="AT2" s="183"/>
      <c r="AU2" s="183"/>
      <c r="AV2" s="183"/>
      <c r="AW2" s="183"/>
      <c r="AX2" s="211"/>
      <c r="AY2" s="182" t="s">
        <v>19</v>
      </c>
      <c r="AZ2" s="211"/>
      <c r="BA2" s="182" t="s">
        <v>20</v>
      </c>
      <c r="BB2" s="211"/>
      <c r="BC2" s="184" t="s">
        <v>21</v>
      </c>
      <c r="BD2" s="184"/>
      <c r="BE2" s="283" t="s">
        <v>671</v>
      </c>
      <c r="BF2" s="283"/>
      <c r="BG2" s="283"/>
      <c r="BH2" s="283"/>
      <c r="BI2" s="283" t="s">
        <v>672</v>
      </c>
      <c r="BJ2" s="283"/>
      <c r="BK2" s="283"/>
      <c r="BL2" s="283"/>
      <c r="BM2" s="283" t="s">
        <v>673</v>
      </c>
      <c r="BN2" s="283"/>
      <c r="BO2" s="283"/>
      <c r="BP2" s="283"/>
      <c r="BQ2" s="208" t="s">
        <v>25</v>
      </c>
      <c r="BR2" s="209"/>
      <c r="BS2" s="209"/>
      <c r="BT2" s="210"/>
      <c r="BU2" s="182" t="s">
        <v>26</v>
      </c>
      <c r="BV2" s="183"/>
      <c r="BW2" s="183"/>
      <c r="BX2" s="211"/>
      <c r="BY2" s="3" t="s">
        <v>7</v>
      </c>
      <c r="BZ2" s="212" t="s">
        <v>27</v>
      </c>
      <c r="CA2" s="213"/>
      <c r="CB2" s="213"/>
      <c r="CC2" s="214"/>
      <c r="CD2" s="199"/>
      <c r="CE2" s="200"/>
      <c r="CF2" s="200"/>
      <c r="CG2" s="200"/>
      <c r="CH2" s="200"/>
      <c r="CI2" s="200"/>
      <c r="CJ2" s="200"/>
      <c r="CK2" s="200"/>
      <c r="CL2" s="200"/>
      <c r="CM2" s="171"/>
      <c r="CN2" s="171"/>
      <c r="CO2" s="171"/>
      <c r="CP2" s="171"/>
      <c r="CQ2" s="196"/>
      <c r="CR2" s="194"/>
      <c r="CS2" s="194"/>
      <c r="CT2" s="194"/>
      <c r="CU2" s="171"/>
      <c r="CV2" s="171"/>
      <c r="CW2" s="171"/>
      <c r="CX2" s="171"/>
      <c r="CY2" s="187"/>
      <c r="CZ2" s="188"/>
      <c r="DA2" s="171"/>
      <c r="DB2" s="171"/>
      <c r="DC2" s="196"/>
      <c r="DD2" s="194"/>
      <c r="DE2" s="171"/>
      <c r="DF2" s="171"/>
      <c r="DG2" s="194"/>
      <c r="DH2" s="194"/>
      <c r="DI2" s="194"/>
      <c r="DJ2" s="194"/>
      <c r="DK2" s="171"/>
      <c r="DL2" s="171"/>
      <c r="DM2" s="171"/>
      <c r="DN2" s="171"/>
      <c r="DO2" s="196"/>
      <c r="DP2" s="194"/>
      <c r="DQ2" s="194"/>
      <c r="DR2" s="194"/>
      <c r="DS2" s="196"/>
      <c r="DT2" s="194"/>
      <c r="DU2" s="187"/>
      <c r="DV2" s="188"/>
      <c r="DW2" s="187"/>
      <c r="DX2" s="188"/>
      <c r="DY2" s="191"/>
      <c r="DZ2" s="192"/>
      <c r="EA2" s="192"/>
      <c r="EB2" s="192"/>
      <c r="EC2" s="187"/>
      <c r="ED2" s="188"/>
      <c r="EE2" s="188"/>
      <c r="EF2" s="188"/>
      <c r="EG2" s="194"/>
      <c r="EH2" s="196"/>
      <c r="EI2" s="194"/>
      <c r="EJ2" s="194"/>
      <c r="EK2" s="194"/>
      <c r="EL2" s="204" t="s">
        <v>28</v>
      </c>
      <c r="EM2" s="204" t="s">
        <v>10</v>
      </c>
      <c r="EN2" s="204" t="s">
        <v>11</v>
      </c>
      <c r="EO2" s="204" t="s">
        <v>12</v>
      </c>
      <c r="EP2" s="204" t="s">
        <v>13</v>
      </c>
      <c r="EQ2" s="204" t="s">
        <v>14</v>
      </c>
      <c r="ER2" s="204" t="s">
        <v>15</v>
      </c>
      <c r="ES2" s="204" t="s">
        <v>16</v>
      </c>
      <c r="ET2" s="204" t="s">
        <v>17</v>
      </c>
      <c r="EU2" s="204" t="s">
        <v>18</v>
      </c>
      <c r="EV2" s="204" t="s">
        <v>19</v>
      </c>
      <c r="EW2" s="204" t="s">
        <v>20</v>
      </c>
      <c r="EX2" s="204" t="s">
        <v>21</v>
      </c>
      <c r="EY2" s="205" t="s">
        <v>29</v>
      </c>
      <c r="EZ2" s="204" t="s">
        <v>26</v>
      </c>
      <c r="FA2" s="204" t="s">
        <v>30</v>
      </c>
      <c r="FB2" s="217" t="s">
        <v>31</v>
      </c>
      <c r="FC2" s="201" t="s">
        <v>32</v>
      </c>
    </row>
    <row r="3" spans="1:159" ht="15" customHeight="1" thickBot="1">
      <c r="A3" s="162"/>
      <c r="B3" s="281"/>
      <c r="C3" s="162"/>
      <c r="D3" s="162"/>
      <c r="E3" s="202" t="s">
        <v>33</v>
      </c>
      <c r="F3" s="202" t="s">
        <v>34</v>
      </c>
      <c r="G3" s="202" t="s">
        <v>35</v>
      </c>
      <c r="H3" s="202" t="s">
        <v>36</v>
      </c>
      <c r="I3" s="202" t="s">
        <v>37</v>
      </c>
      <c r="J3" s="168" t="s">
        <v>38</v>
      </c>
      <c r="K3" s="166" t="s">
        <v>33</v>
      </c>
      <c r="L3" s="166" t="s">
        <v>34</v>
      </c>
      <c r="M3" s="166" t="s">
        <v>35</v>
      </c>
      <c r="N3" s="166" t="s">
        <v>36</v>
      </c>
      <c r="O3" s="166" t="s">
        <v>37</v>
      </c>
      <c r="P3" s="168" t="s">
        <v>38</v>
      </c>
      <c r="Q3" s="215" t="s">
        <v>33</v>
      </c>
      <c r="R3" s="215" t="s">
        <v>34</v>
      </c>
      <c r="S3" s="215" t="s">
        <v>35</v>
      </c>
      <c r="T3" s="215" t="s">
        <v>36</v>
      </c>
      <c r="U3" s="215" t="s">
        <v>37</v>
      </c>
      <c r="V3" s="168" t="s">
        <v>38</v>
      </c>
      <c r="W3" s="224" t="s">
        <v>33</v>
      </c>
      <c r="X3" s="224" t="s">
        <v>34</v>
      </c>
      <c r="Y3" s="224" t="s">
        <v>35</v>
      </c>
      <c r="Z3" s="224" t="s">
        <v>36</v>
      </c>
      <c r="AA3" s="220" t="s">
        <v>33</v>
      </c>
      <c r="AB3" s="220" t="s">
        <v>34</v>
      </c>
      <c r="AC3" s="220" t="s">
        <v>35</v>
      </c>
      <c r="AD3" s="220" t="s">
        <v>36</v>
      </c>
      <c r="AE3" s="202" t="s">
        <v>33</v>
      </c>
      <c r="AF3" s="202" t="s">
        <v>34</v>
      </c>
      <c r="AG3" s="220" t="s">
        <v>33</v>
      </c>
      <c r="AH3" s="220" t="s">
        <v>34</v>
      </c>
      <c r="AI3" s="220" t="s">
        <v>35</v>
      </c>
      <c r="AJ3" s="220" t="s">
        <v>36</v>
      </c>
      <c r="AK3" s="166" t="s">
        <v>37</v>
      </c>
      <c r="AL3" s="168" t="s">
        <v>38</v>
      </c>
      <c r="AM3" s="220" t="s">
        <v>33</v>
      </c>
      <c r="AN3" s="220" t="s">
        <v>34</v>
      </c>
      <c r="AO3" s="220" t="s">
        <v>35</v>
      </c>
      <c r="AP3" s="220" t="s">
        <v>36</v>
      </c>
      <c r="AQ3" s="220" t="s">
        <v>37</v>
      </c>
      <c r="AR3" s="168" t="s">
        <v>38</v>
      </c>
      <c r="AS3" s="220" t="s">
        <v>33</v>
      </c>
      <c r="AT3" s="220" t="s">
        <v>34</v>
      </c>
      <c r="AU3" s="220" t="s">
        <v>35</v>
      </c>
      <c r="AV3" s="220" t="s">
        <v>36</v>
      </c>
      <c r="AW3" s="220" t="s">
        <v>37</v>
      </c>
      <c r="AX3" s="168" t="s">
        <v>38</v>
      </c>
      <c r="AY3" s="220" t="s">
        <v>33</v>
      </c>
      <c r="AZ3" s="220" t="s">
        <v>34</v>
      </c>
      <c r="BA3" s="220" t="s">
        <v>33</v>
      </c>
      <c r="BB3" s="220" t="s">
        <v>34</v>
      </c>
      <c r="BC3" s="220" t="s">
        <v>33</v>
      </c>
      <c r="BD3" s="220" t="s">
        <v>34</v>
      </c>
      <c r="BE3" s="284" t="s">
        <v>35</v>
      </c>
      <c r="BF3" s="284" t="s">
        <v>36</v>
      </c>
      <c r="BG3" s="284" t="s">
        <v>37</v>
      </c>
      <c r="BH3" s="286" t="s">
        <v>38</v>
      </c>
      <c r="BI3" s="284" t="s">
        <v>35</v>
      </c>
      <c r="BJ3" s="284" t="s">
        <v>36</v>
      </c>
      <c r="BK3" s="284" t="s">
        <v>37</v>
      </c>
      <c r="BL3" s="286" t="s">
        <v>38</v>
      </c>
      <c r="BM3" s="284" t="s">
        <v>35</v>
      </c>
      <c r="BN3" s="284" t="s">
        <v>36</v>
      </c>
      <c r="BO3" s="284" t="s">
        <v>37</v>
      </c>
      <c r="BP3" s="286" t="s">
        <v>38</v>
      </c>
      <c r="BQ3" s="220" t="s">
        <v>35</v>
      </c>
      <c r="BR3" s="220" t="s">
        <v>36</v>
      </c>
      <c r="BS3" s="220" t="s">
        <v>37</v>
      </c>
      <c r="BT3" s="168" t="s">
        <v>38</v>
      </c>
      <c r="BU3" s="220" t="s">
        <v>35</v>
      </c>
      <c r="BV3" s="220" t="s">
        <v>36</v>
      </c>
      <c r="BW3" s="220" t="s">
        <v>37</v>
      </c>
      <c r="BX3" s="168" t="s">
        <v>38</v>
      </c>
      <c r="BY3" s="243">
        <v>5</v>
      </c>
      <c r="BZ3" s="220" t="s">
        <v>35</v>
      </c>
      <c r="CA3" s="220" t="s">
        <v>36</v>
      </c>
      <c r="CB3" s="220" t="s">
        <v>37</v>
      </c>
      <c r="CC3" s="168" t="s">
        <v>38</v>
      </c>
      <c r="CD3" s="241" t="s">
        <v>39</v>
      </c>
      <c r="CE3" s="239" t="s">
        <v>40</v>
      </c>
      <c r="CF3" s="241" t="s">
        <v>41</v>
      </c>
      <c r="CG3" s="237" t="s">
        <v>42</v>
      </c>
      <c r="CH3" s="239" t="s">
        <v>43</v>
      </c>
      <c r="CI3" s="241" t="s">
        <v>44</v>
      </c>
      <c r="CJ3" s="241" t="s">
        <v>45</v>
      </c>
      <c r="CK3" s="241" t="s">
        <v>46</v>
      </c>
      <c r="CL3" s="241" t="s">
        <v>47</v>
      </c>
      <c r="CM3" s="234" t="s">
        <v>48</v>
      </c>
      <c r="CN3" s="234" t="s">
        <v>38</v>
      </c>
      <c r="CO3" s="235" t="s">
        <v>49</v>
      </c>
      <c r="CP3" s="232" t="s">
        <v>50</v>
      </c>
      <c r="CQ3" s="234" t="s">
        <v>48</v>
      </c>
      <c r="CR3" s="234" t="s">
        <v>38</v>
      </c>
      <c r="CS3" s="235" t="s">
        <v>49</v>
      </c>
      <c r="CT3" s="232" t="s">
        <v>50</v>
      </c>
      <c r="CU3" s="5" t="s">
        <v>48</v>
      </c>
      <c r="CV3" s="5" t="s">
        <v>38</v>
      </c>
      <c r="CW3" s="6" t="s">
        <v>49</v>
      </c>
      <c r="CX3" s="7" t="s">
        <v>50</v>
      </c>
      <c r="CY3" s="5" t="s">
        <v>48</v>
      </c>
      <c r="CZ3" s="7" t="s">
        <v>50</v>
      </c>
      <c r="DA3" s="5" t="s">
        <v>48</v>
      </c>
      <c r="DB3" s="7" t="s">
        <v>50</v>
      </c>
      <c r="DC3" s="5" t="s">
        <v>48</v>
      </c>
      <c r="DD3" s="7" t="s">
        <v>50</v>
      </c>
      <c r="DE3" s="5" t="s">
        <v>48</v>
      </c>
      <c r="DF3" s="7" t="s">
        <v>50</v>
      </c>
      <c r="DG3" s="5" t="s">
        <v>48</v>
      </c>
      <c r="DH3" s="5" t="s">
        <v>38</v>
      </c>
      <c r="DI3" s="6" t="s">
        <v>49</v>
      </c>
      <c r="DJ3" s="7" t="s">
        <v>50</v>
      </c>
      <c r="DK3" s="5" t="s">
        <v>48</v>
      </c>
      <c r="DL3" s="5" t="s">
        <v>38</v>
      </c>
      <c r="DM3" s="6" t="s">
        <v>49</v>
      </c>
      <c r="DN3" s="7" t="s">
        <v>50</v>
      </c>
      <c r="DO3" s="5" t="s">
        <v>48</v>
      </c>
      <c r="DP3" s="5" t="s">
        <v>38</v>
      </c>
      <c r="DQ3" s="6" t="s">
        <v>49</v>
      </c>
      <c r="DR3" s="7" t="s">
        <v>50</v>
      </c>
      <c r="DS3" s="5" t="s">
        <v>48</v>
      </c>
      <c r="DT3" s="7" t="s">
        <v>50</v>
      </c>
      <c r="DU3" s="5" t="s">
        <v>48</v>
      </c>
      <c r="DV3" s="7" t="s">
        <v>50</v>
      </c>
      <c r="DW3" s="5" t="s">
        <v>48</v>
      </c>
      <c r="DX3" s="7" t="s">
        <v>50</v>
      </c>
      <c r="DY3" s="5" t="s">
        <v>48</v>
      </c>
      <c r="DZ3" s="5" t="s">
        <v>38</v>
      </c>
      <c r="EA3" s="6" t="s">
        <v>49</v>
      </c>
      <c r="EB3" s="7" t="s">
        <v>50</v>
      </c>
      <c r="EC3" s="5" t="s">
        <v>48</v>
      </c>
      <c r="ED3" s="5" t="s">
        <v>38</v>
      </c>
      <c r="EE3" s="6" t="s">
        <v>49</v>
      </c>
      <c r="EF3" s="7" t="s">
        <v>50</v>
      </c>
      <c r="EG3" s="7" t="s">
        <v>50</v>
      </c>
      <c r="EH3" s="5" t="s">
        <v>48</v>
      </c>
      <c r="EI3" s="5" t="s">
        <v>38</v>
      </c>
      <c r="EJ3" s="6" t="s">
        <v>49</v>
      </c>
      <c r="EK3" s="7" t="s">
        <v>50</v>
      </c>
      <c r="EL3" s="204" t="s">
        <v>28</v>
      </c>
      <c r="EM3" s="204" t="s">
        <v>10</v>
      </c>
      <c r="EN3" s="204" t="s">
        <v>11</v>
      </c>
      <c r="EO3" s="204" t="s">
        <v>12</v>
      </c>
      <c r="EP3" s="204" t="s">
        <v>13</v>
      </c>
      <c r="EQ3" s="204" t="s">
        <v>14</v>
      </c>
      <c r="ER3" s="204" t="s">
        <v>15</v>
      </c>
      <c r="ES3" s="204" t="s">
        <v>16</v>
      </c>
      <c r="ET3" s="204" t="s">
        <v>17</v>
      </c>
      <c r="EU3" s="204" t="s">
        <v>18</v>
      </c>
      <c r="EV3" s="204" t="s">
        <v>19</v>
      </c>
      <c r="EW3" s="204" t="s">
        <v>20</v>
      </c>
      <c r="EX3" s="204" t="s">
        <v>21</v>
      </c>
      <c r="EY3" s="206" t="s">
        <v>29</v>
      </c>
      <c r="EZ3" s="204" t="s">
        <v>26</v>
      </c>
      <c r="FA3" s="204" t="s">
        <v>30</v>
      </c>
      <c r="FB3" s="218" t="s">
        <v>31</v>
      </c>
      <c r="FC3" s="201"/>
    </row>
    <row r="4" spans="1:159" ht="18">
      <c r="A4" s="162"/>
      <c r="B4" s="282"/>
      <c r="C4" s="162"/>
      <c r="D4" s="162"/>
      <c r="E4" s="203"/>
      <c r="F4" s="203"/>
      <c r="G4" s="203"/>
      <c r="H4" s="203"/>
      <c r="I4" s="203"/>
      <c r="J4" s="169"/>
      <c r="K4" s="167"/>
      <c r="L4" s="167"/>
      <c r="M4" s="167"/>
      <c r="N4" s="167"/>
      <c r="O4" s="167"/>
      <c r="P4" s="169"/>
      <c r="Q4" s="216"/>
      <c r="R4" s="216"/>
      <c r="S4" s="216"/>
      <c r="T4" s="216"/>
      <c r="U4" s="216"/>
      <c r="V4" s="169"/>
      <c r="W4" s="225"/>
      <c r="X4" s="225"/>
      <c r="Y4" s="225"/>
      <c r="Z4" s="225"/>
      <c r="AA4" s="221"/>
      <c r="AB4" s="221"/>
      <c r="AC4" s="221"/>
      <c r="AD4" s="221"/>
      <c r="AE4" s="203"/>
      <c r="AF4" s="203"/>
      <c r="AG4" s="221"/>
      <c r="AH4" s="221"/>
      <c r="AI4" s="221"/>
      <c r="AJ4" s="221"/>
      <c r="AK4" s="167"/>
      <c r="AL4" s="169"/>
      <c r="AM4" s="221"/>
      <c r="AN4" s="221"/>
      <c r="AO4" s="221"/>
      <c r="AP4" s="221"/>
      <c r="AQ4" s="221"/>
      <c r="AR4" s="169"/>
      <c r="AS4" s="221"/>
      <c r="AT4" s="221"/>
      <c r="AU4" s="221"/>
      <c r="AV4" s="221"/>
      <c r="AW4" s="221"/>
      <c r="AX4" s="169"/>
      <c r="AY4" s="221"/>
      <c r="AZ4" s="221"/>
      <c r="BA4" s="221"/>
      <c r="BB4" s="221"/>
      <c r="BC4" s="221"/>
      <c r="BD4" s="221"/>
      <c r="BE4" s="285"/>
      <c r="BF4" s="285"/>
      <c r="BG4" s="285"/>
      <c r="BH4" s="287"/>
      <c r="BI4" s="285"/>
      <c r="BJ4" s="285"/>
      <c r="BK4" s="285"/>
      <c r="BL4" s="287"/>
      <c r="BM4" s="285"/>
      <c r="BN4" s="285"/>
      <c r="BO4" s="285"/>
      <c r="BP4" s="287"/>
      <c r="BQ4" s="221"/>
      <c r="BR4" s="221"/>
      <c r="BS4" s="221"/>
      <c r="BT4" s="169"/>
      <c r="BU4" s="221"/>
      <c r="BV4" s="221"/>
      <c r="BW4" s="221"/>
      <c r="BX4" s="169"/>
      <c r="BY4" s="244"/>
      <c r="BZ4" s="221"/>
      <c r="CA4" s="221"/>
      <c r="CB4" s="221"/>
      <c r="CC4" s="169"/>
      <c r="CD4" s="242"/>
      <c r="CE4" s="240"/>
      <c r="CF4" s="242"/>
      <c r="CG4" s="238"/>
      <c r="CH4" s="240"/>
      <c r="CI4" s="242"/>
      <c r="CJ4" s="242"/>
      <c r="CK4" s="242"/>
      <c r="CL4" s="242"/>
      <c r="CM4" s="234"/>
      <c r="CN4" s="234"/>
      <c r="CO4" s="236"/>
      <c r="CP4" s="233"/>
      <c r="CQ4" s="234"/>
      <c r="CR4" s="234"/>
      <c r="CS4" s="236"/>
      <c r="CT4" s="233"/>
      <c r="CU4" s="5"/>
      <c r="CV4" s="5"/>
      <c r="CW4" s="8"/>
      <c r="CX4" s="9"/>
      <c r="CY4" s="5"/>
      <c r="CZ4" s="9"/>
      <c r="DA4" s="5"/>
      <c r="DB4" s="9"/>
      <c r="DC4" s="5"/>
      <c r="DD4" s="9"/>
      <c r="DE4" s="5"/>
      <c r="DF4" s="9"/>
      <c r="DG4" s="5"/>
      <c r="DH4" s="5"/>
      <c r="DI4" s="8"/>
      <c r="DJ4" s="9"/>
      <c r="DK4" s="10"/>
      <c r="DL4" s="10"/>
      <c r="DM4" s="8"/>
      <c r="DN4" s="9"/>
      <c r="DO4" s="5"/>
      <c r="DP4" s="5"/>
      <c r="DQ4" s="8"/>
      <c r="DR4" s="9"/>
      <c r="DS4" s="5"/>
      <c r="DT4" s="9"/>
      <c r="DU4" s="5"/>
      <c r="DV4" s="9"/>
      <c r="DW4" s="5"/>
      <c r="DX4" s="9"/>
      <c r="DY4" s="5"/>
      <c r="DZ4" s="5"/>
      <c r="EA4" s="8"/>
      <c r="EB4" s="9"/>
      <c r="EC4" s="5"/>
      <c r="ED4" s="5"/>
      <c r="EE4" s="8"/>
      <c r="EF4" s="9"/>
      <c r="EG4" s="9"/>
      <c r="EH4" s="5"/>
      <c r="EI4" s="5"/>
      <c r="EJ4" s="8"/>
      <c r="EK4" s="9"/>
      <c r="EL4" s="205" t="s">
        <v>28</v>
      </c>
      <c r="EM4" s="205" t="s">
        <v>10</v>
      </c>
      <c r="EN4" s="205" t="s">
        <v>11</v>
      </c>
      <c r="EO4" s="205" t="s">
        <v>12</v>
      </c>
      <c r="EP4" s="205" t="s">
        <v>13</v>
      </c>
      <c r="EQ4" s="205" t="s">
        <v>14</v>
      </c>
      <c r="ER4" s="205" t="s">
        <v>15</v>
      </c>
      <c r="ES4" s="205" t="s">
        <v>16</v>
      </c>
      <c r="ET4" s="205" t="s">
        <v>17</v>
      </c>
      <c r="EU4" s="205" t="s">
        <v>18</v>
      </c>
      <c r="EV4" s="205" t="s">
        <v>19</v>
      </c>
      <c r="EW4" s="205" t="s">
        <v>20</v>
      </c>
      <c r="EX4" s="205" t="s">
        <v>21</v>
      </c>
      <c r="EY4" s="207" t="s">
        <v>29</v>
      </c>
      <c r="EZ4" s="205" t="s">
        <v>26</v>
      </c>
      <c r="FA4" s="205" t="s">
        <v>30</v>
      </c>
      <c r="FB4" s="219" t="s">
        <v>31</v>
      </c>
      <c r="FC4" s="201"/>
    </row>
    <row r="5" spans="1:159" s="20" customFormat="1" ht="18">
      <c r="A5" s="11">
        <v>1</v>
      </c>
      <c r="B5" s="93" t="s">
        <v>632</v>
      </c>
      <c r="C5" s="94" t="s">
        <v>473</v>
      </c>
      <c r="D5" s="93" t="s">
        <v>630</v>
      </c>
      <c r="E5" s="95">
        <v>91</v>
      </c>
      <c r="F5" s="95">
        <v>89</v>
      </c>
      <c r="G5" s="96">
        <v>91</v>
      </c>
      <c r="H5" s="96">
        <v>85</v>
      </c>
      <c r="I5" s="95">
        <v>91</v>
      </c>
      <c r="J5" s="95">
        <v>90</v>
      </c>
      <c r="K5" s="95">
        <v>74</v>
      </c>
      <c r="L5" s="95">
        <v>82</v>
      </c>
      <c r="M5" s="95">
        <v>95</v>
      </c>
      <c r="N5" s="95">
        <v>89</v>
      </c>
      <c r="O5" s="95">
        <v>93</v>
      </c>
      <c r="P5" s="95">
        <v>90</v>
      </c>
      <c r="Q5" s="96">
        <v>85</v>
      </c>
      <c r="R5" s="96">
        <v>89</v>
      </c>
      <c r="S5" s="96">
        <v>83</v>
      </c>
      <c r="T5" s="96">
        <v>86</v>
      </c>
      <c r="U5" s="95">
        <v>83</v>
      </c>
      <c r="V5" s="95">
        <v>84</v>
      </c>
      <c r="W5" s="95">
        <v>82</v>
      </c>
      <c r="X5" s="95">
        <v>84</v>
      </c>
      <c r="Y5" s="95">
        <v>84</v>
      </c>
      <c r="Z5" s="95">
        <v>85</v>
      </c>
      <c r="AA5" s="95">
        <v>83</v>
      </c>
      <c r="AB5" s="95">
        <v>85</v>
      </c>
      <c r="AC5" s="95">
        <v>85</v>
      </c>
      <c r="AD5" s="95">
        <v>86</v>
      </c>
      <c r="AE5" s="96">
        <v>94</v>
      </c>
      <c r="AF5" s="96">
        <v>85</v>
      </c>
      <c r="AG5" s="95">
        <v>84</v>
      </c>
      <c r="AH5" s="95">
        <v>76</v>
      </c>
      <c r="AI5" s="95">
        <v>78</v>
      </c>
      <c r="AJ5" s="95">
        <v>83</v>
      </c>
      <c r="AK5" s="95">
        <v>86</v>
      </c>
      <c r="AL5" s="95">
        <v>84</v>
      </c>
      <c r="AM5" s="95">
        <v>74</v>
      </c>
      <c r="AN5" s="95">
        <v>75</v>
      </c>
      <c r="AO5" s="96">
        <v>75</v>
      </c>
      <c r="AP5" s="96">
        <v>82</v>
      </c>
      <c r="AQ5" s="95">
        <v>80</v>
      </c>
      <c r="AR5" s="95">
        <v>89</v>
      </c>
      <c r="AS5" s="95">
        <v>82</v>
      </c>
      <c r="AT5" s="95">
        <v>85</v>
      </c>
      <c r="AU5" s="95">
        <v>83</v>
      </c>
      <c r="AV5" s="95">
        <v>86</v>
      </c>
      <c r="AW5" s="95">
        <v>86</v>
      </c>
      <c r="AX5" s="95">
        <v>89</v>
      </c>
      <c r="AY5" s="95">
        <v>75</v>
      </c>
      <c r="AZ5" s="96">
        <v>79</v>
      </c>
      <c r="BA5" s="96">
        <v>88</v>
      </c>
      <c r="BB5" s="96">
        <v>88</v>
      </c>
      <c r="BC5" s="95">
        <v>82</v>
      </c>
      <c r="BD5" s="95">
        <v>85</v>
      </c>
      <c r="BE5" s="96">
        <v>85</v>
      </c>
      <c r="BF5" s="96">
        <v>81</v>
      </c>
      <c r="BG5" s="96">
        <v>83</v>
      </c>
      <c r="BH5" s="15">
        <v>90</v>
      </c>
      <c r="BI5" s="95">
        <v>85</v>
      </c>
      <c r="BJ5" s="95">
        <v>87</v>
      </c>
      <c r="BK5" s="95">
        <v>87</v>
      </c>
      <c r="BL5" s="15">
        <v>90</v>
      </c>
      <c r="BM5" s="95">
        <v>84</v>
      </c>
      <c r="BN5" s="95">
        <v>81</v>
      </c>
      <c r="BO5" s="95">
        <v>87</v>
      </c>
      <c r="BP5" s="15">
        <v>90</v>
      </c>
      <c r="BQ5" s="15">
        <f>AVERAGE(BE5,BI5,BM5)</f>
        <v>84.666666666666671</v>
      </c>
      <c r="BR5" s="15">
        <f>AVERAGE(BF5,BJ5,BN5)</f>
        <v>83</v>
      </c>
      <c r="BS5" s="15">
        <f>AVERAGE(BG5,BK5,BO5)</f>
        <v>85.666666666666671</v>
      </c>
      <c r="BT5" s="15">
        <f>AVERAGE(BH5,BL5,BP5)</f>
        <v>90</v>
      </c>
      <c r="BU5" s="14">
        <v>81</v>
      </c>
      <c r="BV5" s="14">
        <v>82</v>
      </c>
      <c r="BW5" s="14">
        <v>86</v>
      </c>
      <c r="BX5" s="15">
        <v>90</v>
      </c>
      <c r="BY5" s="15">
        <v>89</v>
      </c>
      <c r="BZ5" s="15">
        <v>70</v>
      </c>
      <c r="CA5" s="15">
        <v>82</v>
      </c>
      <c r="CB5" s="15">
        <v>83</v>
      </c>
      <c r="CC5" s="15">
        <v>89</v>
      </c>
      <c r="CD5" s="39">
        <v>90</v>
      </c>
      <c r="CE5" s="39">
        <v>95</v>
      </c>
      <c r="CF5" s="40">
        <v>88</v>
      </c>
      <c r="CG5" s="40">
        <v>97</v>
      </c>
      <c r="CH5" s="39">
        <v>81</v>
      </c>
      <c r="CI5" s="39">
        <v>88</v>
      </c>
      <c r="CJ5" s="39">
        <v>87</v>
      </c>
      <c r="CK5" s="39">
        <v>85.9</v>
      </c>
      <c r="CL5" s="39">
        <v>75</v>
      </c>
      <c r="CM5" s="41">
        <f>AVERAGE(E5:I5)</f>
        <v>89.4</v>
      </c>
      <c r="CN5" s="41">
        <f>J5</f>
        <v>90</v>
      </c>
      <c r="CO5" s="41">
        <f>CD5</f>
        <v>90</v>
      </c>
      <c r="CP5" s="17">
        <f>(CM5*4+CN5*3+CO5*3)/10</f>
        <v>89.76</v>
      </c>
      <c r="CQ5" s="16">
        <f>AVERAGE(K5:O5)</f>
        <v>86.6</v>
      </c>
      <c r="CR5" s="16">
        <f>P5</f>
        <v>90</v>
      </c>
      <c r="CS5" s="16">
        <f>CE5</f>
        <v>95</v>
      </c>
      <c r="CT5" s="17">
        <f>(CQ5*4+CR5*3+CS5*3)/10</f>
        <v>90.14</v>
      </c>
      <c r="CU5" s="17">
        <f>AVERAGE(Q5:U5)</f>
        <v>85.2</v>
      </c>
      <c r="CV5" s="17">
        <f>V5</f>
        <v>84</v>
      </c>
      <c r="CW5" s="17">
        <f>CF5</f>
        <v>88</v>
      </c>
      <c r="CX5" s="17">
        <f>(CU5*4+CV5*3+CW5*3)/10</f>
        <v>85.679999999999993</v>
      </c>
      <c r="CY5" s="18">
        <f>AVERAGE(W5:Z5)</f>
        <v>83.75</v>
      </c>
      <c r="CZ5" s="18">
        <f>CY5</f>
        <v>83.75</v>
      </c>
      <c r="DA5" s="18">
        <f>AVERAGE(AA5:AD5)</f>
        <v>84.75</v>
      </c>
      <c r="DB5" s="18">
        <f>DA5</f>
        <v>84.75</v>
      </c>
      <c r="DC5" s="18">
        <f>AVERAGE(AE5:AF5)</f>
        <v>89.5</v>
      </c>
      <c r="DD5" s="18">
        <f>DC5</f>
        <v>89.5</v>
      </c>
      <c r="DE5" s="18">
        <f>AVERAGE(AG5:AJ5)</f>
        <v>80.25</v>
      </c>
      <c r="DF5" s="18">
        <f>DE5</f>
        <v>80.25</v>
      </c>
      <c r="DG5" s="18">
        <f>AK5</f>
        <v>86</v>
      </c>
      <c r="DH5" s="18">
        <f>AL5</f>
        <v>84</v>
      </c>
      <c r="DI5" s="18">
        <f>CG5</f>
        <v>97</v>
      </c>
      <c r="DJ5" s="17">
        <f>(DG5*4+DH5*3+DI5*3)/10</f>
        <v>88.7</v>
      </c>
      <c r="DK5" s="18">
        <f>AVERAGE(AM5:AQ5)</f>
        <v>77.2</v>
      </c>
      <c r="DL5" s="18">
        <f>AR5</f>
        <v>89</v>
      </c>
      <c r="DM5" s="18">
        <f>CH5</f>
        <v>81</v>
      </c>
      <c r="DN5" s="17">
        <f>(DK5*4+DL5*3+DM5*3)/10</f>
        <v>81.88</v>
      </c>
      <c r="DO5" s="18">
        <f>AVERAGE(AS5:AW5)</f>
        <v>84.4</v>
      </c>
      <c r="DP5" s="18">
        <f>AX5</f>
        <v>89</v>
      </c>
      <c r="DQ5" s="18">
        <f>CI5</f>
        <v>88</v>
      </c>
      <c r="DR5" s="17">
        <f>(DO5*4+DP5*3+DQ5*3)/10</f>
        <v>86.86</v>
      </c>
      <c r="DS5" s="18">
        <f>AVERAGE(AY5:AZ5)</f>
        <v>77</v>
      </c>
      <c r="DT5" s="18">
        <f>DS5</f>
        <v>77</v>
      </c>
      <c r="DU5" s="18">
        <f>AVERAGE(BA5:BB5)</f>
        <v>88</v>
      </c>
      <c r="DV5" s="18">
        <f>DU5</f>
        <v>88</v>
      </c>
      <c r="DW5" s="18">
        <f>AVERAGE(BC5:BD5)</f>
        <v>83.5</v>
      </c>
      <c r="DX5" s="17">
        <f>DW5</f>
        <v>83.5</v>
      </c>
      <c r="DY5" s="18">
        <f>AVERAGE(BQ5:BS5)</f>
        <v>84.444444444444457</v>
      </c>
      <c r="DZ5" s="18">
        <f>BT5</f>
        <v>90</v>
      </c>
      <c r="EA5" s="18">
        <f>CL5</f>
        <v>75</v>
      </c>
      <c r="EB5" s="17">
        <f>(DY5*4+DZ5*3+EA5*3)/10</f>
        <v>83.277777777777786</v>
      </c>
      <c r="EC5" s="18">
        <f>AVERAGE(BU5:BW5)</f>
        <v>83</v>
      </c>
      <c r="ED5" s="18">
        <f>BX5</f>
        <v>90</v>
      </c>
      <c r="EE5" s="18">
        <f>CK5</f>
        <v>85.9</v>
      </c>
      <c r="EF5" s="17">
        <f>(EC5*4+ED5*3+EE5*3)/10</f>
        <v>85.97</v>
      </c>
      <c r="EG5" s="18">
        <f>BY5</f>
        <v>89</v>
      </c>
      <c r="EH5" s="18">
        <f>AVERAGE(BZ5:CB5)</f>
        <v>78.333333333333329</v>
      </c>
      <c r="EI5" s="18">
        <f>CC5</f>
        <v>89</v>
      </c>
      <c r="EJ5" s="18">
        <f>CJ5</f>
        <v>87</v>
      </c>
      <c r="EK5" s="17">
        <f>(EH5*4+EI5*3+EJ5*3)/10</f>
        <v>84.133333333333326</v>
      </c>
      <c r="EL5" s="19">
        <f>CP5</f>
        <v>89.76</v>
      </c>
      <c r="EM5" s="19">
        <f>CT5</f>
        <v>90.14</v>
      </c>
      <c r="EN5" s="19">
        <f>CX5</f>
        <v>85.679999999999993</v>
      </c>
      <c r="EO5" s="19">
        <f>CZ5</f>
        <v>83.75</v>
      </c>
      <c r="EP5" s="19">
        <f>DB5</f>
        <v>84.75</v>
      </c>
      <c r="EQ5" s="19">
        <f>DD5</f>
        <v>89.5</v>
      </c>
      <c r="ER5" s="19">
        <f>DF5</f>
        <v>80.25</v>
      </c>
      <c r="ES5" s="19">
        <f>DJ5</f>
        <v>88.7</v>
      </c>
      <c r="ET5" s="19">
        <f>DN5</f>
        <v>81.88</v>
      </c>
      <c r="EU5" s="19">
        <f>DR5</f>
        <v>86.86</v>
      </c>
      <c r="EV5" s="19">
        <f>DT5</f>
        <v>77</v>
      </c>
      <c r="EW5" s="19">
        <f>DV5</f>
        <v>88</v>
      </c>
      <c r="EX5" s="19">
        <f>DX5</f>
        <v>83.5</v>
      </c>
      <c r="EY5" s="19">
        <f>EB5</f>
        <v>83.277777777777786</v>
      </c>
      <c r="EZ5" s="19">
        <f>EF5</f>
        <v>85.97</v>
      </c>
      <c r="FA5" s="19">
        <f>EG5</f>
        <v>89</v>
      </c>
      <c r="FB5" s="19">
        <f>EK5</f>
        <v>84.133333333333326</v>
      </c>
      <c r="FC5" s="19">
        <f>AVERAGE(EL5:FB5)</f>
        <v>85.420653594771252</v>
      </c>
    </row>
    <row r="6" spans="1:159" ht="18">
      <c r="A6" s="11">
        <v>2</v>
      </c>
      <c r="B6" s="93" t="s">
        <v>633</v>
      </c>
      <c r="C6" s="94" t="s">
        <v>475</v>
      </c>
      <c r="D6" s="93" t="s">
        <v>630</v>
      </c>
      <c r="E6" s="95">
        <v>91</v>
      </c>
      <c r="F6" s="95">
        <v>79</v>
      </c>
      <c r="G6" s="96">
        <v>88</v>
      </c>
      <c r="H6" s="96">
        <v>84</v>
      </c>
      <c r="I6" s="95">
        <v>84</v>
      </c>
      <c r="J6" s="95">
        <v>75</v>
      </c>
      <c r="K6" s="95">
        <v>80</v>
      </c>
      <c r="L6" s="95">
        <v>82</v>
      </c>
      <c r="M6" s="95">
        <v>80</v>
      </c>
      <c r="N6" s="95">
        <v>91</v>
      </c>
      <c r="O6" s="95">
        <v>91</v>
      </c>
      <c r="P6" s="95">
        <v>75</v>
      </c>
      <c r="Q6" s="96">
        <v>80</v>
      </c>
      <c r="R6" s="96">
        <v>89</v>
      </c>
      <c r="S6" s="96">
        <v>78</v>
      </c>
      <c r="T6" s="96">
        <v>84</v>
      </c>
      <c r="U6" s="95">
        <v>73</v>
      </c>
      <c r="V6" s="95">
        <v>76</v>
      </c>
      <c r="W6" s="95">
        <v>82</v>
      </c>
      <c r="X6" s="95">
        <v>81</v>
      </c>
      <c r="Y6" s="95">
        <v>79</v>
      </c>
      <c r="Z6" s="95">
        <v>82</v>
      </c>
      <c r="AA6" s="95">
        <v>77</v>
      </c>
      <c r="AB6" s="95">
        <v>83</v>
      </c>
      <c r="AC6" s="95">
        <v>77</v>
      </c>
      <c r="AD6" s="95">
        <v>82</v>
      </c>
      <c r="AE6" s="96">
        <v>96</v>
      </c>
      <c r="AF6" s="96">
        <v>84</v>
      </c>
      <c r="AG6" s="95">
        <v>82</v>
      </c>
      <c r="AH6" s="95">
        <v>72</v>
      </c>
      <c r="AI6" s="95">
        <v>71</v>
      </c>
      <c r="AJ6" s="95">
        <v>82</v>
      </c>
      <c r="AK6" s="95">
        <v>80</v>
      </c>
      <c r="AL6" s="95">
        <v>76</v>
      </c>
      <c r="AM6" s="95">
        <v>84</v>
      </c>
      <c r="AN6" s="95">
        <v>83</v>
      </c>
      <c r="AO6" s="96">
        <v>73</v>
      </c>
      <c r="AP6" s="96">
        <v>79</v>
      </c>
      <c r="AQ6" s="95">
        <v>79</v>
      </c>
      <c r="AR6" s="95">
        <v>79</v>
      </c>
      <c r="AS6" s="95">
        <v>81</v>
      </c>
      <c r="AT6" s="95">
        <v>80</v>
      </c>
      <c r="AU6" s="95">
        <v>77</v>
      </c>
      <c r="AV6" s="95">
        <v>77</v>
      </c>
      <c r="AW6" s="95">
        <v>77</v>
      </c>
      <c r="AX6" s="95">
        <v>79</v>
      </c>
      <c r="AY6" s="95">
        <v>75</v>
      </c>
      <c r="AZ6" s="96">
        <v>77</v>
      </c>
      <c r="BA6" s="96">
        <v>84</v>
      </c>
      <c r="BB6" s="96">
        <v>84</v>
      </c>
      <c r="BC6" s="95">
        <v>80</v>
      </c>
      <c r="BD6" s="95">
        <v>79</v>
      </c>
      <c r="BE6" s="96">
        <v>75</v>
      </c>
      <c r="BF6" s="96">
        <v>76</v>
      </c>
      <c r="BG6" s="96">
        <v>76</v>
      </c>
      <c r="BH6" s="15">
        <v>77</v>
      </c>
      <c r="BI6" s="95">
        <v>78</v>
      </c>
      <c r="BJ6" s="95">
        <v>75</v>
      </c>
      <c r="BK6" s="95">
        <v>75</v>
      </c>
      <c r="BL6" s="15">
        <v>77</v>
      </c>
      <c r="BM6" s="95">
        <v>75</v>
      </c>
      <c r="BN6" s="95">
        <v>75</v>
      </c>
      <c r="BO6" s="95">
        <v>77</v>
      </c>
      <c r="BP6" s="15">
        <v>77</v>
      </c>
      <c r="BQ6" s="15">
        <f t="shared" ref="BQ6:BT43" si="0">AVERAGE(BE6,BI6,BM6)</f>
        <v>76</v>
      </c>
      <c r="BR6" s="15">
        <f t="shared" si="0"/>
        <v>75.333333333333329</v>
      </c>
      <c r="BS6" s="15">
        <f t="shared" si="0"/>
        <v>76</v>
      </c>
      <c r="BT6" s="15">
        <f t="shared" si="0"/>
        <v>77</v>
      </c>
      <c r="BU6" s="14">
        <v>78</v>
      </c>
      <c r="BV6" s="14">
        <v>80</v>
      </c>
      <c r="BW6" s="14">
        <v>80</v>
      </c>
      <c r="BX6" s="15">
        <v>77</v>
      </c>
      <c r="BY6" s="15">
        <v>76</v>
      </c>
      <c r="BZ6" s="15">
        <v>73</v>
      </c>
      <c r="CA6" s="15">
        <v>86</v>
      </c>
      <c r="CB6" s="15">
        <v>75</v>
      </c>
      <c r="CC6" s="15">
        <v>79</v>
      </c>
      <c r="CD6" s="39">
        <v>88</v>
      </c>
      <c r="CE6" s="39">
        <v>93</v>
      </c>
      <c r="CF6" s="40">
        <v>85</v>
      </c>
      <c r="CG6" s="40">
        <v>97</v>
      </c>
      <c r="CH6" s="39">
        <v>80</v>
      </c>
      <c r="CI6" s="39">
        <v>85</v>
      </c>
      <c r="CJ6" s="39">
        <v>76</v>
      </c>
      <c r="CK6" s="39">
        <v>75.7</v>
      </c>
      <c r="CL6" s="39">
        <v>97</v>
      </c>
      <c r="CM6" s="41">
        <f t="shared" ref="CM6:CM43" si="1">AVERAGE(E6:I6)</f>
        <v>85.2</v>
      </c>
      <c r="CN6" s="41">
        <f t="shared" ref="CN6:CN43" si="2">J6</f>
        <v>75</v>
      </c>
      <c r="CO6" s="41">
        <f t="shared" ref="CO6:CO43" si="3">CD6</f>
        <v>88</v>
      </c>
      <c r="CP6" s="17">
        <f t="shared" ref="CP6:CP43" si="4">(CM6*4+CN6*3+CO6*3)/10</f>
        <v>82.97999999999999</v>
      </c>
      <c r="CQ6" s="16">
        <f t="shared" ref="CQ6:CQ43" si="5">AVERAGE(K6:O6)</f>
        <v>84.8</v>
      </c>
      <c r="CR6" s="16">
        <f t="shared" ref="CR6:CR43" si="6">P6</f>
        <v>75</v>
      </c>
      <c r="CS6" s="16">
        <f t="shared" ref="CS6:CS43" si="7">CE6</f>
        <v>93</v>
      </c>
      <c r="CT6" s="17">
        <f t="shared" ref="CT6:CT43" si="8">(CQ6*4+CR6*3+CS6*3)/10</f>
        <v>84.320000000000007</v>
      </c>
      <c r="CU6" s="17">
        <f t="shared" ref="CU6:CU43" si="9">AVERAGE(Q6:U6)</f>
        <v>80.8</v>
      </c>
      <c r="CV6" s="17">
        <f t="shared" ref="CV6:CV43" si="10">V6</f>
        <v>76</v>
      </c>
      <c r="CW6" s="17">
        <f t="shared" ref="CW6:CW43" si="11">CF6</f>
        <v>85</v>
      </c>
      <c r="CX6" s="17">
        <f t="shared" ref="CX6:CX43" si="12">(CU6*4+CV6*3+CW6*3)/10</f>
        <v>80.62</v>
      </c>
      <c r="CY6" s="18">
        <f t="shared" ref="CY6:CY43" si="13">AVERAGE(W6:Z6)</f>
        <v>81</v>
      </c>
      <c r="CZ6" s="18">
        <f t="shared" ref="CZ6:CZ43" si="14">CY6</f>
        <v>81</v>
      </c>
      <c r="DA6" s="18">
        <f t="shared" ref="DA6:DA43" si="15">AVERAGE(AA6:AD6)</f>
        <v>79.75</v>
      </c>
      <c r="DB6" s="18">
        <f t="shared" ref="DB6:DB43" si="16">DA6</f>
        <v>79.75</v>
      </c>
      <c r="DC6" s="18">
        <f t="shared" ref="DC6:DC43" si="17">AVERAGE(AE6:AF6)</f>
        <v>90</v>
      </c>
      <c r="DD6" s="18">
        <f t="shared" ref="DD6:DD43" si="18">DC6</f>
        <v>90</v>
      </c>
      <c r="DE6" s="18">
        <f t="shared" ref="DE6:DE43" si="19">AVERAGE(AG6:AJ6)</f>
        <v>76.75</v>
      </c>
      <c r="DF6" s="18">
        <f t="shared" ref="DF6:DF43" si="20">DE6</f>
        <v>76.75</v>
      </c>
      <c r="DG6" s="18">
        <f t="shared" ref="DG6:DH43" si="21">AK6</f>
        <v>80</v>
      </c>
      <c r="DH6" s="18">
        <f t="shared" si="21"/>
        <v>76</v>
      </c>
      <c r="DI6" s="18">
        <f t="shared" ref="DI6:DI43" si="22">CG6</f>
        <v>97</v>
      </c>
      <c r="DJ6" s="17">
        <f t="shared" ref="DJ6:DJ43" si="23">(DG6*4+DH6*3+DI6*3)/10</f>
        <v>83.9</v>
      </c>
      <c r="DK6" s="18">
        <f t="shared" ref="DK6:DK43" si="24">AVERAGE(AM6:AQ6)</f>
        <v>79.599999999999994</v>
      </c>
      <c r="DL6" s="18">
        <f t="shared" ref="DL6:DL43" si="25">AR6</f>
        <v>79</v>
      </c>
      <c r="DM6" s="18">
        <f t="shared" ref="DM6:DM43" si="26">CH6</f>
        <v>80</v>
      </c>
      <c r="DN6" s="17">
        <f t="shared" ref="DN6:DN43" si="27">(DK6*4+DL6*3+DM6*3)/10</f>
        <v>79.539999999999992</v>
      </c>
      <c r="DO6" s="18">
        <f t="shared" ref="DO6:DO43" si="28">AVERAGE(AS6:AW6)</f>
        <v>78.400000000000006</v>
      </c>
      <c r="DP6" s="18">
        <f t="shared" ref="DP6:DP43" si="29">AX6</f>
        <v>79</v>
      </c>
      <c r="DQ6" s="18">
        <f t="shared" ref="DQ6:DQ43" si="30">CI6</f>
        <v>85</v>
      </c>
      <c r="DR6" s="17">
        <f t="shared" ref="DR6:DR43" si="31">(DO6*4+DP6*3+DQ6*3)/10</f>
        <v>80.56</v>
      </c>
      <c r="DS6" s="18">
        <f t="shared" ref="DS6:DS43" si="32">AVERAGE(AY6:AZ6)</f>
        <v>76</v>
      </c>
      <c r="DT6" s="18">
        <f t="shared" ref="DT6:DT43" si="33">DS6</f>
        <v>76</v>
      </c>
      <c r="DU6" s="18">
        <f t="shared" ref="DU6:DU43" si="34">AVERAGE(BA6:BB6)</f>
        <v>84</v>
      </c>
      <c r="DV6" s="18">
        <f t="shared" ref="DV6:DV43" si="35">DU6</f>
        <v>84</v>
      </c>
      <c r="DW6" s="18">
        <f t="shared" ref="DW6:DW43" si="36">AVERAGE(BC6:BD6)</f>
        <v>79.5</v>
      </c>
      <c r="DX6" s="17">
        <f t="shared" ref="DX6:DX43" si="37">DW6</f>
        <v>79.5</v>
      </c>
      <c r="DY6" s="18">
        <f t="shared" ref="DY6:DY43" si="38">AVERAGE(BQ6:BS6)</f>
        <v>75.777777777777771</v>
      </c>
      <c r="DZ6" s="18">
        <f t="shared" ref="DZ6:DZ43" si="39">BT6</f>
        <v>77</v>
      </c>
      <c r="EA6" s="18">
        <f t="shared" ref="EA6:EA43" si="40">CL6</f>
        <v>97</v>
      </c>
      <c r="EB6" s="17">
        <f t="shared" ref="EB6:EB43" si="41">(DY6*4+DZ6*3+EA6*3)/10</f>
        <v>82.511111111111106</v>
      </c>
      <c r="EC6" s="18">
        <f t="shared" ref="EC6:EC43" si="42">AVERAGE(BU6:BW6)</f>
        <v>79.333333333333329</v>
      </c>
      <c r="ED6" s="18">
        <f t="shared" ref="ED6:ED43" si="43">BX6</f>
        <v>77</v>
      </c>
      <c r="EE6" s="18">
        <f t="shared" ref="EE6:EE43" si="44">CK6</f>
        <v>75.7</v>
      </c>
      <c r="EF6" s="17">
        <f t="shared" ref="EF6:EF43" si="45">(EC6*4+ED6*3+EE6*3)/10</f>
        <v>77.543333333333322</v>
      </c>
      <c r="EG6" s="18">
        <f t="shared" ref="EG6:EG43" si="46">BY6</f>
        <v>76</v>
      </c>
      <c r="EH6" s="18">
        <f t="shared" ref="EH6:EH43" si="47">AVERAGE(BZ6:CB6)</f>
        <v>78</v>
      </c>
      <c r="EI6" s="18">
        <f t="shared" ref="EI6:EI43" si="48">CC6</f>
        <v>79</v>
      </c>
      <c r="EJ6" s="18">
        <f t="shared" ref="EJ6:EJ43" si="49">CJ6</f>
        <v>76</v>
      </c>
      <c r="EK6" s="17">
        <f t="shared" ref="EK6:EK43" si="50">(EH6*4+EI6*3+EJ6*3)/10</f>
        <v>77.7</v>
      </c>
      <c r="EL6" s="19">
        <f t="shared" ref="EL6:EL43" si="51">CP6</f>
        <v>82.97999999999999</v>
      </c>
      <c r="EM6" s="19">
        <f t="shared" ref="EM6:EM43" si="52">CT6</f>
        <v>84.320000000000007</v>
      </c>
      <c r="EN6" s="19">
        <f t="shared" ref="EN6:EN43" si="53">CX6</f>
        <v>80.62</v>
      </c>
      <c r="EO6" s="19">
        <f t="shared" ref="EO6:EO43" si="54">CZ6</f>
        <v>81</v>
      </c>
      <c r="EP6" s="19">
        <f t="shared" ref="EP6:EP43" si="55">DB6</f>
        <v>79.75</v>
      </c>
      <c r="EQ6" s="19">
        <f t="shared" ref="EQ6:EQ43" si="56">DD6</f>
        <v>90</v>
      </c>
      <c r="ER6" s="19">
        <f t="shared" ref="ER6:ER43" si="57">DF6</f>
        <v>76.75</v>
      </c>
      <c r="ES6" s="19">
        <f t="shared" ref="ES6:ES43" si="58">DJ6</f>
        <v>83.9</v>
      </c>
      <c r="ET6" s="19">
        <f t="shared" ref="ET6:ET43" si="59">DN6</f>
        <v>79.539999999999992</v>
      </c>
      <c r="EU6" s="19">
        <f t="shared" ref="EU6:EU43" si="60">DR6</f>
        <v>80.56</v>
      </c>
      <c r="EV6" s="19">
        <f t="shared" ref="EV6:EV43" si="61">DT6</f>
        <v>76</v>
      </c>
      <c r="EW6" s="19">
        <f t="shared" ref="EW6:EW43" si="62">DV6</f>
        <v>84</v>
      </c>
      <c r="EX6" s="19">
        <f t="shared" ref="EX6:EX43" si="63">DX6</f>
        <v>79.5</v>
      </c>
      <c r="EY6" s="19">
        <f t="shared" ref="EY6:EY43" si="64">EB6</f>
        <v>82.511111111111106</v>
      </c>
      <c r="EZ6" s="19">
        <f t="shared" ref="EZ6:FA43" si="65">EF6</f>
        <v>77.543333333333322</v>
      </c>
      <c r="FA6" s="19">
        <f t="shared" si="65"/>
        <v>76</v>
      </c>
      <c r="FB6" s="19">
        <f t="shared" ref="FB6:FB43" si="66">EK6</f>
        <v>77.7</v>
      </c>
      <c r="FC6" s="19">
        <f t="shared" ref="FC6:FC43" si="67">AVERAGE(EL6:FB6)</f>
        <v>80.745555555555569</v>
      </c>
    </row>
    <row r="7" spans="1:159" ht="18">
      <c r="A7" s="11">
        <v>3</v>
      </c>
      <c r="B7" s="93" t="s">
        <v>634</v>
      </c>
      <c r="C7" s="94" t="s">
        <v>477</v>
      </c>
      <c r="D7" s="93" t="s">
        <v>630</v>
      </c>
      <c r="E7" s="95">
        <v>90</v>
      </c>
      <c r="F7" s="95">
        <v>88</v>
      </c>
      <c r="G7" s="96">
        <v>93</v>
      </c>
      <c r="H7" s="96">
        <v>89</v>
      </c>
      <c r="I7" s="95">
        <v>91</v>
      </c>
      <c r="J7" s="95">
        <v>87</v>
      </c>
      <c r="K7" s="95">
        <v>86</v>
      </c>
      <c r="L7" s="95">
        <v>84</v>
      </c>
      <c r="M7" s="95">
        <v>95</v>
      </c>
      <c r="N7" s="95">
        <v>91</v>
      </c>
      <c r="O7" s="95">
        <v>93</v>
      </c>
      <c r="P7" s="95">
        <v>85</v>
      </c>
      <c r="Q7" s="96">
        <v>88</v>
      </c>
      <c r="R7" s="96">
        <v>86</v>
      </c>
      <c r="S7" s="96">
        <v>90</v>
      </c>
      <c r="T7" s="96">
        <v>93</v>
      </c>
      <c r="U7" s="95">
        <v>86</v>
      </c>
      <c r="V7" s="95">
        <v>84</v>
      </c>
      <c r="W7" s="100">
        <v>84</v>
      </c>
      <c r="X7" s="95">
        <v>84</v>
      </c>
      <c r="Y7" s="95">
        <v>84</v>
      </c>
      <c r="Z7" s="95">
        <v>86</v>
      </c>
      <c r="AA7" s="95">
        <v>80</v>
      </c>
      <c r="AB7" s="95">
        <v>82</v>
      </c>
      <c r="AC7" s="95">
        <v>85</v>
      </c>
      <c r="AD7" s="95">
        <v>86</v>
      </c>
      <c r="AE7" s="96">
        <v>95</v>
      </c>
      <c r="AF7" s="96">
        <v>84</v>
      </c>
      <c r="AG7" s="95">
        <v>81</v>
      </c>
      <c r="AH7" s="95">
        <v>78</v>
      </c>
      <c r="AI7" s="95">
        <v>75</v>
      </c>
      <c r="AJ7" s="95">
        <v>82</v>
      </c>
      <c r="AK7" s="95">
        <v>88</v>
      </c>
      <c r="AL7" s="95">
        <v>84</v>
      </c>
      <c r="AM7" s="95">
        <v>85</v>
      </c>
      <c r="AN7" s="95">
        <v>88</v>
      </c>
      <c r="AO7" s="96">
        <v>88</v>
      </c>
      <c r="AP7" s="96">
        <v>93</v>
      </c>
      <c r="AQ7" s="95">
        <v>90</v>
      </c>
      <c r="AR7" s="95">
        <v>87</v>
      </c>
      <c r="AS7" s="95">
        <v>77</v>
      </c>
      <c r="AT7" s="95">
        <v>80</v>
      </c>
      <c r="AU7" s="95">
        <v>80</v>
      </c>
      <c r="AV7" s="95">
        <v>86</v>
      </c>
      <c r="AW7" s="95">
        <v>80</v>
      </c>
      <c r="AX7" s="95">
        <v>87</v>
      </c>
      <c r="AY7" s="95">
        <v>75</v>
      </c>
      <c r="AZ7" s="96">
        <v>78</v>
      </c>
      <c r="BA7" s="96">
        <v>87</v>
      </c>
      <c r="BB7" s="96">
        <v>90</v>
      </c>
      <c r="BC7" s="95">
        <v>81</v>
      </c>
      <c r="BD7" s="95">
        <v>85</v>
      </c>
      <c r="BE7" s="96">
        <v>86</v>
      </c>
      <c r="BF7" s="96">
        <v>81</v>
      </c>
      <c r="BG7" s="96">
        <v>82</v>
      </c>
      <c r="BH7" s="15">
        <v>86</v>
      </c>
      <c r="BI7" s="95">
        <v>86</v>
      </c>
      <c r="BJ7" s="95">
        <v>91</v>
      </c>
      <c r="BK7" s="95">
        <v>76</v>
      </c>
      <c r="BL7" s="15">
        <v>86</v>
      </c>
      <c r="BM7" s="95">
        <v>85</v>
      </c>
      <c r="BN7" s="95">
        <v>82</v>
      </c>
      <c r="BO7" s="95">
        <v>75</v>
      </c>
      <c r="BP7" s="15">
        <v>86</v>
      </c>
      <c r="BQ7" s="15">
        <f t="shared" si="0"/>
        <v>85.666666666666671</v>
      </c>
      <c r="BR7" s="15">
        <f t="shared" si="0"/>
        <v>84.666666666666671</v>
      </c>
      <c r="BS7" s="15">
        <f t="shared" si="0"/>
        <v>77.666666666666671</v>
      </c>
      <c r="BT7" s="15">
        <f t="shared" si="0"/>
        <v>86</v>
      </c>
      <c r="BU7" s="14">
        <v>81</v>
      </c>
      <c r="BV7" s="14">
        <v>82</v>
      </c>
      <c r="BW7" s="14">
        <v>88</v>
      </c>
      <c r="BX7" s="15">
        <v>86</v>
      </c>
      <c r="BY7" s="15">
        <v>86</v>
      </c>
      <c r="BZ7" s="15">
        <v>78</v>
      </c>
      <c r="CA7" s="15">
        <v>93</v>
      </c>
      <c r="CB7" s="15">
        <v>79</v>
      </c>
      <c r="CC7" s="15">
        <v>87</v>
      </c>
      <c r="CD7" s="39">
        <v>90</v>
      </c>
      <c r="CE7" s="39">
        <v>95</v>
      </c>
      <c r="CF7" s="40">
        <v>90</v>
      </c>
      <c r="CG7" s="40">
        <v>97</v>
      </c>
      <c r="CH7" s="39">
        <v>91</v>
      </c>
      <c r="CI7" s="39">
        <v>88</v>
      </c>
      <c r="CJ7" s="39">
        <v>81</v>
      </c>
      <c r="CK7" s="39">
        <v>78</v>
      </c>
      <c r="CL7" s="39">
        <v>90</v>
      </c>
      <c r="CM7" s="41">
        <f t="shared" si="1"/>
        <v>90.2</v>
      </c>
      <c r="CN7" s="41">
        <f t="shared" si="2"/>
        <v>87</v>
      </c>
      <c r="CO7" s="41">
        <f t="shared" si="3"/>
        <v>90</v>
      </c>
      <c r="CP7" s="17">
        <f t="shared" si="4"/>
        <v>89.179999999999993</v>
      </c>
      <c r="CQ7" s="16">
        <f t="shared" si="5"/>
        <v>89.8</v>
      </c>
      <c r="CR7" s="16">
        <f t="shared" si="6"/>
        <v>85</v>
      </c>
      <c r="CS7" s="16">
        <f t="shared" si="7"/>
        <v>95</v>
      </c>
      <c r="CT7" s="17">
        <f t="shared" si="8"/>
        <v>89.92</v>
      </c>
      <c r="CU7" s="17">
        <f t="shared" si="9"/>
        <v>88.6</v>
      </c>
      <c r="CV7" s="17">
        <f t="shared" si="10"/>
        <v>84</v>
      </c>
      <c r="CW7" s="17">
        <f t="shared" si="11"/>
        <v>90</v>
      </c>
      <c r="CX7" s="17">
        <f t="shared" si="12"/>
        <v>87.64</v>
      </c>
      <c r="CY7" s="18">
        <f t="shared" si="13"/>
        <v>84.5</v>
      </c>
      <c r="CZ7" s="18">
        <f t="shared" si="14"/>
        <v>84.5</v>
      </c>
      <c r="DA7" s="18">
        <f t="shared" si="15"/>
        <v>83.25</v>
      </c>
      <c r="DB7" s="18">
        <f t="shared" si="16"/>
        <v>83.25</v>
      </c>
      <c r="DC7" s="18">
        <f t="shared" si="17"/>
        <v>89.5</v>
      </c>
      <c r="DD7" s="18">
        <f t="shared" si="18"/>
        <v>89.5</v>
      </c>
      <c r="DE7" s="18">
        <f t="shared" si="19"/>
        <v>79</v>
      </c>
      <c r="DF7" s="18">
        <f t="shared" si="20"/>
        <v>79</v>
      </c>
      <c r="DG7" s="18">
        <f t="shared" si="21"/>
        <v>88</v>
      </c>
      <c r="DH7" s="18">
        <f t="shared" si="21"/>
        <v>84</v>
      </c>
      <c r="DI7" s="18">
        <f t="shared" si="22"/>
        <v>97</v>
      </c>
      <c r="DJ7" s="17">
        <f t="shared" si="23"/>
        <v>89.5</v>
      </c>
      <c r="DK7" s="18">
        <f t="shared" si="24"/>
        <v>88.8</v>
      </c>
      <c r="DL7" s="18">
        <f t="shared" si="25"/>
        <v>87</v>
      </c>
      <c r="DM7" s="18">
        <f t="shared" si="26"/>
        <v>91</v>
      </c>
      <c r="DN7" s="17">
        <f t="shared" si="27"/>
        <v>88.92</v>
      </c>
      <c r="DO7" s="18">
        <f t="shared" si="28"/>
        <v>80.599999999999994</v>
      </c>
      <c r="DP7" s="18">
        <f t="shared" si="29"/>
        <v>87</v>
      </c>
      <c r="DQ7" s="18">
        <f t="shared" si="30"/>
        <v>88</v>
      </c>
      <c r="DR7" s="17">
        <f t="shared" si="31"/>
        <v>84.74</v>
      </c>
      <c r="DS7" s="18">
        <f t="shared" si="32"/>
        <v>76.5</v>
      </c>
      <c r="DT7" s="18">
        <f t="shared" si="33"/>
        <v>76.5</v>
      </c>
      <c r="DU7" s="18">
        <f t="shared" si="34"/>
        <v>88.5</v>
      </c>
      <c r="DV7" s="18">
        <f t="shared" si="35"/>
        <v>88.5</v>
      </c>
      <c r="DW7" s="18">
        <f t="shared" si="36"/>
        <v>83</v>
      </c>
      <c r="DX7" s="17">
        <f t="shared" si="37"/>
        <v>83</v>
      </c>
      <c r="DY7" s="18">
        <f t="shared" si="38"/>
        <v>82.666666666666671</v>
      </c>
      <c r="DZ7" s="18">
        <f t="shared" si="39"/>
        <v>86</v>
      </c>
      <c r="EA7" s="18">
        <f t="shared" si="40"/>
        <v>90</v>
      </c>
      <c r="EB7" s="17">
        <f t="shared" si="41"/>
        <v>85.866666666666674</v>
      </c>
      <c r="EC7" s="18">
        <f t="shared" si="42"/>
        <v>83.666666666666671</v>
      </c>
      <c r="ED7" s="18">
        <f t="shared" si="43"/>
        <v>86</v>
      </c>
      <c r="EE7" s="18">
        <f t="shared" si="44"/>
        <v>78</v>
      </c>
      <c r="EF7" s="17">
        <f t="shared" si="45"/>
        <v>82.666666666666671</v>
      </c>
      <c r="EG7" s="18">
        <f t="shared" si="46"/>
        <v>86</v>
      </c>
      <c r="EH7" s="18">
        <f t="shared" si="47"/>
        <v>83.333333333333329</v>
      </c>
      <c r="EI7" s="18">
        <f t="shared" si="48"/>
        <v>87</v>
      </c>
      <c r="EJ7" s="18">
        <f t="shared" si="49"/>
        <v>81</v>
      </c>
      <c r="EK7" s="17">
        <f t="shared" si="50"/>
        <v>83.73333333333332</v>
      </c>
      <c r="EL7" s="19">
        <f t="shared" si="51"/>
        <v>89.179999999999993</v>
      </c>
      <c r="EM7" s="19">
        <f t="shared" si="52"/>
        <v>89.92</v>
      </c>
      <c r="EN7" s="19">
        <f t="shared" si="53"/>
        <v>87.64</v>
      </c>
      <c r="EO7" s="19">
        <f t="shared" si="54"/>
        <v>84.5</v>
      </c>
      <c r="EP7" s="19">
        <f t="shared" si="55"/>
        <v>83.25</v>
      </c>
      <c r="EQ7" s="19">
        <f t="shared" si="56"/>
        <v>89.5</v>
      </c>
      <c r="ER7" s="19">
        <f t="shared" si="57"/>
        <v>79</v>
      </c>
      <c r="ES7" s="19">
        <f t="shared" si="58"/>
        <v>89.5</v>
      </c>
      <c r="ET7" s="19">
        <f t="shared" si="59"/>
        <v>88.92</v>
      </c>
      <c r="EU7" s="19">
        <f t="shared" si="60"/>
        <v>84.74</v>
      </c>
      <c r="EV7" s="19">
        <f t="shared" si="61"/>
        <v>76.5</v>
      </c>
      <c r="EW7" s="19">
        <f t="shared" si="62"/>
        <v>88.5</v>
      </c>
      <c r="EX7" s="19">
        <f t="shared" si="63"/>
        <v>83</v>
      </c>
      <c r="EY7" s="19">
        <f t="shared" si="64"/>
        <v>85.866666666666674</v>
      </c>
      <c r="EZ7" s="19">
        <f t="shared" si="65"/>
        <v>82.666666666666671</v>
      </c>
      <c r="FA7" s="19">
        <f t="shared" si="65"/>
        <v>86</v>
      </c>
      <c r="FB7" s="19">
        <f t="shared" si="66"/>
        <v>83.73333333333332</v>
      </c>
      <c r="FC7" s="19">
        <f t="shared" si="67"/>
        <v>85.436274509803937</v>
      </c>
    </row>
    <row r="8" spans="1:159" ht="18">
      <c r="A8" s="11">
        <v>4</v>
      </c>
      <c r="B8" s="93" t="s">
        <v>635</v>
      </c>
      <c r="C8" s="94" t="s">
        <v>479</v>
      </c>
      <c r="D8" s="93" t="s">
        <v>630</v>
      </c>
      <c r="E8" s="95">
        <v>87</v>
      </c>
      <c r="F8" s="95">
        <v>84</v>
      </c>
      <c r="G8" s="96">
        <v>89</v>
      </c>
      <c r="H8" s="96">
        <v>80</v>
      </c>
      <c r="I8" s="95">
        <v>84</v>
      </c>
      <c r="J8" s="95">
        <v>95</v>
      </c>
      <c r="K8" s="95">
        <v>80</v>
      </c>
      <c r="L8" s="95">
        <v>84</v>
      </c>
      <c r="M8" s="95">
        <v>89</v>
      </c>
      <c r="N8" s="95">
        <v>90</v>
      </c>
      <c r="O8" s="95">
        <v>93</v>
      </c>
      <c r="P8" s="95">
        <v>90</v>
      </c>
      <c r="Q8" s="96">
        <v>80</v>
      </c>
      <c r="R8" s="96">
        <v>70</v>
      </c>
      <c r="S8" s="96">
        <v>81</v>
      </c>
      <c r="T8" s="96">
        <v>82</v>
      </c>
      <c r="U8" s="95">
        <v>71</v>
      </c>
      <c r="V8" s="95">
        <v>85</v>
      </c>
      <c r="W8" s="95">
        <v>82</v>
      </c>
      <c r="X8" s="95">
        <v>83</v>
      </c>
      <c r="Y8" s="95">
        <v>83</v>
      </c>
      <c r="Z8" s="95">
        <v>84</v>
      </c>
      <c r="AA8" s="95">
        <v>82</v>
      </c>
      <c r="AB8" s="95">
        <v>79</v>
      </c>
      <c r="AC8" s="95">
        <v>84</v>
      </c>
      <c r="AD8" s="95">
        <v>84</v>
      </c>
      <c r="AE8" s="96">
        <v>95</v>
      </c>
      <c r="AF8" s="96">
        <v>84</v>
      </c>
      <c r="AG8" s="95">
        <v>80</v>
      </c>
      <c r="AH8" s="95">
        <v>74</v>
      </c>
      <c r="AI8" s="95">
        <v>72</v>
      </c>
      <c r="AJ8" s="95">
        <v>80</v>
      </c>
      <c r="AK8" s="95">
        <v>80</v>
      </c>
      <c r="AL8" s="95">
        <v>85</v>
      </c>
      <c r="AM8" s="95">
        <v>74</v>
      </c>
      <c r="AN8" s="95">
        <v>75</v>
      </c>
      <c r="AO8" s="96">
        <v>77</v>
      </c>
      <c r="AP8" s="96">
        <v>79</v>
      </c>
      <c r="AQ8" s="95">
        <v>74</v>
      </c>
      <c r="AR8" s="95">
        <v>90</v>
      </c>
      <c r="AS8" s="95">
        <v>72</v>
      </c>
      <c r="AT8" s="95">
        <v>78</v>
      </c>
      <c r="AU8" s="95">
        <v>80</v>
      </c>
      <c r="AV8" s="95">
        <v>77</v>
      </c>
      <c r="AW8" s="95">
        <v>80</v>
      </c>
      <c r="AX8" s="95">
        <v>90</v>
      </c>
      <c r="AY8" s="95">
        <v>76</v>
      </c>
      <c r="AZ8" s="96">
        <v>78</v>
      </c>
      <c r="BA8" s="96">
        <v>80</v>
      </c>
      <c r="BB8" s="96">
        <v>82</v>
      </c>
      <c r="BC8" s="95">
        <v>80</v>
      </c>
      <c r="BD8" s="95">
        <v>85</v>
      </c>
      <c r="BE8" s="96">
        <v>78</v>
      </c>
      <c r="BF8" s="96">
        <v>77</v>
      </c>
      <c r="BG8" s="96">
        <v>76</v>
      </c>
      <c r="BH8" s="15">
        <v>91</v>
      </c>
      <c r="BI8" s="95">
        <v>85</v>
      </c>
      <c r="BJ8" s="95">
        <v>75</v>
      </c>
      <c r="BK8" s="95">
        <v>88</v>
      </c>
      <c r="BL8" s="15">
        <v>91</v>
      </c>
      <c r="BM8" s="95">
        <v>80</v>
      </c>
      <c r="BN8" s="95">
        <v>78</v>
      </c>
      <c r="BO8" s="95">
        <v>89</v>
      </c>
      <c r="BP8" s="15">
        <v>91</v>
      </c>
      <c r="BQ8" s="15">
        <f t="shared" si="0"/>
        <v>81</v>
      </c>
      <c r="BR8" s="15">
        <f t="shared" si="0"/>
        <v>76.666666666666671</v>
      </c>
      <c r="BS8" s="15">
        <f t="shared" si="0"/>
        <v>84.333333333333329</v>
      </c>
      <c r="BT8" s="15">
        <f t="shared" si="0"/>
        <v>91</v>
      </c>
      <c r="BU8" s="14">
        <v>77</v>
      </c>
      <c r="BV8" s="14">
        <v>79</v>
      </c>
      <c r="BW8" s="14">
        <v>80</v>
      </c>
      <c r="BX8" s="15">
        <v>91</v>
      </c>
      <c r="BY8" s="15">
        <v>90</v>
      </c>
      <c r="BZ8" s="15">
        <v>72</v>
      </c>
      <c r="CA8" s="15">
        <v>77</v>
      </c>
      <c r="CB8" s="15">
        <v>79</v>
      </c>
      <c r="CC8" s="15">
        <v>90</v>
      </c>
      <c r="CD8" s="39">
        <v>85</v>
      </c>
      <c r="CE8" s="39">
        <v>93</v>
      </c>
      <c r="CF8" s="40">
        <v>75</v>
      </c>
      <c r="CG8" s="40">
        <v>70</v>
      </c>
      <c r="CH8" s="39">
        <v>75</v>
      </c>
      <c r="CI8" s="39">
        <v>80</v>
      </c>
      <c r="CJ8" s="39">
        <v>78</v>
      </c>
      <c r="CK8" s="39">
        <v>87.78</v>
      </c>
      <c r="CL8" s="39">
        <v>70</v>
      </c>
      <c r="CM8" s="41">
        <f t="shared" si="1"/>
        <v>84.8</v>
      </c>
      <c r="CN8" s="41">
        <f t="shared" si="2"/>
        <v>95</v>
      </c>
      <c r="CO8" s="41">
        <f t="shared" si="3"/>
        <v>85</v>
      </c>
      <c r="CP8" s="17">
        <f t="shared" si="4"/>
        <v>87.92</v>
      </c>
      <c r="CQ8" s="16">
        <f t="shared" si="5"/>
        <v>87.2</v>
      </c>
      <c r="CR8" s="16">
        <f t="shared" si="6"/>
        <v>90</v>
      </c>
      <c r="CS8" s="16">
        <f t="shared" si="7"/>
        <v>93</v>
      </c>
      <c r="CT8" s="17">
        <f t="shared" si="8"/>
        <v>89.78</v>
      </c>
      <c r="CU8" s="17">
        <f t="shared" si="9"/>
        <v>76.8</v>
      </c>
      <c r="CV8" s="17">
        <f t="shared" si="10"/>
        <v>85</v>
      </c>
      <c r="CW8" s="17">
        <f t="shared" si="11"/>
        <v>75</v>
      </c>
      <c r="CX8" s="17">
        <f t="shared" si="12"/>
        <v>78.72</v>
      </c>
      <c r="CY8" s="18">
        <f t="shared" si="13"/>
        <v>83</v>
      </c>
      <c r="CZ8" s="18">
        <f t="shared" si="14"/>
        <v>83</v>
      </c>
      <c r="DA8" s="18">
        <f t="shared" si="15"/>
        <v>82.25</v>
      </c>
      <c r="DB8" s="18">
        <f t="shared" si="16"/>
        <v>82.25</v>
      </c>
      <c r="DC8" s="18">
        <f t="shared" si="17"/>
        <v>89.5</v>
      </c>
      <c r="DD8" s="18">
        <f t="shared" si="18"/>
        <v>89.5</v>
      </c>
      <c r="DE8" s="18">
        <f t="shared" si="19"/>
        <v>76.5</v>
      </c>
      <c r="DF8" s="18">
        <f t="shared" si="20"/>
        <v>76.5</v>
      </c>
      <c r="DG8" s="18">
        <f t="shared" si="21"/>
        <v>80</v>
      </c>
      <c r="DH8" s="18">
        <f t="shared" si="21"/>
        <v>85</v>
      </c>
      <c r="DI8" s="18">
        <f t="shared" si="22"/>
        <v>70</v>
      </c>
      <c r="DJ8" s="17">
        <f t="shared" si="23"/>
        <v>78.5</v>
      </c>
      <c r="DK8" s="18">
        <f t="shared" si="24"/>
        <v>75.8</v>
      </c>
      <c r="DL8" s="18">
        <f t="shared" si="25"/>
        <v>90</v>
      </c>
      <c r="DM8" s="18">
        <f t="shared" si="26"/>
        <v>75</v>
      </c>
      <c r="DN8" s="17">
        <f t="shared" si="27"/>
        <v>79.820000000000007</v>
      </c>
      <c r="DO8" s="18">
        <f t="shared" si="28"/>
        <v>77.400000000000006</v>
      </c>
      <c r="DP8" s="18">
        <f t="shared" si="29"/>
        <v>90</v>
      </c>
      <c r="DQ8" s="18">
        <f t="shared" si="30"/>
        <v>80</v>
      </c>
      <c r="DR8" s="17">
        <f t="shared" si="31"/>
        <v>81.960000000000008</v>
      </c>
      <c r="DS8" s="18">
        <f t="shared" si="32"/>
        <v>77</v>
      </c>
      <c r="DT8" s="18">
        <f t="shared" si="33"/>
        <v>77</v>
      </c>
      <c r="DU8" s="18">
        <f t="shared" si="34"/>
        <v>81</v>
      </c>
      <c r="DV8" s="18">
        <f t="shared" si="35"/>
        <v>81</v>
      </c>
      <c r="DW8" s="18">
        <f t="shared" si="36"/>
        <v>82.5</v>
      </c>
      <c r="DX8" s="17">
        <f t="shared" si="37"/>
        <v>82.5</v>
      </c>
      <c r="DY8" s="18">
        <f t="shared" si="38"/>
        <v>80.666666666666671</v>
      </c>
      <c r="DZ8" s="18">
        <f t="shared" si="39"/>
        <v>91</v>
      </c>
      <c r="EA8" s="18">
        <f t="shared" si="40"/>
        <v>70</v>
      </c>
      <c r="EB8" s="17">
        <f t="shared" si="41"/>
        <v>80.566666666666677</v>
      </c>
      <c r="EC8" s="18">
        <f t="shared" si="42"/>
        <v>78.666666666666671</v>
      </c>
      <c r="ED8" s="18">
        <f t="shared" si="43"/>
        <v>91</v>
      </c>
      <c r="EE8" s="18">
        <f t="shared" si="44"/>
        <v>87.78</v>
      </c>
      <c r="EF8" s="17">
        <f t="shared" si="45"/>
        <v>85.100666666666683</v>
      </c>
      <c r="EG8" s="18">
        <f t="shared" si="46"/>
        <v>90</v>
      </c>
      <c r="EH8" s="18">
        <f t="shared" si="47"/>
        <v>76</v>
      </c>
      <c r="EI8" s="18">
        <f t="shared" si="48"/>
        <v>90</v>
      </c>
      <c r="EJ8" s="18">
        <f t="shared" si="49"/>
        <v>78</v>
      </c>
      <c r="EK8" s="17">
        <f t="shared" si="50"/>
        <v>80.8</v>
      </c>
      <c r="EL8" s="19">
        <f t="shared" si="51"/>
        <v>87.92</v>
      </c>
      <c r="EM8" s="19">
        <f t="shared" si="52"/>
        <v>89.78</v>
      </c>
      <c r="EN8" s="19">
        <f t="shared" si="53"/>
        <v>78.72</v>
      </c>
      <c r="EO8" s="19">
        <f t="shared" si="54"/>
        <v>83</v>
      </c>
      <c r="EP8" s="19">
        <f t="shared" si="55"/>
        <v>82.25</v>
      </c>
      <c r="EQ8" s="19">
        <f t="shared" si="56"/>
        <v>89.5</v>
      </c>
      <c r="ER8" s="19">
        <f t="shared" si="57"/>
        <v>76.5</v>
      </c>
      <c r="ES8" s="19">
        <f t="shared" si="58"/>
        <v>78.5</v>
      </c>
      <c r="ET8" s="19">
        <f t="shared" si="59"/>
        <v>79.820000000000007</v>
      </c>
      <c r="EU8" s="19">
        <f t="shared" si="60"/>
        <v>81.960000000000008</v>
      </c>
      <c r="EV8" s="19">
        <f t="shared" si="61"/>
        <v>77</v>
      </c>
      <c r="EW8" s="19">
        <f t="shared" si="62"/>
        <v>81</v>
      </c>
      <c r="EX8" s="19">
        <f t="shared" si="63"/>
        <v>82.5</v>
      </c>
      <c r="EY8" s="19">
        <f t="shared" si="64"/>
        <v>80.566666666666677</v>
      </c>
      <c r="EZ8" s="19">
        <f t="shared" si="65"/>
        <v>85.100666666666683</v>
      </c>
      <c r="FA8" s="19">
        <f t="shared" si="65"/>
        <v>90</v>
      </c>
      <c r="FB8" s="19">
        <f t="shared" si="66"/>
        <v>80.8</v>
      </c>
      <c r="FC8" s="19">
        <f t="shared" si="67"/>
        <v>82.642196078431368</v>
      </c>
    </row>
    <row r="9" spans="1:159" ht="18">
      <c r="A9" s="11">
        <v>5</v>
      </c>
      <c r="B9" s="93" t="s">
        <v>636</v>
      </c>
      <c r="C9" s="94" t="s">
        <v>481</v>
      </c>
      <c r="D9" s="93" t="s">
        <v>630</v>
      </c>
      <c r="E9" s="95">
        <v>92</v>
      </c>
      <c r="F9" s="95">
        <v>90</v>
      </c>
      <c r="G9" s="96">
        <v>93</v>
      </c>
      <c r="H9" s="96">
        <v>88</v>
      </c>
      <c r="I9" s="95">
        <v>90</v>
      </c>
      <c r="J9" s="95">
        <v>83</v>
      </c>
      <c r="K9" s="95">
        <v>85</v>
      </c>
      <c r="L9" s="95">
        <v>85</v>
      </c>
      <c r="M9" s="95">
        <v>93</v>
      </c>
      <c r="N9" s="95">
        <v>90</v>
      </c>
      <c r="O9" s="95">
        <v>93</v>
      </c>
      <c r="P9" s="95">
        <v>80</v>
      </c>
      <c r="Q9" s="96">
        <v>80</v>
      </c>
      <c r="R9" s="96">
        <v>88</v>
      </c>
      <c r="S9" s="96">
        <v>80</v>
      </c>
      <c r="T9" s="96">
        <v>88</v>
      </c>
      <c r="U9" s="95">
        <v>75</v>
      </c>
      <c r="V9" s="95">
        <v>80</v>
      </c>
      <c r="W9" s="95">
        <v>84</v>
      </c>
      <c r="X9" s="95">
        <v>84</v>
      </c>
      <c r="Y9" s="95">
        <v>84</v>
      </c>
      <c r="Z9" s="95">
        <v>86</v>
      </c>
      <c r="AA9" s="95">
        <v>82</v>
      </c>
      <c r="AB9" s="95">
        <v>82</v>
      </c>
      <c r="AC9" s="95">
        <v>86</v>
      </c>
      <c r="AD9" s="95">
        <v>87</v>
      </c>
      <c r="AE9" s="96">
        <v>95</v>
      </c>
      <c r="AF9" s="96">
        <v>86</v>
      </c>
      <c r="AG9" s="95">
        <v>83</v>
      </c>
      <c r="AH9" s="95">
        <v>81</v>
      </c>
      <c r="AI9" s="95">
        <v>78</v>
      </c>
      <c r="AJ9" s="95">
        <v>81</v>
      </c>
      <c r="AK9" s="95">
        <v>83</v>
      </c>
      <c r="AL9" s="95">
        <v>80</v>
      </c>
      <c r="AM9" s="95">
        <v>79</v>
      </c>
      <c r="AN9" s="95">
        <v>80</v>
      </c>
      <c r="AO9" s="96">
        <v>80</v>
      </c>
      <c r="AP9" s="96">
        <v>83</v>
      </c>
      <c r="AQ9" s="95">
        <v>82</v>
      </c>
      <c r="AR9" s="95">
        <v>79</v>
      </c>
      <c r="AS9" s="95">
        <v>78</v>
      </c>
      <c r="AT9" s="95">
        <v>82</v>
      </c>
      <c r="AU9" s="95">
        <v>78</v>
      </c>
      <c r="AV9" s="95">
        <v>82</v>
      </c>
      <c r="AW9" s="95">
        <v>80</v>
      </c>
      <c r="AX9" s="95">
        <v>79</v>
      </c>
      <c r="AY9" s="95">
        <v>78</v>
      </c>
      <c r="AZ9" s="96">
        <v>79</v>
      </c>
      <c r="BA9" s="96">
        <v>85</v>
      </c>
      <c r="BB9" s="96">
        <v>90</v>
      </c>
      <c r="BC9" s="95">
        <v>80</v>
      </c>
      <c r="BD9" s="95">
        <v>85</v>
      </c>
      <c r="BE9" s="96">
        <v>85</v>
      </c>
      <c r="BF9" s="96">
        <v>81</v>
      </c>
      <c r="BG9" s="96">
        <v>77</v>
      </c>
      <c r="BH9" s="15">
        <v>86</v>
      </c>
      <c r="BI9" s="95">
        <v>85</v>
      </c>
      <c r="BJ9" s="95">
        <v>87</v>
      </c>
      <c r="BK9" s="95">
        <v>77</v>
      </c>
      <c r="BL9" s="15">
        <v>86</v>
      </c>
      <c r="BM9" s="95">
        <v>84</v>
      </c>
      <c r="BN9" s="95">
        <v>81</v>
      </c>
      <c r="BO9" s="95">
        <v>81</v>
      </c>
      <c r="BP9" s="15">
        <v>86</v>
      </c>
      <c r="BQ9" s="15">
        <f t="shared" si="0"/>
        <v>84.666666666666671</v>
      </c>
      <c r="BR9" s="15">
        <f t="shared" si="0"/>
        <v>83</v>
      </c>
      <c r="BS9" s="15">
        <f t="shared" si="0"/>
        <v>78.333333333333329</v>
      </c>
      <c r="BT9" s="15">
        <f t="shared" si="0"/>
        <v>86</v>
      </c>
      <c r="BU9" s="14">
        <v>81</v>
      </c>
      <c r="BV9" s="14">
        <v>82</v>
      </c>
      <c r="BW9" s="14">
        <v>83</v>
      </c>
      <c r="BX9" s="15">
        <v>86</v>
      </c>
      <c r="BY9" s="15">
        <v>82</v>
      </c>
      <c r="BZ9" s="15">
        <v>72</v>
      </c>
      <c r="CA9" s="15">
        <v>91</v>
      </c>
      <c r="CB9" s="15">
        <v>79</v>
      </c>
      <c r="CC9" s="15">
        <v>79</v>
      </c>
      <c r="CD9" s="39">
        <v>89</v>
      </c>
      <c r="CE9" s="39">
        <v>88</v>
      </c>
      <c r="CF9" s="40">
        <v>87</v>
      </c>
      <c r="CG9" s="40">
        <v>87</v>
      </c>
      <c r="CH9" s="39">
        <v>83</v>
      </c>
      <c r="CI9" s="39">
        <v>83</v>
      </c>
      <c r="CJ9" s="39">
        <v>81</v>
      </c>
      <c r="CK9" s="39">
        <v>80</v>
      </c>
      <c r="CL9" s="39">
        <v>70</v>
      </c>
      <c r="CM9" s="41">
        <f t="shared" si="1"/>
        <v>90.6</v>
      </c>
      <c r="CN9" s="41">
        <f t="shared" si="2"/>
        <v>83</v>
      </c>
      <c r="CO9" s="41">
        <f t="shared" si="3"/>
        <v>89</v>
      </c>
      <c r="CP9" s="17">
        <f t="shared" si="4"/>
        <v>87.84</v>
      </c>
      <c r="CQ9" s="16">
        <f t="shared" si="5"/>
        <v>89.2</v>
      </c>
      <c r="CR9" s="16">
        <f t="shared" si="6"/>
        <v>80</v>
      </c>
      <c r="CS9" s="16">
        <f t="shared" si="7"/>
        <v>88</v>
      </c>
      <c r="CT9" s="17">
        <f t="shared" si="8"/>
        <v>86.08</v>
      </c>
      <c r="CU9" s="17">
        <f t="shared" si="9"/>
        <v>82.2</v>
      </c>
      <c r="CV9" s="17">
        <f t="shared" si="10"/>
        <v>80</v>
      </c>
      <c r="CW9" s="17">
        <f t="shared" si="11"/>
        <v>87</v>
      </c>
      <c r="CX9" s="17">
        <f t="shared" si="12"/>
        <v>82.97999999999999</v>
      </c>
      <c r="CY9" s="18">
        <f t="shared" si="13"/>
        <v>84.5</v>
      </c>
      <c r="CZ9" s="18">
        <f t="shared" si="14"/>
        <v>84.5</v>
      </c>
      <c r="DA9" s="18">
        <f t="shared" si="15"/>
        <v>84.25</v>
      </c>
      <c r="DB9" s="18">
        <f t="shared" si="16"/>
        <v>84.25</v>
      </c>
      <c r="DC9" s="18">
        <f t="shared" si="17"/>
        <v>90.5</v>
      </c>
      <c r="DD9" s="18">
        <f t="shared" si="18"/>
        <v>90.5</v>
      </c>
      <c r="DE9" s="18">
        <f t="shared" si="19"/>
        <v>80.75</v>
      </c>
      <c r="DF9" s="18">
        <f t="shared" si="20"/>
        <v>80.75</v>
      </c>
      <c r="DG9" s="18">
        <f t="shared" si="21"/>
        <v>83</v>
      </c>
      <c r="DH9" s="18">
        <f t="shared" si="21"/>
        <v>80</v>
      </c>
      <c r="DI9" s="18">
        <f t="shared" si="22"/>
        <v>87</v>
      </c>
      <c r="DJ9" s="17">
        <f t="shared" si="23"/>
        <v>83.3</v>
      </c>
      <c r="DK9" s="18">
        <f t="shared" si="24"/>
        <v>80.8</v>
      </c>
      <c r="DL9" s="18">
        <f t="shared" si="25"/>
        <v>79</v>
      </c>
      <c r="DM9" s="18">
        <f t="shared" si="26"/>
        <v>83</v>
      </c>
      <c r="DN9" s="17">
        <f t="shared" si="27"/>
        <v>80.92</v>
      </c>
      <c r="DO9" s="18">
        <f t="shared" si="28"/>
        <v>80</v>
      </c>
      <c r="DP9" s="18">
        <f t="shared" si="29"/>
        <v>79</v>
      </c>
      <c r="DQ9" s="18">
        <f t="shared" si="30"/>
        <v>83</v>
      </c>
      <c r="DR9" s="17">
        <f t="shared" si="31"/>
        <v>80.599999999999994</v>
      </c>
      <c r="DS9" s="18">
        <f t="shared" si="32"/>
        <v>78.5</v>
      </c>
      <c r="DT9" s="18">
        <f t="shared" si="33"/>
        <v>78.5</v>
      </c>
      <c r="DU9" s="18">
        <f t="shared" si="34"/>
        <v>87.5</v>
      </c>
      <c r="DV9" s="18">
        <f t="shared" si="35"/>
        <v>87.5</v>
      </c>
      <c r="DW9" s="18">
        <f t="shared" si="36"/>
        <v>82.5</v>
      </c>
      <c r="DX9" s="17">
        <f t="shared" si="37"/>
        <v>82.5</v>
      </c>
      <c r="DY9" s="18">
        <f t="shared" si="38"/>
        <v>82</v>
      </c>
      <c r="DZ9" s="18">
        <f t="shared" si="39"/>
        <v>86</v>
      </c>
      <c r="EA9" s="18">
        <f t="shared" si="40"/>
        <v>70</v>
      </c>
      <c r="EB9" s="17">
        <f t="shared" si="41"/>
        <v>79.599999999999994</v>
      </c>
      <c r="EC9" s="18">
        <f t="shared" si="42"/>
        <v>82</v>
      </c>
      <c r="ED9" s="18">
        <f t="shared" si="43"/>
        <v>86</v>
      </c>
      <c r="EE9" s="18">
        <f t="shared" si="44"/>
        <v>80</v>
      </c>
      <c r="EF9" s="17">
        <f t="shared" si="45"/>
        <v>82.6</v>
      </c>
      <c r="EG9" s="18">
        <f t="shared" si="46"/>
        <v>82</v>
      </c>
      <c r="EH9" s="18">
        <f t="shared" si="47"/>
        <v>80.666666666666671</v>
      </c>
      <c r="EI9" s="18">
        <f t="shared" si="48"/>
        <v>79</v>
      </c>
      <c r="EJ9" s="18">
        <f t="shared" si="49"/>
        <v>81</v>
      </c>
      <c r="EK9" s="17">
        <f t="shared" si="50"/>
        <v>80.26666666666668</v>
      </c>
      <c r="EL9" s="19">
        <f t="shared" si="51"/>
        <v>87.84</v>
      </c>
      <c r="EM9" s="19">
        <f t="shared" si="52"/>
        <v>86.08</v>
      </c>
      <c r="EN9" s="19">
        <f t="shared" si="53"/>
        <v>82.97999999999999</v>
      </c>
      <c r="EO9" s="19">
        <f t="shared" si="54"/>
        <v>84.5</v>
      </c>
      <c r="EP9" s="19">
        <f t="shared" si="55"/>
        <v>84.25</v>
      </c>
      <c r="EQ9" s="19">
        <f t="shared" si="56"/>
        <v>90.5</v>
      </c>
      <c r="ER9" s="19">
        <f t="shared" si="57"/>
        <v>80.75</v>
      </c>
      <c r="ES9" s="19">
        <f t="shared" si="58"/>
        <v>83.3</v>
      </c>
      <c r="ET9" s="19">
        <f t="shared" si="59"/>
        <v>80.92</v>
      </c>
      <c r="EU9" s="19">
        <f t="shared" si="60"/>
        <v>80.599999999999994</v>
      </c>
      <c r="EV9" s="19">
        <f t="shared" si="61"/>
        <v>78.5</v>
      </c>
      <c r="EW9" s="19">
        <f t="shared" si="62"/>
        <v>87.5</v>
      </c>
      <c r="EX9" s="19">
        <f t="shared" si="63"/>
        <v>82.5</v>
      </c>
      <c r="EY9" s="19">
        <f t="shared" si="64"/>
        <v>79.599999999999994</v>
      </c>
      <c r="EZ9" s="19">
        <f t="shared" si="65"/>
        <v>82.6</v>
      </c>
      <c r="FA9" s="19">
        <f t="shared" si="65"/>
        <v>82</v>
      </c>
      <c r="FB9" s="19">
        <f t="shared" si="66"/>
        <v>80.26666666666668</v>
      </c>
      <c r="FC9" s="19">
        <f t="shared" si="67"/>
        <v>83.216862745098013</v>
      </c>
    </row>
    <row r="10" spans="1:159" ht="18">
      <c r="A10" s="11">
        <v>6</v>
      </c>
      <c r="B10" s="93" t="s">
        <v>637</v>
      </c>
      <c r="C10" s="94" t="s">
        <v>483</v>
      </c>
      <c r="D10" s="93" t="s">
        <v>630</v>
      </c>
      <c r="E10" s="95">
        <v>91</v>
      </c>
      <c r="F10" s="95">
        <v>87</v>
      </c>
      <c r="G10" s="96">
        <v>91</v>
      </c>
      <c r="H10" s="96">
        <v>82</v>
      </c>
      <c r="I10" s="95">
        <v>91</v>
      </c>
      <c r="J10" s="95">
        <v>95</v>
      </c>
      <c r="K10" s="95">
        <v>87</v>
      </c>
      <c r="L10" s="95">
        <v>83</v>
      </c>
      <c r="M10" s="95">
        <v>95</v>
      </c>
      <c r="N10" s="95">
        <v>87</v>
      </c>
      <c r="O10" s="95">
        <v>92</v>
      </c>
      <c r="P10" s="95">
        <v>90</v>
      </c>
      <c r="Q10" s="96">
        <v>83</v>
      </c>
      <c r="R10" s="96">
        <v>76</v>
      </c>
      <c r="S10" s="96">
        <v>84</v>
      </c>
      <c r="T10" s="96">
        <v>85</v>
      </c>
      <c r="U10" s="95">
        <v>83</v>
      </c>
      <c r="V10" s="95">
        <v>90</v>
      </c>
      <c r="W10" s="95">
        <v>85</v>
      </c>
      <c r="X10" s="95">
        <v>85</v>
      </c>
      <c r="Y10" s="95">
        <v>84</v>
      </c>
      <c r="Z10" s="95">
        <v>86</v>
      </c>
      <c r="AA10" s="95">
        <v>80</v>
      </c>
      <c r="AB10" s="95">
        <v>83</v>
      </c>
      <c r="AC10" s="95">
        <v>85</v>
      </c>
      <c r="AD10" s="95">
        <v>86</v>
      </c>
      <c r="AE10" s="96">
        <v>94</v>
      </c>
      <c r="AF10" s="96">
        <v>83</v>
      </c>
      <c r="AG10" s="95">
        <v>80</v>
      </c>
      <c r="AH10" s="95">
        <v>74</v>
      </c>
      <c r="AI10" s="95">
        <v>72</v>
      </c>
      <c r="AJ10" s="95">
        <v>80</v>
      </c>
      <c r="AK10" s="95">
        <v>86</v>
      </c>
      <c r="AL10" s="95">
        <v>90</v>
      </c>
      <c r="AM10" s="95">
        <v>87</v>
      </c>
      <c r="AN10" s="95">
        <v>88</v>
      </c>
      <c r="AO10" s="96">
        <v>80</v>
      </c>
      <c r="AP10" s="96">
        <v>84</v>
      </c>
      <c r="AQ10" s="95">
        <v>85</v>
      </c>
      <c r="AR10" s="95">
        <v>95</v>
      </c>
      <c r="AS10" s="95">
        <v>77</v>
      </c>
      <c r="AT10" s="95">
        <v>80</v>
      </c>
      <c r="AU10" s="95">
        <v>80</v>
      </c>
      <c r="AV10" s="95">
        <v>77</v>
      </c>
      <c r="AW10" s="95">
        <v>80</v>
      </c>
      <c r="AX10" s="95">
        <v>95</v>
      </c>
      <c r="AY10" s="95">
        <v>74</v>
      </c>
      <c r="AZ10" s="96">
        <v>78</v>
      </c>
      <c r="BA10" s="96">
        <v>80</v>
      </c>
      <c r="BB10" s="96">
        <v>82</v>
      </c>
      <c r="BC10" s="95">
        <v>81</v>
      </c>
      <c r="BD10" s="95">
        <v>80</v>
      </c>
      <c r="BE10" s="96">
        <v>82</v>
      </c>
      <c r="BF10" s="96">
        <v>79</v>
      </c>
      <c r="BG10" s="96">
        <v>82</v>
      </c>
      <c r="BH10" s="15">
        <v>93</v>
      </c>
      <c r="BI10" s="95">
        <v>83</v>
      </c>
      <c r="BJ10" s="95">
        <v>87</v>
      </c>
      <c r="BK10" s="95">
        <v>82</v>
      </c>
      <c r="BL10" s="15">
        <v>93</v>
      </c>
      <c r="BM10" s="95">
        <v>81</v>
      </c>
      <c r="BN10" s="95">
        <v>79</v>
      </c>
      <c r="BO10" s="95">
        <v>85</v>
      </c>
      <c r="BP10" s="15">
        <v>93</v>
      </c>
      <c r="BQ10" s="15">
        <f t="shared" si="0"/>
        <v>82</v>
      </c>
      <c r="BR10" s="15">
        <f t="shared" si="0"/>
        <v>81.666666666666671</v>
      </c>
      <c r="BS10" s="15">
        <f t="shared" si="0"/>
        <v>83</v>
      </c>
      <c r="BT10" s="15">
        <f t="shared" si="0"/>
        <v>93</v>
      </c>
      <c r="BU10" s="14">
        <v>78</v>
      </c>
      <c r="BV10" s="14">
        <v>80</v>
      </c>
      <c r="BW10" s="14">
        <v>86</v>
      </c>
      <c r="BX10" s="15">
        <v>93</v>
      </c>
      <c r="BY10" s="15">
        <v>93</v>
      </c>
      <c r="BZ10" s="15">
        <v>73</v>
      </c>
      <c r="CA10" s="15">
        <v>84</v>
      </c>
      <c r="CB10" s="15">
        <v>76</v>
      </c>
      <c r="CC10" s="15">
        <v>95</v>
      </c>
      <c r="CD10" s="39">
        <v>87</v>
      </c>
      <c r="CE10" s="39">
        <v>80</v>
      </c>
      <c r="CF10" s="40">
        <v>80</v>
      </c>
      <c r="CG10" s="40">
        <v>70</v>
      </c>
      <c r="CH10" s="39">
        <v>86</v>
      </c>
      <c r="CI10" s="39">
        <v>83</v>
      </c>
      <c r="CJ10" s="39">
        <v>84</v>
      </c>
      <c r="CK10" s="39">
        <v>82</v>
      </c>
      <c r="CL10" s="39">
        <v>70</v>
      </c>
      <c r="CM10" s="41">
        <f t="shared" si="1"/>
        <v>88.4</v>
      </c>
      <c r="CN10" s="41">
        <f t="shared" si="2"/>
        <v>95</v>
      </c>
      <c r="CO10" s="41">
        <f t="shared" si="3"/>
        <v>87</v>
      </c>
      <c r="CP10" s="17">
        <f t="shared" si="4"/>
        <v>89.960000000000008</v>
      </c>
      <c r="CQ10" s="16">
        <f t="shared" si="5"/>
        <v>88.8</v>
      </c>
      <c r="CR10" s="16">
        <f t="shared" si="6"/>
        <v>90</v>
      </c>
      <c r="CS10" s="16">
        <f t="shared" si="7"/>
        <v>80</v>
      </c>
      <c r="CT10" s="17">
        <f t="shared" si="8"/>
        <v>86.52000000000001</v>
      </c>
      <c r="CU10" s="17">
        <f t="shared" si="9"/>
        <v>82.2</v>
      </c>
      <c r="CV10" s="17">
        <f t="shared" si="10"/>
        <v>90</v>
      </c>
      <c r="CW10" s="17">
        <f t="shared" si="11"/>
        <v>80</v>
      </c>
      <c r="CX10" s="17">
        <f t="shared" si="12"/>
        <v>83.88</v>
      </c>
      <c r="CY10" s="18">
        <f t="shared" si="13"/>
        <v>85</v>
      </c>
      <c r="CZ10" s="18">
        <f t="shared" si="14"/>
        <v>85</v>
      </c>
      <c r="DA10" s="18">
        <f t="shared" si="15"/>
        <v>83.5</v>
      </c>
      <c r="DB10" s="18">
        <f t="shared" si="16"/>
        <v>83.5</v>
      </c>
      <c r="DC10" s="18">
        <f t="shared" si="17"/>
        <v>88.5</v>
      </c>
      <c r="DD10" s="18">
        <f t="shared" si="18"/>
        <v>88.5</v>
      </c>
      <c r="DE10" s="18">
        <f t="shared" si="19"/>
        <v>76.5</v>
      </c>
      <c r="DF10" s="18">
        <f t="shared" si="20"/>
        <v>76.5</v>
      </c>
      <c r="DG10" s="18">
        <f t="shared" si="21"/>
        <v>86</v>
      </c>
      <c r="DH10" s="18">
        <f t="shared" si="21"/>
        <v>90</v>
      </c>
      <c r="DI10" s="18">
        <f t="shared" si="22"/>
        <v>70</v>
      </c>
      <c r="DJ10" s="17">
        <f t="shared" si="23"/>
        <v>82.4</v>
      </c>
      <c r="DK10" s="18">
        <f t="shared" si="24"/>
        <v>84.8</v>
      </c>
      <c r="DL10" s="18">
        <f t="shared" si="25"/>
        <v>95</v>
      </c>
      <c r="DM10" s="18">
        <f t="shared" si="26"/>
        <v>86</v>
      </c>
      <c r="DN10" s="17">
        <f t="shared" si="27"/>
        <v>88.22</v>
      </c>
      <c r="DO10" s="18">
        <f t="shared" si="28"/>
        <v>78.8</v>
      </c>
      <c r="DP10" s="18">
        <f t="shared" si="29"/>
        <v>95</v>
      </c>
      <c r="DQ10" s="18">
        <f t="shared" si="30"/>
        <v>83</v>
      </c>
      <c r="DR10" s="17">
        <f t="shared" si="31"/>
        <v>84.92</v>
      </c>
      <c r="DS10" s="18">
        <f t="shared" si="32"/>
        <v>76</v>
      </c>
      <c r="DT10" s="18">
        <f t="shared" si="33"/>
        <v>76</v>
      </c>
      <c r="DU10" s="18">
        <f t="shared" si="34"/>
        <v>81</v>
      </c>
      <c r="DV10" s="18">
        <f t="shared" si="35"/>
        <v>81</v>
      </c>
      <c r="DW10" s="18">
        <f t="shared" si="36"/>
        <v>80.5</v>
      </c>
      <c r="DX10" s="17">
        <f t="shared" si="37"/>
        <v>80.5</v>
      </c>
      <c r="DY10" s="18">
        <f t="shared" si="38"/>
        <v>82.222222222222229</v>
      </c>
      <c r="DZ10" s="18">
        <f t="shared" si="39"/>
        <v>93</v>
      </c>
      <c r="EA10" s="18">
        <f t="shared" si="40"/>
        <v>70</v>
      </c>
      <c r="EB10" s="17">
        <f t="shared" si="41"/>
        <v>81.788888888888891</v>
      </c>
      <c r="EC10" s="18">
        <f t="shared" si="42"/>
        <v>81.333333333333329</v>
      </c>
      <c r="ED10" s="18">
        <f t="shared" si="43"/>
        <v>93</v>
      </c>
      <c r="EE10" s="18">
        <f t="shared" si="44"/>
        <v>82</v>
      </c>
      <c r="EF10" s="17">
        <f t="shared" si="45"/>
        <v>85.033333333333331</v>
      </c>
      <c r="EG10" s="18">
        <f t="shared" si="46"/>
        <v>93</v>
      </c>
      <c r="EH10" s="18">
        <f t="shared" si="47"/>
        <v>77.666666666666671</v>
      </c>
      <c r="EI10" s="18">
        <f t="shared" si="48"/>
        <v>95</v>
      </c>
      <c r="EJ10" s="18">
        <f t="shared" si="49"/>
        <v>84</v>
      </c>
      <c r="EK10" s="17">
        <f t="shared" si="50"/>
        <v>84.76666666666668</v>
      </c>
      <c r="EL10" s="19">
        <f t="shared" si="51"/>
        <v>89.960000000000008</v>
      </c>
      <c r="EM10" s="19">
        <f t="shared" si="52"/>
        <v>86.52000000000001</v>
      </c>
      <c r="EN10" s="19">
        <f t="shared" si="53"/>
        <v>83.88</v>
      </c>
      <c r="EO10" s="19">
        <f t="shared" si="54"/>
        <v>85</v>
      </c>
      <c r="EP10" s="19">
        <f t="shared" si="55"/>
        <v>83.5</v>
      </c>
      <c r="EQ10" s="19">
        <f t="shared" si="56"/>
        <v>88.5</v>
      </c>
      <c r="ER10" s="19">
        <f t="shared" si="57"/>
        <v>76.5</v>
      </c>
      <c r="ES10" s="19">
        <f t="shared" si="58"/>
        <v>82.4</v>
      </c>
      <c r="ET10" s="19">
        <f t="shared" si="59"/>
        <v>88.22</v>
      </c>
      <c r="EU10" s="19">
        <f t="shared" si="60"/>
        <v>84.92</v>
      </c>
      <c r="EV10" s="19">
        <f t="shared" si="61"/>
        <v>76</v>
      </c>
      <c r="EW10" s="19">
        <f t="shared" si="62"/>
        <v>81</v>
      </c>
      <c r="EX10" s="19">
        <f t="shared" si="63"/>
        <v>80.5</v>
      </c>
      <c r="EY10" s="19">
        <f t="shared" si="64"/>
        <v>81.788888888888891</v>
      </c>
      <c r="EZ10" s="19">
        <f t="shared" si="65"/>
        <v>85.033333333333331</v>
      </c>
      <c r="FA10" s="19">
        <f t="shared" si="65"/>
        <v>93</v>
      </c>
      <c r="FB10" s="19">
        <f t="shared" si="66"/>
        <v>84.76666666666668</v>
      </c>
      <c r="FC10" s="19">
        <f t="shared" si="67"/>
        <v>84.205228758169937</v>
      </c>
    </row>
    <row r="11" spans="1:159" ht="18">
      <c r="A11" s="11">
        <v>7</v>
      </c>
      <c r="B11" s="93" t="s">
        <v>638</v>
      </c>
      <c r="C11" s="94" t="s">
        <v>485</v>
      </c>
      <c r="D11" s="93" t="s">
        <v>630</v>
      </c>
      <c r="E11" s="95">
        <v>87</v>
      </c>
      <c r="F11" s="95">
        <v>87</v>
      </c>
      <c r="G11" s="96">
        <v>92</v>
      </c>
      <c r="H11" s="96">
        <v>85</v>
      </c>
      <c r="I11" s="95">
        <v>91</v>
      </c>
      <c r="J11" s="95">
        <v>85</v>
      </c>
      <c r="K11" s="95">
        <v>77</v>
      </c>
      <c r="L11" s="95">
        <v>82</v>
      </c>
      <c r="M11" s="95">
        <v>91</v>
      </c>
      <c r="N11" s="95">
        <v>88</v>
      </c>
      <c r="O11" s="95">
        <v>93</v>
      </c>
      <c r="P11" s="95">
        <v>80</v>
      </c>
      <c r="Q11" s="96">
        <v>78</v>
      </c>
      <c r="R11" s="96">
        <v>85</v>
      </c>
      <c r="S11" s="96">
        <v>80</v>
      </c>
      <c r="T11" s="96">
        <v>87</v>
      </c>
      <c r="U11" s="95">
        <v>87</v>
      </c>
      <c r="V11" s="95">
        <v>81</v>
      </c>
      <c r="W11" s="95">
        <v>82</v>
      </c>
      <c r="X11" s="95">
        <v>84</v>
      </c>
      <c r="Y11" s="95">
        <v>84</v>
      </c>
      <c r="Z11" s="95">
        <v>85</v>
      </c>
      <c r="AA11" s="95">
        <v>84</v>
      </c>
      <c r="AB11" s="95">
        <v>82</v>
      </c>
      <c r="AC11" s="95">
        <v>84</v>
      </c>
      <c r="AD11" s="95">
        <v>85</v>
      </c>
      <c r="AE11" s="96">
        <v>94</v>
      </c>
      <c r="AF11" s="96">
        <v>87</v>
      </c>
      <c r="AG11" s="95">
        <v>77</v>
      </c>
      <c r="AH11" s="95">
        <v>75</v>
      </c>
      <c r="AI11" s="95">
        <v>72</v>
      </c>
      <c r="AJ11" s="95">
        <v>80</v>
      </c>
      <c r="AK11" s="95">
        <v>80</v>
      </c>
      <c r="AL11" s="95">
        <v>81</v>
      </c>
      <c r="AM11" s="95">
        <v>74</v>
      </c>
      <c r="AN11" s="95">
        <v>75</v>
      </c>
      <c r="AO11" s="96">
        <v>78</v>
      </c>
      <c r="AP11" s="96">
        <v>78</v>
      </c>
      <c r="AQ11" s="95">
        <v>79</v>
      </c>
      <c r="AR11" s="95">
        <v>80</v>
      </c>
      <c r="AS11" s="95">
        <v>75</v>
      </c>
      <c r="AT11" s="95">
        <v>78</v>
      </c>
      <c r="AU11" s="95">
        <v>78</v>
      </c>
      <c r="AV11" s="95">
        <v>78</v>
      </c>
      <c r="AW11" s="95">
        <v>78</v>
      </c>
      <c r="AX11" s="95">
        <v>80</v>
      </c>
      <c r="AY11" s="95">
        <v>77</v>
      </c>
      <c r="AZ11" s="96">
        <v>80</v>
      </c>
      <c r="BA11" s="96">
        <v>80</v>
      </c>
      <c r="BB11" s="96">
        <v>82</v>
      </c>
      <c r="BC11" s="95">
        <v>81</v>
      </c>
      <c r="BD11" s="95">
        <v>84</v>
      </c>
      <c r="BE11" s="96">
        <v>84</v>
      </c>
      <c r="BF11" s="96">
        <v>81</v>
      </c>
      <c r="BG11" s="96">
        <v>82</v>
      </c>
      <c r="BH11" s="15">
        <v>83</v>
      </c>
      <c r="BI11" s="95">
        <v>84</v>
      </c>
      <c r="BJ11" s="95">
        <v>88</v>
      </c>
      <c r="BK11" s="95">
        <v>75</v>
      </c>
      <c r="BL11" s="15">
        <v>83</v>
      </c>
      <c r="BM11" s="95">
        <v>82</v>
      </c>
      <c r="BN11" s="95">
        <v>81</v>
      </c>
      <c r="BO11" s="95">
        <v>80</v>
      </c>
      <c r="BP11" s="15">
        <v>83</v>
      </c>
      <c r="BQ11" s="15">
        <f t="shared" si="0"/>
        <v>83.333333333333329</v>
      </c>
      <c r="BR11" s="15">
        <f t="shared" si="0"/>
        <v>83.333333333333329</v>
      </c>
      <c r="BS11" s="15">
        <f t="shared" si="0"/>
        <v>79</v>
      </c>
      <c r="BT11" s="15">
        <f t="shared" si="0"/>
        <v>83</v>
      </c>
      <c r="BU11" s="14">
        <v>81</v>
      </c>
      <c r="BV11" s="14">
        <v>82</v>
      </c>
      <c r="BW11" s="14">
        <v>80</v>
      </c>
      <c r="BX11" s="15">
        <v>83</v>
      </c>
      <c r="BY11" s="15">
        <v>82</v>
      </c>
      <c r="BZ11" s="15">
        <v>72</v>
      </c>
      <c r="CA11" s="15">
        <v>80</v>
      </c>
      <c r="CB11" s="15">
        <v>75</v>
      </c>
      <c r="CC11" s="15">
        <v>80</v>
      </c>
      <c r="CD11" s="39">
        <v>89</v>
      </c>
      <c r="CE11" s="39">
        <v>90</v>
      </c>
      <c r="CF11" s="40">
        <v>88</v>
      </c>
      <c r="CG11" s="40">
        <v>92</v>
      </c>
      <c r="CH11" s="39">
        <v>80</v>
      </c>
      <c r="CI11" s="39">
        <v>85</v>
      </c>
      <c r="CJ11" s="39">
        <v>82</v>
      </c>
      <c r="CK11" s="39">
        <v>81</v>
      </c>
      <c r="CL11" s="39">
        <v>70</v>
      </c>
      <c r="CM11" s="41">
        <f t="shared" si="1"/>
        <v>88.4</v>
      </c>
      <c r="CN11" s="41">
        <f t="shared" si="2"/>
        <v>85</v>
      </c>
      <c r="CO11" s="41">
        <f t="shared" si="3"/>
        <v>89</v>
      </c>
      <c r="CP11" s="17">
        <f t="shared" si="4"/>
        <v>87.56</v>
      </c>
      <c r="CQ11" s="16">
        <f t="shared" si="5"/>
        <v>86.2</v>
      </c>
      <c r="CR11" s="16">
        <f t="shared" si="6"/>
        <v>80</v>
      </c>
      <c r="CS11" s="16">
        <f t="shared" si="7"/>
        <v>90</v>
      </c>
      <c r="CT11" s="17">
        <f t="shared" si="8"/>
        <v>85.47999999999999</v>
      </c>
      <c r="CU11" s="17">
        <f t="shared" si="9"/>
        <v>83.4</v>
      </c>
      <c r="CV11" s="17">
        <f t="shared" si="10"/>
        <v>81</v>
      </c>
      <c r="CW11" s="17">
        <f t="shared" si="11"/>
        <v>88</v>
      </c>
      <c r="CX11" s="17">
        <f t="shared" si="12"/>
        <v>84.06</v>
      </c>
      <c r="CY11" s="18">
        <f t="shared" si="13"/>
        <v>83.75</v>
      </c>
      <c r="CZ11" s="18">
        <f t="shared" si="14"/>
        <v>83.75</v>
      </c>
      <c r="DA11" s="18">
        <f t="shared" si="15"/>
        <v>83.75</v>
      </c>
      <c r="DB11" s="18">
        <f t="shared" si="16"/>
        <v>83.75</v>
      </c>
      <c r="DC11" s="18">
        <f t="shared" si="17"/>
        <v>90.5</v>
      </c>
      <c r="DD11" s="18">
        <f t="shared" si="18"/>
        <v>90.5</v>
      </c>
      <c r="DE11" s="18">
        <f t="shared" si="19"/>
        <v>76</v>
      </c>
      <c r="DF11" s="18">
        <f t="shared" si="20"/>
        <v>76</v>
      </c>
      <c r="DG11" s="18">
        <f t="shared" si="21"/>
        <v>80</v>
      </c>
      <c r="DH11" s="18">
        <f t="shared" si="21"/>
        <v>81</v>
      </c>
      <c r="DI11" s="18">
        <f t="shared" si="22"/>
        <v>92</v>
      </c>
      <c r="DJ11" s="17">
        <f t="shared" si="23"/>
        <v>83.9</v>
      </c>
      <c r="DK11" s="18">
        <f t="shared" si="24"/>
        <v>76.8</v>
      </c>
      <c r="DL11" s="18">
        <f t="shared" si="25"/>
        <v>80</v>
      </c>
      <c r="DM11" s="18">
        <f t="shared" si="26"/>
        <v>80</v>
      </c>
      <c r="DN11" s="17">
        <f t="shared" si="27"/>
        <v>78.72</v>
      </c>
      <c r="DO11" s="18">
        <f t="shared" si="28"/>
        <v>77.400000000000006</v>
      </c>
      <c r="DP11" s="18">
        <f t="shared" si="29"/>
        <v>80</v>
      </c>
      <c r="DQ11" s="18">
        <f t="shared" si="30"/>
        <v>85</v>
      </c>
      <c r="DR11" s="17">
        <f t="shared" si="31"/>
        <v>80.460000000000008</v>
      </c>
      <c r="DS11" s="18">
        <f t="shared" si="32"/>
        <v>78.5</v>
      </c>
      <c r="DT11" s="18">
        <f t="shared" si="33"/>
        <v>78.5</v>
      </c>
      <c r="DU11" s="18">
        <f t="shared" si="34"/>
        <v>81</v>
      </c>
      <c r="DV11" s="18">
        <f t="shared" si="35"/>
        <v>81</v>
      </c>
      <c r="DW11" s="18">
        <f t="shared" si="36"/>
        <v>82.5</v>
      </c>
      <c r="DX11" s="17">
        <f t="shared" si="37"/>
        <v>82.5</v>
      </c>
      <c r="DY11" s="18">
        <f t="shared" si="38"/>
        <v>81.888888888888886</v>
      </c>
      <c r="DZ11" s="18">
        <f t="shared" si="39"/>
        <v>83</v>
      </c>
      <c r="EA11" s="18">
        <f t="shared" si="40"/>
        <v>70</v>
      </c>
      <c r="EB11" s="17">
        <f t="shared" si="41"/>
        <v>78.655555555555551</v>
      </c>
      <c r="EC11" s="18">
        <f t="shared" si="42"/>
        <v>81</v>
      </c>
      <c r="ED11" s="18">
        <f t="shared" si="43"/>
        <v>83</v>
      </c>
      <c r="EE11" s="18">
        <f t="shared" si="44"/>
        <v>81</v>
      </c>
      <c r="EF11" s="17">
        <f t="shared" si="45"/>
        <v>81.599999999999994</v>
      </c>
      <c r="EG11" s="18">
        <f t="shared" si="46"/>
        <v>82</v>
      </c>
      <c r="EH11" s="18">
        <f t="shared" si="47"/>
        <v>75.666666666666671</v>
      </c>
      <c r="EI11" s="18">
        <f t="shared" si="48"/>
        <v>80</v>
      </c>
      <c r="EJ11" s="18">
        <f t="shared" si="49"/>
        <v>82</v>
      </c>
      <c r="EK11" s="17">
        <f t="shared" si="50"/>
        <v>78.866666666666674</v>
      </c>
      <c r="EL11" s="19">
        <f t="shared" si="51"/>
        <v>87.56</v>
      </c>
      <c r="EM11" s="19">
        <f t="shared" si="52"/>
        <v>85.47999999999999</v>
      </c>
      <c r="EN11" s="19">
        <f t="shared" si="53"/>
        <v>84.06</v>
      </c>
      <c r="EO11" s="19">
        <f t="shared" si="54"/>
        <v>83.75</v>
      </c>
      <c r="EP11" s="19">
        <f t="shared" si="55"/>
        <v>83.75</v>
      </c>
      <c r="EQ11" s="19">
        <f t="shared" si="56"/>
        <v>90.5</v>
      </c>
      <c r="ER11" s="19">
        <f t="shared" si="57"/>
        <v>76</v>
      </c>
      <c r="ES11" s="19">
        <f t="shared" si="58"/>
        <v>83.9</v>
      </c>
      <c r="ET11" s="19">
        <f t="shared" si="59"/>
        <v>78.72</v>
      </c>
      <c r="EU11" s="19">
        <f t="shared" si="60"/>
        <v>80.460000000000008</v>
      </c>
      <c r="EV11" s="19">
        <f t="shared" si="61"/>
        <v>78.5</v>
      </c>
      <c r="EW11" s="19">
        <f t="shared" si="62"/>
        <v>81</v>
      </c>
      <c r="EX11" s="19">
        <f t="shared" si="63"/>
        <v>82.5</v>
      </c>
      <c r="EY11" s="19">
        <f t="shared" si="64"/>
        <v>78.655555555555551</v>
      </c>
      <c r="EZ11" s="19">
        <f t="shared" si="65"/>
        <v>81.599999999999994</v>
      </c>
      <c r="FA11" s="19">
        <f t="shared" si="65"/>
        <v>82</v>
      </c>
      <c r="FB11" s="19">
        <f t="shared" si="66"/>
        <v>78.866666666666674</v>
      </c>
      <c r="FC11" s="19">
        <f t="shared" si="67"/>
        <v>82.19424836601307</v>
      </c>
    </row>
    <row r="12" spans="1:159" ht="18">
      <c r="A12" s="11">
        <v>8</v>
      </c>
      <c r="B12" s="93" t="s">
        <v>639</v>
      </c>
      <c r="C12" s="94" t="s">
        <v>487</v>
      </c>
      <c r="D12" s="93" t="s">
        <v>630</v>
      </c>
      <c r="E12" s="95">
        <v>87</v>
      </c>
      <c r="F12" s="95">
        <v>77</v>
      </c>
      <c r="G12" s="96">
        <v>89</v>
      </c>
      <c r="H12" s="96">
        <v>81</v>
      </c>
      <c r="I12" s="95">
        <v>84</v>
      </c>
      <c r="J12" s="95">
        <v>77</v>
      </c>
      <c r="K12" s="95">
        <v>81</v>
      </c>
      <c r="L12" s="95">
        <v>78</v>
      </c>
      <c r="M12" s="95">
        <v>86</v>
      </c>
      <c r="N12" s="95">
        <v>80</v>
      </c>
      <c r="O12" s="95">
        <v>80</v>
      </c>
      <c r="P12" s="95">
        <v>79</v>
      </c>
      <c r="Q12" s="96">
        <v>80</v>
      </c>
      <c r="R12" s="96">
        <v>70</v>
      </c>
      <c r="S12" s="96">
        <v>72</v>
      </c>
      <c r="T12" s="96">
        <v>75</v>
      </c>
      <c r="U12" s="95">
        <v>70</v>
      </c>
      <c r="V12" s="95">
        <v>77</v>
      </c>
      <c r="W12" s="95">
        <v>81</v>
      </c>
      <c r="X12" s="95">
        <v>80</v>
      </c>
      <c r="Y12" s="95">
        <v>79</v>
      </c>
      <c r="Z12" s="95">
        <v>78</v>
      </c>
      <c r="AA12" s="95">
        <v>80</v>
      </c>
      <c r="AB12" s="95">
        <v>80</v>
      </c>
      <c r="AC12" s="95">
        <v>82</v>
      </c>
      <c r="AD12" s="95">
        <v>80</v>
      </c>
      <c r="AE12" s="96">
        <v>94</v>
      </c>
      <c r="AF12" s="96">
        <v>83</v>
      </c>
      <c r="AG12" s="95">
        <v>76</v>
      </c>
      <c r="AH12" s="95">
        <v>70</v>
      </c>
      <c r="AI12" s="95">
        <v>70</v>
      </c>
      <c r="AJ12" s="95">
        <v>80</v>
      </c>
      <c r="AK12" s="95">
        <v>80</v>
      </c>
      <c r="AL12" s="95">
        <v>77</v>
      </c>
      <c r="AM12" s="95">
        <v>73</v>
      </c>
      <c r="AN12" s="95">
        <v>74</v>
      </c>
      <c r="AO12" s="96">
        <v>76</v>
      </c>
      <c r="AP12" s="96">
        <v>76</v>
      </c>
      <c r="AQ12" s="95">
        <v>74</v>
      </c>
      <c r="AR12" s="95">
        <v>75</v>
      </c>
      <c r="AS12" s="95">
        <v>75</v>
      </c>
      <c r="AT12" s="95">
        <v>78</v>
      </c>
      <c r="AU12" s="95">
        <v>78</v>
      </c>
      <c r="AV12" s="95">
        <v>75</v>
      </c>
      <c r="AW12" s="95">
        <v>78</v>
      </c>
      <c r="AX12" s="95">
        <v>75</v>
      </c>
      <c r="AY12" s="95">
        <v>75</v>
      </c>
      <c r="AZ12" s="96">
        <v>78</v>
      </c>
      <c r="BA12" s="96">
        <v>80</v>
      </c>
      <c r="BB12" s="96">
        <v>78</v>
      </c>
      <c r="BC12" s="95">
        <v>82</v>
      </c>
      <c r="BD12" s="95">
        <v>85</v>
      </c>
      <c r="BE12" s="96">
        <v>81</v>
      </c>
      <c r="BF12" s="96">
        <v>80</v>
      </c>
      <c r="BG12" s="96">
        <v>77</v>
      </c>
      <c r="BH12" s="15">
        <v>79</v>
      </c>
      <c r="BI12" s="95">
        <v>77</v>
      </c>
      <c r="BJ12" s="95">
        <v>75</v>
      </c>
      <c r="BK12" s="95">
        <v>75</v>
      </c>
      <c r="BL12" s="15">
        <v>79</v>
      </c>
      <c r="BM12" s="95">
        <v>75</v>
      </c>
      <c r="BN12" s="95">
        <v>75</v>
      </c>
      <c r="BO12" s="95">
        <v>77</v>
      </c>
      <c r="BP12" s="15">
        <v>79</v>
      </c>
      <c r="BQ12" s="15">
        <f t="shared" si="0"/>
        <v>77.666666666666671</v>
      </c>
      <c r="BR12" s="15">
        <f t="shared" si="0"/>
        <v>76.666666666666671</v>
      </c>
      <c r="BS12" s="15">
        <f t="shared" si="0"/>
        <v>76.333333333333329</v>
      </c>
      <c r="BT12" s="15">
        <f t="shared" si="0"/>
        <v>79</v>
      </c>
      <c r="BU12" s="14">
        <v>77</v>
      </c>
      <c r="BV12" s="14">
        <v>79</v>
      </c>
      <c r="BW12" s="14">
        <v>80</v>
      </c>
      <c r="BX12" s="15">
        <v>79</v>
      </c>
      <c r="BY12" s="15">
        <v>77</v>
      </c>
      <c r="BZ12" s="15">
        <v>70</v>
      </c>
      <c r="CA12" s="15">
        <v>74</v>
      </c>
      <c r="CB12" s="15">
        <v>70</v>
      </c>
      <c r="CC12" s="15">
        <v>75</v>
      </c>
      <c r="CD12" s="39">
        <v>80</v>
      </c>
      <c r="CE12" s="39">
        <v>85</v>
      </c>
      <c r="CF12" s="40">
        <v>70</v>
      </c>
      <c r="CG12" s="40">
        <v>70</v>
      </c>
      <c r="CH12" s="39">
        <v>75</v>
      </c>
      <c r="CI12" s="39">
        <v>83</v>
      </c>
      <c r="CJ12" s="39">
        <v>75</v>
      </c>
      <c r="CK12" s="39">
        <v>70</v>
      </c>
      <c r="CL12" s="39">
        <v>70</v>
      </c>
      <c r="CM12" s="41">
        <f t="shared" si="1"/>
        <v>83.6</v>
      </c>
      <c r="CN12" s="41">
        <f t="shared" si="2"/>
        <v>77</v>
      </c>
      <c r="CO12" s="41">
        <f t="shared" si="3"/>
        <v>80</v>
      </c>
      <c r="CP12" s="17">
        <f t="shared" si="4"/>
        <v>80.539999999999992</v>
      </c>
      <c r="CQ12" s="16">
        <f t="shared" si="5"/>
        <v>81</v>
      </c>
      <c r="CR12" s="16">
        <f t="shared" si="6"/>
        <v>79</v>
      </c>
      <c r="CS12" s="16">
        <f t="shared" si="7"/>
        <v>85</v>
      </c>
      <c r="CT12" s="17">
        <f t="shared" si="8"/>
        <v>81.599999999999994</v>
      </c>
      <c r="CU12" s="17">
        <f t="shared" si="9"/>
        <v>73.400000000000006</v>
      </c>
      <c r="CV12" s="17">
        <f t="shared" si="10"/>
        <v>77</v>
      </c>
      <c r="CW12" s="17">
        <f t="shared" si="11"/>
        <v>70</v>
      </c>
      <c r="CX12" s="17">
        <f t="shared" si="12"/>
        <v>73.460000000000008</v>
      </c>
      <c r="CY12" s="18">
        <f t="shared" si="13"/>
        <v>79.5</v>
      </c>
      <c r="CZ12" s="18">
        <f t="shared" si="14"/>
        <v>79.5</v>
      </c>
      <c r="DA12" s="18">
        <f t="shared" si="15"/>
        <v>80.5</v>
      </c>
      <c r="DB12" s="18">
        <f t="shared" si="16"/>
        <v>80.5</v>
      </c>
      <c r="DC12" s="18">
        <f t="shared" si="17"/>
        <v>88.5</v>
      </c>
      <c r="DD12" s="18">
        <f t="shared" si="18"/>
        <v>88.5</v>
      </c>
      <c r="DE12" s="18">
        <f t="shared" si="19"/>
        <v>74</v>
      </c>
      <c r="DF12" s="18">
        <f t="shared" si="20"/>
        <v>74</v>
      </c>
      <c r="DG12" s="18">
        <f t="shared" si="21"/>
        <v>80</v>
      </c>
      <c r="DH12" s="18">
        <f t="shared" si="21"/>
        <v>77</v>
      </c>
      <c r="DI12" s="18">
        <f t="shared" si="22"/>
        <v>70</v>
      </c>
      <c r="DJ12" s="17">
        <f t="shared" si="23"/>
        <v>76.099999999999994</v>
      </c>
      <c r="DK12" s="18">
        <f t="shared" si="24"/>
        <v>74.599999999999994</v>
      </c>
      <c r="DL12" s="18">
        <f t="shared" si="25"/>
        <v>75</v>
      </c>
      <c r="DM12" s="18">
        <f t="shared" si="26"/>
        <v>75</v>
      </c>
      <c r="DN12" s="17">
        <f t="shared" si="27"/>
        <v>74.84</v>
      </c>
      <c r="DO12" s="18">
        <f t="shared" si="28"/>
        <v>76.8</v>
      </c>
      <c r="DP12" s="18">
        <f t="shared" si="29"/>
        <v>75</v>
      </c>
      <c r="DQ12" s="18">
        <f t="shared" si="30"/>
        <v>83</v>
      </c>
      <c r="DR12" s="17">
        <f t="shared" si="31"/>
        <v>78.12</v>
      </c>
      <c r="DS12" s="18">
        <f t="shared" si="32"/>
        <v>76.5</v>
      </c>
      <c r="DT12" s="18">
        <f t="shared" si="33"/>
        <v>76.5</v>
      </c>
      <c r="DU12" s="18">
        <f t="shared" si="34"/>
        <v>79</v>
      </c>
      <c r="DV12" s="18">
        <f t="shared" si="35"/>
        <v>79</v>
      </c>
      <c r="DW12" s="18">
        <f t="shared" si="36"/>
        <v>83.5</v>
      </c>
      <c r="DX12" s="17">
        <f t="shared" si="37"/>
        <v>83.5</v>
      </c>
      <c r="DY12" s="18">
        <f t="shared" si="38"/>
        <v>76.8888888888889</v>
      </c>
      <c r="DZ12" s="18">
        <f t="shared" si="39"/>
        <v>79</v>
      </c>
      <c r="EA12" s="18">
        <f t="shared" si="40"/>
        <v>70</v>
      </c>
      <c r="EB12" s="17">
        <f t="shared" si="41"/>
        <v>75.455555555555563</v>
      </c>
      <c r="EC12" s="18">
        <f t="shared" si="42"/>
        <v>78.666666666666671</v>
      </c>
      <c r="ED12" s="18">
        <f t="shared" si="43"/>
        <v>79</v>
      </c>
      <c r="EE12" s="18">
        <f t="shared" si="44"/>
        <v>70</v>
      </c>
      <c r="EF12" s="17">
        <f t="shared" si="45"/>
        <v>76.166666666666671</v>
      </c>
      <c r="EG12" s="18">
        <f t="shared" si="46"/>
        <v>77</v>
      </c>
      <c r="EH12" s="18">
        <f t="shared" si="47"/>
        <v>71.333333333333329</v>
      </c>
      <c r="EI12" s="18">
        <f t="shared" si="48"/>
        <v>75</v>
      </c>
      <c r="EJ12" s="18">
        <f t="shared" si="49"/>
        <v>75</v>
      </c>
      <c r="EK12" s="17">
        <f t="shared" si="50"/>
        <v>73.533333333333331</v>
      </c>
      <c r="EL12" s="19">
        <f t="shared" si="51"/>
        <v>80.539999999999992</v>
      </c>
      <c r="EM12" s="19">
        <f t="shared" si="52"/>
        <v>81.599999999999994</v>
      </c>
      <c r="EN12" s="19">
        <f t="shared" si="53"/>
        <v>73.460000000000008</v>
      </c>
      <c r="EO12" s="19">
        <f t="shared" si="54"/>
        <v>79.5</v>
      </c>
      <c r="EP12" s="19">
        <f t="shared" si="55"/>
        <v>80.5</v>
      </c>
      <c r="EQ12" s="19">
        <f t="shared" si="56"/>
        <v>88.5</v>
      </c>
      <c r="ER12" s="19">
        <f t="shared" si="57"/>
        <v>74</v>
      </c>
      <c r="ES12" s="19">
        <f t="shared" si="58"/>
        <v>76.099999999999994</v>
      </c>
      <c r="ET12" s="19">
        <f t="shared" si="59"/>
        <v>74.84</v>
      </c>
      <c r="EU12" s="19">
        <f t="shared" si="60"/>
        <v>78.12</v>
      </c>
      <c r="EV12" s="19">
        <f t="shared" si="61"/>
        <v>76.5</v>
      </c>
      <c r="EW12" s="19">
        <f t="shared" si="62"/>
        <v>79</v>
      </c>
      <c r="EX12" s="19">
        <f t="shared" si="63"/>
        <v>83.5</v>
      </c>
      <c r="EY12" s="19">
        <f t="shared" si="64"/>
        <v>75.455555555555563</v>
      </c>
      <c r="EZ12" s="19">
        <f t="shared" si="65"/>
        <v>76.166666666666671</v>
      </c>
      <c r="FA12" s="19">
        <f t="shared" si="65"/>
        <v>77</v>
      </c>
      <c r="FB12" s="19">
        <f t="shared" si="66"/>
        <v>73.533333333333331</v>
      </c>
      <c r="FC12" s="19">
        <f t="shared" si="67"/>
        <v>78.136209150326806</v>
      </c>
    </row>
    <row r="13" spans="1:159" ht="18">
      <c r="A13" s="11">
        <v>9</v>
      </c>
      <c r="B13" s="93" t="s">
        <v>640</v>
      </c>
      <c r="C13" s="94" t="s">
        <v>489</v>
      </c>
      <c r="D13" s="93" t="s">
        <v>630</v>
      </c>
      <c r="E13" s="95">
        <v>85</v>
      </c>
      <c r="F13" s="95">
        <v>84</v>
      </c>
      <c r="G13" s="96">
        <v>91</v>
      </c>
      <c r="H13" s="96">
        <v>82</v>
      </c>
      <c r="I13" s="95">
        <v>89</v>
      </c>
      <c r="J13" s="95">
        <v>95</v>
      </c>
      <c r="K13" s="95">
        <v>74</v>
      </c>
      <c r="L13" s="95">
        <v>81</v>
      </c>
      <c r="M13" s="95">
        <v>90</v>
      </c>
      <c r="N13" s="95">
        <v>86</v>
      </c>
      <c r="O13" s="95">
        <v>90</v>
      </c>
      <c r="P13" s="95">
        <v>95</v>
      </c>
      <c r="Q13" s="96">
        <v>80</v>
      </c>
      <c r="R13" s="96">
        <v>84</v>
      </c>
      <c r="S13" s="96">
        <v>80</v>
      </c>
      <c r="T13" s="96">
        <v>88</v>
      </c>
      <c r="U13" s="95">
        <v>84</v>
      </c>
      <c r="V13" s="95">
        <v>89</v>
      </c>
      <c r="W13" s="95">
        <v>83</v>
      </c>
      <c r="X13" s="95">
        <v>85</v>
      </c>
      <c r="Y13" s="95">
        <v>84</v>
      </c>
      <c r="Z13" s="95">
        <v>85</v>
      </c>
      <c r="AA13" s="95">
        <v>80</v>
      </c>
      <c r="AB13" s="95">
        <v>82</v>
      </c>
      <c r="AC13" s="95">
        <v>85</v>
      </c>
      <c r="AD13" s="95">
        <v>87</v>
      </c>
      <c r="AE13" s="96">
        <v>93</v>
      </c>
      <c r="AF13" s="96">
        <v>84</v>
      </c>
      <c r="AG13" s="95">
        <v>75</v>
      </c>
      <c r="AH13" s="95">
        <v>77</v>
      </c>
      <c r="AI13" s="95">
        <v>71</v>
      </c>
      <c r="AJ13" s="95">
        <v>80</v>
      </c>
      <c r="AK13" s="95">
        <v>80</v>
      </c>
      <c r="AL13" s="95">
        <v>89</v>
      </c>
      <c r="AM13" s="95">
        <v>77</v>
      </c>
      <c r="AN13" s="95">
        <v>79</v>
      </c>
      <c r="AO13" s="96">
        <v>80</v>
      </c>
      <c r="AP13" s="96">
        <v>80</v>
      </c>
      <c r="AQ13" s="95">
        <v>80</v>
      </c>
      <c r="AR13" s="95">
        <v>95</v>
      </c>
      <c r="AS13" s="95">
        <v>79</v>
      </c>
      <c r="AT13" s="95">
        <v>80</v>
      </c>
      <c r="AU13" s="95">
        <v>80</v>
      </c>
      <c r="AV13" s="95">
        <v>81</v>
      </c>
      <c r="AW13" s="95">
        <v>80</v>
      </c>
      <c r="AX13" s="95">
        <v>95</v>
      </c>
      <c r="AY13" s="95">
        <v>78</v>
      </c>
      <c r="AZ13" s="96">
        <v>80</v>
      </c>
      <c r="BA13" s="96">
        <v>86</v>
      </c>
      <c r="BB13" s="96">
        <v>83</v>
      </c>
      <c r="BC13" s="95">
        <v>83</v>
      </c>
      <c r="BD13" s="95">
        <v>86</v>
      </c>
      <c r="BE13" s="96">
        <v>85</v>
      </c>
      <c r="BF13" s="96">
        <v>81</v>
      </c>
      <c r="BG13" s="96">
        <v>83</v>
      </c>
      <c r="BH13" s="15">
        <v>95</v>
      </c>
      <c r="BI13" s="95">
        <v>85</v>
      </c>
      <c r="BJ13" s="95">
        <v>86</v>
      </c>
      <c r="BK13" s="95">
        <v>82</v>
      </c>
      <c r="BL13" s="15">
        <v>95</v>
      </c>
      <c r="BM13" s="95">
        <v>84</v>
      </c>
      <c r="BN13" s="95">
        <v>81</v>
      </c>
      <c r="BO13" s="95">
        <v>84</v>
      </c>
      <c r="BP13" s="15">
        <v>95</v>
      </c>
      <c r="BQ13" s="15">
        <f t="shared" si="0"/>
        <v>84.666666666666671</v>
      </c>
      <c r="BR13" s="15">
        <f t="shared" si="0"/>
        <v>82.666666666666671</v>
      </c>
      <c r="BS13" s="15">
        <f t="shared" si="0"/>
        <v>83</v>
      </c>
      <c r="BT13" s="15">
        <f t="shared" si="0"/>
        <v>95</v>
      </c>
      <c r="BU13" s="14">
        <v>82</v>
      </c>
      <c r="BV13" s="14">
        <v>83</v>
      </c>
      <c r="BW13" s="14">
        <v>80</v>
      </c>
      <c r="BX13" s="15">
        <v>95</v>
      </c>
      <c r="BY13" s="15">
        <v>94</v>
      </c>
      <c r="BZ13" s="15">
        <v>72</v>
      </c>
      <c r="CA13" s="15">
        <v>78</v>
      </c>
      <c r="CB13" s="15">
        <v>75</v>
      </c>
      <c r="CC13" s="15">
        <v>95</v>
      </c>
      <c r="CD13" s="39">
        <v>87</v>
      </c>
      <c r="CE13" s="39">
        <v>95</v>
      </c>
      <c r="CF13" s="40">
        <v>80</v>
      </c>
      <c r="CG13" s="40">
        <v>70</v>
      </c>
      <c r="CH13" s="39">
        <v>81</v>
      </c>
      <c r="CI13" s="39">
        <v>80</v>
      </c>
      <c r="CJ13" s="39">
        <v>85</v>
      </c>
      <c r="CK13" s="39">
        <v>81</v>
      </c>
      <c r="CL13" s="39">
        <v>82</v>
      </c>
      <c r="CM13" s="41">
        <f t="shared" si="1"/>
        <v>86.2</v>
      </c>
      <c r="CN13" s="41">
        <f t="shared" si="2"/>
        <v>95</v>
      </c>
      <c r="CO13" s="41">
        <f t="shared" si="3"/>
        <v>87</v>
      </c>
      <c r="CP13" s="17">
        <f t="shared" si="4"/>
        <v>89.08</v>
      </c>
      <c r="CQ13" s="16">
        <f t="shared" si="5"/>
        <v>84.2</v>
      </c>
      <c r="CR13" s="16">
        <f t="shared" si="6"/>
        <v>95</v>
      </c>
      <c r="CS13" s="16">
        <f t="shared" si="7"/>
        <v>95</v>
      </c>
      <c r="CT13" s="17">
        <f t="shared" si="8"/>
        <v>90.679999999999993</v>
      </c>
      <c r="CU13" s="17">
        <f t="shared" si="9"/>
        <v>83.2</v>
      </c>
      <c r="CV13" s="17">
        <f t="shared" si="10"/>
        <v>89</v>
      </c>
      <c r="CW13" s="17">
        <f t="shared" si="11"/>
        <v>80</v>
      </c>
      <c r="CX13" s="17">
        <f t="shared" si="12"/>
        <v>83.97999999999999</v>
      </c>
      <c r="CY13" s="18">
        <f t="shared" si="13"/>
        <v>84.25</v>
      </c>
      <c r="CZ13" s="18">
        <f t="shared" si="14"/>
        <v>84.25</v>
      </c>
      <c r="DA13" s="18">
        <f t="shared" si="15"/>
        <v>83.5</v>
      </c>
      <c r="DB13" s="18">
        <f t="shared" si="16"/>
        <v>83.5</v>
      </c>
      <c r="DC13" s="18">
        <f t="shared" si="17"/>
        <v>88.5</v>
      </c>
      <c r="DD13" s="18">
        <f t="shared" si="18"/>
        <v>88.5</v>
      </c>
      <c r="DE13" s="18">
        <f t="shared" si="19"/>
        <v>75.75</v>
      </c>
      <c r="DF13" s="18">
        <f t="shared" si="20"/>
        <v>75.75</v>
      </c>
      <c r="DG13" s="18">
        <f t="shared" si="21"/>
        <v>80</v>
      </c>
      <c r="DH13" s="18">
        <f t="shared" si="21"/>
        <v>89</v>
      </c>
      <c r="DI13" s="18">
        <f t="shared" si="22"/>
        <v>70</v>
      </c>
      <c r="DJ13" s="17">
        <f t="shared" si="23"/>
        <v>79.7</v>
      </c>
      <c r="DK13" s="18">
        <f t="shared" si="24"/>
        <v>79.2</v>
      </c>
      <c r="DL13" s="18">
        <f t="shared" si="25"/>
        <v>95</v>
      </c>
      <c r="DM13" s="18">
        <f t="shared" si="26"/>
        <v>81</v>
      </c>
      <c r="DN13" s="17">
        <f t="shared" si="27"/>
        <v>84.47999999999999</v>
      </c>
      <c r="DO13" s="18">
        <f t="shared" si="28"/>
        <v>80</v>
      </c>
      <c r="DP13" s="18">
        <f t="shared" si="29"/>
        <v>95</v>
      </c>
      <c r="DQ13" s="18">
        <f t="shared" si="30"/>
        <v>80</v>
      </c>
      <c r="DR13" s="17">
        <f t="shared" si="31"/>
        <v>84.5</v>
      </c>
      <c r="DS13" s="18">
        <f t="shared" si="32"/>
        <v>79</v>
      </c>
      <c r="DT13" s="18">
        <f t="shared" si="33"/>
        <v>79</v>
      </c>
      <c r="DU13" s="18">
        <f t="shared" si="34"/>
        <v>84.5</v>
      </c>
      <c r="DV13" s="18">
        <f t="shared" si="35"/>
        <v>84.5</v>
      </c>
      <c r="DW13" s="18">
        <f t="shared" si="36"/>
        <v>84.5</v>
      </c>
      <c r="DX13" s="17">
        <f t="shared" si="37"/>
        <v>84.5</v>
      </c>
      <c r="DY13" s="18">
        <f t="shared" si="38"/>
        <v>83.444444444444443</v>
      </c>
      <c r="DZ13" s="18">
        <f t="shared" si="39"/>
        <v>95</v>
      </c>
      <c r="EA13" s="18">
        <f t="shared" si="40"/>
        <v>82</v>
      </c>
      <c r="EB13" s="17">
        <f t="shared" si="41"/>
        <v>86.477777777777789</v>
      </c>
      <c r="EC13" s="18">
        <f t="shared" si="42"/>
        <v>81.666666666666671</v>
      </c>
      <c r="ED13" s="18">
        <f t="shared" si="43"/>
        <v>95</v>
      </c>
      <c r="EE13" s="18">
        <f t="shared" si="44"/>
        <v>81</v>
      </c>
      <c r="EF13" s="17">
        <f t="shared" si="45"/>
        <v>85.466666666666669</v>
      </c>
      <c r="EG13" s="18">
        <f t="shared" si="46"/>
        <v>94</v>
      </c>
      <c r="EH13" s="18">
        <f t="shared" si="47"/>
        <v>75</v>
      </c>
      <c r="EI13" s="18">
        <f t="shared" si="48"/>
        <v>95</v>
      </c>
      <c r="EJ13" s="18">
        <f t="shared" si="49"/>
        <v>85</v>
      </c>
      <c r="EK13" s="17">
        <f t="shared" si="50"/>
        <v>84</v>
      </c>
      <c r="EL13" s="19">
        <f t="shared" si="51"/>
        <v>89.08</v>
      </c>
      <c r="EM13" s="19">
        <f t="shared" si="52"/>
        <v>90.679999999999993</v>
      </c>
      <c r="EN13" s="19">
        <f t="shared" si="53"/>
        <v>83.97999999999999</v>
      </c>
      <c r="EO13" s="19">
        <f t="shared" si="54"/>
        <v>84.25</v>
      </c>
      <c r="EP13" s="19">
        <f t="shared" si="55"/>
        <v>83.5</v>
      </c>
      <c r="EQ13" s="19">
        <f t="shared" si="56"/>
        <v>88.5</v>
      </c>
      <c r="ER13" s="19">
        <f t="shared" si="57"/>
        <v>75.75</v>
      </c>
      <c r="ES13" s="19">
        <f t="shared" si="58"/>
        <v>79.7</v>
      </c>
      <c r="ET13" s="19">
        <f t="shared" si="59"/>
        <v>84.47999999999999</v>
      </c>
      <c r="EU13" s="19">
        <f t="shared" si="60"/>
        <v>84.5</v>
      </c>
      <c r="EV13" s="19">
        <f t="shared" si="61"/>
        <v>79</v>
      </c>
      <c r="EW13" s="19">
        <f t="shared" si="62"/>
        <v>84.5</v>
      </c>
      <c r="EX13" s="19">
        <f t="shared" si="63"/>
        <v>84.5</v>
      </c>
      <c r="EY13" s="19">
        <f t="shared" si="64"/>
        <v>86.477777777777789</v>
      </c>
      <c r="EZ13" s="19">
        <f t="shared" si="65"/>
        <v>85.466666666666669</v>
      </c>
      <c r="FA13" s="19">
        <f t="shared" si="65"/>
        <v>94</v>
      </c>
      <c r="FB13" s="19">
        <f t="shared" si="66"/>
        <v>84</v>
      </c>
      <c r="FC13" s="19">
        <f t="shared" si="67"/>
        <v>84.844967320261446</v>
      </c>
    </row>
    <row r="14" spans="1:159" ht="18">
      <c r="A14" s="11">
        <v>10</v>
      </c>
      <c r="B14" s="93" t="s">
        <v>641</v>
      </c>
      <c r="C14" s="94" t="s">
        <v>491</v>
      </c>
      <c r="D14" s="93" t="s">
        <v>630</v>
      </c>
      <c r="E14" s="95">
        <v>88</v>
      </c>
      <c r="F14" s="95">
        <v>89</v>
      </c>
      <c r="G14" s="96">
        <v>90</v>
      </c>
      <c r="H14" s="96">
        <v>82</v>
      </c>
      <c r="I14" s="95">
        <v>90</v>
      </c>
      <c r="J14" s="95">
        <v>87</v>
      </c>
      <c r="K14" s="95">
        <v>75</v>
      </c>
      <c r="L14" s="95">
        <v>80</v>
      </c>
      <c r="M14" s="95">
        <v>95</v>
      </c>
      <c r="N14" s="95">
        <v>89</v>
      </c>
      <c r="O14" s="95">
        <v>91</v>
      </c>
      <c r="P14" s="95">
        <v>85</v>
      </c>
      <c r="Q14" s="96">
        <v>80</v>
      </c>
      <c r="R14" s="96">
        <v>82</v>
      </c>
      <c r="S14" s="96">
        <v>75</v>
      </c>
      <c r="T14" s="96">
        <v>88</v>
      </c>
      <c r="U14" s="95">
        <v>75</v>
      </c>
      <c r="V14" s="95">
        <v>83</v>
      </c>
      <c r="W14" s="95">
        <v>83</v>
      </c>
      <c r="X14" s="95">
        <v>83</v>
      </c>
      <c r="Y14" s="95">
        <v>83</v>
      </c>
      <c r="Z14" s="95">
        <v>86</v>
      </c>
      <c r="AA14" s="95">
        <v>82</v>
      </c>
      <c r="AB14" s="95">
        <v>80</v>
      </c>
      <c r="AC14" s="95">
        <v>82</v>
      </c>
      <c r="AD14" s="95">
        <v>85</v>
      </c>
      <c r="AE14" s="96">
        <v>95</v>
      </c>
      <c r="AF14" s="96">
        <v>85</v>
      </c>
      <c r="AG14" s="95">
        <v>84</v>
      </c>
      <c r="AH14" s="95">
        <v>73</v>
      </c>
      <c r="AI14" s="95">
        <v>73</v>
      </c>
      <c r="AJ14" s="95">
        <v>82</v>
      </c>
      <c r="AK14" s="95">
        <v>83</v>
      </c>
      <c r="AL14" s="95">
        <v>83</v>
      </c>
      <c r="AM14" s="95">
        <v>73</v>
      </c>
      <c r="AN14" s="95">
        <v>74</v>
      </c>
      <c r="AO14" s="96">
        <v>73</v>
      </c>
      <c r="AP14" s="96">
        <v>78</v>
      </c>
      <c r="AQ14" s="95">
        <v>80</v>
      </c>
      <c r="AR14" s="95">
        <v>85</v>
      </c>
      <c r="AS14" s="95">
        <v>78</v>
      </c>
      <c r="AT14" s="95">
        <v>77</v>
      </c>
      <c r="AU14" s="95">
        <v>80</v>
      </c>
      <c r="AV14" s="95">
        <v>78</v>
      </c>
      <c r="AW14" s="95">
        <v>83</v>
      </c>
      <c r="AX14" s="95">
        <v>85</v>
      </c>
      <c r="AY14" s="95">
        <v>74</v>
      </c>
      <c r="AZ14" s="96">
        <v>78</v>
      </c>
      <c r="BA14" s="96">
        <v>81</v>
      </c>
      <c r="BB14" s="96">
        <v>82</v>
      </c>
      <c r="BC14" s="95">
        <v>81</v>
      </c>
      <c r="BD14" s="95">
        <v>82</v>
      </c>
      <c r="BE14" s="96">
        <v>85</v>
      </c>
      <c r="BF14" s="96">
        <v>80</v>
      </c>
      <c r="BG14" s="96">
        <v>82</v>
      </c>
      <c r="BH14" s="15">
        <v>80</v>
      </c>
      <c r="BI14" s="95">
        <v>83</v>
      </c>
      <c r="BJ14" s="95">
        <v>88</v>
      </c>
      <c r="BK14" s="95">
        <v>76</v>
      </c>
      <c r="BL14" s="15">
        <v>80</v>
      </c>
      <c r="BM14" s="95">
        <v>82</v>
      </c>
      <c r="BN14" s="95">
        <v>79</v>
      </c>
      <c r="BO14" s="95">
        <v>77</v>
      </c>
      <c r="BP14" s="15">
        <v>80</v>
      </c>
      <c r="BQ14" s="15">
        <f t="shared" si="0"/>
        <v>83.333333333333329</v>
      </c>
      <c r="BR14" s="15">
        <f t="shared" si="0"/>
        <v>82.333333333333329</v>
      </c>
      <c r="BS14" s="15">
        <f t="shared" si="0"/>
        <v>78.333333333333329</v>
      </c>
      <c r="BT14" s="15">
        <f t="shared" si="0"/>
        <v>80</v>
      </c>
      <c r="BU14" s="14">
        <v>81</v>
      </c>
      <c r="BV14" s="14">
        <v>82</v>
      </c>
      <c r="BW14" s="14">
        <v>83</v>
      </c>
      <c r="BX14" s="15">
        <v>80</v>
      </c>
      <c r="BY14" s="15">
        <v>84</v>
      </c>
      <c r="BZ14" s="15">
        <v>76</v>
      </c>
      <c r="CA14" s="15">
        <v>83</v>
      </c>
      <c r="CB14" s="15">
        <v>78</v>
      </c>
      <c r="CC14" s="15">
        <v>85</v>
      </c>
      <c r="CD14" s="39">
        <v>90</v>
      </c>
      <c r="CE14" s="39">
        <v>90</v>
      </c>
      <c r="CF14" s="40">
        <v>82</v>
      </c>
      <c r="CG14" s="40">
        <v>97</v>
      </c>
      <c r="CH14" s="39">
        <v>80</v>
      </c>
      <c r="CI14" s="39">
        <v>83</v>
      </c>
      <c r="CJ14" s="39">
        <v>77</v>
      </c>
      <c r="CK14" s="39">
        <v>80</v>
      </c>
      <c r="CL14" s="39">
        <v>85</v>
      </c>
      <c r="CM14" s="41">
        <f t="shared" si="1"/>
        <v>87.8</v>
      </c>
      <c r="CN14" s="41">
        <f t="shared" si="2"/>
        <v>87</v>
      </c>
      <c r="CO14" s="41">
        <f t="shared" si="3"/>
        <v>90</v>
      </c>
      <c r="CP14" s="17">
        <f t="shared" si="4"/>
        <v>88.22</v>
      </c>
      <c r="CQ14" s="16">
        <f t="shared" si="5"/>
        <v>86</v>
      </c>
      <c r="CR14" s="16">
        <f t="shared" si="6"/>
        <v>85</v>
      </c>
      <c r="CS14" s="16">
        <f t="shared" si="7"/>
        <v>90</v>
      </c>
      <c r="CT14" s="17">
        <f t="shared" si="8"/>
        <v>86.9</v>
      </c>
      <c r="CU14" s="17">
        <f t="shared" si="9"/>
        <v>80</v>
      </c>
      <c r="CV14" s="17">
        <f t="shared" si="10"/>
        <v>83</v>
      </c>
      <c r="CW14" s="17">
        <f t="shared" si="11"/>
        <v>82</v>
      </c>
      <c r="CX14" s="17">
        <f t="shared" si="12"/>
        <v>81.5</v>
      </c>
      <c r="CY14" s="18">
        <f t="shared" si="13"/>
        <v>83.75</v>
      </c>
      <c r="CZ14" s="18">
        <f t="shared" si="14"/>
        <v>83.75</v>
      </c>
      <c r="DA14" s="18">
        <f t="shared" si="15"/>
        <v>82.25</v>
      </c>
      <c r="DB14" s="18">
        <f t="shared" si="16"/>
        <v>82.25</v>
      </c>
      <c r="DC14" s="18">
        <f t="shared" si="17"/>
        <v>90</v>
      </c>
      <c r="DD14" s="18">
        <f t="shared" si="18"/>
        <v>90</v>
      </c>
      <c r="DE14" s="18">
        <f t="shared" si="19"/>
        <v>78</v>
      </c>
      <c r="DF14" s="18">
        <f t="shared" si="20"/>
        <v>78</v>
      </c>
      <c r="DG14" s="18">
        <f t="shared" si="21"/>
        <v>83</v>
      </c>
      <c r="DH14" s="18">
        <f t="shared" si="21"/>
        <v>83</v>
      </c>
      <c r="DI14" s="18">
        <f t="shared" si="22"/>
        <v>97</v>
      </c>
      <c r="DJ14" s="17">
        <f t="shared" si="23"/>
        <v>87.2</v>
      </c>
      <c r="DK14" s="18">
        <f t="shared" si="24"/>
        <v>75.599999999999994</v>
      </c>
      <c r="DL14" s="18">
        <f t="shared" si="25"/>
        <v>85</v>
      </c>
      <c r="DM14" s="18">
        <f t="shared" si="26"/>
        <v>80</v>
      </c>
      <c r="DN14" s="17">
        <f t="shared" si="27"/>
        <v>79.739999999999995</v>
      </c>
      <c r="DO14" s="18">
        <f t="shared" si="28"/>
        <v>79.2</v>
      </c>
      <c r="DP14" s="18">
        <f t="shared" si="29"/>
        <v>85</v>
      </c>
      <c r="DQ14" s="18">
        <f t="shared" si="30"/>
        <v>83</v>
      </c>
      <c r="DR14" s="17">
        <f t="shared" si="31"/>
        <v>82.08</v>
      </c>
      <c r="DS14" s="18">
        <f t="shared" si="32"/>
        <v>76</v>
      </c>
      <c r="DT14" s="18">
        <f t="shared" si="33"/>
        <v>76</v>
      </c>
      <c r="DU14" s="18">
        <f t="shared" si="34"/>
        <v>81.5</v>
      </c>
      <c r="DV14" s="18">
        <f t="shared" si="35"/>
        <v>81.5</v>
      </c>
      <c r="DW14" s="18">
        <f t="shared" si="36"/>
        <v>81.5</v>
      </c>
      <c r="DX14" s="17">
        <f t="shared" si="37"/>
        <v>81.5</v>
      </c>
      <c r="DY14" s="18">
        <f t="shared" si="38"/>
        <v>81.333333333333329</v>
      </c>
      <c r="DZ14" s="18">
        <f t="shared" si="39"/>
        <v>80</v>
      </c>
      <c r="EA14" s="18">
        <f t="shared" si="40"/>
        <v>85</v>
      </c>
      <c r="EB14" s="17">
        <f t="shared" si="41"/>
        <v>82.033333333333331</v>
      </c>
      <c r="EC14" s="18">
        <f t="shared" si="42"/>
        <v>82</v>
      </c>
      <c r="ED14" s="18">
        <f t="shared" si="43"/>
        <v>80</v>
      </c>
      <c r="EE14" s="18">
        <f t="shared" si="44"/>
        <v>80</v>
      </c>
      <c r="EF14" s="17">
        <f t="shared" si="45"/>
        <v>80.8</v>
      </c>
      <c r="EG14" s="18">
        <f t="shared" si="46"/>
        <v>84</v>
      </c>
      <c r="EH14" s="18">
        <f t="shared" si="47"/>
        <v>79</v>
      </c>
      <c r="EI14" s="18">
        <f t="shared" si="48"/>
        <v>85</v>
      </c>
      <c r="EJ14" s="18">
        <f t="shared" si="49"/>
        <v>77</v>
      </c>
      <c r="EK14" s="17">
        <f t="shared" si="50"/>
        <v>80.2</v>
      </c>
      <c r="EL14" s="19">
        <f t="shared" si="51"/>
        <v>88.22</v>
      </c>
      <c r="EM14" s="19">
        <f t="shared" si="52"/>
        <v>86.9</v>
      </c>
      <c r="EN14" s="19">
        <f t="shared" si="53"/>
        <v>81.5</v>
      </c>
      <c r="EO14" s="19">
        <f t="shared" si="54"/>
        <v>83.75</v>
      </c>
      <c r="EP14" s="19">
        <f t="shared" si="55"/>
        <v>82.25</v>
      </c>
      <c r="EQ14" s="19">
        <f t="shared" si="56"/>
        <v>90</v>
      </c>
      <c r="ER14" s="19">
        <f t="shared" si="57"/>
        <v>78</v>
      </c>
      <c r="ES14" s="19">
        <f t="shared" si="58"/>
        <v>87.2</v>
      </c>
      <c r="ET14" s="19">
        <f t="shared" si="59"/>
        <v>79.739999999999995</v>
      </c>
      <c r="EU14" s="19">
        <f t="shared" si="60"/>
        <v>82.08</v>
      </c>
      <c r="EV14" s="19">
        <f t="shared" si="61"/>
        <v>76</v>
      </c>
      <c r="EW14" s="19">
        <f t="shared" si="62"/>
        <v>81.5</v>
      </c>
      <c r="EX14" s="19">
        <f t="shared" si="63"/>
        <v>81.5</v>
      </c>
      <c r="EY14" s="19">
        <f t="shared" si="64"/>
        <v>82.033333333333331</v>
      </c>
      <c r="EZ14" s="19">
        <f t="shared" si="65"/>
        <v>80.8</v>
      </c>
      <c r="FA14" s="19">
        <f t="shared" si="65"/>
        <v>84</v>
      </c>
      <c r="FB14" s="19">
        <f t="shared" si="66"/>
        <v>80.2</v>
      </c>
      <c r="FC14" s="19">
        <f t="shared" si="67"/>
        <v>82.686666666666667</v>
      </c>
    </row>
    <row r="15" spans="1:159" ht="18">
      <c r="A15" s="11">
        <v>11</v>
      </c>
      <c r="B15" s="93" t="s">
        <v>642</v>
      </c>
      <c r="C15" s="94" t="s">
        <v>493</v>
      </c>
      <c r="D15" s="93" t="s">
        <v>630</v>
      </c>
      <c r="E15" s="95">
        <v>85</v>
      </c>
      <c r="F15" s="95">
        <v>86</v>
      </c>
      <c r="G15" s="96">
        <v>90</v>
      </c>
      <c r="H15" s="96">
        <v>85</v>
      </c>
      <c r="I15" s="95">
        <v>90</v>
      </c>
      <c r="J15" s="95">
        <v>79</v>
      </c>
      <c r="K15" s="95">
        <v>82</v>
      </c>
      <c r="L15" s="95">
        <v>79</v>
      </c>
      <c r="M15" s="95">
        <v>77</v>
      </c>
      <c r="N15" s="95">
        <v>82</v>
      </c>
      <c r="O15" s="95">
        <v>88</v>
      </c>
      <c r="P15" s="95">
        <v>78</v>
      </c>
      <c r="Q15" s="96">
        <v>80</v>
      </c>
      <c r="R15" s="96">
        <v>86</v>
      </c>
      <c r="S15" s="96">
        <v>79</v>
      </c>
      <c r="T15" s="96">
        <v>82</v>
      </c>
      <c r="U15" s="95">
        <v>70</v>
      </c>
      <c r="V15" s="95">
        <v>76</v>
      </c>
      <c r="W15" s="95">
        <v>82</v>
      </c>
      <c r="X15" s="95">
        <v>83</v>
      </c>
      <c r="Y15" s="95">
        <v>83</v>
      </c>
      <c r="Z15" s="95">
        <v>85</v>
      </c>
      <c r="AA15" s="95">
        <v>81</v>
      </c>
      <c r="AB15" s="95">
        <v>80</v>
      </c>
      <c r="AC15" s="95">
        <v>82</v>
      </c>
      <c r="AD15" s="95">
        <v>84</v>
      </c>
      <c r="AE15" s="96">
        <v>94</v>
      </c>
      <c r="AF15" s="96">
        <v>85</v>
      </c>
      <c r="AG15" s="95">
        <v>75</v>
      </c>
      <c r="AH15" s="95">
        <v>73</v>
      </c>
      <c r="AI15" s="95">
        <v>71</v>
      </c>
      <c r="AJ15" s="95">
        <v>80</v>
      </c>
      <c r="AK15" s="95">
        <v>80</v>
      </c>
      <c r="AL15" s="95">
        <v>76</v>
      </c>
      <c r="AM15" s="95">
        <v>74</v>
      </c>
      <c r="AN15" s="95">
        <v>75</v>
      </c>
      <c r="AO15" s="96">
        <v>80</v>
      </c>
      <c r="AP15" s="96">
        <v>79</v>
      </c>
      <c r="AQ15" s="95">
        <v>80</v>
      </c>
      <c r="AR15" s="95">
        <v>77</v>
      </c>
      <c r="AS15" s="95">
        <v>79</v>
      </c>
      <c r="AT15" s="95">
        <v>77</v>
      </c>
      <c r="AU15" s="95">
        <v>73</v>
      </c>
      <c r="AV15" s="95">
        <v>74</v>
      </c>
      <c r="AW15" s="95">
        <v>75</v>
      </c>
      <c r="AX15" s="95">
        <v>77</v>
      </c>
      <c r="AY15" s="95">
        <v>78</v>
      </c>
      <c r="AZ15" s="96">
        <v>78</v>
      </c>
      <c r="BA15" s="96">
        <v>78</v>
      </c>
      <c r="BB15" s="96">
        <v>79</v>
      </c>
      <c r="BC15" s="95">
        <v>80</v>
      </c>
      <c r="BD15" s="95">
        <v>80</v>
      </c>
      <c r="BE15" s="96">
        <v>81</v>
      </c>
      <c r="BF15" s="96">
        <v>79</v>
      </c>
      <c r="BG15" s="96">
        <v>75</v>
      </c>
      <c r="BH15" s="15">
        <v>79</v>
      </c>
      <c r="BI15" s="95">
        <v>70</v>
      </c>
      <c r="BJ15" s="95">
        <v>90</v>
      </c>
      <c r="BK15" s="95">
        <v>88</v>
      </c>
      <c r="BL15" s="15">
        <v>79</v>
      </c>
      <c r="BM15" s="95">
        <v>77</v>
      </c>
      <c r="BN15" s="95">
        <v>75</v>
      </c>
      <c r="BO15" s="95">
        <v>85</v>
      </c>
      <c r="BP15" s="15">
        <v>79</v>
      </c>
      <c r="BQ15" s="15">
        <f t="shared" si="0"/>
        <v>76</v>
      </c>
      <c r="BR15" s="15">
        <f t="shared" si="0"/>
        <v>81.333333333333329</v>
      </c>
      <c r="BS15" s="15">
        <f t="shared" si="0"/>
        <v>82.666666666666671</v>
      </c>
      <c r="BT15" s="15">
        <f t="shared" si="0"/>
        <v>79</v>
      </c>
      <c r="BU15" s="14">
        <v>80</v>
      </c>
      <c r="BV15" s="14">
        <v>82</v>
      </c>
      <c r="BW15" s="14">
        <v>80</v>
      </c>
      <c r="BX15" s="15">
        <v>79</v>
      </c>
      <c r="BY15" s="15">
        <v>78</v>
      </c>
      <c r="BZ15" s="15">
        <v>72</v>
      </c>
      <c r="CA15" s="15">
        <v>92</v>
      </c>
      <c r="CB15" s="15">
        <v>75</v>
      </c>
      <c r="CC15" s="15">
        <v>77</v>
      </c>
      <c r="CD15" s="39">
        <v>88</v>
      </c>
      <c r="CE15" s="39">
        <v>80</v>
      </c>
      <c r="CF15" s="40">
        <v>75</v>
      </c>
      <c r="CG15" s="40">
        <v>95</v>
      </c>
      <c r="CH15" s="39">
        <v>79</v>
      </c>
      <c r="CI15" s="39">
        <v>80</v>
      </c>
      <c r="CJ15" s="39">
        <v>78</v>
      </c>
      <c r="CK15" s="39">
        <v>82</v>
      </c>
      <c r="CL15" s="39">
        <v>92</v>
      </c>
      <c r="CM15" s="41">
        <f t="shared" si="1"/>
        <v>87.2</v>
      </c>
      <c r="CN15" s="41">
        <f t="shared" si="2"/>
        <v>79</v>
      </c>
      <c r="CO15" s="41">
        <f t="shared" si="3"/>
        <v>88</v>
      </c>
      <c r="CP15" s="17">
        <f t="shared" si="4"/>
        <v>84.97999999999999</v>
      </c>
      <c r="CQ15" s="16">
        <f t="shared" si="5"/>
        <v>81.599999999999994</v>
      </c>
      <c r="CR15" s="16">
        <f t="shared" si="6"/>
        <v>78</v>
      </c>
      <c r="CS15" s="16">
        <f t="shared" si="7"/>
        <v>80</v>
      </c>
      <c r="CT15" s="17">
        <f t="shared" si="8"/>
        <v>80.039999999999992</v>
      </c>
      <c r="CU15" s="17">
        <f t="shared" si="9"/>
        <v>79.400000000000006</v>
      </c>
      <c r="CV15" s="17">
        <f t="shared" si="10"/>
        <v>76</v>
      </c>
      <c r="CW15" s="17">
        <f t="shared" si="11"/>
        <v>75</v>
      </c>
      <c r="CX15" s="17">
        <f t="shared" si="12"/>
        <v>77.06</v>
      </c>
      <c r="CY15" s="18">
        <f t="shared" si="13"/>
        <v>83.25</v>
      </c>
      <c r="CZ15" s="18">
        <f t="shared" si="14"/>
        <v>83.25</v>
      </c>
      <c r="DA15" s="18">
        <f t="shared" si="15"/>
        <v>81.75</v>
      </c>
      <c r="DB15" s="18">
        <f t="shared" si="16"/>
        <v>81.75</v>
      </c>
      <c r="DC15" s="18">
        <f t="shared" si="17"/>
        <v>89.5</v>
      </c>
      <c r="DD15" s="18">
        <f t="shared" si="18"/>
        <v>89.5</v>
      </c>
      <c r="DE15" s="18">
        <f t="shared" si="19"/>
        <v>74.75</v>
      </c>
      <c r="DF15" s="18">
        <f t="shared" si="20"/>
        <v>74.75</v>
      </c>
      <c r="DG15" s="18">
        <f t="shared" si="21"/>
        <v>80</v>
      </c>
      <c r="DH15" s="18">
        <f t="shared" si="21"/>
        <v>76</v>
      </c>
      <c r="DI15" s="18">
        <f t="shared" si="22"/>
        <v>95</v>
      </c>
      <c r="DJ15" s="17">
        <f t="shared" si="23"/>
        <v>83.3</v>
      </c>
      <c r="DK15" s="18">
        <f t="shared" si="24"/>
        <v>77.599999999999994</v>
      </c>
      <c r="DL15" s="18">
        <f t="shared" si="25"/>
        <v>77</v>
      </c>
      <c r="DM15" s="18">
        <f t="shared" si="26"/>
        <v>79</v>
      </c>
      <c r="DN15" s="17">
        <f t="shared" si="27"/>
        <v>77.84</v>
      </c>
      <c r="DO15" s="18">
        <f t="shared" si="28"/>
        <v>75.599999999999994</v>
      </c>
      <c r="DP15" s="18">
        <f t="shared" si="29"/>
        <v>77</v>
      </c>
      <c r="DQ15" s="18">
        <f t="shared" si="30"/>
        <v>80</v>
      </c>
      <c r="DR15" s="17">
        <f t="shared" si="31"/>
        <v>77.34</v>
      </c>
      <c r="DS15" s="18">
        <f t="shared" si="32"/>
        <v>78</v>
      </c>
      <c r="DT15" s="18">
        <f t="shared" si="33"/>
        <v>78</v>
      </c>
      <c r="DU15" s="18">
        <f t="shared" si="34"/>
        <v>78.5</v>
      </c>
      <c r="DV15" s="18">
        <f t="shared" si="35"/>
        <v>78.5</v>
      </c>
      <c r="DW15" s="18">
        <f t="shared" si="36"/>
        <v>80</v>
      </c>
      <c r="DX15" s="17">
        <f t="shared" si="37"/>
        <v>80</v>
      </c>
      <c r="DY15" s="18">
        <f t="shared" si="38"/>
        <v>80</v>
      </c>
      <c r="DZ15" s="18">
        <f t="shared" si="39"/>
        <v>79</v>
      </c>
      <c r="EA15" s="18">
        <f t="shared" si="40"/>
        <v>92</v>
      </c>
      <c r="EB15" s="17">
        <f t="shared" si="41"/>
        <v>83.3</v>
      </c>
      <c r="EC15" s="18">
        <f t="shared" si="42"/>
        <v>80.666666666666671</v>
      </c>
      <c r="ED15" s="18">
        <f t="shared" si="43"/>
        <v>79</v>
      </c>
      <c r="EE15" s="18">
        <f t="shared" si="44"/>
        <v>82</v>
      </c>
      <c r="EF15" s="17">
        <f t="shared" si="45"/>
        <v>80.566666666666677</v>
      </c>
      <c r="EG15" s="18">
        <f t="shared" si="46"/>
        <v>78</v>
      </c>
      <c r="EH15" s="18">
        <f t="shared" si="47"/>
        <v>79.666666666666671</v>
      </c>
      <c r="EI15" s="18">
        <f t="shared" si="48"/>
        <v>77</v>
      </c>
      <c r="EJ15" s="18">
        <f t="shared" si="49"/>
        <v>78</v>
      </c>
      <c r="EK15" s="17">
        <f t="shared" si="50"/>
        <v>78.366666666666674</v>
      </c>
      <c r="EL15" s="19">
        <f t="shared" si="51"/>
        <v>84.97999999999999</v>
      </c>
      <c r="EM15" s="19">
        <f t="shared" si="52"/>
        <v>80.039999999999992</v>
      </c>
      <c r="EN15" s="19">
        <f t="shared" si="53"/>
        <v>77.06</v>
      </c>
      <c r="EO15" s="19">
        <f t="shared" si="54"/>
        <v>83.25</v>
      </c>
      <c r="EP15" s="19">
        <f t="shared" si="55"/>
        <v>81.75</v>
      </c>
      <c r="EQ15" s="19">
        <f t="shared" si="56"/>
        <v>89.5</v>
      </c>
      <c r="ER15" s="19">
        <f t="shared" si="57"/>
        <v>74.75</v>
      </c>
      <c r="ES15" s="19">
        <f t="shared" si="58"/>
        <v>83.3</v>
      </c>
      <c r="ET15" s="19">
        <f t="shared" si="59"/>
        <v>77.84</v>
      </c>
      <c r="EU15" s="19">
        <f t="shared" si="60"/>
        <v>77.34</v>
      </c>
      <c r="EV15" s="19">
        <f t="shared" si="61"/>
        <v>78</v>
      </c>
      <c r="EW15" s="19">
        <f t="shared" si="62"/>
        <v>78.5</v>
      </c>
      <c r="EX15" s="19">
        <f t="shared" si="63"/>
        <v>80</v>
      </c>
      <c r="EY15" s="19">
        <f t="shared" si="64"/>
        <v>83.3</v>
      </c>
      <c r="EZ15" s="19">
        <f t="shared" si="65"/>
        <v>80.566666666666677</v>
      </c>
      <c r="FA15" s="19">
        <f t="shared" si="65"/>
        <v>78</v>
      </c>
      <c r="FB15" s="19">
        <f t="shared" si="66"/>
        <v>78.366666666666674</v>
      </c>
      <c r="FC15" s="19">
        <f t="shared" si="67"/>
        <v>80.384901960784305</v>
      </c>
    </row>
    <row r="16" spans="1:159" ht="18">
      <c r="A16" s="11">
        <v>12</v>
      </c>
      <c r="B16" s="93" t="s">
        <v>643</v>
      </c>
      <c r="C16" s="94" t="s">
        <v>495</v>
      </c>
      <c r="D16" s="93" t="s">
        <v>630</v>
      </c>
      <c r="E16" s="95">
        <v>88</v>
      </c>
      <c r="F16" s="95">
        <v>87</v>
      </c>
      <c r="G16" s="96">
        <v>90</v>
      </c>
      <c r="H16" s="96">
        <v>85</v>
      </c>
      <c r="I16" s="95">
        <v>91</v>
      </c>
      <c r="J16" s="95">
        <v>78</v>
      </c>
      <c r="K16" s="95">
        <v>75</v>
      </c>
      <c r="L16" s="95">
        <v>81</v>
      </c>
      <c r="M16" s="95">
        <v>89</v>
      </c>
      <c r="N16" s="95">
        <v>89</v>
      </c>
      <c r="O16" s="95">
        <v>92</v>
      </c>
      <c r="P16" s="95">
        <v>78</v>
      </c>
      <c r="Q16" s="96">
        <v>80</v>
      </c>
      <c r="R16" s="96">
        <v>87</v>
      </c>
      <c r="S16" s="96">
        <v>84</v>
      </c>
      <c r="T16" s="96">
        <v>86</v>
      </c>
      <c r="U16" s="95">
        <v>81</v>
      </c>
      <c r="V16" s="95">
        <v>77</v>
      </c>
      <c r="W16" s="95">
        <v>86</v>
      </c>
      <c r="X16" s="95">
        <v>86</v>
      </c>
      <c r="Y16" s="95">
        <v>86</v>
      </c>
      <c r="Z16" s="95">
        <v>87</v>
      </c>
      <c r="AA16" s="95">
        <v>80</v>
      </c>
      <c r="AB16" s="95">
        <v>83</v>
      </c>
      <c r="AC16" s="95">
        <v>85</v>
      </c>
      <c r="AD16" s="95">
        <v>86</v>
      </c>
      <c r="AE16" s="96">
        <v>97</v>
      </c>
      <c r="AF16" s="96">
        <v>86</v>
      </c>
      <c r="AG16" s="95">
        <v>82</v>
      </c>
      <c r="AH16" s="95">
        <v>81</v>
      </c>
      <c r="AI16" s="95">
        <v>72</v>
      </c>
      <c r="AJ16" s="95">
        <v>83</v>
      </c>
      <c r="AK16" s="95">
        <v>83</v>
      </c>
      <c r="AL16" s="95">
        <v>77</v>
      </c>
      <c r="AM16" s="95">
        <v>79</v>
      </c>
      <c r="AN16" s="95">
        <v>79</v>
      </c>
      <c r="AO16" s="96">
        <v>83</v>
      </c>
      <c r="AP16" s="96">
        <v>82</v>
      </c>
      <c r="AQ16" s="95">
        <v>82</v>
      </c>
      <c r="AR16" s="95">
        <v>77</v>
      </c>
      <c r="AS16" s="95">
        <v>77</v>
      </c>
      <c r="AT16" s="95">
        <v>80</v>
      </c>
      <c r="AU16" s="95">
        <v>80</v>
      </c>
      <c r="AV16" s="95">
        <v>80</v>
      </c>
      <c r="AW16" s="95">
        <v>80</v>
      </c>
      <c r="AX16" s="95">
        <v>77</v>
      </c>
      <c r="AY16" s="95">
        <v>79</v>
      </c>
      <c r="AZ16" s="96">
        <v>83</v>
      </c>
      <c r="BA16" s="96">
        <v>84</v>
      </c>
      <c r="BB16" s="96">
        <v>82</v>
      </c>
      <c r="BC16" s="95">
        <v>80</v>
      </c>
      <c r="BD16" s="95">
        <v>85</v>
      </c>
      <c r="BE16" s="96">
        <v>83</v>
      </c>
      <c r="BF16" s="96">
        <v>79</v>
      </c>
      <c r="BG16" s="96">
        <v>77</v>
      </c>
      <c r="BH16" s="15">
        <v>77</v>
      </c>
      <c r="BI16" s="95">
        <v>84</v>
      </c>
      <c r="BJ16" s="95">
        <v>87</v>
      </c>
      <c r="BK16" s="95">
        <v>87</v>
      </c>
      <c r="BL16" s="15">
        <v>77</v>
      </c>
      <c r="BM16" s="95">
        <v>79</v>
      </c>
      <c r="BN16" s="95">
        <v>76</v>
      </c>
      <c r="BO16" s="95">
        <v>87</v>
      </c>
      <c r="BP16" s="15">
        <v>77</v>
      </c>
      <c r="BQ16" s="15">
        <f t="shared" si="0"/>
        <v>82</v>
      </c>
      <c r="BR16" s="15">
        <f t="shared" si="0"/>
        <v>80.666666666666671</v>
      </c>
      <c r="BS16" s="15">
        <f t="shared" si="0"/>
        <v>83.666666666666671</v>
      </c>
      <c r="BT16" s="15">
        <f t="shared" si="0"/>
        <v>77</v>
      </c>
      <c r="BU16" s="14">
        <v>81</v>
      </c>
      <c r="BV16" s="14">
        <v>82</v>
      </c>
      <c r="BW16" s="14">
        <v>83</v>
      </c>
      <c r="BX16" s="15">
        <v>77</v>
      </c>
      <c r="BY16" s="15">
        <v>77</v>
      </c>
      <c r="BZ16" s="15">
        <v>71</v>
      </c>
      <c r="CA16" s="15">
        <v>85</v>
      </c>
      <c r="CB16" s="15">
        <v>76</v>
      </c>
      <c r="CC16" s="15">
        <v>77</v>
      </c>
      <c r="CD16" s="39">
        <v>90</v>
      </c>
      <c r="CE16" s="39">
        <v>80</v>
      </c>
      <c r="CF16" s="40">
        <v>80</v>
      </c>
      <c r="CG16" s="40">
        <v>80</v>
      </c>
      <c r="CH16" s="39">
        <v>83</v>
      </c>
      <c r="CI16" s="39">
        <v>80</v>
      </c>
      <c r="CJ16" s="39">
        <v>79</v>
      </c>
      <c r="CK16" s="39">
        <v>85</v>
      </c>
      <c r="CL16" s="39">
        <v>82</v>
      </c>
      <c r="CM16" s="41">
        <f t="shared" si="1"/>
        <v>88.2</v>
      </c>
      <c r="CN16" s="41">
        <f t="shared" si="2"/>
        <v>78</v>
      </c>
      <c r="CO16" s="41">
        <f t="shared" si="3"/>
        <v>90</v>
      </c>
      <c r="CP16" s="17">
        <f t="shared" si="4"/>
        <v>85.679999999999993</v>
      </c>
      <c r="CQ16" s="16">
        <f t="shared" si="5"/>
        <v>85.2</v>
      </c>
      <c r="CR16" s="16">
        <f t="shared" si="6"/>
        <v>78</v>
      </c>
      <c r="CS16" s="16">
        <f t="shared" si="7"/>
        <v>80</v>
      </c>
      <c r="CT16" s="17">
        <f t="shared" si="8"/>
        <v>81.47999999999999</v>
      </c>
      <c r="CU16" s="17">
        <f t="shared" si="9"/>
        <v>83.6</v>
      </c>
      <c r="CV16" s="17">
        <f t="shared" si="10"/>
        <v>77</v>
      </c>
      <c r="CW16" s="17">
        <f t="shared" si="11"/>
        <v>80</v>
      </c>
      <c r="CX16" s="17">
        <f t="shared" si="12"/>
        <v>80.539999999999992</v>
      </c>
      <c r="CY16" s="18">
        <f t="shared" si="13"/>
        <v>86.25</v>
      </c>
      <c r="CZ16" s="18">
        <f t="shared" si="14"/>
        <v>86.25</v>
      </c>
      <c r="DA16" s="18">
        <f t="shared" si="15"/>
        <v>83.5</v>
      </c>
      <c r="DB16" s="18">
        <f t="shared" si="16"/>
        <v>83.5</v>
      </c>
      <c r="DC16" s="18">
        <f t="shared" si="17"/>
        <v>91.5</v>
      </c>
      <c r="DD16" s="18">
        <f t="shared" si="18"/>
        <v>91.5</v>
      </c>
      <c r="DE16" s="18">
        <f t="shared" si="19"/>
        <v>79.5</v>
      </c>
      <c r="DF16" s="18">
        <f t="shared" si="20"/>
        <v>79.5</v>
      </c>
      <c r="DG16" s="18">
        <f t="shared" si="21"/>
        <v>83</v>
      </c>
      <c r="DH16" s="18">
        <f t="shared" si="21"/>
        <v>77</v>
      </c>
      <c r="DI16" s="18">
        <f t="shared" si="22"/>
        <v>80</v>
      </c>
      <c r="DJ16" s="17">
        <f t="shared" si="23"/>
        <v>80.3</v>
      </c>
      <c r="DK16" s="18">
        <f t="shared" si="24"/>
        <v>81</v>
      </c>
      <c r="DL16" s="18">
        <f t="shared" si="25"/>
        <v>77</v>
      </c>
      <c r="DM16" s="18">
        <f t="shared" si="26"/>
        <v>83</v>
      </c>
      <c r="DN16" s="17">
        <f t="shared" si="27"/>
        <v>80.400000000000006</v>
      </c>
      <c r="DO16" s="18">
        <f t="shared" si="28"/>
        <v>79.400000000000006</v>
      </c>
      <c r="DP16" s="18">
        <f t="shared" si="29"/>
        <v>77</v>
      </c>
      <c r="DQ16" s="18">
        <f t="shared" si="30"/>
        <v>80</v>
      </c>
      <c r="DR16" s="17">
        <f t="shared" si="31"/>
        <v>78.86</v>
      </c>
      <c r="DS16" s="18">
        <f t="shared" si="32"/>
        <v>81</v>
      </c>
      <c r="DT16" s="18">
        <f t="shared" si="33"/>
        <v>81</v>
      </c>
      <c r="DU16" s="18">
        <f t="shared" si="34"/>
        <v>83</v>
      </c>
      <c r="DV16" s="18">
        <f t="shared" si="35"/>
        <v>83</v>
      </c>
      <c r="DW16" s="18">
        <f t="shared" si="36"/>
        <v>82.5</v>
      </c>
      <c r="DX16" s="17">
        <f t="shared" si="37"/>
        <v>82.5</v>
      </c>
      <c r="DY16" s="18">
        <f t="shared" si="38"/>
        <v>82.111111111111128</v>
      </c>
      <c r="DZ16" s="18">
        <f t="shared" si="39"/>
        <v>77</v>
      </c>
      <c r="EA16" s="18">
        <f t="shared" si="40"/>
        <v>82</v>
      </c>
      <c r="EB16" s="17">
        <f t="shared" si="41"/>
        <v>80.544444444444451</v>
      </c>
      <c r="EC16" s="18">
        <f t="shared" si="42"/>
        <v>82</v>
      </c>
      <c r="ED16" s="18">
        <f t="shared" si="43"/>
        <v>77</v>
      </c>
      <c r="EE16" s="18">
        <f t="shared" si="44"/>
        <v>85</v>
      </c>
      <c r="EF16" s="17">
        <f t="shared" si="45"/>
        <v>81.400000000000006</v>
      </c>
      <c r="EG16" s="18">
        <f t="shared" si="46"/>
        <v>77</v>
      </c>
      <c r="EH16" s="18">
        <f t="shared" si="47"/>
        <v>77.333333333333329</v>
      </c>
      <c r="EI16" s="18">
        <f t="shared" si="48"/>
        <v>77</v>
      </c>
      <c r="EJ16" s="18">
        <f t="shared" si="49"/>
        <v>79</v>
      </c>
      <c r="EK16" s="17">
        <f t="shared" si="50"/>
        <v>77.73333333333332</v>
      </c>
      <c r="EL16" s="19">
        <f t="shared" si="51"/>
        <v>85.679999999999993</v>
      </c>
      <c r="EM16" s="19">
        <f t="shared" si="52"/>
        <v>81.47999999999999</v>
      </c>
      <c r="EN16" s="19">
        <f t="shared" si="53"/>
        <v>80.539999999999992</v>
      </c>
      <c r="EO16" s="19">
        <f t="shared" si="54"/>
        <v>86.25</v>
      </c>
      <c r="EP16" s="19">
        <f t="shared" si="55"/>
        <v>83.5</v>
      </c>
      <c r="EQ16" s="19">
        <f t="shared" si="56"/>
        <v>91.5</v>
      </c>
      <c r="ER16" s="19">
        <f t="shared" si="57"/>
        <v>79.5</v>
      </c>
      <c r="ES16" s="19">
        <f t="shared" si="58"/>
        <v>80.3</v>
      </c>
      <c r="ET16" s="19">
        <f t="shared" si="59"/>
        <v>80.400000000000006</v>
      </c>
      <c r="EU16" s="19">
        <f t="shared" si="60"/>
        <v>78.86</v>
      </c>
      <c r="EV16" s="19">
        <f t="shared" si="61"/>
        <v>81</v>
      </c>
      <c r="EW16" s="19">
        <f t="shared" si="62"/>
        <v>83</v>
      </c>
      <c r="EX16" s="19">
        <f t="shared" si="63"/>
        <v>82.5</v>
      </c>
      <c r="EY16" s="19">
        <f t="shared" si="64"/>
        <v>80.544444444444451</v>
      </c>
      <c r="EZ16" s="19">
        <f t="shared" si="65"/>
        <v>81.400000000000006</v>
      </c>
      <c r="FA16" s="19">
        <f t="shared" si="65"/>
        <v>77</v>
      </c>
      <c r="FB16" s="19">
        <f t="shared" si="66"/>
        <v>77.73333333333332</v>
      </c>
      <c r="FC16" s="19">
        <f t="shared" si="67"/>
        <v>81.834575163398682</v>
      </c>
    </row>
    <row r="17" spans="1:159" ht="18">
      <c r="A17" s="11">
        <v>13</v>
      </c>
      <c r="B17" s="93" t="s">
        <v>644</v>
      </c>
      <c r="C17" s="94" t="s">
        <v>497</v>
      </c>
      <c r="D17" s="93" t="s">
        <v>630</v>
      </c>
      <c r="E17" s="95">
        <v>90</v>
      </c>
      <c r="F17" s="95">
        <v>88</v>
      </c>
      <c r="G17" s="96">
        <v>88</v>
      </c>
      <c r="H17" s="96">
        <v>82</v>
      </c>
      <c r="I17" s="95">
        <v>91</v>
      </c>
      <c r="J17" s="95">
        <v>85</v>
      </c>
      <c r="K17" s="95">
        <v>75</v>
      </c>
      <c r="L17" s="95">
        <v>80</v>
      </c>
      <c r="M17" s="95">
        <v>70</v>
      </c>
      <c r="N17" s="95">
        <v>76</v>
      </c>
      <c r="O17" s="95">
        <v>80</v>
      </c>
      <c r="P17" s="95">
        <v>85</v>
      </c>
      <c r="Q17" s="96">
        <v>82</v>
      </c>
      <c r="R17" s="96">
        <v>70</v>
      </c>
      <c r="S17" s="96">
        <v>78</v>
      </c>
      <c r="T17" s="96">
        <v>80</v>
      </c>
      <c r="U17" s="95">
        <v>80</v>
      </c>
      <c r="V17" s="95">
        <v>84</v>
      </c>
      <c r="W17" s="95">
        <v>86</v>
      </c>
      <c r="X17" s="95">
        <v>85</v>
      </c>
      <c r="Y17" s="95">
        <v>84</v>
      </c>
      <c r="Z17" s="95">
        <v>86</v>
      </c>
      <c r="AA17" s="95">
        <v>81</v>
      </c>
      <c r="AB17" s="95">
        <v>80</v>
      </c>
      <c r="AC17" s="95">
        <v>84</v>
      </c>
      <c r="AD17" s="95">
        <v>84</v>
      </c>
      <c r="AE17" s="96">
        <v>94</v>
      </c>
      <c r="AF17" s="96">
        <v>87</v>
      </c>
      <c r="AG17" s="95">
        <v>77</v>
      </c>
      <c r="AH17" s="95">
        <v>75</v>
      </c>
      <c r="AI17" s="95">
        <v>71</v>
      </c>
      <c r="AJ17" s="95">
        <v>81</v>
      </c>
      <c r="AK17" s="95">
        <v>80</v>
      </c>
      <c r="AL17" s="95">
        <v>84</v>
      </c>
      <c r="AM17" s="95">
        <v>76</v>
      </c>
      <c r="AN17" s="95">
        <v>75</v>
      </c>
      <c r="AO17" s="96">
        <v>73</v>
      </c>
      <c r="AP17" s="96">
        <v>75</v>
      </c>
      <c r="AQ17" s="95">
        <v>79</v>
      </c>
      <c r="AR17" s="95">
        <v>85</v>
      </c>
      <c r="AS17" s="95">
        <v>75</v>
      </c>
      <c r="AT17" s="95">
        <v>80</v>
      </c>
      <c r="AU17" s="95">
        <v>78</v>
      </c>
      <c r="AV17" s="95">
        <v>78</v>
      </c>
      <c r="AW17" s="95">
        <v>78</v>
      </c>
      <c r="AX17" s="95">
        <v>85</v>
      </c>
      <c r="AY17" s="95">
        <v>76</v>
      </c>
      <c r="AZ17" s="96">
        <v>79</v>
      </c>
      <c r="BA17" s="96">
        <v>82</v>
      </c>
      <c r="BB17" s="96">
        <v>80</v>
      </c>
      <c r="BC17" s="95">
        <v>80</v>
      </c>
      <c r="BD17" s="95">
        <v>80</v>
      </c>
      <c r="BE17" s="96">
        <v>84</v>
      </c>
      <c r="BF17" s="96">
        <v>80</v>
      </c>
      <c r="BG17" s="96">
        <v>82</v>
      </c>
      <c r="BH17" s="15">
        <v>85</v>
      </c>
      <c r="BI17" s="95">
        <v>80</v>
      </c>
      <c r="BJ17" s="95">
        <v>90</v>
      </c>
      <c r="BK17" s="95">
        <v>85</v>
      </c>
      <c r="BL17" s="15">
        <v>85</v>
      </c>
      <c r="BM17" s="95">
        <v>79</v>
      </c>
      <c r="BN17" s="95">
        <v>78</v>
      </c>
      <c r="BO17" s="95">
        <v>88</v>
      </c>
      <c r="BP17" s="15">
        <v>85</v>
      </c>
      <c r="BQ17" s="15">
        <f t="shared" si="0"/>
        <v>81</v>
      </c>
      <c r="BR17" s="15">
        <f t="shared" si="0"/>
        <v>82.666666666666671</v>
      </c>
      <c r="BS17" s="15">
        <f t="shared" si="0"/>
        <v>85</v>
      </c>
      <c r="BT17" s="15">
        <f t="shared" si="0"/>
        <v>85</v>
      </c>
      <c r="BU17" s="14">
        <v>80</v>
      </c>
      <c r="BV17" s="14">
        <v>82</v>
      </c>
      <c r="BW17" s="14">
        <v>80</v>
      </c>
      <c r="BX17" s="15">
        <v>85</v>
      </c>
      <c r="BY17" s="15">
        <v>85</v>
      </c>
      <c r="BZ17" s="15">
        <v>71</v>
      </c>
      <c r="CA17" s="15">
        <v>76</v>
      </c>
      <c r="CB17" s="15">
        <v>73</v>
      </c>
      <c r="CC17" s="15">
        <v>85</v>
      </c>
      <c r="CD17" s="39">
        <v>84</v>
      </c>
      <c r="CE17" s="39">
        <v>80</v>
      </c>
      <c r="CF17" s="40">
        <v>78</v>
      </c>
      <c r="CG17" s="40">
        <v>70</v>
      </c>
      <c r="CH17" s="39">
        <v>79</v>
      </c>
      <c r="CI17" s="39">
        <v>80</v>
      </c>
      <c r="CJ17" s="39">
        <v>78</v>
      </c>
      <c r="CK17" s="39">
        <v>80</v>
      </c>
      <c r="CL17" s="39">
        <v>70</v>
      </c>
      <c r="CM17" s="41">
        <f t="shared" si="1"/>
        <v>87.8</v>
      </c>
      <c r="CN17" s="41">
        <f t="shared" si="2"/>
        <v>85</v>
      </c>
      <c r="CO17" s="41">
        <f t="shared" si="3"/>
        <v>84</v>
      </c>
      <c r="CP17" s="17">
        <f t="shared" si="4"/>
        <v>85.820000000000007</v>
      </c>
      <c r="CQ17" s="16">
        <f t="shared" si="5"/>
        <v>76.2</v>
      </c>
      <c r="CR17" s="16">
        <f t="shared" si="6"/>
        <v>85</v>
      </c>
      <c r="CS17" s="16">
        <f t="shared" si="7"/>
        <v>80</v>
      </c>
      <c r="CT17" s="17">
        <f t="shared" si="8"/>
        <v>79.97999999999999</v>
      </c>
      <c r="CU17" s="17">
        <f t="shared" si="9"/>
        <v>78</v>
      </c>
      <c r="CV17" s="17">
        <f t="shared" si="10"/>
        <v>84</v>
      </c>
      <c r="CW17" s="17">
        <f t="shared" si="11"/>
        <v>78</v>
      </c>
      <c r="CX17" s="17">
        <f t="shared" si="12"/>
        <v>79.8</v>
      </c>
      <c r="CY17" s="18">
        <f t="shared" si="13"/>
        <v>85.25</v>
      </c>
      <c r="CZ17" s="18">
        <f t="shared" si="14"/>
        <v>85.25</v>
      </c>
      <c r="DA17" s="18">
        <f t="shared" si="15"/>
        <v>82.25</v>
      </c>
      <c r="DB17" s="18">
        <f t="shared" si="16"/>
        <v>82.25</v>
      </c>
      <c r="DC17" s="18">
        <f t="shared" si="17"/>
        <v>90.5</v>
      </c>
      <c r="DD17" s="18">
        <f t="shared" si="18"/>
        <v>90.5</v>
      </c>
      <c r="DE17" s="18">
        <f t="shared" si="19"/>
        <v>76</v>
      </c>
      <c r="DF17" s="18">
        <f t="shared" si="20"/>
        <v>76</v>
      </c>
      <c r="DG17" s="18">
        <f t="shared" si="21"/>
        <v>80</v>
      </c>
      <c r="DH17" s="18">
        <f t="shared" si="21"/>
        <v>84</v>
      </c>
      <c r="DI17" s="18">
        <f t="shared" si="22"/>
        <v>70</v>
      </c>
      <c r="DJ17" s="17">
        <f t="shared" si="23"/>
        <v>78.2</v>
      </c>
      <c r="DK17" s="18">
        <f t="shared" si="24"/>
        <v>75.599999999999994</v>
      </c>
      <c r="DL17" s="18">
        <f t="shared" si="25"/>
        <v>85</v>
      </c>
      <c r="DM17" s="18">
        <f t="shared" si="26"/>
        <v>79</v>
      </c>
      <c r="DN17" s="17">
        <f t="shared" si="27"/>
        <v>79.44</v>
      </c>
      <c r="DO17" s="18">
        <f t="shared" si="28"/>
        <v>77.8</v>
      </c>
      <c r="DP17" s="18">
        <f t="shared" si="29"/>
        <v>85</v>
      </c>
      <c r="DQ17" s="18">
        <f t="shared" si="30"/>
        <v>80</v>
      </c>
      <c r="DR17" s="17">
        <f t="shared" si="31"/>
        <v>80.62</v>
      </c>
      <c r="DS17" s="18">
        <f t="shared" si="32"/>
        <v>77.5</v>
      </c>
      <c r="DT17" s="18">
        <f t="shared" si="33"/>
        <v>77.5</v>
      </c>
      <c r="DU17" s="18">
        <f t="shared" si="34"/>
        <v>81</v>
      </c>
      <c r="DV17" s="18">
        <f t="shared" si="35"/>
        <v>81</v>
      </c>
      <c r="DW17" s="18">
        <f t="shared" si="36"/>
        <v>80</v>
      </c>
      <c r="DX17" s="17">
        <f t="shared" si="37"/>
        <v>80</v>
      </c>
      <c r="DY17" s="18">
        <f t="shared" si="38"/>
        <v>82.8888888888889</v>
      </c>
      <c r="DZ17" s="18">
        <f t="shared" si="39"/>
        <v>85</v>
      </c>
      <c r="EA17" s="18">
        <f t="shared" si="40"/>
        <v>70</v>
      </c>
      <c r="EB17" s="17">
        <f t="shared" si="41"/>
        <v>79.655555555555566</v>
      </c>
      <c r="EC17" s="18">
        <f t="shared" si="42"/>
        <v>80.666666666666671</v>
      </c>
      <c r="ED17" s="18">
        <f t="shared" si="43"/>
        <v>85</v>
      </c>
      <c r="EE17" s="18">
        <f t="shared" si="44"/>
        <v>80</v>
      </c>
      <c r="EF17" s="17">
        <f t="shared" si="45"/>
        <v>81.76666666666668</v>
      </c>
      <c r="EG17" s="18">
        <f t="shared" si="46"/>
        <v>85</v>
      </c>
      <c r="EH17" s="18">
        <f t="shared" si="47"/>
        <v>73.333333333333329</v>
      </c>
      <c r="EI17" s="18">
        <f t="shared" si="48"/>
        <v>85</v>
      </c>
      <c r="EJ17" s="18">
        <f t="shared" si="49"/>
        <v>78</v>
      </c>
      <c r="EK17" s="17">
        <f t="shared" si="50"/>
        <v>78.23333333333332</v>
      </c>
      <c r="EL17" s="19">
        <f t="shared" si="51"/>
        <v>85.820000000000007</v>
      </c>
      <c r="EM17" s="19">
        <f t="shared" si="52"/>
        <v>79.97999999999999</v>
      </c>
      <c r="EN17" s="19">
        <f t="shared" si="53"/>
        <v>79.8</v>
      </c>
      <c r="EO17" s="19">
        <f t="shared" si="54"/>
        <v>85.25</v>
      </c>
      <c r="EP17" s="19">
        <f t="shared" si="55"/>
        <v>82.25</v>
      </c>
      <c r="EQ17" s="19">
        <f t="shared" si="56"/>
        <v>90.5</v>
      </c>
      <c r="ER17" s="19">
        <f t="shared" si="57"/>
        <v>76</v>
      </c>
      <c r="ES17" s="19">
        <f t="shared" si="58"/>
        <v>78.2</v>
      </c>
      <c r="ET17" s="19">
        <f t="shared" si="59"/>
        <v>79.44</v>
      </c>
      <c r="EU17" s="19">
        <f t="shared" si="60"/>
        <v>80.62</v>
      </c>
      <c r="EV17" s="19">
        <f t="shared" si="61"/>
        <v>77.5</v>
      </c>
      <c r="EW17" s="19">
        <f t="shared" si="62"/>
        <v>81</v>
      </c>
      <c r="EX17" s="19">
        <f t="shared" si="63"/>
        <v>80</v>
      </c>
      <c r="EY17" s="19">
        <f t="shared" si="64"/>
        <v>79.655555555555566</v>
      </c>
      <c r="EZ17" s="19">
        <f t="shared" si="65"/>
        <v>81.76666666666668</v>
      </c>
      <c r="FA17" s="19">
        <f t="shared" si="65"/>
        <v>85</v>
      </c>
      <c r="FB17" s="19">
        <f t="shared" si="66"/>
        <v>78.23333333333332</v>
      </c>
      <c r="FC17" s="19">
        <f t="shared" si="67"/>
        <v>81.2362091503268</v>
      </c>
    </row>
    <row r="18" spans="1:159" ht="18">
      <c r="A18" s="11">
        <v>14</v>
      </c>
      <c r="B18" s="93" t="s">
        <v>645</v>
      </c>
      <c r="C18" s="94" t="s">
        <v>499</v>
      </c>
      <c r="D18" s="93" t="s">
        <v>630</v>
      </c>
      <c r="E18" s="95">
        <v>90</v>
      </c>
      <c r="F18" s="95">
        <v>86</v>
      </c>
      <c r="G18" s="96">
        <v>92</v>
      </c>
      <c r="H18" s="96">
        <v>84</v>
      </c>
      <c r="I18" s="95">
        <v>88</v>
      </c>
      <c r="J18" s="95">
        <v>87</v>
      </c>
      <c r="K18" s="95">
        <v>87</v>
      </c>
      <c r="L18" s="95">
        <v>86</v>
      </c>
      <c r="M18" s="95">
        <v>93</v>
      </c>
      <c r="N18" s="95">
        <v>91</v>
      </c>
      <c r="O18" s="95">
        <v>93</v>
      </c>
      <c r="P18" s="95">
        <v>89</v>
      </c>
      <c r="Q18" s="96">
        <v>79</v>
      </c>
      <c r="R18" s="96">
        <v>84</v>
      </c>
      <c r="S18" s="96">
        <v>86</v>
      </c>
      <c r="T18" s="96">
        <v>87</v>
      </c>
      <c r="U18" s="95">
        <v>86</v>
      </c>
      <c r="V18" s="95">
        <v>85</v>
      </c>
      <c r="W18" s="95">
        <v>83</v>
      </c>
      <c r="X18" s="95">
        <v>84</v>
      </c>
      <c r="Y18" s="95">
        <v>84</v>
      </c>
      <c r="Z18" s="95">
        <v>86</v>
      </c>
      <c r="AA18" s="95">
        <v>80</v>
      </c>
      <c r="AB18" s="95">
        <v>80</v>
      </c>
      <c r="AC18" s="95">
        <v>86</v>
      </c>
      <c r="AD18" s="95">
        <v>87</v>
      </c>
      <c r="AE18" s="96">
        <v>95</v>
      </c>
      <c r="AF18" s="96">
        <v>84</v>
      </c>
      <c r="AG18" s="95">
        <v>80</v>
      </c>
      <c r="AH18" s="95">
        <v>76</v>
      </c>
      <c r="AI18" s="95">
        <v>74</v>
      </c>
      <c r="AJ18" s="95">
        <v>80</v>
      </c>
      <c r="AK18" s="95">
        <v>81</v>
      </c>
      <c r="AL18" s="95">
        <v>85</v>
      </c>
      <c r="AM18" s="95">
        <v>77</v>
      </c>
      <c r="AN18" s="95">
        <v>79</v>
      </c>
      <c r="AO18" s="96">
        <v>80</v>
      </c>
      <c r="AP18" s="96">
        <v>86</v>
      </c>
      <c r="AQ18" s="95">
        <v>82</v>
      </c>
      <c r="AR18" s="95">
        <v>87</v>
      </c>
      <c r="AS18" s="95">
        <v>76</v>
      </c>
      <c r="AT18" s="95">
        <v>80</v>
      </c>
      <c r="AU18" s="95">
        <v>80</v>
      </c>
      <c r="AV18" s="95">
        <v>80</v>
      </c>
      <c r="AW18" s="95">
        <v>80</v>
      </c>
      <c r="AX18" s="95">
        <v>87</v>
      </c>
      <c r="AY18" s="95">
        <v>75</v>
      </c>
      <c r="AZ18" s="96">
        <v>79</v>
      </c>
      <c r="BA18" s="96">
        <v>84</v>
      </c>
      <c r="BB18" s="96">
        <v>83</v>
      </c>
      <c r="BC18" s="95">
        <v>80</v>
      </c>
      <c r="BD18" s="95">
        <v>84</v>
      </c>
      <c r="BE18" s="96">
        <v>84</v>
      </c>
      <c r="BF18" s="96">
        <v>81</v>
      </c>
      <c r="BG18" s="96">
        <v>82</v>
      </c>
      <c r="BH18" s="15">
        <v>94</v>
      </c>
      <c r="BI18" s="95">
        <v>86</v>
      </c>
      <c r="BJ18" s="95">
        <v>91</v>
      </c>
      <c r="BK18" s="95">
        <v>76</v>
      </c>
      <c r="BL18" s="15">
        <v>94</v>
      </c>
      <c r="BM18" s="95">
        <v>85</v>
      </c>
      <c r="BN18" s="95">
        <v>82</v>
      </c>
      <c r="BO18" s="95">
        <v>78</v>
      </c>
      <c r="BP18" s="15">
        <v>94</v>
      </c>
      <c r="BQ18" s="15">
        <f t="shared" si="0"/>
        <v>85</v>
      </c>
      <c r="BR18" s="15">
        <f t="shared" si="0"/>
        <v>84.666666666666671</v>
      </c>
      <c r="BS18" s="15">
        <f t="shared" si="0"/>
        <v>78.666666666666671</v>
      </c>
      <c r="BT18" s="15">
        <f t="shared" si="0"/>
        <v>94</v>
      </c>
      <c r="BU18" s="14">
        <v>81</v>
      </c>
      <c r="BV18" s="14">
        <v>82</v>
      </c>
      <c r="BW18" s="14">
        <v>81</v>
      </c>
      <c r="BX18" s="15">
        <v>94</v>
      </c>
      <c r="BY18" s="15">
        <v>88</v>
      </c>
      <c r="BZ18" s="15">
        <v>70</v>
      </c>
      <c r="CA18" s="15">
        <v>82</v>
      </c>
      <c r="CB18" s="15">
        <v>77</v>
      </c>
      <c r="CC18" s="15">
        <v>87</v>
      </c>
      <c r="CD18" s="39">
        <v>88</v>
      </c>
      <c r="CE18" s="39">
        <v>95</v>
      </c>
      <c r="CF18" s="40">
        <v>88</v>
      </c>
      <c r="CG18" s="40">
        <v>82</v>
      </c>
      <c r="CH18" s="39">
        <v>83</v>
      </c>
      <c r="CI18" s="39">
        <v>85</v>
      </c>
      <c r="CJ18" s="39">
        <v>80</v>
      </c>
      <c r="CK18" s="39">
        <v>80</v>
      </c>
      <c r="CL18" s="39">
        <v>70</v>
      </c>
      <c r="CM18" s="41">
        <f t="shared" si="1"/>
        <v>88</v>
      </c>
      <c r="CN18" s="41">
        <f t="shared" si="2"/>
        <v>87</v>
      </c>
      <c r="CO18" s="41">
        <f t="shared" si="3"/>
        <v>88</v>
      </c>
      <c r="CP18" s="17">
        <f t="shared" si="4"/>
        <v>87.7</v>
      </c>
      <c r="CQ18" s="16">
        <f t="shared" si="5"/>
        <v>90</v>
      </c>
      <c r="CR18" s="16">
        <f t="shared" si="6"/>
        <v>89</v>
      </c>
      <c r="CS18" s="16">
        <f t="shared" si="7"/>
        <v>95</v>
      </c>
      <c r="CT18" s="17">
        <f t="shared" si="8"/>
        <v>91.2</v>
      </c>
      <c r="CU18" s="17">
        <f t="shared" si="9"/>
        <v>84.4</v>
      </c>
      <c r="CV18" s="17">
        <f t="shared" si="10"/>
        <v>85</v>
      </c>
      <c r="CW18" s="17">
        <f t="shared" si="11"/>
        <v>88</v>
      </c>
      <c r="CX18" s="17">
        <f t="shared" si="12"/>
        <v>85.66</v>
      </c>
      <c r="CY18" s="18">
        <f t="shared" si="13"/>
        <v>84.25</v>
      </c>
      <c r="CZ18" s="18">
        <f t="shared" si="14"/>
        <v>84.25</v>
      </c>
      <c r="DA18" s="18">
        <f t="shared" si="15"/>
        <v>83.25</v>
      </c>
      <c r="DB18" s="18">
        <f t="shared" si="16"/>
        <v>83.25</v>
      </c>
      <c r="DC18" s="18">
        <f t="shared" si="17"/>
        <v>89.5</v>
      </c>
      <c r="DD18" s="18">
        <f t="shared" si="18"/>
        <v>89.5</v>
      </c>
      <c r="DE18" s="18">
        <f t="shared" si="19"/>
        <v>77.5</v>
      </c>
      <c r="DF18" s="18">
        <f t="shared" si="20"/>
        <v>77.5</v>
      </c>
      <c r="DG18" s="18">
        <f t="shared" si="21"/>
        <v>81</v>
      </c>
      <c r="DH18" s="18">
        <f t="shared" si="21"/>
        <v>85</v>
      </c>
      <c r="DI18" s="18">
        <f t="shared" si="22"/>
        <v>82</v>
      </c>
      <c r="DJ18" s="17">
        <f t="shared" si="23"/>
        <v>82.5</v>
      </c>
      <c r="DK18" s="18">
        <f t="shared" si="24"/>
        <v>80.8</v>
      </c>
      <c r="DL18" s="18">
        <f t="shared" si="25"/>
        <v>87</v>
      </c>
      <c r="DM18" s="18">
        <f t="shared" si="26"/>
        <v>83</v>
      </c>
      <c r="DN18" s="17">
        <f t="shared" si="27"/>
        <v>83.320000000000007</v>
      </c>
      <c r="DO18" s="18">
        <f t="shared" si="28"/>
        <v>79.2</v>
      </c>
      <c r="DP18" s="18">
        <f t="shared" si="29"/>
        <v>87</v>
      </c>
      <c r="DQ18" s="18">
        <f t="shared" si="30"/>
        <v>85</v>
      </c>
      <c r="DR18" s="17">
        <f t="shared" si="31"/>
        <v>83.28</v>
      </c>
      <c r="DS18" s="18">
        <f t="shared" si="32"/>
        <v>77</v>
      </c>
      <c r="DT18" s="18">
        <f t="shared" si="33"/>
        <v>77</v>
      </c>
      <c r="DU18" s="18">
        <f t="shared" si="34"/>
        <v>83.5</v>
      </c>
      <c r="DV18" s="18">
        <f t="shared" si="35"/>
        <v>83.5</v>
      </c>
      <c r="DW18" s="18">
        <f t="shared" si="36"/>
        <v>82</v>
      </c>
      <c r="DX18" s="17">
        <f t="shared" si="37"/>
        <v>82</v>
      </c>
      <c r="DY18" s="18">
        <f t="shared" si="38"/>
        <v>82.777777777777786</v>
      </c>
      <c r="DZ18" s="18">
        <f t="shared" si="39"/>
        <v>94</v>
      </c>
      <c r="EA18" s="18">
        <f t="shared" si="40"/>
        <v>70</v>
      </c>
      <c r="EB18" s="17">
        <f t="shared" si="41"/>
        <v>82.311111111111103</v>
      </c>
      <c r="EC18" s="18">
        <f t="shared" si="42"/>
        <v>81.333333333333329</v>
      </c>
      <c r="ED18" s="18">
        <f t="shared" si="43"/>
        <v>94</v>
      </c>
      <c r="EE18" s="18">
        <f t="shared" si="44"/>
        <v>80</v>
      </c>
      <c r="EF18" s="17">
        <f t="shared" si="45"/>
        <v>84.73333333333332</v>
      </c>
      <c r="EG18" s="18">
        <f t="shared" si="46"/>
        <v>88</v>
      </c>
      <c r="EH18" s="18">
        <f t="shared" si="47"/>
        <v>76.333333333333329</v>
      </c>
      <c r="EI18" s="18">
        <f t="shared" si="48"/>
        <v>87</v>
      </c>
      <c r="EJ18" s="18">
        <f t="shared" si="49"/>
        <v>80</v>
      </c>
      <c r="EK18" s="17">
        <f t="shared" si="50"/>
        <v>80.633333333333326</v>
      </c>
      <c r="EL18" s="19">
        <f t="shared" si="51"/>
        <v>87.7</v>
      </c>
      <c r="EM18" s="19">
        <f t="shared" si="52"/>
        <v>91.2</v>
      </c>
      <c r="EN18" s="19">
        <f t="shared" si="53"/>
        <v>85.66</v>
      </c>
      <c r="EO18" s="19">
        <f t="shared" si="54"/>
        <v>84.25</v>
      </c>
      <c r="EP18" s="19">
        <f t="shared" si="55"/>
        <v>83.25</v>
      </c>
      <c r="EQ18" s="19">
        <f t="shared" si="56"/>
        <v>89.5</v>
      </c>
      <c r="ER18" s="19">
        <f t="shared" si="57"/>
        <v>77.5</v>
      </c>
      <c r="ES18" s="19">
        <f t="shared" si="58"/>
        <v>82.5</v>
      </c>
      <c r="ET18" s="19">
        <f t="shared" si="59"/>
        <v>83.320000000000007</v>
      </c>
      <c r="EU18" s="19">
        <f t="shared" si="60"/>
        <v>83.28</v>
      </c>
      <c r="EV18" s="19">
        <f t="shared" si="61"/>
        <v>77</v>
      </c>
      <c r="EW18" s="19">
        <f t="shared" si="62"/>
        <v>83.5</v>
      </c>
      <c r="EX18" s="19">
        <f t="shared" si="63"/>
        <v>82</v>
      </c>
      <c r="EY18" s="19">
        <f t="shared" si="64"/>
        <v>82.311111111111103</v>
      </c>
      <c r="EZ18" s="19">
        <f t="shared" si="65"/>
        <v>84.73333333333332</v>
      </c>
      <c r="FA18" s="19">
        <f t="shared" si="65"/>
        <v>88</v>
      </c>
      <c r="FB18" s="19">
        <f t="shared" si="66"/>
        <v>80.633333333333326</v>
      </c>
      <c r="FC18" s="19">
        <f t="shared" si="67"/>
        <v>83.902222222222221</v>
      </c>
    </row>
    <row r="19" spans="1:159" ht="18">
      <c r="A19" s="11">
        <v>15</v>
      </c>
      <c r="B19" s="93" t="s">
        <v>646</v>
      </c>
      <c r="C19" s="94" t="s">
        <v>501</v>
      </c>
      <c r="D19" s="93" t="s">
        <v>630</v>
      </c>
      <c r="E19" s="95">
        <v>85</v>
      </c>
      <c r="F19" s="95">
        <v>78</v>
      </c>
      <c r="G19" s="96">
        <v>88</v>
      </c>
      <c r="H19" s="96">
        <v>81</v>
      </c>
      <c r="I19" s="95">
        <v>83</v>
      </c>
      <c r="J19" s="95">
        <v>79</v>
      </c>
      <c r="K19" s="95">
        <v>77</v>
      </c>
      <c r="L19" s="95">
        <v>78</v>
      </c>
      <c r="M19" s="95">
        <v>80</v>
      </c>
      <c r="N19" s="95">
        <v>84</v>
      </c>
      <c r="O19" s="95">
        <v>84</v>
      </c>
      <c r="P19" s="95">
        <v>78</v>
      </c>
      <c r="Q19" s="96">
        <v>78</v>
      </c>
      <c r="R19" s="96">
        <v>70</v>
      </c>
      <c r="S19" s="96">
        <v>72</v>
      </c>
      <c r="T19" s="96">
        <v>73</v>
      </c>
      <c r="U19" s="95">
        <v>71</v>
      </c>
      <c r="V19" s="95">
        <v>78</v>
      </c>
      <c r="W19" s="95">
        <v>82</v>
      </c>
      <c r="X19" s="95">
        <v>84</v>
      </c>
      <c r="Y19" s="95">
        <v>83</v>
      </c>
      <c r="Z19" s="95">
        <v>86</v>
      </c>
      <c r="AA19" s="95">
        <v>82</v>
      </c>
      <c r="AB19" s="95">
        <v>80</v>
      </c>
      <c r="AC19" s="95">
        <v>77</v>
      </c>
      <c r="AD19" s="95">
        <v>82</v>
      </c>
      <c r="AE19" s="96">
        <v>95</v>
      </c>
      <c r="AF19" s="96">
        <v>84</v>
      </c>
      <c r="AG19" s="95">
        <v>77</v>
      </c>
      <c r="AH19" s="95">
        <v>73</v>
      </c>
      <c r="AI19" s="95">
        <v>72</v>
      </c>
      <c r="AJ19" s="95">
        <v>82</v>
      </c>
      <c r="AK19" s="95">
        <v>80</v>
      </c>
      <c r="AL19" s="95">
        <v>78</v>
      </c>
      <c r="AM19" s="95">
        <v>75</v>
      </c>
      <c r="AN19" s="95">
        <v>76</v>
      </c>
      <c r="AO19" s="96">
        <v>72</v>
      </c>
      <c r="AP19" s="96">
        <v>77</v>
      </c>
      <c r="AQ19" s="95">
        <v>78</v>
      </c>
      <c r="AR19" s="95">
        <v>80</v>
      </c>
      <c r="AS19" s="95">
        <v>78</v>
      </c>
      <c r="AT19" s="95">
        <v>79</v>
      </c>
      <c r="AU19" s="95">
        <v>78</v>
      </c>
      <c r="AV19" s="95">
        <v>78</v>
      </c>
      <c r="AW19" s="95">
        <v>78</v>
      </c>
      <c r="AX19" s="95">
        <v>80</v>
      </c>
      <c r="AY19" s="95">
        <v>75</v>
      </c>
      <c r="AZ19" s="96">
        <v>80</v>
      </c>
      <c r="BA19" s="96">
        <v>78</v>
      </c>
      <c r="BB19" s="96">
        <v>78</v>
      </c>
      <c r="BC19" s="95">
        <v>80</v>
      </c>
      <c r="BD19" s="95">
        <v>82</v>
      </c>
      <c r="BE19" s="96">
        <v>84</v>
      </c>
      <c r="BF19" s="96">
        <v>81</v>
      </c>
      <c r="BG19" s="96">
        <v>82</v>
      </c>
      <c r="BH19" s="15">
        <v>79</v>
      </c>
      <c r="BI19" s="95">
        <v>88</v>
      </c>
      <c r="BJ19" s="95">
        <v>89</v>
      </c>
      <c r="BK19" s="95">
        <v>75</v>
      </c>
      <c r="BL19" s="15">
        <v>79</v>
      </c>
      <c r="BM19" s="95">
        <v>79</v>
      </c>
      <c r="BN19" s="95">
        <v>78</v>
      </c>
      <c r="BO19" s="95">
        <v>77</v>
      </c>
      <c r="BP19" s="15">
        <v>79</v>
      </c>
      <c r="BQ19" s="15">
        <f t="shared" si="0"/>
        <v>83.666666666666671</v>
      </c>
      <c r="BR19" s="15">
        <f t="shared" si="0"/>
        <v>82.666666666666671</v>
      </c>
      <c r="BS19" s="15">
        <f t="shared" si="0"/>
        <v>78</v>
      </c>
      <c r="BT19" s="15">
        <f t="shared" si="0"/>
        <v>79</v>
      </c>
      <c r="BU19" s="14">
        <v>81</v>
      </c>
      <c r="BV19" s="14">
        <v>82</v>
      </c>
      <c r="BW19" s="14">
        <v>80</v>
      </c>
      <c r="BX19" s="15">
        <v>79</v>
      </c>
      <c r="BY19" s="15">
        <v>79</v>
      </c>
      <c r="BZ19" s="15">
        <v>71</v>
      </c>
      <c r="CA19" s="15">
        <v>75</v>
      </c>
      <c r="CB19" s="15">
        <v>74</v>
      </c>
      <c r="CC19" s="15">
        <v>80</v>
      </c>
      <c r="CD19" s="39">
        <v>82</v>
      </c>
      <c r="CE19" s="39">
        <v>80</v>
      </c>
      <c r="CF19" s="40">
        <v>76</v>
      </c>
      <c r="CG19" s="40">
        <v>80</v>
      </c>
      <c r="CH19" s="39">
        <v>78</v>
      </c>
      <c r="CI19" s="39">
        <v>80</v>
      </c>
      <c r="CJ19" s="39">
        <v>78</v>
      </c>
      <c r="CK19" s="39">
        <v>81</v>
      </c>
      <c r="CL19" s="39">
        <v>95</v>
      </c>
      <c r="CM19" s="41">
        <f t="shared" si="1"/>
        <v>83</v>
      </c>
      <c r="CN19" s="41">
        <f t="shared" si="2"/>
        <v>79</v>
      </c>
      <c r="CO19" s="41">
        <f t="shared" si="3"/>
        <v>82</v>
      </c>
      <c r="CP19" s="17">
        <f t="shared" si="4"/>
        <v>81.5</v>
      </c>
      <c r="CQ19" s="16">
        <f t="shared" si="5"/>
        <v>80.599999999999994</v>
      </c>
      <c r="CR19" s="16">
        <f t="shared" si="6"/>
        <v>78</v>
      </c>
      <c r="CS19" s="16">
        <f t="shared" si="7"/>
        <v>80</v>
      </c>
      <c r="CT19" s="17">
        <f t="shared" si="8"/>
        <v>79.64</v>
      </c>
      <c r="CU19" s="17">
        <f t="shared" si="9"/>
        <v>72.8</v>
      </c>
      <c r="CV19" s="17">
        <f t="shared" si="10"/>
        <v>78</v>
      </c>
      <c r="CW19" s="17">
        <f t="shared" si="11"/>
        <v>76</v>
      </c>
      <c r="CX19" s="17">
        <f t="shared" si="12"/>
        <v>75.320000000000007</v>
      </c>
      <c r="CY19" s="18">
        <f t="shared" si="13"/>
        <v>83.75</v>
      </c>
      <c r="CZ19" s="18">
        <f t="shared" si="14"/>
        <v>83.75</v>
      </c>
      <c r="DA19" s="18">
        <f t="shared" si="15"/>
        <v>80.25</v>
      </c>
      <c r="DB19" s="18">
        <f t="shared" si="16"/>
        <v>80.25</v>
      </c>
      <c r="DC19" s="18">
        <f t="shared" si="17"/>
        <v>89.5</v>
      </c>
      <c r="DD19" s="18">
        <f t="shared" si="18"/>
        <v>89.5</v>
      </c>
      <c r="DE19" s="18">
        <f t="shared" si="19"/>
        <v>76</v>
      </c>
      <c r="DF19" s="18">
        <f t="shared" si="20"/>
        <v>76</v>
      </c>
      <c r="DG19" s="18">
        <f t="shared" si="21"/>
        <v>80</v>
      </c>
      <c r="DH19" s="18">
        <f t="shared" si="21"/>
        <v>78</v>
      </c>
      <c r="DI19" s="18">
        <f t="shared" si="22"/>
        <v>80</v>
      </c>
      <c r="DJ19" s="17">
        <f t="shared" si="23"/>
        <v>79.400000000000006</v>
      </c>
      <c r="DK19" s="18">
        <f t="shared" si="24"/>
        <v>75.599999999999994</v>
      </c>
      <c r="DL19" s="18">
        <f t="shared" si="25"/>
        <v>80</v>
      </c>
      <c r="DM19" s="18">
        <f t="shared" si="26"/>
        <v>78</v>
      </c>
      <c r="DN19" s="17">
        <f t="shared" si="27"/>
        <v>77.64</v>
      </c>
      <c r="DO19" s="18">
        <f t="shared" si="28"/>
        <v>78.2</v>
      </c>
      <c r="DP19" s="18">
        <f t="shared" si="29"/>
        <v>80</v>
      </c>
      <c r="DQ19" s="18">
        <f t="shared" si="30"/>
        <v>80</v>
      </c>
      <c r="DR19" s="17">
        <f t="shared" si="31"/>
        <v>79.28</v>
      </c>
      <c r="DS19" s="18">
        <f t="shared" si="32"/>
        <v>77.5</v>
      </c>
      <c r="DT19" s="18">
        <f t="shared" si="33"/>
        <v>77.5</v>
      </c>
      <c r="DU19" s="18">
        <f t="shared" si="34"/>
        <v>78</v>
      </c>
      <c r="DV19" s="18">
        <f t="shared" si="35"/>
        <v>78</v>
      </c>
      <c r="DW19" s="18">
        <f t="shared" si="36"/>
        <v>81</v>
      </c>
      <c r="DX19" s="17">
        <f t="shared" si="37"/>
        <v>81</v>
      </c>
      <c r="DY19" s="18">
        <f t="shared" si="38"/>
        <v>81.444444444444443</v>
      </c>
      <c r="DZ19" s="18">
        <f t="shared" si="39"/>
        <v>79</v>
      </c>
      <c r="EA19" s="18">
        <f t="shared" si="40"/>
        <v>95</v>
      </c>
      <c r="EB19" s="17">
        <f t="shared" si="41"/>
        <v>84.777777777777786</v>
      </c>
      <c r="EC19" s="18">
        <f t="shared" si="42"/>
        <v>81</v>
      </c>
      <c r="ED19" s="18">
        <f t="shared" si="43"/>
        <v>79</v>
      </c>
      <c r="EE19" s="18">
        <f t="shared" si="44"/>
        <v>81</v>
      </c>
      <c r="EF19" s="17">
        <f t="shared" si="45"/>
        <v>80.400000000000006</v>
      </c>
      <c r="EG19" s="18">
        <f t="shared" si="46"/>
        <v>79</v>
      </c>
      <c r="EH19" s="18">
        <f t="shared" si="47"/>
        <v>73.333333333333329</v>
      </c>
      <c r="EI19" s="18">
        <f t="shared" si="48"/>
        <v>80</v>
      </c>
      <c r="EJ19" s="18">
        <f t="shared" si="49"/>
        <v>78</v>
      </c>
      <c r="EK19" s="17">
        <f t="shared" si="50"/>
        <v>76.73333333333332</v>
      </c>
      <c r="EL19" s="19">
        <f t="shared" si="51"/>
        <v>81.5</v>
      </c>
      <c r="EM19" s="19">
        <f t="shared" si="52"/>
        <v>79.64</v>
      </c>
      <c r="EN19" s="19">
        <f t="shared" si="53"/>
        <v>75.320000000000007</v>
      </c>
      <c r="EO19" s="19">
        <f t="shared" si="54"/>
        <v>83.75</v>
      </c>
      <c r="EP19" s="19">
        <f t="shared" si="55"/>
        <v>80.25</v>
      </c>
      <c r="EQ19" s="19">
        <f t="shared" si="56"/>
        <v>89.5</v>
      </c>
      <c r="ER19" s="19">
        <f t="shared" si="57"/>
        <v>76</v>
      </c>
      <c r="ES19" s="19">
        <f t="shared" si="58"/>
        <v>79.400000000000006</v>
      </c>
      <c r="ET19" s="19">
        <f t="shared" si="59"/>
        <v>77.64</v>
      </c>
      <c r="EU19" s="19">
        <f t="shared" si="60"/>
        <v>79.28</v>
      </c>
      <c r="EV19" s="19">
        <f t="shared" si="61"/>
        <v>77.5</v>
      </c>
      <c r="EW19" s="19">
        <f t="shared" si="62"/>
        <v>78</v>
      </c>
      <c r="EX19" s="19">
        <f t="shared" si="63"/>
        <v>81</v>
      </c>
      <c r="EY19" s="19">
        <f t="shared" si="64"/>
        <v>84.777777777777786</v>
      </c>
      <c r="EZ19" s="19">
        <f t="shared" si="65"/>
        <v>80.400000000000006</v>
      </c>
      <c r="FA19" s="19">
        <f t="shared" si="65"/>
        <v>79</v>
      </c>
      <c r="FB19" s="19">
        <f t="shared" si="66"/>
        <v>76.73333333333332</v>
      </c>
      <c r="FC19" s="19">
        <f t="shared" si="67"/>
        <v>79.981830065359489</v>
      </c>
    </row>
    <row r="20" spans="1:159" ht="18">
      <c r="A20" s="11">
        <v>16</v>
      </c>
      <c r="B20" s="93" t="s">
        <v>647</v>
      </c>
      <c r="C20" s="94" t="s">
        <v>503</v>
      </c>
      <c r="D20" s="93" t="s">
        <v>630</v>
      </c>
      <c r="E20" s="95">
        <v>88</v>
      </c>
      <c r="F20" s="95">
        <v>87</v>
      </c>
      <c r="G20" s="96">
        <v>92</v>
      </c>
      <c r="H20" s="96">
        <v>84</v>
      </c>
      <c r="I20" s="95">
        <v>90</v>
      </c>
      <c r="J20" s="95">
        <v>77</v>
      </c>
      <c r="K20" s="95">
        <v>91</v>
      </c>
      <c r="L20" s="95">
        <v>80</v>
      </c>
      <c r="M20" s="95">
        <v>70</v>
      </c>
      <c r="N20" s="95">
        <v>93</v>
      </c>
      <c r="O20" s="95">
        <v>95</v>
      </c>
      <c r="P20" s="95">
        <v>79</v>
      </c>
      <c r="Q20" s="96">
        <v>80</v>
      </c>
      <c r="R20" s="96">
        <v>86</v>
      </c>
      <c r="S20" s="96">
        <v>78</v>
      </c>
      <c r="T20" s="96">
        <v>76</v>
      </c>
      <c r="U20" s="95">
        <v>81</v>
      </c>
      <c r="V20" s="95">
        <v>77</v>
      </c>
      <c r="W20" s="95">
        <v>82</v>
      </c>
      <c r="X20" s="95">
        <v>85</v>
      </c>
      <c r="Y20" s="95">
        <v>83</v>
      </c>
      <c r="Z20" s="95">
        <v>85</v>
      </c>
      <c r="AA20" s="95">
        <v>82</v>
      </c>
      <c r="AB20" s="95">
        <v>80</v>
      </c>
      <c r="AC20" s="95">
        <v>85</v>
      </c>
      <c r="AD20" s="95">
        <v>86</v>
      </c>
      <c r="AE20" s="96">
        <v>94</v>
      </c>
      <c r="AF20" s="96">
        <v>85</v>
      </c>
      <c r="AG20" s="95">
        <v>79</v>
      </c>
      <c r="AH20" s="95">
        <v>73</v>
      </c>
      <c r="AI20" s="95">
        <v>71</v>
      </c>
      <c r="AJ20" s="95">
        <v>80</v>
      </c>
      <c r="AK20" s="95">
        <v>82</v>
      </c>
      <c r="AL20" s="95">
        <v>77</v>
      </c>
      <c r="AM20" s="95">
        <v>79</v>
      </c>
      <c r="AN20" s="95">
        <v>78</v>
      </c>
      <c r="AO20" s="96">
        <v>80</v>
      </c>
      <c r="AP20" s="96">
        <v>84</v>
      </c>
      <c r="AQ20" s="95">
        <v>82</v>
      </c>
      <c r="AR20" s="95">
        <v>82</v>
      </c>
      <c r="AS20" s="95">
        <v>77</v>
      </c>
      <c r="AT20" s="95">
        <v>78</v>
      </c>
      <c r="AU20" s="95">
        <v>78</v>
      </c>
      <c r="AV20" s="95">
        <v>80</v>
      </c>
      <c r="AW20" s="95">
        <v>78</v>
      </c>
      <c r="AX20" s="95">
        <v>82</v>
      </c>
      <c r="AY20" s="95">
        <v>78</v>
      </c>
      <c r="AZ20" s="96">
        <v>79</v>
      </c>
      <c r="BA20" s="96">
        <v>78</v>
      </c>
      <c r="BB20" s="96">
        <v>80</v>
      </c>
      <c r="BC20" s="95">
        <v>80</v>
      </c>
      <c r="BD20" s="95">
        <v>84</v>
      </c>
      <c r="BE20" s="96">
        <v>84</v>
      </c>
      <c r="BF20" s="96">
        <v>81</v>
      </c>
      <c r="BG20" s="96">
        <v>77</v>
      </c>
      <c r="BH20" s="15">
        <v>75</v>
      </c>
      <c r="BI20" s="95">
        <v>86</v>
      </c>
      <c r="BJ20" s="95">
        <v>89</v>
      </c>
      <c r="BK20" s="95">
        <v>81</v>
      </c>
      <c r="BL20" s="15">
        <v>75</v>
      </c>
      <c r="BM20" s="95">
        <v>81</v>
      </c>
      <c r="BN20" s="95">
        <v>78</v>
      </c>
      <c r="BO20" s="95">
        <v>84</v>
      </c>
      <c r="BP20" s="15">
        <v>75</v>
      </c>
      <c r="BQ20" s="15">
        <f t="shared" si="0"/>
        <v>83.666666666666671</v>
      </c>
      <c r="BR20" s="15">
        <f t="shared" si="0"/>
        <v>82.666666666666671</v>
      </c>
      <c r="BS20" s="15">
        <f t="shared" si="0"/>
        <v>80.666666666666671</v>
      </c>
      <c r="BT20" s="15">
        <f t="shared" si="0"/>
        <v>75</v>
      </c>
      <c r="BU20" s="14">
        <v>81</v>
      </c>
      <c r="BV20" s="14">
        <v>82</v>
      </c>
      <c r="BW20" s="14">
        <v>82</v>
      </c>
      <c r="BX20" s="15">
        <v>75</v>
      </c>
      <c r="BY20" s="15">
        <v>78</v>
      </c>
      <c r="BZ20" s="15">
        <v>71</v>
      </c>
      <c r="CA20" s="15">
        <v>80</v>
      </c>
      <c r="CB20" s="15">
        <v>78</v>
      </c>
      <c r="CC20" s="15">
        <v>82</v>
      </c>
      <c r="CD20" s="39">
        <v>87</v>
      </c>
      <c r="CE20" s="39">
        <v>85</v>
      </c>
      <c r="CF20" s="40">
        <v>88</v>
      </c>
      <c r="CG20" s="40">
        <v>92</v>
      </c>
      <c r="CH20" s="39">
        <v>82</v>
      </c>
      <c r="CI20" s="39">
        <v>80</v>
      </c>
      <c r="CJ20" s="39">
        <v>79</v>
      </c>
      <c r="CK20" s="39">
        <v>82</v>
      </c>
      <c r="CL20" s="39">
        <v>77</v>
      </c>
      <c r="CM20" s="41">
        <f t="shared" si="1"/>
        <v>88.2</v>
      </c>
      <c r="CN20" s="41">
        <f t="shared" si="2"/>
        <v>77</v>
      </c>
      <c r="CO20" s="41">
        <f t="shared" si="3"/>
        <v>87</v>
      </c>
      <c r="CP20" s="17">
        <f t="shared" si="4"/>
        <v>84.47999999999999</v>
      </c>
      <c r="CQ20" s="16">
        <f t="shared" si="5"/>
        <v>85.8</v>
      </c>
      <c r="CR20" s="16">
        <f t="shared" si="6"/>
        <v>79</v>
      </c>
      <c r="CS20" s="16">
        <f t="shared" si="7"/>
        <v>85</v>
      </c>
      <c r="CT20" s="17">
        <f t="shared" si="8"/>
        <v>83.52000000000001</v>
      </c>
      <c r="CU20" s="17">
        <f t="shared" si="9"/>
        <v>80.2</v>
      </c>
      <c r="CV20" s="17">
        <f t="shared" si="10"/>
        <v>77</v>
      </c>
      <c r="CW20" s="17">
        <f t="shared" si="11"/>
        <v>88</v>
      </c>
      <c r="CX20" s="17">
        <f t="shared" si="12"/>
        <v>81.58</v>
      </c>
      <c r="CY20" s="18">
        <f t="shared" si="13"/>
        <v>83.75</v>
      </c>
      <c r="CZ20" s="18">
        <f t="shared" si="14"/>
        <v>83.75</v>
      </c>
      <c r="DA20" s="18">
        <f t="shared" si="15"/>
        <v>83.25</v>
      </c>
      <c r="DB20" s="18">
        <f t="shared" si="16"/>
        <v>83.25</v>
      </c>
      <c r="DC20" s="18">
        <f t="shared" si="17"/>
        <v>89.5</v>
      </c>
      <c r="DD20" s="18">
        <f t="shared" si="18"/>
        <v>89.5</v>
      </c>
      <c r="DE20" s="18">
        <f t="shared" si="19"/>
        <v>75.75</v>
      </c>
      <c r="DF20" s="18">
        <f t="shared" si="20"/>
        <v>75.75</v>
      </c>
      <c r="DG20" s="18">
        <f t="shared" si="21"/>
        <v>82</v>
      </c>
      <c r="DH20" s="18">
        <f t="shared" si="21"/>
        <v>77</v>
      </c>
      <c r="DI20" s="18">
        <f t="shared" si="22"/>
        <v>92</v>
      </c>
      <c r="DJ20" s="17">
        <f t="shared" si="23"/>
        <v>83.5</v>
      </c>
      <c r="DK20" s="18">
        <f t="shared" si="24"/>
        <v>80.599999999999994</v>
      </c>
      <c r="DL20" s="18">
        <f t="shared" si="25"/>
        <v>82</v>
      </c>
      <c r="DM20" s="18">
        <f t="shared" si="26"/>
        <v>82</v>
      </c>
      <c r="DN20" s="17">
        <f t="shared" si="27"/>
        <v>81.44</v>
      </c>
      <c r="DO20" s="18">
        <f t="shared" si="28"/>
        <v>78.2</v>
      </c>
      <c r="DP20" s="18">
        <f t="shared" si="29"/>
        <v>82</v>
      </c>
      <c r="DQ20" s="18">
        <f t="shared" si="30"/>
        <v>80</v>
      </c>
      <c r="DR20" s="17">
        <f t="shared" si="31"/>
        <v>79.88</v>
      </c>
      <c r="DS20" s="18">
        <f t="shared" si="32"/>
        <v>78.5</v>
      </c>
      <c r="DT20" s="18">
        <f t="shared" si="33"/>
        <v>78.5</v>
      </c>
      <c r="DU20" s="18">
        <f t="shared" si="34"/>
        <v>79</v>
      </c>
      <c r="DV20" s="18">
        <f t="shared" si="35"/>
        <v>79</v>
      </c>
      <c r="DW20" s="18">
        <f t="shared" si="36"/>
        <v>82</v>
      </c>
      <c r="DX20" s="17">
        <f t="shared" si="37"/>
        <v>82</v>
      </c>
      <c r="DY20" s="18">
        <f t="shared" si="38"/>
        <v>82.333333333333329</v>
      </c>
      <c r="DZ20" s="18">
        <f t="shared" si="39"/>
        <v>75</v>
      </c>
      <c r="EA20" s="18">
        <f t="shared" si="40"/>
        <v>77</v>
      </c>
      <c r="EB20" s="17">
        <f t="shared" si="41"/>
        <v>78.533333333333331</v>
      </c>
      <c r="EC20" s="18">
        <f t="shared" si="42"/>
        <v>81.666666666666671</v>
      </c>
      <c r="ED20" s="18">
        <f t="shared" si="43"/>
        <v>75</v>
      </c>
      <c r="EE20" s="18">
        <f t="shared" si="44"/>
        <v>82</v>
      </c>
      <c r="EF20" s="17">
        <f t="shared" si="45"/>
        <v>79.76666666666668</v>
      </c>
      <c r="EG20" s="18">
        <f t="shared" si="46"/>
        <v>78</v>
      </c>
      <c r="EH20" s="18">
        <f t="shared" si="47"/>
        <v>76.333333333333329</v>
      </c>
      <c r="EI20" s="18">
        <f t="shared" si="48"/>
        <v>82</v>
      </c>
      <c r="EJ20" s="18">
        <f t="shared" si="49"/>
        <v>79</v>
      </c>
      <c r="EK20" s="17">
        <f t="shared" si="50"/>
        <v>78.833333333333329</v>
      </c>
      <c r="EL20" s="19">
        <f t="shared" si="51"/>
        <v>84.47999999999999</v>
      </c>
      <c r="EM20" s="19">
        <f t="shared" si="52"/>
        <v>83.52000000000001</v>
      </c>
      <c r="EN20" s="19">
        <f t="shared" si="53"/>
        <v>81.58</v>
      </c>
      <c r="EO20" s="19">
        <f t="shared" si="54"/>
        <v>83.75</v>
      </c>
      <c r="EP20" s="19">
        <f t="shared" si="55"/>
        <v>83.25</v>
      </c>
      <c r="EQ20" s="19">
        <f t="shared" si="56"/>
        <v>89.5</v>
      </c>
      <c r="ER20" s="19">
        <f t="shared" si="57"/>
        <v>75.75</v>
      </c>
      <c r="ES20" s="19">
        <f t="shared" si="58"/>
        <v>83.5</v>
      </c>
      <c r="ET20" s="19">
        <f t="shared" si="59"/>
        <v>81.44</v>
      </c>
      <c r="EU20" s="19">
        <f t="shared" si="60"/>
        <v>79.88</v>
      </c>
      <c r="EV20" s="19">
        <f t="shared" si="61"/>
        <v>78.5</v>
      </c>
      <c r="EW20" s="19">
        <f t="shared" si="62"/>
        <v>79</v>
      </c>
      <c r="EX20" s="19">
        <f t="shared" si="63"/>
        <v>82</v>
      </c>
      <c r="EY20" s="19">
        <f t="shared" si="64"/>
        <v>78.533333333333331</v>
      </c>
      <c r="EZ20" s="19">
        <f t="shared" si="65"/>
        <v>79.76666666666668</v>
      </c>
      <c r="FA20" s="19">
        <f t="shared" si="65"/>
        <v>78</v>
      </c>
      <c r="FB20" s="19">
        <f t="shared" si="66"/>
        <v>78.833333333333329</v>
      </c>
      <c r="FC20" s="19">
        <f t="shared" si="67"/>
        <v>81.251960784313724</v>
      </c>
    </row>
    <row r="21" spans="1:159" ht="18">
      <c r="A21" s="11">
        <v>17</v>
      </c>
      <c r="B21" s="93" t="s">
        <v>648</v>
      </c>
      <c r="C21" s="94" t="s">
        <v>505</v>
      </c>
      <c r="D21" s="93" t="s">
        <v>630</v>
      </c>
      <c r="E21" s="95">
        <v>92</v>
      </c>
      <c r="F21" s="95">
        <v>91</v>
      </c>
      <c r="G21" s="96">
        <v>93</v>
      </c>
      <c r="H21" s="96">
        <v>85</v>
      </c>
      <c r="I21" s="95">
        <v>89</v>
      </c>
      <c r="J21" s="95">
        <v>80</v>
      </c>
      <c r="K21" s="95">
        <v>84</v>
      </c>
      <c r="L21" s="95">
        <v>84</v>
      </c>
      <c r="M21" s="95">
        <v>93</v>
      </c>
      <c r="N21" s="95">
        <v>89</v>
      </c>
      <c r="O21" s="95">
        <v>94</v>
      </c>
      <c r="P21" s="95">
        <v>84</v>
      </c>
      <c r="Q21" s="96">
        <v>85</v>
      </c>
      <c r="R21" s="96">
        <v>93</v>
      </c>
      <c r="S21" s="96">
        <v>87</v>
      </c>
      <c r="T21" s="96">
        <v>89</v>
      </c>
      <c r="U21" s="95">
        <v>81</v>
      </c>
      <c r="V21" s="95">
        <v>79</v>
      </c>
      <c r="W21" s="95">
        <v>83</v>
      </c>
      <c r="X21" s="95">
        <v>85</v>
      </c>
      <c r="Y21" s="95">
        <v>84</v>
      </c>
      <c r="Z21" s="95">
        <v>86</v>
      </c>
      <c r="AA21" s="95">
        <v>80</v>
      </c>
      <c r="AB21" s="95">
        <v>82</v>
      </c>
      <c r="AC21" s="95">
        <v>85</v>
      </c>
      <c r="AD21" s="95">
        <v>86</v>
      </c>
      <c r="AE21" s="96">
        <v>95</v>
      </c>
      <c r="AF21" s="96">
        <v>85</v>
      </c>
      <c r="AG21" s="95">
        <v>79</v>
      </c>
      <c r="AH21" s="95">
        <v>76</v>
      </c>
      <c r="AI21" s="95">
        <v>71</v>
      </c>
      <c r="AJ21" s="95">
        <v>81</v>
      </c>
      <c r="AK21" s="95">
        <v>88</v>
      </c>
      <c r="AL21" s="95">
        <v>79</v>
      </c>
      <c r="AM21" s="95">
        <v>81</v>
      </c>
      <c r="AN21" s="95">
        <v>82</v>
      </c>
      <c r="AO21" s="96">
        <v>81</v>
      </c>
      <c r="AP21" s="96">
        <v>86</v>
      </c>
      <c r="AQ21" s="95">
        <v>86</v>
      </c>
      <c r="AR21" s="95">
        <v>85</v>
      </c>
      <c r="AS21" s="95">
        <v>77</v>
      </c>
      <c r="AT21" s="95">
        <v>80</v>
      </c>
      <c r="AU21" s="95">
        <v>80</v>
      </c>
      <c r="AV21" s="95">
        <v>80</v>
      </c>
      <c r="AW21" s="95">
        <v>80</v>
      </c>
      <c r="AX21" s="95">
        <v>85</v>
      </c>
      <c r="AY21" s="95">
        <v>75</v>
      </c>
      <c r="AZ21" s="96">
        <v>81</v>
      </c>
      <c r="BA21" s="96">
        <v>86</v>
      </c>
      <c r="BB21" s="96">
        <v>85</v>
      </c>
      <c r="BC21" s="95">
        <v>80</v>
      </c>
      <c r="BD21" s="95">
        <v>85</v>
      </c>
      <c r="BE21" s="96">
        <v>86</v>
      </c>
      <c r="BF21" s="96">
        <v>83</v>
      </c>
      <c r="BG21" s="96">
        <v>77</v>
      </c>
      <c r="BH21" s="15">
        <v>87</v>
      </c>
      <c r="BI21" s="95">
        <v>85</v>
      </c>
      <c r="BJ21" s="95">
        <v>90</v>
      </c>
      <c r="BK21" s="95">
        <v>88</v>
      </c>
      <c r="BL21" s="15">
        <v>87</v>
      </c>
      <c r="BM21" s="95">
        <v>83</v>
      </c>
      <c r="BN21" s="95">
        <v>80</v>
      </c>
      <c r="BO21" s="95">
        <v>77</v>
      </c>
      <c r="BP21" s="15">
        <v>87</v>
      </c>
      <c r="BQ21" s="15">
        <f t="shared" si="0"/>
        <v>84.666666666666671</v>
      </c>
      <c r="BR21" s="15">
        <f t="shared" si="0"/>
        <v>84.333333333333329</v>
      </c>
      <c r="BS21" s="15">
        <f t="shared" si="0"/>
        <v>80.666666666666671</v>
      </c>
      <c r="BT21" s="15">
        <f t="shared" si="0"/>
        <v>87</v>
      </c>
      <c r="BU21" s="14">
        <v>81</v>
      </c>
      <c r="BV21" s="14">
        <v>82</v>
      </c>
      <c r="BW21" s="14">
        <v>88</v>
      </c>
      <c r="BX21" s="15">
        <v>87</v>
      </c>
      <c r="BY21" s="15">
        <v>83</v>
      </c>
      <c r="BZ21" s="15">
        <v>70</v>
      </c>
      <c r="CA21" s="15">
        <v>89</v>
      </c>
      <c r="CB21" s="15">
        <v>73</v>
      </c>
      <c r="CC21" s="15">
        <v>85</v>
      </c>
      <c r="CD21" s="39">
        <v>90</v>
      </c>
      <c r="CE21" s="39">
        <v>85</v>
      </c>
      <c r="CF21" s="40">
        <v>85</v>
      </c>
      <c r="CG21" s="40">
        <v>70</v>
      </c>
      <c r="CH21" s="39">
        <v>87</v>
      </c>
      <c r="CI21" s="39">
        <v>80</v>
      </c>
      <c r="CJ21" s="39">
        <v>85</v>
      </c>
      <c r="CK21" s="39">
        <v>84</v>
      </c>
      <c r="CL21" s="39">
        <v>70</v>
      </c>
      <c r="CM21" s="41">
        <f t="shared" si="1"/>
        <v>90</v>
      </c>
      <c r="CN21" s="41">
        <f t="shared" si="2"/>
        <v>80</v>
      </c>
      <c r="CO21" s="41">
        <f t="shared" si="3"/>
        <v>90</v>
      </c>
      <c r="CP21" s="17">
        <f t="shared" si="4"/>
        <v>87</v>
      </c>
      <c r="CQ21" s="16">
        <f t="shared" si="5"/>
        <v>88.8</v>
      </c>
      <c r="CR21" s="16">
        <f t="shared" si="6"/>
        <v>84</v>
      </c>
      <c r="CS21" s="16">
        <f t="shared" si="7"/>
        <v>85</v>
      </c>
      <c r="CT21" s="17">
        <f t="shared" si="8"/>
        <v>86.22</v>
      </c>
      <c r="CU21" s="17">
        <f t="shared" si="9"/>
        <v>87</v>
      </c>
      <c r="CV21" s="17">
        <f t="shared" si="10"/>
        <v>79</v>
      </c>
      <c r="CW21" s="17">
        <f t="shared" si="11"/>
        <v>85</v>
      </c>
      <c r="CX21" s="17">
        <f t="shared" si="12"/>
        <v>84</v>
      </c>
      <c r="CY21" s="18">
        <f t="shared" si="13"/>
        <v>84.5</v>
      </c>
      <c r="CZ21" s="18">
        <f t="shared" si="14"/>
        <v>84.5</v>
      </c>
      <c r="DA21" s="18">
        <f t="shared" si="15"/>
        <v>83.25</v>
      </c>
      <c r="DB21" s="18">
        <f t="shared" si="16"/>
        <v>83.25</v>
      </c>
      <c r="DC21" s="18">
        <f t="shared" si="17"/>
        <v>90</v>
      </c>
      <c r="DD21" s="18">
        <f t="shared" si="18"/>
        <v>90</v>
      </c>
      <c r="DE21" s="18">
        <f t="shared" si="19"/>
        <v>76.75</v>
      </c>
      <c r="DF21" s="18">
        <f t="shared" si="20"/>
        <v>76.75</v>
      </c>
      <c r="DG21" s="18">
        <f t="shared" si="21"/>
        <v>88</v>
      </c>
      <c r="DH21" s="18">
        <f t="shared" si="21"/>
        <v>79</v>
      </c>
      <c r="DI21" s="18">
        <f t="shared" si="22"/>
        <v>70</v>
      </c>
      <c r="DJ21" s="17">
        <f t="shared" si="23"/>
        <v>79.900000000000006</v>
      </c>
      <c r="DK21" s="18">
        <f t="shared" si="24"/>
        <v>83.2</v>
      </c>
      <c r="DL21" s="18">
        <f t="shared" si="25"/>
        <v>85</v>
      </c>
      <c r="DM21" s="18">
        <f t="shared" si="26"/>
        <v>87</v>
      </c>
      <c r="DN21" s="17">
        <f t="shared" si="27"/>
        <v>84.88</v>
      </c>
      <c r="DO21" s="18">
        <f t="shared" si="28"/>
        <v>79.400000000000006</v>
      </c>
      <c r="DP21" s="18">
        <f t="shared" si="29"/>
        <v>85</v>
      </c>
      <c r="DQ21" s="18">
        <f t="shared" si="30"/>
        <v>80</v>
      </c>
      <c r="DR21" s="17">
        <f t="shared" si="31"/>
        <v>81.260000000000005</v>
      </c>
      <c r="DS21" s="18">
        <f t="shared" si="32"/>
        <v>78</v>
      </c>
      <c r="DT21" s="18">
        <f t="shared" si="33"/>
        <v>78</v>
      </c>
      <c r="DU21" s="18">
        <f t="shared" si="34"/>
        <v>85.5</v>
      </c>
      <c r="DV21" s="18">
        <f t="shared" si="35"/>
        <v>85.5</v>
      </c>
      <c r="DW21" s="18">
        <f t="shared" si="36"/>
        <v>82.5</v>
      </c>
      <c r="DX21" s="17">
        <f t="shared" si="37"/>
        <v>82.5</v>
      </c>
      <c r="DY21" s="18">
        <f t="shared" si="38"/>
        <v>83.222222222222229</v>
      </c>
      <c r="DZ21" s="18">
        <f t="shared" si="39"/>
        <v>87</v>
      </c>
      <c r="EA21" s="18">
        <f t="shared" si="40"/>
        <v>70</v>
      </c>
      <c r="EB21" s="17">
        <f t="shared" si="41"/>
        <v>80.388888888888886</v>
      </c>
      <c r="EC21" s="18">
        <f t="shared" si="42"/>
        <v>83.666666666666671</v>
      </c>
      <c r="ED21" s="18">
        <f t="shared" si="43"/>
        <v>87</v>
      </c>
      <c r="EE21" s="18">
        <f t="shared" si="44"/>
        <v>84</v>
      </c>
      <c r="EF21" s="17">
        <f t="shared" si="45"/>
        <v>84.76666666666668</v>
      </c>
      <c r="EG21" s="18">
        <f t="shared" si="46"/>
        <v>83</v>
      </c>
      <c r="EH21" s="18">
        <f t="shared" si="47"/>
        <v>77.333333333333329</v>
      </c>
      <c r="EI21" s="18">
        <f t="shared" si="48"/>
        <v>85</v>
      </c>
      <c r="EJ21" s="18">
        <f t="shared" si="49"/>
        <v>85</v>
      </c>
      <c r="EK21" s="17">
        <f t="shared" si="50"/>
        <v>81.933333333333323</v>
      </c>
      <c r="EL21" s="19">
        <f t="shared" si="51"/>
        <v>87</v>
      </c>
      <c r="EM21" s="19">
        <f t="shared" si="52"/>
        <v>86.22</v>
      </c>
      <c r="EN21" s="19">
        <f t="shared" si="53"/>
        <v>84</v>
      </c>
      <c r="EO21" s="19">
        <f t="shared" si="54"/>
        <v>84.5</v>
      </c>
      <c r="EP21" s="19">
        <f t="shared" si="55"/>
        <v>83.25</v>
      </c>
      <c r="EQ21" s="19">
        <f t="shared" si="56"/>
        <v>90</v>
      </c>
      <c r="ER21" s="19">
        <f t="shared" si="57"/>
        <v>76.75</v>
      </c>
      <c r="ES21" s="19">
        <f t="shared" si="58"/>
        <v>79.900000000000006</v>
      </c>
      <c r="ET21" s="19">
        <f t="shared" si="59"/>
        <v>84.88</v>
      </c>
      <c r="EU21" s="19">
        <f t="shared" si="60"/>
        <v>81.260000000000005</v>
      </c>
      <c r="EV21" s="19">
        <f t="shared" si="61"/>
        <v>78</v>
      </c>
      <c r="EW21" s="19">
        <f t="shared" si="62"/>
        <v>85.5</v>
      </c>
      <c r="EX21" s="19">
        <f t="shared" si="63"/>
        <v>82.5</v>
      </c>
      <c r="EY21" s="19">
        <f t="shared" si="64"/>
        <v>80.388888888888886</v>
      </c>
      <c r="EZ21" s="19">
        <f t="shared" si="65"/>
        <v>84.76666666666668</v>
      </c>
      <c r="FA21" s="19">
        <f t="shared" si="65"/>
        <v>83</v>
      </c>
      <c r="FB21" s="19">
        <f t="shared" si="66"/>
        <v>81.933333333333323</v>
      </c>
      <c r="FC21" s="19">
        <f t="shared" si="67"/>
        <v>83.167581699346414</v>
      </c>
    </row>
    <row r="22" spans="1:159" ht="18">
      <c r="A22" s="11">
        <v>18</v>
      </c>
      <c r="B22" s="93" t="s">
        <v>649</v>
      </c>
      <c r="C22" s="94" t="s">
        <v>507</v>
      </c>
      <c r="D22" s="93" t="s">
        <v>630</v>
      </c>
      <c r="E22" s="95">
        <v>87</v>
      </c>
      <c r="F22" s="95">
        <v>76</v>
      </c>
      <c r="G22" s="96">
        <v>88</v>
      </c>
      <c r="H22" s="96">
        <v>82</v>
      </c>
      <c r="I22" s="95">
        <v>84</v>
      </c>
      <c r="J22" s="95">
        <v>78</v>
      </c>
      <c r="K22" s="95">
        <v>92</v>
      </c>
      <c r="L22" s="95">
        <v>79</v>
      </c>
      <c r="M22" s="95">
        <v>89</v>
      </c>
      <c r="N22" s="95">
        <v>85</v>
      </c>
      <c r="O22" s="95">
        <v>86</v>
      </c>
      <c r="P22" s="95">
        <v>77</v>
      </c>
      <c r="Q22" s="96">
        <v>80</v>
      </c>
      <c r="R22" s="96">
        <v>85</v>
      </c>
      <c r="S22" s="96">
        <v>73</v>
      </c>
      <c r="T22" s="96">
        <v>80</v>
      </c>
      <c r="U22" s="95">
        <v>75</v>
      </c>
      <c r="V22" s="95">
        <v>78</v>
      </c>
      <c r="W22" s="95">
        <v>82</v>
      </c>
      <c r="X22" s="95">
        <v>83</v>
      </c>
      <c r="Y22" s="95">
        <v>83</v>
      </c>
      <c r="Z22" s="95">
        <v>84</v>
      </c>
      <c r="AA22" s="95">
        <v>80</v>
      </c>
      <c r="AB22" s="95">
        <v>82</v>
      </c>
      <c r="AC22" s="95">
        <v>77</v>
      </c>
      <c r="AD22" s="95">
        <v>80</v>
      </c>
      <c r="AE22" s="96">
        <v>94</v>
      </c>
      <c r="AF22" s="96">
        <v>83</v>
      </c>
      <c r="AG22" s="95">
        <v>78</v>
      </c>
      <c r="AH22" s="95">
        <v>70</v>
      </c>
      <c r="AI22" s="95">
        <v>74</v>
      </c>
      <c r="AJ22" s="95">
        <v>83</v>
      </c>
      <c r="AK22" s="95">
        <v>80</v>
      </c>
      <c r="AL22" s="95">
        <v>78</v>
      </c>
      <c r="AM22" s="95">
        <v>75</v>
      </c>
      <c r="AN22" s="95">
        <v>74</v>
      </c>
      <c r="AO22" s="96">
        <v>72</v>
      </c>
      <c r="AP22" s="96">
        <v>79</v>
      </c>
      <c r="AQ22" s="95">
        <v>76</v>
      </c>
      <c r="AR22" s="95">
        <v>80</v>
      </c>
      <c r="AS22" s="95">
        <v>76</v>
      </c>
      <c r="AT22" s="95">
        <v>77</v>
      </c>
      <c r="AU22" s="95">
        <v>80</v>
      </c>
      <c r="AV22" s="95">
        <v>78</v>
      </c>
      <c r="AW22" s="95">
        <v>80</v>
      </c>
      <c r="AX22" s="95">
        <v>80</v>
      </c>
      <c r="AY22" s="95">
        <v>74</v>
      </c>
      <c r="AZ22" s="96">
        <v>78</v>
      </c>
      <c r="BA22" s="96">
        <v>79</v>
      </c>
      <c r="BB22" s="96">
        <v>80</v>
      </c>
      <c r="BC22" s="95">
        <v>80</v>
      </c>
      <c r="BD22" s="95">
        <v>78</v>
      </c>
      <c r="BE22" s="96">
        <v>70</v>
      </c>
      <c r="BF22" s="96">
        <v>75</v>
      </c>
      <c r="BG22" s="96">
        <v>81</v>
      </c>
      <c r="BH22" s="15">
        <v>78</v>
      </c>
      <c r="BI22" s="95">
        <v>70</v>
      </c>
      <c r="BJ22" s="95">
        <v>75</v>
      </c>
      <c r="BK22" s="95">
        <v>80</v>
      </c>
      <c r="BL22" s="15">
        <v>78</v>
      </c>
      <c r="BM22" s="95">
        <v>75</v>
      </c>
      <c r="BN22" s="95">
        <v>75</v>
      </c>
      <c r="BO22" s="95">
        <v>77</v>
      </c>
      <c r="BP22" s="15">
        <v>78</v>
      </c>
      <c r="BQ22" s="15">
        <f t="shared" si="0"/>
        <v>71.666666666666671</v>
      </c>
      <c r="BR22" s="15">
        <f t="shared" si="0"/>
        <v>75</v>
      </c>
      <c r="BS22" s="15">
        <f t="shared" si="0"/>
        <v>79.333333333333329</v>
      </c>
      <c r="BT22" s="15">
        <f t="shared" si="0"/>
        <v>78</v>
      </c>
      <c r="BU22" s="14">
        <v>77</v>
      </c>
      <c r="BV22" s="14">
        <v>79</v>
      </c>
      <c r="BW22" s="14">
        <v>80</v>
      </c>
      <c r="BX22" s="15">
        <v>78</v>
      </c>
      <c r="BY22" s="15">
        <v>78</v>
      </c>
      <c r="BZ22" s="15">
        <v>71</v>
      </c>
      <c r="CA22" s="15">
        <v>76</v>
      </c>
      <c r="CB22" s="15">
        <v>76</v>
      </c>
      <c r="CC22" s="15">
        <v>80</v>
      </c>
      <c r="CD22" s="39">
        <v>80</v>
      </c>
      <c r="CE22" s="39">
        <v>85</v>
      </c>
      <c r="CF22" s="40">
        <v>78</v>
      </c>
      <c r="CG22" s="40">
        <v>87</v>
      </c>
      <c r="CH22" s="39">
        <v>76</v>
      </c>
      <c r="CI22" s="39">
        <v>79</v>
      </c>
      <c r="CJ22" s="39">
        <v>76</v>
      </c>
      <c r="CK22" s="39">
        <v>84</v>
      </c>
      <c r="CL22" s="39">
        <v>70</v>
      </c>
      <c r="CM22" s="41">
        <f t="shared" si="1"/>
        <v>83.4</v>
      </c>
      <c r="CN22" s="41">
        <f t="shared" si="2"/>
        <v>78</v>
      </c>
      <c r="CO22" s="41">
        <f t="shared" si="3"/>
        <v>80</v>
      </c>
      <c r="CP22" s="17">
        <f t="shared" si="4"/>
        <v>80.760000000000005</v>
      </c>
      <c r="CQ22" s="16">
        <f t="shared" si="5"/>
        <v>86.2</v>
      </c>
      <c r="CR22" s="16">
        <f t="shared" si="6"/>
        <v>77</v>
      </c>
      <c r="CS22" s="16">
        <f t="shared" si="7"/>
        <v>85</v>
      </c>
      <c r="CT22" s="17">
        <f t="shared" si="8"/>
        <v>83.08</v>
      </c>
      <c r="CU22" s="17">
        <f t="shared" si="9"/>
        <v>78.599999999999994</v>
      </c>
      <c r="CV22" s="17">
        <f t="shared" si="10"/>
        <v>78</v>
      </c>
      <c r="CW22" s="17">
        <f t="shared" si="11"/>
        <v>78</v>
      </c>
      <c r="CX22" s="17">
        <f t="shared" si="12"/>
        <v>78.239999999999995</v>
      </c>
      <c r="CY22" s="18">
        <f t="shared" si="13"/>
        <v>83</v>
      </c>
      <c r="CZ22" s="18">
        <f t="shared" si="14"/>
        <v>83</v>
      </c>
      <c r="DA22" s="18">
        <f t="shared" si="15"/>
        <v>79.75</v>
      </c>
      <c r="DB22" s="18">
        <f t="shared" si="16"/>
        <v>79.75</v>
      </c>
      <c r="DC22" s="18">
        <f t="shared" si="17"/>
        <v>88.5</v>
      </c>
      <c r="DD22" s="18">
        <f t="shared" si="18"/>
        <v>88.5</v>
      </c>
      <c r="DE22" s="18">
        <f t="shared" si="19"/>
        <v>76.25</v>
      </c>
      <c r="DF22" s="18">
        <f t="shared" si="20"/>
        <v>76.25</v>
      </c>
      <c r="DG22" s="18">
        <f t="shared" si="21"/>
        <v>80</v>
      </c>
      <c r="DH22" s="18">
        <f t="shared" si="21"/>
        <v>78</v>
      </c>
      <c r="DI22" s="18">
        <f t="shared" si="22"/>
        <v>87</v>
      </c>
      <c r="DJ22" s="17">
        <f t="shared" si="23"/>
        <v>81.5</v>
      </c>
      <c r="DK22" s="18">
        <f t="shared" si="24"/>
        <v>75.2</v>
      </c>
      <c r="DL22" s="18">
        <f t="shared" si="25"/>
        <v>80</v>
      </c>
      <c r="DM22" s="18">
        <f t="shared" si="26"/>
        <v>76</v>
      </c>
      <c r="DN22" s="17">
        <f t="shared" si="27"/>
        <v>76.88</v>
      </c>
      <c r="DO22" s="18">
        <f t="shared" si="28"/>
        <v>78.2</v>
      </c>
      <c r="DP22" s="18">
        <f t="shared" si="29"/>
        <v>80</v>
      </c>
      <c r="DQ22" s="18">
        <f t="shared" si="30"/>
        <v>79</v>
      </c>
      <c r="DR22" s="17">
        <f t="shared" si="31"/>
        <v>78.97999999999999</v>
      </c>
      <c r="DS22" s="18">
        <f t="shared" si="32"/>
        <v>76</v>
      </c>
      <c r="DT22" s="18">
        <f t="shared" si="33"/>
        <v>76</v>
      </c>
      <c r="DU22" s="18">
        <f t="shared" si="34"/>
        <v>79.5</v>
      </c>
      <c r="DV22" s="18">
        <f t="shared" si="35"/>
        <v>79.5</v>
      </c>
      <c r="DW22" s="18">
        <f t="shared" si="36"/>
        <v>79</v>
      </c>
      <c r="DX22" s="17">
        <f t="shared" si="37"/>
        <v>79</v>
      </c>
      <c r="DY22" s="18">
        <f t="shared" si="38"/>
        <v>75.333333333333329</v>
      </c>
      <c r="DZ22" s="18">
        <f t="shared" si="39"/>
        <v>78</v>
      </c>
      <c r="EA22" s="18">
        <f t="shared" si="40"/>
        <v>70</v>
      </c>
      <c r="EB22" s="17">
        <f t="shared" si="41"/>
        <v>74.533333333333331</v>
      </c>
      <c r="EC22" s="18">
        <f t="shared" si="42"/>
        <v>78.666666666666671</v>
      </c>
      <c r="ED22" s="18">
        <f t="shared" si="43"/>
        <v>78</v>
      </c>
      <c r="EE22" s="18">
        <f t="shared" si="44"/>
        <v>84</v>
      </c>
      <c r="EF22" s="17">
        <f t="shared" si="45"/>
        <v>80.066666666666677</v>
      </c>
      <c r="EG22" s="18">
        <f t="shared" si="46"/>
        <v>78</v>
      </c>
      <c r="EH22" s="18">
        <f t="shared" si="47"/>
        <v>74.333333333333329</v>
      </c>
      <c r="EI22" s="18">
        <f t="shared" si="48"/>
        <v>80</v>
      </c>
      <c r="EJ22" s="18">
        <f t="shared" si="49"/>
        <v>76</v>
      </c>
      <c r="EK22" s="17">
        <f t="shared" si="50"/>
        <v>76.533333333333331</v>
      </c>
      <c r="EL22" s="19">
        <f t="shared" si="51"/>
        <v>80.760000000000005</v>
      </c>
      <c r="EM22" s="19">
        <f t="shared" si="52"/>
        <v>83.08</v>
      </c>
      <c r="EN22" s="19">
        <f t="shared" si="53"/>
        <v>78.239999999999995</v>
      </c>
      <c r="EO22" s="19">
        <f t="shared" si="54"/>
        <v>83</v>
      </c>
      <c r="EP22" s="19">
        <f t="shared" si="55"/>
        <v>79.75</v>
      </c>
      <c r="EQ22" s="19">
        <f t="shared" si="56"/>
        <v>88.5</v>
      </c>
      <c r="ER22" s="19">
        <f t="shared" si="57"/>
        <v>76.25</v>
      </c>
      <c r="ES22" s="19">
        <f t="shared" si="58"/>
        <v>81.5</v>
      </c>
      <c r="ET22" s="19">
        <f t="shared" si="59"/>
        <v>76.88</v>
      </c>
      <c r="EU22" s="19">
        <f t="shared" si="60"/>
        <v>78.97999999999999</v>
      </c>
      <c r="EV22" s="19">
        <f t="shared" si="61"/>
        <v>76</v>
      </c>
      <c r="EW22" s="19">
        <f t="shared" si="62"/>
        <v>79.5</v>
      </c>
      <c r="EX22" s="19">
        <f t="shared" si="63"/>
        <v>79</v>
      </c>
      <c r="EY22" s="19">
        <f t="shared" si="64"/>
        <v>74.533333333333331</v>
      </c>
      <c r="EZ22" s="19">
        <f t="shared" si="65"/>
        <v>80.066666666666677</v>
      </c>
      <c r="FA22" s="19">
        <f t="shared" si="65"/>
        <v>78</v>
      </c>
      <c r="FB22" s="19">
        <f t="shared" si="66"/>
        <v>76.533333333333331</v>
      </c>
      <c r="FC22" s="19">
        <f t="shared" si="67"/>
        <v>79.445490196078424</v>
      </c>
    </row>
    <row r="23" spans="1:159" ht="18">
      <c r="A23" s="11">
        <v>19</v>
      </c>
      <c r="B23" s="93" t="s">
        <v>650</v>
      </c>
      <c r="C23" s="94" t="s">
        <v>509</v>
      </c>
      <c r="D23" s="93" t="s">
        <v>630</v>
      </c>
      <c r="E23" s="95">
        <v>93</v>
      </c>
      <c r="F23" s="95">
        <v>94</v>
      </c>
      <c r="G23" s="96">
        <v>93</v>
      </c>
      <c r="H23" s="96">
        <v>88</v>
      </c>
      <c r="I23" s="95">
        <v>92</v>
      </c>
      <c r="J23" s="95">
        <v>92</v>
      </c>
      <c r="K23" s="95">
        <v>84</v>
      </c>
      <c r="L23" s="95">
        <v>94</v>
      </c>
      <c r="M23" s="95">
        <v>95</v>
      </c>
      <c r="N23" s="95">
        <v>93</v>
      </c>
      <c r="O23" s="95">
        <v>95</v>
      </c>
      <c r="P23" s="95">
        <v>95</v>
      </c>
      <c r="Q23" s="96">
        <v>89</v>
      </c>
      <c r="R23" s="96">
        <v>92</v>
      </c>
      <c r="S23" s="96">
        <v>95</v>
      </c>
      <c r="T23" s="96">
        <v>93</v>
      </c>
      <c r="U23" s="95">
        <v>84</v>
      </c>
      <c r="V23" s="95">
        <v>89</v>
      </c>
      <c r="W23" s="95">
        <v>83</v>
      </c>
      <c r="X23" s="95">
        <v>85</v>
      </c>
      <c r="Y23" s="95">
        <v>84</v>
      </c>
      <c r="Z23" s="95">
        <v>86</v>
      </c>
      <c r="AA23" s="95">
        <v>84</v>
      </c>
      <c r="AB23" s="95">
        <v>85</v>
      </c>
      <c r="AC23" s="95">
        <v>86</v>
      </c>
      <c r="AD23" s="95">
        <v>87</v>
      </c>
      <c r="AE23" s="96">
        <v>96</v>
      </c>
      <c r="AF23" s="96">
        <v>86</v>
      </c>
      <c r="AG23" s="95">
        <v>80</v>
      </c>
      <c r="AH23" s="95">
        <v>80</v>
      </c>
      <c r="AI23" s="95">
        <v>76</v>
      </c>
      <c r="AJ23" s="95">
        <v>83</v>
      </c>
      <c r="AK23" s="95">
        <v>89</v>
      </c>
      <c r="AL23" s="95">
        <v>89</v>
      </c>
      <c r="AM23" s="95">
        <v>86</v>
      </c>
      <c r="AN23" s="95">
        <v>89</v>
      </c>
      <c r="AO23" s="96">
        <v>95</v>
      </c>
      <c r="AP23" s="96">
        <v>94</v>
      </c>
      <c r="AQ23" s="95">
        <v>89</v>
      </c>
      <c r="AR23" s="95">
        <v>92</v>
      </c>
      <c r="AS23" s="95">
        <v>80</v>
      </c>
      <c r="AT23" s="95">
        <v>84</v>
      </c>
      <c r="AU23" s="95">
        <v>85</v>
      </c>
      <c r="AV23" s="95">
        <v>87</v>
      </c>
      <c r="AW23" s="95">
        <v>87</v>
      </c>
      <c r="AX23" s="95">
        <v>92</v>
      </c>
      <c r="AY23" s="95">
        <v>79</v>
      </c>
      <c r="AZ23" s="96">
        <v>80</v>
      </c>
      <c r="BA23" s="96">
        <v>87</v>
      </c>
      <c r="BB23" s="96">
        <v>94</v>
      </c>
      <c r="BC23" s="95">
        <v>81</v>
      </c>
      <c r="BD23" s="95">
        <v>80</v>
      </c>
      <c r="BE23" s="96">
        <v>85</v>
      </c>
      <c r="BF23" s="96">
        <v>81</v>
      </c>
      <c r="BG23" s="96">
        <v>82</v>
      </c>
      <c r="BH23" s="15">
        <v>94</v>
      </c>
      <c r="BI23" s="95">
        <v>90</v>
      </c>
      <c r="BJ23" s="95">
        <v>92</v>
      </c>
      <c r="BK23" s="95">
        <v>87</v>
      </c>
      <c r="BL23" s="15">
        <v>94</v>
      </c>
      <c r="BM23" s="95">
        <v>83</v>
      </c>
      <c r="BN23" s="95">
        <v>81</v>
      </c>
      <c r="BO23" s="95">
        <v>88</v>
      </c>
      <c r="BP23" s="15">
        <v>94</v>
      </c>
      <c r="BQ23" s="15">
        <f t="shared" si="0"/>
        <v>86</v>
      </c>
      <c r="BR23" s="15">
        <f t="shared" si="0"/>
        <v>84.666666666666671</v>
      </c>
      <c r="BS23" s="15">
        <f t="shared" si="0"/>
        <v>85.666666666666671</v>
      </c>
      <c r="BT23" s="15">
        <f t="shared" si="0"/>
        <v>94</v>
      </c>
      <c r="BU23" s="14">
        <v>81</v>
      </c>
      <c r="BV23" s="14">
        <v>82</v>
      </c>
      <c r="BW23" s="14">
        <v>89</v>
      </c>
      <c r="BX23" s="15">
        <v>94</v>
      </c>
      <c r="BY23" s="15">
        <v>92</v>
      </c>
      <c r="BZ23" s="15">
        <v>82</v>
      </c>
      <c r="CA23" s="15">
        <v>95</v>
      </c>
      <c r="CB23" s="15">
        <v>85</v>
      </c>
      <c r="CC23" s="15">
        <v>92</v>
      </c>
      <c r="CD23" s="39">
        <v>91</v>
      </c>
      <c r="CE23" s="39">
        <v>95</v>
      </c>
      <c r="CF23" s="40">
        <v>90</v>
      </c>
      <c r="CG23" s="40">
        <v>95</v>
      </c>
      <c r="CH23" s="39">
        <v>90</v>
      </c>
      <c r="CI23" s="39">
        <v>87</v>
      </c>
      <c r="CJ23" s="39">
        <v>87</v>
      </c>
      <c r="CK23" s="39">
        <v>86</v>
      </c>
      <c r="CL23" s="39">
        <v>95</v>
      </c>
      <c r="CM23" s="41">
        <f t="shared" si="1"/>
        <v>92</v>
      </c>
      <c r="CN23" s="41">
        <f t="shared" si="2"/>
        <v>92</v>
      </c>
      <c r="CO23" s="41">
        <f t="shared" si="3"/>
        <v>91</v>
      </c>
      <c r="CP23" s="17">
        <f t="shared" si="4"/>
        <v>91.7</v>
      </c>
      <c r="CQ23" s="16">
        <f t="shared" si="5"/>
        <v>92.2</v>
      </c>
      <c r="CR23" s="16">
        <f t="shared" si="6"/>
        <v>95</v>
      </c>
      <c r="CS23" s="16">
        <f t="shared" si="7"/>
        <v>95</v>
      </c>
      <c r="CT23" s="17">
        <f t="shared" si="8"/>
        <v>93.88</v>
      </c>
      <c r="CU23" s="17">
        <f t="shared" si="9"/>
        <v>90.6</v>
      </c>
      <c r="CV23" s="17">
        <f t="shared" si="10"/>
        <v>89</v>
      </c>
      <c r="CW23" s="17">
        <f t="shared" si="11"/>
        <v>90</v>
      </c>
      <c r="CX23" s="17">
        <f t="shared" si="12"/>
        <v>89.94</v>
      </c>
      <c r="CY23" s="18">
        <f t="shared" si="13"/>
        <v>84.5</v>
      </c>
      <c r="CZ23" s="18">
        <f t="shared" si="14"/>
        <v>84.5</v>
      </c>
      <c r="DA23" s="18">
        <f t="shared" si="15"/>
        <v>85.5</v>
      </c>
      <c r="DB23" s="18">
        <f t="shared" si="16"/>
        <v>85.5</v>
      </c>
      <c r="DC23" s="18">
        <f t="shared" si="17"/>
        <v>91</v>
      </c>
      <c r="DD23" s="18">
        <f t="shared" si="18"/>
        <v>91</v>
      </c>
      <c r="DE23" s="18">
        <f t="shared" si="19"/>
        <v>79.75</v>
      </c>
      <c r="DF23" s="18">
        <f t="shared" si="20"/>
        <v>79.75</v>
      </c>
      <c r="DG23" s="18">
        <f t="shared" si="21"/>
        <v>89</v>
      </c>
      <c r="DH23" s="18">
        <f t="shared" si="21"/>
        <v>89</v>
      </c>
      <c r="DI23" s="18">
        <f t="shared" si="22"/>
        <v>95</v>
      </c>
      <c r="DJ23" s="17">
        <f t="shared" si="23"/>
        <v>90.8</v>
      </c>
      <c r="DK23" s="18">
        <f t="shared" si="24"/>
        <v>90.6</v>
      </c>
      <c r="DL23" s="18">
        <f t="shared" si="25"/>
        <v>92</v>
      </c>
      <c r="DM23" s="18">
        <f t="shared" si="26"/>
        <v>90</v>
      </c>
      <c r="DN23" s="17">
        <f t="shared" si="27"/>
        <v>90.84</v>
      </c>
      <c r="DO23" s="18">
        <f t="shared" si="28"/>
        <v>84.6</v>
      </c>
      <c r="DP23" s="18">
        <f t="shared" si="29"/>
        <v>92</v>
      </c>
      <c r="DQ23" s="18">
        <f t="shared" si="30"/>
        <v>87</v>
      </c>
      <c r="DR23" s="17">
        <f t="shared" si="31"/>
        <v>87.539999999999992</v>
      </c>
      <c r="DS23" s="18">
        <f t="shared" si="32"/>
        <v>79.5</v>
      </c>
      <c r="DT23" s="18">
        <f t="shared" si="33"/>
        <v>79.5</v>
      </c>
      <c r="DU23" s="18">
        <f t="shared" si="34"/>
        <v>90.5</v>
      </c>
      <c r="DV23" s="18">
        <f t="shared" si="35"/>
        <v>90.5</v>
      </c>
      <c r="DW23" s="18">
        <f t="shared" si="36"/>
        <v>80.5</v>
      </c>
      <c r="DX23" s="17">
        <f t="shared" si="37"/>
        <v>80.5</v>
      </c>
      <c r="DY23" s="18">
        <f t="shared" si="38"/>
        <v>85.444444444444457</v>
      </c>
      <c r="DZ23" s="18">
        <f t="shared" si="39"/>
        <v>94</v>
      </c>
      <c r="EA23" s="18">
        <f t="shared" si="40"/>
        <v>95</v>
      </c>
      <c r="EB23" s="17">
        <f t="shared" si="41"/>
        <v>90.87777777777778</v>
      </c>
      <c r="EC23" s="18">
        <f t="shared" si="42"/>
        <v>84</v>
      </c>
      <c r="ED23" s="18">
        <f t="shared" si="43"/>
        <v>94</v>
      </c>
      <c r="EE23" s="18">
        <f t="shared" si="44"/>
        <v>86</v>
      </c>
      <c r="EF23" s="17">
        <f t="shared" si="45"/>
        <v>87.6</v>
      </c>
      <c r="EG23" s="18">
        <f t="shared" si="46"/>
        <v>92</v>
      </c>
      <c r="EH23" s="18">
        <f t="shared" si="47"/>
        <v>87.333333333333329</v>
      </c>
      <c r="EI23" s="18">
        <f t="shared" si="48"/>
        <v>92</v>
      </c>
      <c r="EJ23" s="18">
        <f t="shared" si="49"/>
        <v>87</v>
      </c>
      <c r="EK23" s="17">
        <f t="shared" si="50"/>
        <v>88.633333333333326</v>
      </c>
      <c r="EL23" s="19">
        <f t="shared" si="51"/>
        <v>91.7</v>
      </c>
      <c r="EM23" s="19">
        <f t="shared" si="52"/>
        <v>93.88</v>
      </c>
      <c r="EN23" s="19">
        <f t="shared" si="53"/>
        <v>89.94</v>
      </c>
      <c r="EO23" s="19">
        <f t="shared" si="54"/>
        <v>84.5</v>
      </c>
      <c r="EP23" s="19">
        <f t="shared" si="55"/>
        <v>85.5</v>
      </c>
      <c r="EQ23" s="19">
        <f t="shared" si="56"/>
        <v>91</v>
      </c>
      <c r="ER23" s="19">
        <f t="shared" si="57"/>
        <v>79.75</v>
      </c>
      <c r="ES23" s="19">
        <f t="shared" si="58"/>
        <v>90.8</v>
      </c>
      <c r="ET23" s="19">
        <f t="shared" si="59"/>
        <v>90.84</v>
      </c>
      <c r="EU23" s="19">
        <f t="shared" si="60"/>
        <v>87.539999999999992</v>
      </c>
      <c r="EV23" s="19">
        <f t="shared" si="61"/>
        <v>79.5</v>
      </c>
      <c r="EW23" s="19">
        <f t="shared" si="62"/>
        <v>90.5</v>
      </c>
      <c r="EX23" s="19">
        <f t="shared" si="63"/>
        <v>80.5</v>
      </c>
      <c r="EY23" s="19">
        <f t="shared" si="64"/>
        <v>90.87777777777778</v>
      </c>
      <c r="EZ23" s="19">
        <f t="shared" si="65"/>
        <v>87.6</v>
      </c>
      <c r="FA23" s="19">
        <f t="shared" si="65"/>
        <v>92</v>
      </c>
      <c r="FB23" s="19">
        <f t="shared" si="66"/>
        <v>88.633333333333326</v>
      </c>
      <c r="FC23" s="19">
        <f t="shared" si="67"/>
        <v>87.94477124183004</v>
      </c>
    </row>
    <row r="24" spans="1:159" ht="18">
      <c r="A24" s="11">
        <v>20</v>
      </c>
      <c r="B24" s="93" t="s">
        <v>651</v>
      </c>
      <c r="C24" s="94" t="s">
        <v>511</v>
      </c>
      <c r="D24" s="93" t="s">
        <v>630</v>
      </c>
      <c r="E24" s="95">
        <v>87</v>
      </c>
      <c r="F24" s="95">
        <v>87</v>
      </c>
      <c r="G24" s="96">
        <v>90</v>
      </c>
      <c r="H24" s="96">
        <v>82</v>
      </c>
      <c r="I24" s="95">
        <v>88</v>
      </c>
      <c r="J24" s="95">
        <v>84</v>
      </c>
      <c r="K24" s="95">
        <v>84</v>
      </c>
      <c r="L24" s="95">
        <v>80</v>
      </c>
      <c r="M24" s="95">
        <v>90</v>
      </c>
      <c r="N24" s="95">
        <v>82</v>
      </c>
      <c r="O24" s="95">
        <v>88</v>
      </c>
      <c r="P24" s="95">
        <v>79</v>
      </c>
      <c r="Q24" s="96">
        <v>86</v>
      </c>
      <c r="R24" s="96">
        <v>85</v>
      </c>
      <c r="S24" s="96">
        <v>73</v>
      </c>
      <c r="T24" s="96">
        <v>78</v>
      </c>
      <c r="U24" s="95">
        <v>75</v>
      </c>
      <c r="V24" s="95">
        <v>80</v>
      </c>
      <c r="W24" s="95">
        <v>82</v>
      </c>
      <c r="X24" s="95">
        <v>84</v>
      </c>
      <c r="Y24" s="95">
        <v>83</v>
      </c>
      <c r="Z24" s="95">
        <v>84</v>
      </c>
      <c r="AA24" s="95">
        <v>78</v>
      </c>
      <c r="AB24" s="95">
        <v>80</v>
      </c>
      <c r="AC24" s="95">
        <v>85</v>
      </c>
      <c r="AD24" s="95">
        <v>80</v>
      </c>
      <c r="AE24" s="96">
        <v>96</v>
      </c>
      <c r="AF24" s="96">
        <v>84</v>
      </c>
      <c r="AG24" s="95">
        <v>89</v>
      </c>
      <c r="AH24" s="95">
        <v>70</v>
      </c>
      <c r="AI24" s="95">
        <v>70</v>
      </c>
      <c r="AJ24" s="95">
        <v>79</v>
      </c>
      <c r="AK24" s="95">
        <v>82</v>
      </c>
      <c r="AL24" s="95">
        <v>80</v>
      </c>
      <c r="AM24" s="95">
        <v>74</v>
      </c>
      <c r="AN24" s="95">
        <v>75</v>
      </c>
      <c r="AO24" s="96">
        <v>78</v>
      </c>
      <c r="AP24" s="96">
        <v>77</v>
      </c>
      <c r="AQ24" s="95">
        <v>78</v>
      </c>
      <c r="AR24" s="95">
        <v>79</v>
      </c>
      <c r="AS24" s="95">
        <v>76</v>
      </c>
      <c r="AT24" s="95">
        <v>77</v>
      </c>
      <c r="AU24" s="95">
        <v>78</v>
      </c>
      <c r="AV24" s="95">
        <v>74</v>
      </c>
      <c r="AW24" s="95">
        <v>78</v>
      </c>
      <c r="AX24" s="95">
        <v>79</v>
      </c>
      <c r="AY24" s="95">
        <v>75</v>
      </c>
      <c r="AZ24" s="96">
        <v>78</v>
      </c>
      <c r="BA24" s="96">
        <v>80</v>
      </c>
      <c r="BB24" s="96">
        <v>80</v>
      </c>
      <c r="BC24" s="95">
        <v>80</v>
      </c>
      <c r="BD24" s="95">
        <v>80</v>
      </c>
      <c r="BE24" s="96">
        <v>82</v>
      </c>
      <c r="BF24" s="96">
        <v>76</v>
      </c>
      <c r="BG24" s="96">
        <v>76</v>
      </c>
      <c r="BH24" s="15">
        <v>83</v>
      </c>
      <c r="BI24" s="95">
        <v>82</v>
      </c>
      <c r="BJ24" s="95">
        <v>75</v>
      </c>
      <c r="BK24" s="95">
        <v>82</v>
      </c>
      <c r="BL24" s="15">
        <v>83</v>
      </c>
      <c r="BM24" s="95">
        <v>75</v>
      </c>
      <c r="BN24" s="95">
        <v>75</v>
      </c>
      <c r="BO24" s="95">
        <v>83</v>
      </c>
      <c r="BP24" s="15">
        <v>83</v>
      </c>
      <c r="BQ24" s="15">
        <f t="shared" si="0"/>
        <v>79.666666666666671</v>
      </c>
      <c r="BR24" s="15">
        <f t="shared" si="0"/>
        <v>75.333333333333329</v>
      </c>
      <c r="BS24" s="15">
        <f t="shared" si="0"/>
        <v>80.333333333333329</v>
      </c>
      <c r="BT24" s="15">
        <f t="shared" si="0"/>
        <v>83</v>
      </c>
      <c r="BU24" s="14">
        <v>80</v>
      </c>
      <c r="BV24" s="14">
        <v>81</v>
      </c>
      <c r="BW24" s="14">
        <v>82</v>
      </c>
      <c r="BX24" s="15">
        <v>83</v>
      </c>
      <c r="BY24" s="15">
        <v>81</v>
      </c>
      <c r="BZ24" s="15">
        <v>71</v>
      </c>
      <c r="CA24" s="15">
        <v>77</v>
      </c>
      <c r="CB24" s="15">
        <v>73</v>
      </c>
      <c r="CC24" s="15">
        <v>79</v>
      </c>
      <c r="CD24" s="39">
        <v>81</v>
      </c>
      <c r="CE24" s="39">
        <v>80</v>
      </c>
      <c r="CF24" s="40">
        <v>75</v>
      </c>
      <c r="CG24" s="40">
        <v>70</v>
      </c>
      <c r="CH24" s="39">
        <v>79</v>
      </c>
      <c r="CI24" s="39">
        <v>82</v>
      </c>
      <c r="CJ24" s="39">
        <v>76</v>
      </c>
      <c r="CK24" s="39">
        <v>80</v>
      </c>
      <c r="CL24" s="39">
        <v>72</v>
      </c>
      <c r="CM24" s="41">
        <f t="shared" si="1"/>
        <v>86.8</v>
      </c>
      <c r="CN24" s="41">
        <f t="shared" si="2"/>
        <v>84</v>
      </c>
      <c r="CO24" s="41">
        <f t="shared" si="3"/>
        <v>81</v>
      </c>
      <c r="CP24" s="17">
        <f t="shared" si="4"/>
        <v>84.22</v>
      </c>
      <c r="CQ24" s="16">
        <f t="shared" si="5"/>
        <v>84.8</v>
      </c>
      <c r="CR24" s="16">
        <f t="shared" si="6"/>
        <v>79</v>
      </c>
      <c r="CS24" s="16">
        <f t="shared" si="7"/>
        <v>80</v>
      </c>
      <c r="CT24" s="17">
        <f t="shared" si="8"/>
        <v>81.62</v>
      </c>
      <c r="CU24" s="17">
        <f t="shared" si="9"/>
        <v>79.400000000000006</v>
      </c>
      <c r="CV24" s="17">
        <f t="shared" si="10"/>
        <v>80</v>
      </c>
      <c r="CW24" s="17">
        <f t="shared" si="11"/>
        <v>75</v>
      </c>
      <c r="CX24" s="17">
        <f t="shared" si="12"/>
        <v>78.260000000000005</v>
      </c>
      <c r="CY24" s="18">
        <f t="shared" si="13"/>
        <v>83.25</v>
      </c>
      <c r="CZ24" s="18">
        <f t="shared" si="14"/>
        <v>83.25</v>
      </c>
      <c r="DA24" s="18">
        <f t="shared" si="15"/>
        <v>80.75</v>
      </c>
      <c r="DB24" s="18">
        <f t="shared" si="16"/>
        <v>80.75</v>
      </c>
      <c r="DC24" s="18">
        <f t="shared" si="17"/>
        <v>90</v>
      </c>
      <c r="DD24" s="18">
        <f t="shared" si="18"/>
        <v>90</v>
      </c>
      <c r="DE24" s="18">
        <f t="shared" si="19"/>
        <v>77</v>
      </c>
      <c r="DF24" s="18">
        <f t="shared" si="20"/>
        <v>77</v>
      </c>
      <c r="DG24" s="18">
        <f t="shared" si="21"/>
        <v>82</v>
      </c>
      <c r="DH24" s="18">
        <f t="shared" si="21"/>
        <v>80</v>
      </c>
      <c r="DI24" s="18">
        <f t="shared" si="22"/>
        <v>70</v>
      </c>
      <c r="DJ24" s="17">
        <f t="shared" si="23"/>
        <v>77.8</v>
      </c>
      <c r="DK24" s="18">
        <f t="shared" si="24"/>
        <v>76.400000000000006</v>
      </c>
      <c r="DL24" s="18">
        <f t="shared" si="25"/>
        <v>79</v>
      </c>
      <c r="DM24" s="18">
        <f t="shared" si="26"/>
        <v>79</v>
      </c>
      <c r="DN24" s="17">
        <f t="shared" si="27"/>
        <v>77.960000000000008</v>
      </c>
      <c r="DO24" s="18">
        <f t="shared" si="28"/>
        <v>76.599999999999994</v>
      </c>
      <c r="DP24" s="18">
        <f t="shared" si="29"/>
        <v>79</v>
      </c>
      <c r="DQ24" s="18">
        <f t="shared" si="30"/>
        <v>82</v>
      </c>
      <c r="DR24" s="17">
        <f t="shared" si="31"/>
        <v>78.94</v>
      </c>
      <c r="DS24" s="18">
        <f t="shared" si="32"/>
        <v>76.5</v>
      </c>
      <c r="DT24" s="18">
        <f t="shared" si="33"/>
        <v>76.5</v>
      </c>
      <c r="DU24" s="18">
        <f t="shared" si="34"/>
        <v>80</v>
      </c>
      <c r="DV24" s="18">
        <f t="shared" si="35"/>
        <v>80</v>
      </c>
      <c r="DW24" s="18">
        <f t="shared" si="36"/>
        <v>80</v>
      </c>
      <c r="DX24" s="17">
        <f t="shared" si="37"/>
        <v>80</v>
      </c>
      <c r="DY24" s="18">
        <f t="shared" si="38"/>
        <v>78.444444444444443</v>
      </c>
      <c r="DZ24" s="18">
        <f t="shared" si="39"/>
        <v>83</v>
      </c>
      <c r="EA24" s="18">
        <f t="shared" si="40"/>
        <v>72</v>
      </c>
      <c r="EB24" s="17">
        <f t="shared" si="41"/>
        <v>77.87777777777778</v>
      </c>
      <c r="EC24" s="18">
        <f t="shared" si="42"/>
        <v>81</v>
      </c>
      <c r="ED24" s="18">
        <f t="shared" si="43"/>
        <v>83</v>
      </c>
      <c r="EE24" s="18">
        <f t="shared" si="44"/>
        <v>80</v>
      </c>
      <c r="EF24" s="17">
        <f t="shared" si="45"/>
        <v>81.3</v>
      </c>
      <c r="EG24" s="18">
        <f t="shared" si="46"/>
        <v>81</v>
      </c>
      <c r="EH24" s="18">
        <f t="shared" si="47"/>
        <v>73.666666666666671</v>
      </c>
      <c r="EI24" s="18">
        <f t="shared" si="48"/>
        <v>79</v>
      </c>
      <c r="EJ24" s="18">
        <f t="shared" si="49"/>
        <v>76</v>
      </c>
      <c r="EK24" s="17">
        <f t="shared" si="50"/>
        <v>75.966666666666669</v>
      </c>
      <c r="EL24" s="19">
        <f t="shared" si="51"/>
        <v>84.22</v>
      </c>
      <c r="EM24" s="19">
        <f t="shared" si="52"/>
        <v>81.62</v>
      </c>
      <c r="EN24" s="19">
        <f t="shared" si="53"/>
        <v>78.260000000000005</v>
      </c>
      <c r="EO24" s="19">
        <f t="shared" si="54"/>
        <v>83.25</v>
      </c>
      <c r="EP24" s="19">
        <f t="shared" si="55"/>
        <v>80.75</v>
      </c>
      <c r="EQ24" s="19">
        <f t="shared" si="56"/>
        <v>90</v>
      </c>
      <c r="ER24" s="19">
        <f t="shared" si="57"/>
        <v>77</v>
      </c>
      <c r="ES24" s="19">
        <f t="shared" si="58"/>
        <v>77.8</v>
      </c>
      <c r="ET24" s="19">
        <f t="shared" si="59"/>
        <v>77.960000000000008</v>
      </c>
      <c r="EU24" s="19">
        <f t="shared" si="60"/>
        <v>78.94</v>
      </c>
      <c r="EV24" s="19">
        <f t="shared" si="61"/>
        <v>76.5</v>
      </c>
      <c r="EW24" s="19">
        <f t="shared" si="62"/>
        <v>80</v>
      </c>
      <c r="EX24" s="19">
        <f t="shared" si="63"/>
        <v>80</v>
      </c>
      <c r="EY24" s="19">
        <f t="shared" si="64"/>
        <v>77.87777777777778</v>
      </c>
      <c r="EZ24" s="19">
        <f t="shared" si="65"/>
        <v>81.3</v>
      </c>
      <c r="FA24" s="19">
        <f t="shared" si="65"/>
        <v>81</v>
      </c>
      <c r="FB24" s="19">
        <f t="shared" si="66"/>
        <v>75.966666666666669</v>
      </c>
      <c r="FC24" s="19">
        <f t="shared" si="67"/>
        <v>80.143790849673195</v>
      </c>
    </row>
    <row r="25" spans="1:159" ht="18">
      <c r="A25" s="11">
        <v>21</v>
      </c>
      <c r="B25" s="93" t="s">
        <v>652</v>
      </c>
      <c r="C25" s="94" t="s">
        <v>513</v>
      </c>
      <c r="D25" s="93" t="s">
        <v>631</v>
      </c>
      <c r="E25" s="95">
        <v>80</v>
      </c>
      <c r="F25" s="95">
        <v>84</v>
      </c>
      <c r="G25" s="96">
        <v>88</v>
      </c>
      <c r="H25" s="96">
        <v>85</v>
      </c>
      <c r="I25" s="95">
        <v>90</v>
      </c>
      <c r="J25" s="95">
        <v>80</v>
      </c>
      <c r="K25" s="95">
        <v>80</v>
      </c>
      <c r="L25" s="95">
        <v>81</v>
      </c>
      <c r="M25" s="95">
        <v>88</v>
      </c>
      <c r="N25" s="95">
        <v>86</v>
      </c>
      <c r="O25" s="95">
        <v>90</v>
      </c>
      <c r="P25" s="95">
        <v>80</v>
      </c>
      <c r="Q25" s="96">
        <v>80</v>
      </c>
      <c r="R25" s="96">
        <v>82</v>
      </c>
      <c r="S25" s="96">
        <v>74</v>
      </c>
      <c r="T25" s="96">
        <v>76</v>
      </c>
      <c r="U25" s="95">
        <v>82</v>
      </c>
      <c r="V25" s="95">
        <v>80</v>
      </c>
      <c r="W25" s="95">
        <v>83</v>
      </c>
      <c r="X25" s="95">
        <v>83</v>
      </c>
      <c r="Y25" s="95">
        <v>84</v>
      </c>
      <c r="Z25" s="95">
        <v>84</v>
      </c>
      <c r="AA25" s="95">
        <v>73</v>
      </c>
      <c r="AB25" s="95">
        <v>80</v>
      </c>
      <c r="AC25" s="95">
        <v>83</v>
      </c>
      <c r="AD25" s="95">
        <v>84</v>
      </c>
      <c r="AE25" s="96">
        <v>92</v>
      </c>
      <c r="AF25" s="96">
        <v>81</v>
      </c>
      <c r="AG25" s="95">
        <v>75</v>
      </c>
      <c r="AH25" s="95">
        <v>73</v>
      </c>
      <c r="AI25" s="95">
        <v>70</v>
      </c>
      <c r="AJ25" s="95">
        <v>81</v>
      </c>
      <c r="AK25" s="95">
        <v>85</v>
      </c>
      <c r="AL25" s="95">
        <v>80</v>
      </c>
      <c r="AM25" s="95">
        <v>76</v>
      </c>
      <c r="AN25" s="95">
        <v>77</v>
      </c>
      <c r="AO25" s="96">
        <v>75</v>
      </c>
      <c r="AP25" s="96">
        <v>82</v>
      </c>
      <c r="AQ25" s="95">
        <v>83</v>
      </c>
      <c r="AR25" s="95">
        <v>82</v>
      </c>
      <c r="AS25" s="95">
        <v>71</v>
      </c>
      <c r="AT25" s="95">
        <v>70</v>
      </c>
      <c r="AU25" s="95">
        <v>77</v>
      </c>
      <c r="AV25" s="95">
        <v>80</v>
      </c>
      <c r="AW25" s="95">
        <v>77</v>
      </c>
      <c r="AX25" s="95">
        <v>82</v>
      </c>
      <c r="AY25" s="95">
        <v>77</v>
      </c>
      <c r="AZ25" s="96">
        <v>75</v>
      </c>
      <c r="BA25" s="96">
        <v>73</v>
      </c>
      <c r="BB25" s="96">
        <v>75</v>
      </c>
      <c r="BC25" s="95">
        <v>80</v>
      </c>
      <c r="BD25" s="95">
        <v>79</v>
      </c>
      <c r="BE25" s="96">
        <v>76</v>
      </c>
      <c r="BF25" s="96">
        <v>76</v>
      </c>
      <c r="BG25" s="96">
        <v>75</v>
      </c>
      <c r="BH25" s="15">
        <v>84</v>
      </c>
      <c r="BI25" s="95">
        <v>84</v>
      </c>
      <c r="BJ25" s="95">
        <v>90</v>
      </c>
      <c r="BK25" s="95">
        <v>81</v>
      </c>
      <c r="BL25" s="15">
        <v>84</v>
      </c>
      <c r="BM25" s="95">
        <v>80</v>
      </c>
      <c r="BN25" s="95">
        <v>79</v>
      </c>
      <c r="BO25" s="95">
        <v>81</v>
      </c>
      <c r="BP25" s="15">
        <v>84</v>
      </c>
      <c r="BQ25" s="15">
        <f t="shared" si="0"/>
        <v>80</v>
      </c>
      <c r="BR25" s="15">
        <f t="shared" si="0"/>
        <v>81.666666666666671</v>
      </c>
      <c r="BS25" s="15">
        <f t="shared" si="0"/>
        <v>79</v>
      </c>
      <c r="BT25" s="15">
        <f t="shared" si="0"/>
        <v>84</v>
      </c>
      <c r="BU25" s="14">
        <v>77</v>
      </c>
      <c r="BV25" s="14">
        <v>82</v>
      </c>
      <c r="BW25" s="14">
        <v>85</v>
      </c>
      <c r="BX25" s="15">
        <v>84</v>
      </c>
      <c r="BY25" s="15">
        <v>81</v>
      </c>
      <c r="BZ25" s="15">
        <v>76</v>
      </c>
      <c r="CA25" s="15">
        <v>89</v>
      </c>
      <c r="CB25" s="15">
        <v>76</v>
      </c>
      <c r="CC25" s="15">
        <v>82</v>
      </c>
      <c r="CD25" s="39">
        <v>88</v>
      </c>
      <c r="CE25" s="39">
        <v>88</v>
      </c>
      <c r="CF25" s="40">
        <v>80</v>
      </c>
      <c r="CG25" s="40">
        <v>90</v>
      </c>
      <c r="CH25" s="39">
        <v>84</v>
      </c>
      <c r="CI25" s="39">
        <v>80</v>
      </c>
      <c r="CJ25" s="39">
        <v>77</v>
      </c>
      <c r="CK25" s="39">
        <v>80</v>
      </c>
      <c r="CL25" s="39">
        <v>77</v>
      </c>
      <c r="CM25" s="41">
        <f t="shared" si="1"/>
        <v>85.4</v>
      </c>
      <c r="CN25" s="41">
        <f t="shared" si="2"/>
        <v>80</v>
      </c>
      <c r="CO25" s="41">
        <f t="shared" si="3"/>
        <v>88</v>
      </c>
      <c r="CP25" s="17">
        <f t="shared" si="4"/>
        <v>84.56</v>
      </c>
      <c r="CQ25" s="16">
        <f t="shared" si="5"/>
        <v>85</v>
      </c>
      <c r="CR25" s="16">
        <f t="shared" si="6"/>
        <v>80</v>
      </c>
      <c r="CS25" s="16">
        <f t="shared" si="7"/>
        <v>88</v>
      </c>
      <c r="CT25" s="17">
        <f t="shared" si="8"/>
        <v>84.4</v>
      </c>
      <c r="CU25" s="17">
        <f t="shared" si="9"/>
        <v>78.8</v>
      </c>
      <c r="CV25" s="17">
        <f t="shared" si="10"/>
        <v>80</v>
      </c>
      <c r="CW25" s="17">
        <f t="shared" si="11"/>
        <v>80</v>
      </c>
      <c r="CX25" s="17">
        <f t="shared" si="12"/>
        <v>79.52000000000001</v>
      </c>
      <c r="CY25" s="18">
        <f t="shared" si="13"/>
        <v>83.5</v>
      </c>
      <c r="CZ25" s="18">
        <f t="shared" si="14"/>
        <v>83.5</v>
      </c>
      <c r="DA25" s="18">
        <f t="shared" si="15"/>
        <v>80</v>
      </c>
      <c r="DB25" s="18">
        <f t="shared" si="16"/>
        <v>80</v>
      </c>
      <c r="DC25" s="18">
        <f t="shared" si="17"/>
        <v>86.5</v>
      </c>
      <c r="DD25" s="18">
        <f t="shared" si="18"/>
        <v>86.5</v>
      </c>
      <c r="DE25" s="18">
        <f t="shared" si="19"/>
        <v>74.75</v>
      </c>
      <c r="DF25" s="18">
        <f t="shared" si="20"/>
        <v>74.75</v>
      </c>
      <c r="DG25" s="18">
        <f t="shared" si="21"/>
        <v>85</v>
      </c>
      <c r="DH25" s="18">
        <f t="shared" si="21"/>
        <v>80</v>
      </c>
      <c r="DI25" s="18">
        <f t="shared" si="22"/>
        <v>90</v>
      </c>
      <c r="DJ25" s="17">
        <f t="shared" si="23"/>
        <v>85</v>
      </c>
      <c r="DK25" s="18">
        <f t="shared" si="24"/>
        <v>78.599999999999994</v>
      </c>
      <c r="DL25" s="18">
        <f t="shared" si="25"/>
        <v>82</v>
      </c>
      <c r="DM25" s="18">
        <f t="shared" si="26"/>
        <v>84</v>
      </c>
      <c r="DN25" s="17">
        <f t="shared" si="27"/>
        <v>81.239999999999995</v>
      </c>
      <c r="DO25" s="18">
        <f t="shared" si="28"/>
        <v>75</v>
      </c>
      <c r="DP25" s="18">
        <f t="shared" si="29"/>
        <v>82</v>
      </c>
      <c r="DQ25" s="18">
        <f t="shared" si="30"/>
        <v>80</v>
      </c>
      <c r="DR25" s="17">
        <f t="shared" si="31"/>
        <v>78.599999999999994</v>
      </c>
      <c r="DS25" s="18">
        <f t="shared" si="32"/>
        <v>76</v>
      </c>
      <c r="DT25" s="18">
        <f t="shared" si="33"/>
        <v>76</v>
      </c>
      <c r="DU25" s="18">
        <f t="shared" si="34"/>
        <v>74</v>
      </c>
      <c r="DV25" s="18">
        <f t="shared" si="35"/>
        <v>74</v>
      </c>
      <c r="DW25" s="18">
        <f t="shared" si="36"/>
        <v>79.5</v>
      </c>
      <c r="DX25" s="17">
        <f t="shared" si="37"/>
        <v>79.5</v>
      </c>
      <c r="DY25" s="18">
        <f t="shared" si="38"/>
        <v>80.222222222222229</v>
      </c>
      <c r="DZ25" s="18">
        <f t="shared" si="39"/>
        <v>84</v>
      </c>
      <c r="EA25" s="18">
        <f t="shared" si="40"/>
        <v>77</v>
      </c>
      <c r="EB25" s="17">
        <f t="shared" si="41"/>
        <v>80.388888888888886</v>
      </c>
      <c r="EC25" s="18">
        <f t="shared" si="42"/>
        <v>81.333333333333329</v>
      </c>
      <c r="ED25" s="18">
        <f t="shared" si="43"/>
        <v>84</v>
      </c>
      <c r="EE25" s="18">
        <f t="shared" si="44"/>
        <v>80</v>
      </c>
      <c r="EF25" s="17">
        <f t="shared" si="45"/>
        <v>81.73333333333332</v>
      </c>
      <c r="EG25" s="18">
        <f t="shared" si="46"/>
        <v>81</v>
      </c>
      <c r="EH25" s="18">
        <f t="shared" si="47"/>
        <v>80.333333333333329</v>
      </c>
      <c r="EI25" s="18">
        <f t="shared" si="48"/>
        <v>82</v>
      </c>
      <c r="EJ25" s="18">
        <f t="shared" si="49"/>
        <v>77</v>
      </c>
      <c r="EK25" s="17">
        <f t="shared" si="50"/>
        <v>79.833333333333329</v>
      </c>
      <c r="EL25" s="19">
        <f t="shared" si="51"/>
        <v>84.56</v>
      </c>
      <c r="EM25" s="19">
        <f t="shared" si="52"/>
        <v>84.4</v>
      </c>
      <c r="EN25" s="19">
        <f t="shared" si="53"/>
        <v>79.52000000000001</v>
      </c>
      <c r="EO25" s="19">
        <f t="shared" si="54"/>
        <v>83.5</v>
      </c>
      <c r="EP25" s="19">
        <f t="shared" si="55"/>
        <v>80</v>
      </c>
      <c r="EQ25" s="19">
        <f t="shared" si="56"/>
        <v>86.5</v>
      </c>
      <c r="ER25" s="19">
        <f t="shared" si="57"/>
        <v>74.75</v>
      </c>
      <c r="ES25" s="19">
        <f t="shared" si="58"/>
        <v>85</v>
      </c>
      <c r="ET25" s="19">
        <f t="shared" si="59"/>
        <v>81.239999999999995</v>
      </c>
      <c r="EU25" s="19">
        <f t="shared" si="60"/>
        <v>78.599999999999994</v>
      </c>
      <c r="EV25" s="19">
        <f t="shared" si="61"/>
        <v>76</v>
      </c>
      <c r="EW25" s="19">
        <f t="shared" si="62"/>
        <v>74</v>
      </c>
      <c r="EX25" s="19">
        <f t="shared" si="63"/>
        <v>79.5</v>
      </c>
      <c r="EY25" s="19">
        <f t="shared" si="64"/>
        <v>80.388888888888886</v>
      </c>
      <c r="EZ25" s="19">
        <f t="shared" si="65"/>
        <v>81.73333333333332</v>
      </c>
      <c r="FA25" s="19">
        <f t="shared" si="65"/>
        <v>81</v>
      </c>
      <c r="FB25" s="19">
        <f t="shared" si="66"/>
        <v>79.833333333333329</v>
      </c>
      <c r="FC25" s="19">
        <f t="shared" si="67"/>
        <v>80.619150326797396</v>
      </c>
    </row>
    <row r="26" spans="1:159" ht="18">
      <c r="A26" s="11">
        <v>22</v>
      </c>
      <c r="B26" s="93" t="s">
        <v>653</v>
      </c>
      <c r="C26" s="94" t="s">
        <v>515</v>
      </c>
      <c r="D26" s="93" t="s">
        <v>631</v>
      </c>
      <c r="E26" s="95">
        <v>81</v>
      </c>
      <c r="F26" s="95">
        <v>80</v>
      </c>
      <c r="G26" s="96">
        <v>85</v>
      </c>
      <c r="H26" s="96">
        <v>83</v>
      </c>
      <c r="I26" s="95">
        <v>79</v>
      </c>
      <c r="J26" s="95">
        <v>80</v>
      </c>
      <c r="K26" s="95">
        <v>70</v>
      </c>
      <c r="L26" s="95">
        <v>78</v>
      </c>
      <c r="M26" s="95">
        <v>87</v>
      </c>
      <c r="N26" s="95">
        <v>93</v>
      </c>
      <c r="O26" s="95">
        <v>93</v>
      </c>
      <c r="P26" s="95">
        <v>80</v>
      </c>
      <c r="Q26" s="96">
        <v>78</v>
      </c>
      <c r="R26" s="96">
        <v>70</v>
      </c>
      <c r="S26" s="96">
        <v>80</v>
      </c>
      <c r="T26" s="96">
        <v>84</v>
      </c>
      <c r="U26" s="95">
        <v>78</v>
      </c>
      <c r="V26" s="95">
        <v>80</v>
      </c>
      <c r="W26" s="95">
        <v>84</v>
      </c>
      <c r="X26" s="95">
        <v>84</v>
      </c>
      <c r="Y26" s="95">
        <v>84</v>
      </c>
      <c r="Z26" s="95">
        <v>86</v>
      </c>
      <c r="AA26" s="95">
        <v>70</v>
      </c>
      <c r="AB26" s="95">
        <v>70</v>
      </c>
      <c r="AC26" s="95">
        <v>77</v>
      </c>
      <c r="AD26" s="95">
        <v>80</v>
      </c>
      <c r="AE26" s="96">
        <v>92</v>
      </c>
      <c r="AF26" s="96">
        <v>74</v>
      </c>
      <c r="AG26" s="95">
        <v>75</v>
      </c>
      <c r="AH26" s="95">
        <v>70</v>
      </c>
      <c r="AI26" s="95">
        <v>70</v>
      </c>
      <c r="AJ26" s="95">
        <v>80</v>
      </c>
      <c r="AK26" s="95">
        <v>80</v>
      </c>
      <c r="AL26" s="95">
        <v>80</v>
      </c>
      <c r="AM26" s="95">
        <v>72</v>
      </c>
      <c r="AN26" s="95">
        <v>71</v>
      </c>
      <c r="AO26" s="96">
        <v>75</v>
      </c>
      <c r="AP26" s="96">
        <v>76</v>
      </c>
      <c r="AQ26" s="95">
        <v>78</v>
      </c>
      <c r="AR26" s="95">
        <v>78</v>
      </c>
      <c r="AS26" s="95">
        <v>70</v>
      </c>
      <c r="AT26" s="95">
        <v>70</v>
      </c>
      <c r="AU26" s="95">
        <v>74</v>
      </c>
      <c r="AV26" s="95">
        <v>80</v>
      </c>
      <c r="AW26" s="95">
        <v>73</v>
      </c>
      <c r="AX26" s="95">
        <v>78</v>
      </c>
      <c r="AY26" s="95">
        <v>74</v>
      </c>
      <c r="AZ26" s="96">
        <v>75</v>
      </c>
      <c r="BA26" s="96">
        <v>70</v>
      </c>
      <c r="BB26" s="96">
        <v>72</v>
      </c>
      <c r="BC26" s="95">
        <v>80</v>
      </c>
      <c r="BD26" s="95">
        <v>79</v>
      </c>
      <c r="BE26" s="96">
        <v>70</v>
      </c>
      <c r="BF26" s="96">
        <v>75</v>
      </c>
      <c r="BG26" s="96">
        <v>74</v>
      </c>
      <c r="BH26" s="15">
        <v>80</v>
      </c>
      <c r="BI26" s="95">
        <v>70</v>
      </c>
      <c r="BJ26" s="95">
        <v>70</v>
      </c>
      <c r="BK26" s="95">
        <v>75</v>
      </c>
      <c r="BL26" s="15">
        <v>80</v>
      </c>
      <c r="BM26" s="95">
        <v>75</v>
      </c>
      <c r="BN26" s="95">
        <v>74</v>
      </c>
      <c r="BO26" s="95">
        <v>77</v>
      </c>
      <c r="BP26" s="15">
        <v>80</v>
      </c>
      <c r="BQ26" s="15">
        <f t="shared" si="0"/>
        <v>71.666666666666671</v>
      </c>
      <c r="BR26" s="15">
        <f t="shared" si="0"/>
        <v>73</v>
      </c>
      <c r="BS26" s="15">
        <f t="shared" si="0"/>
        <v>75.333333333333329</v>
      </c>
      <c r="BT26" s="15">
        <f t="shared" si="0"/>
        <v>80</v>
      </c>
      <c r="BU26" s="14">
        <v>77</v>
      </c>
      <c r="BV26" s="14">
        <v>82</v>
      </c>
      <c r="BW26" s="14">
        <v>80</v>
      </c>
      <c r="BX26" s="15">
        <v>80</v>
      </c>
      <c r="BY26" s="15">
        <v>80</v>
      </c>
      <c r="BZ26" s="15">
        <v>70</v>
      </c>
      <c r="CA26" s="15">
        <v>75</v>
      </c>
      <c r="CB26" s="15">
        <v>70</v>
      </c>
      <c r="CC26" s="15">
        <v>78</v>
      </c>
      <c r="CD26" s="39">
        <v>81</v>
      </c>
      <c r="CE26" s="39">
        <v>85</v>
      </c>
      <c r="CF26" s="40">
        <v>70</v>
      </c>
      <c r="CG26" s="40">
        <v>70</v>
      </c>
      <c r="CH26" s="39">
        <v>79</v>
      </c>
      <c r="CI26" s="39">
        <v>80</v>
      </c>
      <c r="CJ26" s="39">
        <v>76</v>
      </c>
      <c r="CK26" s="39">
        <v>70</v>
      </c>
      <c r="CL26" s="39">
        <v>70</v>
      </c>
      <c r="CM26" s="41">
        <f t="shared" si="1"/>
        <v>81.599999999999994</v>
      </c>
      <c r="CN26" s="41">
        <f t="shared" si="2"/>
        <v>80</v>
      </c>
      <c r="CO26" s="41">
        <f t="shared" si="3"/>
        <v>81</v>
      </c>
      <c r="CP26" s="17">
        <f t="shared" si="4"/>
        <v>80.94</v>
      </c>
      <c r="CQ26" s="16">
        <f t="shared" si="5"/>
        <v>84.2</v>
      </c>
      <c r="CR26" s="16">
        <f t="shared" si="6"/>
        <v>80</v>
      </c>
      <c r="CS26" s="16">
        <f t="shared" si="7"/>
        <v>85</v>
      </c>
      <c r="CT26" s="17">
        <f t="shared" si="8"/>
        <v>83.179999999999993</v>
      </c>
      <c r="CU26" s="17">
        <f t="shared" si="9"/>
        <v>78</v>
      </c>
      <c r="CV26" s="17">
        <f t="shared" si="10"/>
        <v>80</v>
      </c>
      <c r="CW26" s="17">
        <f t="shared" si="11"/>
        <v>70</v>
      </c>
      <c r="CX26" s="17">
        <f t="shared" si="12"/>
        <v>76.2</v>
      </c>
      <c r="CY26" s="18">
        <f t="shared" si="13"/>
        <v>84.5</v>
      </c>
      <c r="CZ26" s="18">
        <f t="shared" si="14"/>
        <v>84.5</v>
      </c>
      <c r="DA26" s="18">
        <f t="shared" si="15"/>
        <v>74.25</v>
      </c>
      <c r="DB26" s="18">
        <f t="shared" si="16"/>
        <v>74.25</v>
      </c>
      <c r="DC26" s="18">
        <f t="shared" si="17"/>
        <v>83</v>
      </c>
      <c r="DD26" s="18">
        <f t="shared" si="18"/>
        <v>83</v>
      </c>
      <c r="DE26" s="18">
        <f t="shared" si="19"/>
        <v>73.75</v>
      </c>
      <c r="DF26" s="18">
        <f t="shared" si="20"/>
        <v>73.75</v>
      </c>
      <c r="DG26" s="18">
        <f t="shared" si="21"/>
        <v>80</v>
      </c>
      <c r="DH26" s="18">
        <f t="shared" si="21"/>
        <v>80</v>
      </c>
      <c r="DI26" s="18">
        <f t="shared" si="22"/>
        <v>70</v>
      </c>
      <c r="DJ26" s="17">
        <f t="shared" si="23"/>
        <v>77</v>
      </c>
      <c r="DK26" s="18">
        <f t="shared" si="24"/>
        <v>74.400000000000006</v>
      </c>
      <c r="DL26" s="18">
        <f t="shared" si="25"/>
        <v>78</v>
      </c>
      <c r="DM26" s="18">
        <f t="shared" si="26"/>
        <v>79</v>
      </c>
      <c r="DN26" s="17">
        <f t="shared" si="27"/>
        <v>76.86</v>
      </c>
      <c r="DO26" s="18">
        <f t="shared" si="28"/>
        <v>73.400000000000006</v>
      </c>
      <c r="DP26" s="18">
        <f t="shared" si="29"/>
        <v>78</v>
      </c>
      <c r="DQ26" s="18">
        <f t="shared" si="30"/>
        <v>80</v>
      </c>
      <c r="DR26" s="17">
        <f t="shared" si="31"/>
        <v>76.760000000000005</v>
      </c>
      <c r="DS26" s="18">
        <f t="shared" si="32"/>
        <v>74.5</v>
      </c>
      <c r="DT26" s="18">
        <f t="shared" si="33"/>
        <v>74.5</v>
      </c>
      <c r="DU26" s="18">
        <f t="shared" si="34"/>
        <v>71</v>
      </c>
      <c r="DV26" s="18">
        <f t="shared" si="35"/>
        <v>71</v>
      </c>
      <c r="DW26" s="18">
        <f t="shared" si="36"/>
        <v>79.5</v>
      </c>
      <c r="DX26" s="17">
        <f t="shared" si="37"/>
        <v>79.5</v>
      </c>
      <c r="DY26" s="18">
        <f t="shared" si="38"/>
        <v>73.333333333333329</v>
      </c>
      <c r="DZ26" s="18">
        <f t="shared" si="39"/>
        <v>80</v>
      </c>
      <c r="EA26" s="18">
        <f t="shared" si="40"/>
        <v>70</v>
      </c>
      <c r="EB26" s="17">
        <f t="shared" si="41"/>
        <v>74.333333333333329</v>
      </c>
      <c r="EC26" s="18">
        <f t="shared" si="42"/>
        <v>79.666666666666671</v>
      </c>
      <c r="ED26" s="18">
        <f t="shared" si="43"/>
        <v>80</v>
      </c>
      <c r="EE26" s="18">
        <f t="shared" si="44"/>
        <v>70</v>
      </c>
      <c r="EF26" s="17">
        <f t="shared" si="45"/>
        <v>76.866666666666674</v>
      </c>
      <c r="EG26" s="18">
        <f t="shared" si="46"/>
        <v>80</v>
      </c>
      <c r="EH26" s="18">
        <f t="shared" si="47"/>
        <v>71.666666666666671</v>
      </c>
      <c r="EI26" s="18">
        <f t="shared" si="48"/>
        <v>78</v>
      </c>
      <c r="EJ26" s="18">
        <f t="shared" si="49"/>
        <v>76</v>
      </c>
      <c r="EK26" s="17">
        <f t="shared" si="50"/>
        <v>74.866666666666674</v>
      </c>
      <c r="EL26" s="19">
        <f t="shared" si="51"/>
        <v>80.94</v>
      </c>
      <c r="EM26" s="19">
        <f t="shared" si="52"/>
        <v>83.179999999999993</v>
      </c>
      <c r="EN26" s="19">
        <f t="shared" si="53"/>
        <v>76.2</v>
      </c>
      <c r="EO26" s="19">
        <f t="shared" si="54"/>
        <v>84.5</v>
      </c>
      <c r="EP26" s="19">
        <f t="shared" si="55"/>
        <v>74.25</v>
      </c>
      <c r="EQ26" s="19">
        <f t="shared" si="56"/>
        <v>83</v>
      </c>
      <c r="ER26" s="19">
        <f t="shared" si="57"/>
        <v>73.75</v>
      </c>
      <c r="ES26" s="19">
        <f t="shared" si="58"/>
        <v>77</v>
      </c>
      <c r="ET26" s="19">
        <f t="shared" si="59"/>
        <v>76.86</v>
      </c>
      <c r="EU26" s="19">
        <f t="shared" si="60"/>
        <v>76.760000000000005</v>
      </c>
      <c r="EV26" s="19">
        <f t="shared" si="61"/>
        <v>74.5</v>
      </c>
      <c r="EW26" s="19">
        <f t="shared" si="62"/>
        <v>71</v>
      </c>
      <c r="EX26" s="19">
        <f t="shared" si="63"/>
        <v>79.5</v>
      </c>
      <c r="EY26" s="19">
        <f t="shared" si="64"/>
        <v>74.333333333333329</v>
      </c>
      <c r="EZ26" s="19">
        <f t="shared" si="65"/>
        <v>76.866666666666674</v>
      </c>
      <c r="FA26" s="19">
        <f t="shared" si="65"/>
        <v>80</v>
      </c>
      <c r="FB26" s="19">
        <f t="shared" si="66"/>
        <v>74.866666666666674</v>
      </c>
      <c r="FC26" s="19">
        <f t="shared" si="67"/>
        <v>77.500392156862745</v>
      </c>
    </row>
    <row r="27" spans="1:159" ht="18">
      <c r="A27" s="11">
        <v>23</v>
      </c>
      <c r="B27" s="93" t="s">
        <v>654</v>
      </c>
      <c r="C27" s="94" t="s">
        <v>517</v>
      </c>
      <c r="D27" s="93" t="s">
        <v>631</v>
      </c>
      <c r="E27" s="95">
        <v>90</v>
      </c>
      <c r="F27" s="95">
        <v>87</v>
      </c>
      <c r="G27" s="96">
        <v>92</v>
      </c>
      <c r="H27" s="96">
        <v>87</v>
      </c>
      <c r="I27" s="95">
        <v>92</v>
      </c>
      <c r="J27" s="95">
        <v>81</v>
      </c>
      <c r="K27" s="95">
        <v>80</v>
      </c>
      <c r="L27" s="95">
        <v>82</v>
      </c>
      <c r="M27" s="95">
        <v>92</v>
      </c>
      <c r="N27" s="95">
        <v>94</v>
      </c>
      <c r="O27" s="95">
        <v>95</v>
      </c>
      <c r="P27" s="95">
        <v>78</v>
      </c>
      <c r="Q27" s="96">
        <v>89</v>
      </c>
      <c r="R27" s="96">
        <v>83</v>
      </c>
      <c r="S27" s="96">
        <v>83</v>
      </c>
      <c r="T27" s="96">
        <v>87</v>
      </c>
      <c r="U27" s="95">
        <v>84</v>
      </c>
      <c r="V27" s="95">
        <v>79</v>
      </c>
      <c r="W27" s="95">
        <v>83</v>
      </c>
      <c r="X27" s="95">
        <v>85</v>
      </c>
      <c r="Y27" s="95">
        <v>84</v>
      </c>
      <c r="Z27" s="95">
        <v>87</v>
      </c>
      <c r="AA27" s="95">
        <v>80</v>
      </c>
      <c r="AB27" s="95">
        <v>80</v>
      </c>
      <c r="AC27" s="95">
        <v>83</v>
      </c>
      <c r="AD27" s="95">
        <v>84</v>
      </c>
      <c r="AE27" s="96">
        <v>92</v>
      </c>
      <c r="AF27" s="96">
        <v>83</v>
      </c>
      <c r="AG27" s="95">
        <v>76</v>
      </c>
      <c r="AH27" s="95">
        <v>75</v>
      </c>
      <c r="AI27" s="95">
        <v>70</v>
      </c>
      <c r="AJ27" s="95">
        <v>81</v>
      </c>
      <c r="AK27" s="95">
        <v>89</v>
      </c>
      <c r="AL27" s="95">
        <v>79</v>
      </c>
      <c r="AM27" s="95">
        <v>78</v>
      </c>
      <c r="AN27" s="95">
        <v>79</v>
      </c>
      <c r="AO27" s="96">
        <v>77</v>
      </c>
      <c r="AP27" s="96">
        <v>84</v>
      </c>
      <c r="AQ27" s="95">
        <v>86</v>
      </c>
      <c r="AR27" s="95">
        <v>77</v>
      </c>
      <c r="AS27" s="95">
        <v>79</v>
      </c>
      <c r="AT27" s="95">
        <v>77</v>
      </c>
      <c r="AU27" s="95">
        <v>77</v>
      </c>
      <c r="AV27" s="95">
        <v>83</v>
      </c>
      <c r="AW27" s="95">
        <v>83</v>
      </c>
      <c r="AX27" s="95">
        <v>77</v>
      </c>
      <c r="AY27" s="95">
        <v>76</v>
      </c>
      <c r="AZ27" s="96">
        <v>80</v>
      </c>
      <c r="BA27" s="96">
        <v>78</v>
      </c>
      <c r="BB27" s="96">
        <v>83</v>
      </c>
      <c r="BC27" s="95">
        <v>80</v>
      </c>
      <c r="BD27" s="95">
        <v>83</v>
      </c>
      <c r="BE27" s="96">
        <v>78</v>
      </c>
      <c r="BF27" s="96">
        <v>79</v>
      </c>
      <c r="BG27" s="96">
        <v>80</v>
      </c>
      <c r="BH27" s="15">
        <v>79</v>
      </c>
      <c r="BI27" s="95">
        <v>78</v>
      </c>
      <c r="BJ27" s="95">
        <v>89</v>
      </c>
      <c r="BK27" s="95">
        <v>88</v>
      </c>
      <c r="BL27" s="15">
        <v>79</v>
      </c>
      <c r="BM27" s="95">
        <v>80</v>
      </c>
      <c r="BN27" s="95">
        <v>78</v>
      </c>
      <c r="BO27" s="95">
        <v>89</v>
      </c>
      <c r="BP27" s="15">
        <v>79</v>
      </c>
      <c r="BQ27" s="15">
        <f t="shared" si="0"/>
        <v>78.666666666666671</v>
      </c>
      <c r="BR27" s="15">
        <f t="shared" si="0"/>
        <v>82</v>
      </c>
      <c r="BS27" s="15">
        <f t="shared" si="0"/>
        <v>85.666666666666671</v>
      </c>
      <c r="BT27" s="15">
        <f t="shared" si="0"/>
        <v>79</v>
      </c>
      <c r="BU27" s="14">
        <v>77</v>
      </c>
      <c r="BV27" s="14">
        <v>82</v>
      </c>
      <c r="BW27" s="14">
        <v>89</v>
      </c>
      <c r="BX27" s="15">
        <v>79</v>
      </c>
      <c r="BY27" s="15">
        <v>79</v>
      </c>
      <c r="BZ27" s="15">
        <v>71</v>
      </c>
      <c r="CA27" s="15">
        <v>85</v>
      </c>
      <c r="CB27" s="15">
        <v>79</v>
      </c>
      <c r="CC27" s="15">
        <v>77</v>
      </c>
      <c r="CD27" s="39">
        <v>86</v>
      </c>
      <c r="CE27" s="39">
        <v>95</v>
      </c>
      <c r="CF27" s="40">
        <v>85</v>
      </c>
      <c r="CG27" s="40">
        <v>77</v>
      </c>
      <c r="CH27" s="39">
        <v>87</v>
      </c>
      <c r="CI27" s="39">
        <v>83</v>
      </c>
      <c r="CJ27" s="39">
        <v>81</v>
      </c>
      <c r="CK27" s="39">
        <v>85</v>
      </c>
      <c r="CL27" s="39">
        <v>70</v>
      </c>
      <c r="CM27" s="41">
        <f t="shared" si="1"/>
        <v>89.6</v>
      </c>
      <c r="CN27" s="41">
        <f t="shared" si="2"/>
        <v>81</v>
      </c>
      <c r="CO27" s="41">
        <f t="shared" si="3"/>
        <v>86</v>
      </c>
      <c r="CP27" s="17">
        <f t="shared" si="4"/>
        <v>85.94</v>
      </c>
      <c r="CQ27" s="16">
        <f t="shared" si="5"/>
        <v>88.6</v>
      </c>
      <c r="CR27" s="16">
        <f t="shared" si="6"/>
        <v>78</v>
      </c>
      <c r="CS27" s="16">
        <f t="shared" si="7"/>
        <v>95</v>
      </c>
      <c r="CT27" s="17">
        <f t="shared" si="8"/>
        <v>87.34</v>
      </c>
      <c r="CU27" s="17">
        <f t="shared" si="9"/>
        <v>85.2</v>
      </c>
      <c r="CV27" s="17">
        <f t="shared" si="10"/>
        <v>79</v>
      </c>
      <c r="CW27" s="17">
        <f t="shared" si="11"/>
        <v>85</v>
      </c>
      <c r="CX27" s="17">
        <f t="shared" si="12"/>
        <v>83.28</v>
      </c>
      <c r="CY27" s="18">
        <f t="shared" si="13"/>
        <v>84.75</v>
      </c>
      <c r="CZ27" s="18">
        <f t="shared" si="14"/>
        <v>84.75</v>
      </c>
      <c r="DA27" s="18">
        <f t="shared" si="15"/>
        <v>81.75</v>
      </c>
      <c r="DB27" s="18">
        <f t="shared" si="16"/>
        <v>81.75</v>
      </c>
      <c r="DC27" s="18">
        <f t="shared" si="17"/>
        <v>87.5</v>
      </c>
      <c r="DD27" s="18">
        <f t="shared" si="18"/>
        <v>87.5</v>
      </c>
      <c r="DE27" s="18">
        <f t="shared" si="19"/>
        <v>75.5</v>
      </c>
      <c r="DF27" s="18">
        <f t="shared" si="20"/>
        <v>75.5</v>
      </c>
      <c r="DG27" s="18">
        <f t="shared" si="21"/>
        <v>89</v>
      </c>
      <c r="DH27" s="18">
        <f t="shared" si="21"/>
        <v>79</v>
      </c>
      <c r="DI27" s="18">
        <f t="shared" si="22"/>
        <v>77</v>
      </c>
      <c r="DJ27" s="17">
        <f t="shared" si="23"/>
        <v>82.4</v>
      </c>
      <c r="DK27" s="18">
        <f t="shared" si="24"/>
        <v>80.8</v>
      </c>
      <c r="DL27" s="18">
        <f t="shared" si="25"/>
        <v>77</v>
      </c>
      <c r="DM27" s="18">
        <f t="shared" si="26"/>
        <v>87</v>
      </c>
      <c r="DN27" s="17">
        <f t="shared" si="27"/>
        <v>81.52000000000001</v>
      </c>
      <c r="DO27" s="18">
        <f t="shared" si="28"/>
        <v>79.8</v>
      </c>
      <c r="DP27" s="18">
        <f t="shared" si="29"/>
        <v>77</v>
      </c>
      <c r="DQ27" s="18">
        <f t="shared" si="30"/>
        <v>83</v>
      </c>
      <c r="DR27" s="17">
        <f t="shared" si="31"/>
        <v>79.92</v>
      </c>
      <c r="DS27" s="18">
        <f t="shared" si="32"/>
        <v>78</v>
      </c>
      <c r="DT27" s="18">
        <f t="shared" si="33"/>
        <v>78</v>
      </c>
      <c r="DU27" s="18">
        <f t="shared" si="34"/>
        <v>80.5</v>
      </c>
      <c r="DV27" s="18">
        <f t="shared" si="35"/>
        <v>80.5</v>
      </c>
      <c r="DW27" s="18">
        <f t="shared" si="36"/>
        <v>81.5</v>
      </c>
      <c r="DX27" s="17">
        <f t="shared" si="37"/>
        <v>81.5</v>
      </c>
      <c r="DY27" s="18">
        <f t="shared" si="38"/>
        <v>82.111111111111128</v>
      </c>
      <c r="DZ27" s="18">
        <f t="shared" si="39"/>
        <v>79</v>
      </c>
      <c r="EA27" s="18">
        <f t="shared" si="40"/>
        <v>70</v>
      </c>
      <c r="EB27" s="17">
        <f t="shared" si="41"/>
        <v>77.544444444444451</v>
      </c>
      <c r="EC27" s="18">
        <f t="shared" si="42"/>
        <v>82.666666666666671</v>
      </c>
      <c r="ED27" s="18">
        <f t="shared" si="43"/>
        <v>79</v>
      </c>
      <c r="EE27" s="18">
        <f t="shared" si="44"/>
        <v>85</v>
      </c>
      <c r="EF27" s="17">
        <f t="shared" si="45"/>
        <v>82.26666666666668</v>
      </c>
      <c r="EG27" s="18">
        <f t="shared" si="46"/>
        <v>79</v>
      </c>
      <c r="EH27" s="18">
        <f t="shared" si="47"/>
        <v>78.333333333333329</v>
      </c>
      <c r="EI27" s="18">
        <f t="shared" si="48"/>
        <v>77</v>
      </c>
      <c r="EJ27" s="18">
        <f t="shared" si="49"/>
        <v>81</v>
      </c>
      <c r="EK27" s="17">
        <f t="shared" si="50"/>
        <v>78.73333333333332</v>
      </c>
      <c r="EL27" s="19">
        <f t="shared" si="51"/>
        <v>85.94</v>
      </c>
      <c r="EM27" s="19">
        <f t="shared" si="52"/>
        <v>87.34</v>
      </c>
      <c r="EN27" s="19">
        <f t="shared" si="53"/>
        <v>83.28</v>
      </c>
      <c r="EO27" s="19">
        <f t="shared" si="54"/>
        <v>84.75</v>
      </c>
      <c r="EP27" s="19">
        <f t="shared" si="55"/>
        <v>81.75</v>
      </c>
      <c r="EQ27" s="19">
        <f t="shared" si="56"/>
        <v>87.5</v>
      </c>
      <c r="ER27" s="19">
        <f t="shared" si="57"/>
        <v>75.5</v>
      </c>
      <c r="ES27" s="19">
        <f t="shared" si="58"/>
        <v>82.4</v>
      </c>
      <c r="ET27" s="19">
        <f t="shared" si="59"/>
        <v>81.52000000000001</v>
      </c>
      <c r="EU27" s="19">
        <f t="shared" si="60"/>
        <v>79.92</v>
      </c>
      <c r="EV27" s="19">
        <f t="shared" si="61"/>
        <v>78</v>
      </c>
      <c r="EW27" s="19">
        <f t="shared" si="62"/>
        <v>80.5</v>
      </c>
      <c r="EX27" s="19">
        <f t="shared" si="63"/>
        <v>81.5</v>
      </c>
      <c r="EY27" s="19">
        <f t="shared" si="64"/>
        <v>77.544444444444451</v>
      </c>
      <c r="EZ27" s="19">
        <f t="shared" si="65"/>
        <v>82.26666666666668</v>
      </c>
      <c r="FA27" s="19">
        <f t="shared" si="65"/>
        <v>79</v>
      </c>
      <c r="FB27" s="19">
        <f t="shared" si="66"/>
        <v>78.73333333333332</v>
      </c>
      <c r="FC27" s="19">
        <f t="shared" si="67"/>
        <v>81.614379084967311</v>
      </c>
    </row>
    <row r="28" spans="1:159" ht="18">
      <c r="A28" s="11">
        <v>24</v>
      </c>
      <c r="B28" s="93" t="s">
        <v>655</v>
      </c>
      <c r="C28" s="94" t="s">
        <v>519</v>
      </c>
      <c r="D28" s="93" t="s">
        <v>631</v>
      </c>
      <c r="E28" s="95">
        <v>86</v>
      </c>
      <c r="F28" s="95">
        <v>89</v>
      </c>
      <c r="G28" s="96">
        <v>89</v>
      </c>
      <c r="H28" s="96">
        <v>85</v>
      </c>
      <c r="I28" s="95">
        <v>87</v>
      </c>
      <c r="J28" s="95">
        <v>85</v>
      </c>
      <c r="K28" s="95">
        <v>80</v>
      </c>
      <c r="L28" s="95">
        <v>80</v>
      </c>
      <c r="M28" s="95">
        <v>89</v>
      </c>
      <c r="N28" s="95">
        <v>89</v>
      </c>
      <c r="O28" s="95">
        <v>92</v>
      </c>
      <c r="P28" s="95">
        <v>90</v>
      </c>
      <c r="Q28" s="96">
        <v>92</v>
      </c>
      <c r="R28" s="96">
        <v>87</v>
      </c>
      <c r="S28" s="96">
        <v>85</v>
      </c>
      <c r="T28" s="96">
        <v>81</v>
      </c>
      <c r="U28" s="95">
        <v>75</v>
      </c>
      <c r="V28" s="95">
        <v>78</v>
      </c>
      <c r="W28" s="95">
        <v>83</v>
      </c>
      <c r="X28" s="95">
        <v>83</v>
      </c>
      <c r="Y28" s="95">
        <v>83</v>
      </c>
      <c r="Z28" s="95">
        <v>85</v>
      </c>
      <c r="AA28" s="95">
        <v>81</v>
      </c>
      <c r="AB28" s="95">
        <v>80</v>
      </c>
      <c r="AC28" s="95">
        <v>85</v>
      </c>
      <c r="AD28" s="95">
        <v>86</v>
      </c>
      <c r="AE28" s="96">
        <v>93</v>
      </c>
      <c r="AF28" s="96">
        <v>80</v>
      </c>
      <c r="AG28" s="95">
        <v>83</v>
      </c>
      <c r="AH28" s="95">
        <v>79</v>
      </c>
      <c r="AI28" s="95">
        <v>71</v>
      </c>
      <c r="AJ28" s="95">
        <v>84</v>
      </c>
      <c r="AK28" s="95">
        <v>85</v>
      </c>
      <c r="AL28" s="95">
        <v>78</v>
      </c>
      <c r="AM28" s="95">
        <v>77</v>
      </c>
      <c r="AN28" s="95">
        <v>77</v>
      </c>
      <c r="AO28" s="96">
        <v>84</v>
      </c>
      <c r="AP28" s="96">
        <v>83</v>
      </c>
      <c r="AQ28" s="95">
        <v>83</v>
      </c>
      <c r="AR28" s="95">
        <v>85</v>
      </c>
      <c r="AS28" s="95">
        <v>85</v>
      </c>
      <c r="AT28" s="95">
        <v>83</v>
      </c>
      <c r="AU28" s="95">
        <v>83</v>
      </c>
      <c r="AV28" s="95">
        <v>84</v>
      </c>
      <c r="AW28" s="95">
        <v>83</v>
      </c>
      <c r="AX28" s="95">
        <v>85</v>
      </c>
      <c r="AY28" s="95">
        <v>76</v>
      </c>
      <c r="AZ28" s="96">
        <v>80</v>
      </c>
      <c r="BA28" s="96">
        <v>82</v>
      </c>
      <c r="BB28" s="96">
        <v>83</v>
      </c>
      <c r="BC28" s="95">
        <v>81</v>
      </c>
      <c r="BD28" s="95">
        <v>83</v>
      </c>
      <c r="BE28" s="96">
        <v>85</v>
      </c>
      <c r="BF28" s="96">
        <v>81</v>
      </c>
      <c r="BG28" s="96">
        <v>80</v>
      </c>
      <c r="BH28" s="15">
        <v>80</v>
      </c>
      <c r="BI28" s="95">
        <v>82</v>
      </c>
      <c r="BJ28" s="95">
        <v>90</v>
      </c>
      <c r="BK28" s="95">
        <v>78</v>
      </c>
      <c r="BL28" s="15">
        <v>80</v>
      </c>
      <c r="BM28" s="95">
        <v>82</v>
      </c>
      <c r="BN28" s="95">
        <v>80</v>
      </c>
      <c r="BO28" s="95">
        <v>78</v>
      </c>
      <c r="BP28" s="15">
        <v>80</v>
      </c>
      <c r="BQ28" s="15">
        <f t="shared" si="0"/>
        <v>83</v>
      </c>
      <c r="BR28" s="15">
        <f t="shared" si="0"/>
        <v>83.666666666666671</v>
      </c>
      <c r="BS28" s="15">
        <f t="shared" si="0"/>
        <v>78.666666666666671</v>
      </c>
      <c r="BT28" s="15">
        <f t="shared" si="0"/>
        <v>80</v>
      </c>
      <c r="BU28" s="14">
        <v>81</v>
      </c>
      <c r="BV28" s="14">
        <v>82</v>
      </c>
      <c r="BW28" s="14">
        <v>85</v>
      </c>
      <c r="BX28" s="15">
        <v>80</v>
      </c>
      <c r="BY28" s="15">
        <v>84</v>
      </c>
      <c r="BZ28" s="15">
        <v>83</v>
      </c>
      <c r="CA28" s="15">
        <v>94</v>
      </c>
      <c r="CB28" s="15">
        <v>75</v>
      </c>
      <c r="CC28" s="15">
        <v>85</v>
      </c>
      <c r="CD28" s="39">
        <v>86</v>
      </c>
      <c r="CE28" s="39">
        <v>90</v>
      </c>
      <c r="CF28" s="40">
        <v>80</v>
      </c>
      <c r="CG28" s="40">
        <v>85</v>
      </c>
      <c r="CH28" s="39">
        <v>84</v>
      </c>
      <c r="CI28" s="39">
        <v>83</v>
      </c>
      <c r="CJ28" s="39">
        <v>78</v>
      </c>
      <c r="CK28" s="39">
        <v>81</v>
      </c>
      <c r="CL28" s="39">
        <v>82</v>
      </c>
      <c r="CM28" s="41">
        <f t="shared" si="1"/>
        <v>87.2</v>
      </c>
      <c r="CN28" s="41">
        <f t="shared" si="2"/>
        <v>85</v>
      </c>
      <c r="CO28" s="41">
        <f t="shared" si="3"/>
        <v>86</v>
      </c>
      <c r="CP28" s="17">
        <f t="shared" si="4"/>
        <v>86.179999999999993</v>
      </c>
      <c r="CQ28" s="16">
        <f t="shared" si="5"/>
        <v>86</v>
      </c>
      <c r="CR28" s="16">
        <f t="shared" si="6"/>
        <v>90</v>
      </c>
      <c r="CS28" s="16">
        <f t="shared" si="7"/>
        <v>90</v>
      </c>
      <c r="CT28" s="17">
        <f t="shared" si="8"/>
        <v>88.4</v>
      </c>
      <c r="CU28" s="17">
        <f t="shared" si="9"/>
        <v>84</v>
      </c>
      <c r="CV28" s="17">
        <f t="shared" si="10"/>
        <v>78</v>
      </c>
      <c r="CW28" s="17">
        <f t="shared" si="11"/>
        <v>80</v>
      </c>
      <c r="CX28" s="17">
        <f t="shared" si="12"/>
        <v>81</v>
      </c>
      <c r="CY28" s="18">
        <f t="shared" si="13"/>
        <v>83.5</v>
      </c>
      <c r="CZ28" s="18">
        <f t="shared" si="14"/>
        <v>83.5</v>
      </c>
      <c r="DA28" s="18">
        <f t="shared" si="15"/>
        <v>83</v>
      </c>
      <c r="DB28" s="18">
        <f t="shared" si="16"/>
        <v>83</v>
      </c>
      <c r="DC28" s="18">
        <f t="shared" si="17"/>
        <v>86.5</v>
      </c>
      <c r="DD28" s="18">
        <f t="shared" si="18"/>
        <v>86.5</v>
      </c>
      <c r="DE28" s="18">
        <f t="shared" si="19"/>
        <v>79.25</v>
      </c>
      <c r="DF28" s="18">
        <f t="shared" si="20"/>
        <v>79.25</v>
      </c>
      <c r="DG28" s="18">
        <f t="shared" si="21"/>
        <v>85</v>
      </c>
      <c r="DH28" s="18">
        <f t="shared" si="21"/>
        <v>78</v>
      </c>
      <c r="DI28" s="18">
        <f t="shared" si="22"/>
        <v>85</v>
      </c>
      <c r="DJ28" s="17">
        <f t="shared" si="23"/>
        <v>82.9</v>
      </c>
      <c r="DK28" s="18">
        <f t="shared" si="24"/>
        <v>80.8</v>
      </c>
      <c r="DL28" s="18">
        <f t="shared" si="25"/>
        <v>85</v>
      </c>
      <c r="DM28" s="18">
        <f t="shared" si="26"/>
        <v>84</v>
      </c>
      <c r="DN28" s="17">
        <f t="shared" si="27"/>
        <v>83.02000000000001</v>
      </c>
      <c r="DO28" s="18">
        <f t="shared" si="28"/>
        <v>83.6</v>
      </c>
      <c r="DP28" s="18">
        <f t="shared" si="29"/>
        <v>85</v>
      </c>
      <c r="DQ28" s="18">
        <f t="shared" si="30"/>
        <v>83</v>
      </c>
      <c r="DR28" s="17">
        <f t="shared" si="31"/>
        <v>83.84</v>
      </c>
      <c r="DS28" s="18">
        <f t="shared" si="32"/>
        <v>78</v>
      </c>
      <c r="DT28" s="18">
        <f t="shared" si="33"/>
        <v>78</v>
      </c>
      <c r="DU28" s="18">
        <f t="shared" si="34"/>
        <v>82.5</v>
      </c>
      <c r="DV28" s="18">
        <f t="shared" si="35"/>
        <v>82.5</v>
      </c>
      <c r="DW28" s="18">
        <f t="shared" si="36"/>
        <v>82</v>
      </c>
      <c r="DX28" s="17">
        <f t="shared" si="37"/>
        <v>82</v>
      </c>
      <c r="DY28" s="18">
        <f t="shared" si="38"/>
        <v>81.777777777777786</v>
      </c>
      <c r="DZ28" s="18">
        <f t="shared" si="39"/>
        <v>80</v>
      </c>
      <c r="EA28" s="18">
        <f t="shared" si="40"/>
        <v>82</v>
      </c>
      <c r="EB28" s="17">
        <f t="shared" si="41"/>
        <v>81.311111111111103</v>
      </c>
      <c r="EC28" s="18">
        <f t="shared" si="42"/>
        <v>82.666666666666671</v>
      </c>
      <c r="ED28" s="18">
        <f t="shared" si="43"/>
        <v>80</v>
      </c>
      <c r="EE28" s="18">
        <f t="shared" si="44"/>
        <v>81</v>
      </c>
      <c r="EF28" s="17">
        <f t="shared" si="45"/>
        <v>81.366666666666674</v>
      </c>
      <c r="EG28" s="18">
        <f t="shared" si="46"/>
        <v>84</v>
      </c>
      <c r="EH28" s="18">
        <f t="shared" si="47"/>
        <v>84</v>
      </c>
      <c r="EI28" s="18">
        <f t="shared" si="48"/>
        <v>85</v>
      </c>
      <c r="EJ28" s="18">
        <f t="shared" si="49"/>
        <v>78</v>
      </c>
      <c r="EK28" s="17">
        <f t="shared" si="50"/>
        <v>82.5</v>
      </c>
      <c r="EL28" s="19">
        <f t="shared" si="51"/>
        <v>86.179999999999993</v>
      </c>
      <c r="EM28" s="19">
        <f t="shared" si="52"/>
        <v>88.4</v>
      </c>
      <c r="EN28" s="19">
        <f t="shared" si="53"/>
        <v>81</v>
      </c>
      <c r="EO28" s="19">
        <f t="shared" si="54"/>
        <v>83.5</v>
      </c>
      <c r="EP28" s="19">
        <f t="shared" si="55"/>
        <v>83</v>
      </c>
      <c r="EQ28" s="19">
        <f t="shared" si="56"/>
        <v>86.5</v>
      </c>
      <c r="ER28" s="19">
        <f t="shared" si="57"/>
        <v>79.25</v>
      </c>
      <c r="ES28" s="19">
        <f t="shared" si="58"/>
        <v>82.9</v>
      </c>
      <c r="ET28" s="19">
        <f t="shared" si="59"/>
        <v>83.02000000000001</v>
      </c>
      <c r="EU28" s="19">
        <f t="shared" si="60"/>
        <v>83.84</v>
      </c>
      <c r="EV28" s="19">
        <f t="shared" si="61"/>
        <v>78</v>
      </c>
      <c r="EW28" s="19">
        <f t="shared" si="62"/>
        <v>82.5</v>
      </c>
      <c r="EX28" s="19">
        <f t="shared" si="63"/>
        <v>82</v>
      </c>
      <c r="EY28" s="19">
        <f t="shared" si="64"/>
        <v>81.311111111111103</v>
      </c>
      <c r="EZ28" s="19">
        <f t="shared" si="65"/>
        <v>81.366666666666674</v>
      </c>
      <c r="FA28" s="19">
        <f t="shared" si="65"/>
        <v>84</v>
      </c>
      <c r="FB28" s="19">
        <f t="shared" si="66"/>
        <v>82.5</v>
      </c>
      <c r="FC28" s="19">
        <f t="shared" si="67"/>
        <v>82.898104575163387</v>
      </c>
    </row>
    <row r="29" spans="1:159" ht="18">
      <c r="A29" s="11">
        <v>25</v>
      </c>
      <c r="B29" s="93" t="s">
        <v>656</v>
      </c>
      <c r="C29" s="94" t="s">
        <v>521</v>
      </c>
      <c r="D29" s="93" t="s">
        <v>631</v>
      </c>
      <c r="E29" s="95">
        <v>88</v>
      </c>
      <c r="F29" s="95">
        <v>94</v>
      </c>
      <c r="G29" s="96">
        <v>89</v>
      </c>
      <c r="H29" s="96">
        <v>83</v>
      </c>
      <c r="I29" s="95">
        <v>89</v>
      </c>
      <c r="J29" s="95">
        <v>82</v>
      </c>
      <c r="K29" s="95">
        <v>85</v>
      </c>
      <c r="L29" s="95">
        <v>80</v>
      </c>
      <c r="M29" s="95">
        <v>86</v>
      </c>
      <c r="N29" s="95">
        <v>87</v>
      </c>
      <c r="O29" s="95">
        <v>90</v>
      </c>
      <c r="P29" s="95">
        <v>93</v>
      </c>
      <c r="Q29" s="96">
        <v>91</v>
      </c>
      <c r="R29" s="96">
        <v>88</v>
      </c>
      <c r="S29" s="96">
        <v>85</v>
      </c>
      <c r="T29" s="96">
        <v>81</v>
      </c>
      <c r="U29" s="95">
        <v>79</v>
      </c>
      <c r="V29" s="95">
        <v>88</v>
      </c>
      <c r="W29" s="95">
        <v>84</v>
      </c>
      <c r="X29" s="95">
        <v>84</v>
      </c>
      <c r="Y29" s="95">
        <v>83</v>
      </c>
      <c r="Z29" s="95">
        <v>85</v>
      </c>
      <c r="AA29" s="95">
        <v>75</v>
      </c>
      <c r="AB29" s="95">
        <v>79</v>
      </c>
      <c r="AC29" s="95">
        <v>81</v>
      </c>
      <c r="AD29" s="95">
        <v>82</v>
      </c>
      <c r="AE29" s="96">
        <v>94</v>
      </c>
      <c r="AF29" s="96">
        <v>83</v>
      </c>
      <c r="AG29" s="95">
        <v>79</v>
      </c>
      <c r="AH29" s="95">
        <v>78</v>
      </c>
      <c r="AI29" s="95">
        <v>70</v>
      </c>
      <c r="AJ29" s="95">
        <v>82</v>
      </c>
      <c r="AK29" s="95">
        <v>84</v>
      </c>
      <c r="AL29" s="95">
        <v>88</v>
      </c>
      <c r="AM29" s="95">
        <v>75</v>
      </c>
      <c r="AN29" s="95">
        <v>76</v>
      </c>
      <c r="AO29" s="96">
        <v>82</v>
      </c>
      <c r="AP29" s="96">
        <v>80</v>
      </c>
      <c r="AQ29" s="95">
        <v>81</v>
      </c>
      <c r="AR29" s="95">
        <v>83</v>
      </c>
      <c r="AS29" s="95">
        <v>72</v>
      </c>
      <c r="AT29" s="95">
        <v>78</v>
      </c>
      <c r="AU29" s="95">
        <v>80</v>
      </c>
      <c r="AV29" s="95">
        <v>80</v>
      </c>
      <c r="AW29" s="95">
        <v>78</v>
      </c>
      <c r="AX29" s="95">
        <v>83</v>
      </c>
      <c r="AY29" s="95">
        <v>75</v>
      </c>
      <c r="AZ29" s="96">
        <v>79</v>
      </c>
      <c r="BA29" s="96">
        <v>84</v>
      </c>
      <c r="BB29" s="96">
        <v>86</v>
      </c>
      <c r="BC29" s="95">
        <v>81</v>
      </c>
      <c r="BD29" s="95">
        <v>82</v>
      </c>
      <c r="BE29" s="96">
        <v>83</v>
      </c>
      <c r="BF29" s="96">
        <v>81</v>
      </c>
      <c r="BG29" s="96">
        <v>80</v>
      </c>
      <c r="BH29" s="15">
        <v>80</v>
      </c>
      <c r="BI29" s="95">
        <v>85</v>
      </c>
      <c r="BJ29" s="95">
        <v>89</v>
      </c>
      <c r="BK29" s="95">
        <v>85</v>
      </c>
      <c r="BL29" s="15">
        <v>80</v>
      </c>
      <c r="BM29" s="95">
        <v>83</v>
      </c>
      <c r="BN29" s="95">
        <v>80</v>
      </c>
      <c r="BO29" s="95">
        <v>86</v>
      </c>
      <c r="BP29" s="15">
        <v>80</v>
      </c>
      <c r="BQ29" s="15">
        <f t="shared" si="0"/>
        <v>83.666666666666671</v>
      </c>
      <c r="BR29" s="15">
        <f t="shared" si="0"/>
        <v>83.333333333333329</v>
      </c>
      <c r="BS29" s="15">
        <f t="shared" si="0"/>
        <v>83.666666666666671</v>
      </c>
      <c r="BT29" s="15">
        <f t="shared" si="0"/>
        <v>80</v>
      </c>
      <c r="BU29" s="14">
        <v>81</v>
      </c>
      <c r="BV29" s="14">
        <v>82</v>
      </c>
      <c r="BW29" s="14">
        <v>84</v>
      </c>
      <c r="BX29" s="15">
        <v>80</v>
      </c>
      <c r="BY29" s="15">
        <v>85</v>
      </c>
      <c r="BZ29" s="15">
        <v>71</v>
      </c>
      <c r="CA29" s="15">
        <v>87</v>
      </c>
      <c r="CB29" s="15">
        <v>76</v>
      </c>
      <c r="CC29" s="15">
        <v>83</v>
      </c>
      <c r="CD29" s="39">
        <v>88</v>
      </c>
      <c r="CE29" s="39">
        <v>95</v>
      </c>
      <c r="CF29" s="40">
        <v>84</v>
      </c>
      <c r="CG29" s="40">
        <v>92</v>
      </c>
      <c r="CH29" s="39">
        <v>82</v>
      </c>
      <c r="CI29" s="39">
        <v>85</v>
      </c>
      <c r="CJ29" s="39">
        <v>80</v>
      </c>
      <c r="CK29" s="39">
        <v>85</v>
      </c>
      <c r="CL29" s="39">
        <v>72</v>
      </c>
      <c r="CM29" s="41">
        <f t="shared" si="1"/>
        <v>88.6</v>
      </c>
      <c r="CN29" s="41">
        <f t="shared" si="2"/>
        <v>82</v>
      </c>
      <c r="CO29" s="41">
        <f t="shared" si="3"/>
        <v>88</v>
      </c>
      <c r="CP29" s="17">
        <f t="shared" si="4"/>
        <v>86.44</v>
      </c>
      <c r="CQ29" s="16">
        <f t="shared" si="5"/>
        <v>85.6</v>
      </c>
      <c r="CR29" s="16">
        <f t="shared" si="6"/>
        <v>93</v>
      </c>
      <c r="CS29" s="16">
        <f t="shared" si="7"/>
        <v>95</v>
      </c>
      <c r="CT29" s="17">
        <f t="shared" si="8"/>
        <v>90.64</v>
      </c>
      <c r="CU29" s="17">
        <f t="shared" si="9"/>
        <v>84.8</v>
      </c>
      <c r="CV29" s="17">
        <f t="shared" si="10"/>
        <v>88</v>
      </c>
      <c r="CW29" s="17">
        <f t="shared" si="11"/>
        <v>84</v>
      </c>
      <c r="CX29" s="17">
        <f t="shared" si="12"/>
        <v>85.52000000000001</v>
      </c>
      <c r="CY29" s="18">
        <f t="shared" si="13"/>
        <v>84</v>
      </c>
      <c r="CZ29" s="18">
        <f t="shared" si="14"/>
        <v>84</v>
      </c>
      <c r="DA29" s="18">
        <f t="shared" si="15"/>
        <v>79.25</v>
      </c>
      <c r="DB29" s="18">
        <f t="shared" si="16"/>
        <v>79.25</v>
      </c>
      <c r="DC29" s="18">
        <f t="shared" si="17"/>
        <v>88.5</v>
      </c>
      <c r="DD29" s="18">
        <f t="shared" si="18"/>
        <v>88.5</v>
      </c>
      <c r="DE29" s="18">
        <f t="shared" si="19"/>
        <v>77.25</v>
      </c>
      <c r="DF29" s="18">
        <f t="shared" si="20"/>
        <v>77.25</v>
      </c>
      <c r="DG29" s="18">
        <f t="shared" si="21"/>
        <v>84</v>
      </c>
      <c r="DH29" s="18">
        <f t="shared" si="21"/>
        <v>88</v>
      </c>
      <c r="DI29" s="18">
        <f t="shared" si="22"/>
        <v>92</v>
      </c>
      <c r="DJ29" s="17">
        <f t="shared" si="23"/>
        <v>87.6</v>
      </c>
      <c r="DK29" s="18">
        <f t="shared" si="24"/>
        <v>78.8</v>
      </c>
      <c r="DL29" s="18">
        <f t="shared" si="25"/>
        <v>83</v>
      </c>
      <c r="DM29" s="18">
        <f t="shared" si="26"/>
        <v>82</v>
      </c>
      <c r="DN29" s="17">
        <f t="shared" si="27"/>
        <v>81.02000000000001</v>
      </c>
      <c r="DO29" s="18">
        <f t="shared" si="28"/>
        <v>77.599999999999994</v>
      </c>
      <c r="DP29" s="18">
        <f t="shared" si="29"/>
        <v>83</v>
      </c>
      <c r="DQ29" s="18">
        <f t="shared" si="30"/>
        <v>85</v>
      </c>
      <c r="DR29" s="17">
        <f t="shared" si="31"/>
        <v>81.44</v>
      </c>
      <c r="DS29" s="18">
        <f t="shared" si="32"/>
        <v>77</v>
      </c>
      <c r="DT29" s="18">
        <f t="shared" si="33"/>
        <v>77</v>
      </c>
      <c r="DU29" s="18">
        <f t="shared" si="34"/>
        <v>85</v>
      </c>
      <c r="DV29" s="18">
        <f t="shared" si="35"/>
        <v>85</v>
      </c>
      <c r="DW29" s="18">
        <f t="shared" si="36"/>
        <v>81.5</v>
      </c>
      <c r="DX29" s="17">
        <f t="shared" si="37"/>
        <v>81.5</v>
      </c>
      <c r="DY29" s="18">
        <f t="shared" si="38"/>
        <v>83.555555555555557</v>
      </c>
      <c r="DZ29" s="18">
        <f t="shared" si="39"/>
        <v>80</v>
      </c>
      <c r="EA29" s="18">
        <f t="shared" si="40"/>
        <v>72</v>
      </c>
      <c r="EB29" s="17">
        <f t="shared" si="41"/>
        <v>79.022222222222211</v>
      </c>
      <c r="EC29" s="18">
        <f t="shared" si="42"/>
        <v>82.333333333333329</v>
      </c>
      <c r="ED29" s="18">
        <f t="shared" si="43"/>
        <v>80</v>
      </c>
      <c r="EE29" s="18">
        <f t="shared" si="44"/>
        <v>85</v>
      </c>
      <c r="EF29" s="17">
        <f t="shared" si="45"/>
        <v>82.433333333333323</v>
      </c>
      <c r="EG29" s="18">
        <f t="shared" si="46"/>
        <v>85</v>
      </c>
      <c r="EH29" s="18">
        <f t="shared" si="47"/>
        <v>78</v>
      </c>
      <c r="EI29" s="18">
        <f t="shared" si="48"/>
        <v>83</v>
      </c>
      <c r="EJ29" s="18">
        <f t="shared" si="49"/>
        <v>80</v>
      </c>
      <c r="EK29" s="17">
        <f t="shared" si="50"/>
        <v>80.099999999999994</v>
      </c>
      <c r="EL29" s="19">
        <f t="shared" si="51"/>
        <v>86.44</v>
      </c>
      <c r="EM29" s="19">
        <f t="shared" si="52"/>
        <v>90.64</v>
      </c>
      <c r="EN29" s="19">
        <f t="shared" si="53"/>
        <v>85.52000000000001</v>
      </c>
      <c r="EO29" s="19">
        <f t="shared" si="54"/>
        <v>84</v>
      </c>
      <c r="EP29" s="19">
        <f t="shared" si="55"/>
        <v>79.25</v>
      </c>
      <c r="EQ29" s="19">
        <f t="shared" si="56"/>
        <v>88.5</v>
      </c>
      <c r="ER29" s="19">
        <f t="shared" si="57"/>
        <v>77.25</v>
      </c>
      <c r="ES29" s="19">
        <f t="shared" si="58"/>
        <v>87.6</v>
      </c>
      <c r="ET29" s="19">
        <f t="shared" si="59"/>
        <v>81.02000000000001</v>
      </c>
      <c r="EU29" s="19">
        <f t="shared" si="60"/>
        <v>81.44</v>
      </c>
      <c r="EV29" s="19">
        <f t="shared" si="61"/>
        <v>77</v>
      </c>
      <c r="EW29" s="19">
        <f t="shared" si="62"/>
        <v>85</v>
      </c>
      <c r="EX29" s="19">
        <f t="shared" si="63"/>
        <v>81.5</v>
      </c>
      <c r="EY29" s="19">
        <f t="shared" si="64"/>
        <v>79.022222222222211</v>
      </c>
      <c r="EZ29" s="19">
        <f t="shared" si="65"/>
        <v>82.433333333333323</v>
      </c>
      <c r="FA29" s="19">
        <f t="shared" si="65"/>
        <v>85</v>
      </c>
      <c r="FB29" s="19">
        <f t="shared" si="66"/>
        <v>80.099999999999994</v>
      </c>
      <c r="FC29" s="19">
        <f t="shared" si="67"/>
        <v>83.042091503267969</v>
      </c>
    </row>
    <row r="30" spans="1:159" ht="18">
      <c r="A30" s="11">
        <v>26</v>
      </c>
      <c r="B30" s="93" t="s">
        <v>657</v>
      </c>
      <c r="C30" s="94" t="s">
        <v>523</v>
      </c>
      <c r="D30" s="93" t="s">
        <v>631</v>
      </c>
      <c r="E30" s="95">
        <v>82</v>
      </c>
      <c r="F30" s="95">
        <v>88</v>
      </c>
      <c r="G30" s="96">
        <v>90</v>
      </c>
      <c r="H30" s="96">
        <v>85</v>
      </c>
      <c r="I30" s="95">
        <v>92</v>
      </c>
      <c r="J30" s="95">
        <v>85</v>
      </c>
      <c r="K30" s="95">
        <v>87</v>
      </c>
      <c r="L30" s="95">
        <v>78</v>
      </c>
      <c r="M30" s="95">
        <v>90</v>
      </c>
      <c r="N30" s="95">
        <v>82</v>
      </c>
      <c r="O30" s="95">
        <v>88</v>
      </c>
      <c r="P30" s="95">
        <v>85</v>
      </c>
      <c r="Q30" s="96">
        <v>87</v>
      </c>
      <c r="R30" s="96">
        <v>70</v>
      </c>
      <c r="S30" s="96">
        <v>81</v>
      </c>
      <c r="T30" s="96">
        <v>81</v>
      </c>
      <c r="U30" s="95">
        <v>75</v>
      </c>
      <c r="V30" s="95">
        <v>82</v>
      </c>
      <c r="W30" s="95">
        <v>83</v>
      </c>
      <c r="X30" s="95">
        <v>84</v>
      </c>
      <c r="Y30" s="95">
        <v>84</v>
      </c>
      <c r="Z30" s="95">
        <v>86</v>
      </c>
      <c r="AA30" s="95">
        <v>75</v>
      </c>
      <c r="AB30" s="95">
        <v>80</v>
      </c>
      <c r="AC30" s="95">
        <v>85</v>
      </c>
      <c r="AD30" s="95">
        <v>86</v>
      </c>
      <c r="AE30" s="96">
        <v>93</v>
      </c>
      <c r="AF30" s="96">
        <v>81</v>
      </c>
      <c r="AG30" s="95">
        <v>80</v>
      </c>
      <c r="AH30" s="95">
        <v>73</v>
      </c>
      <c r="AI30" s="95">
        <v>70</v>
      </c>
      <c r="AJ30" s="95">
        <v>81</v>
      </c>
      <c r="AK30" s="95">
        <v>84</v>
      </c>
      <c r="AL30" s="95">
        <v>82</v>
      </c>
      <c r="AM30" s="95">
        <v>74</v>
      </c>
      <c r="AN30" s="95">
        <v>77</v>
      </c>
      <c r="AO30" s="96">
        <v>81</v>
      </c>
      <c r="AP30" s="96">
        <v>83</v>
      </c>
      <c r="AQ30" s="95">
        <v>81</v>
      </c>
      <c r="AR30" s="95">
        <v>85</v>
      </c>
      <c r="AS30" s="95">
        <v>70</v>
      </c>
      <c r="AT30" s="95">
        <v>77</v>
      </c>
      <c r="AU30" s="95">
        <v>78</v>
      </c>
      <c r="AV30" s="95">
        <v>78</v>
      </c>
      <c r="AW30" s="95">
        <v>78</v>
      </c>
      <c r="AX30" s="95">
        <v>85</v>
      </c>
      <c r="AY30" s="95">
        <v>77</v>
      </c>
      <c r="AZ30" s="96">
        <v>81</v>
      </c>
      <c r="BA30" s="96">
        <v>83</v>
      </c>
      <c r="BB30" s="96">
        <v>78</v>
      </c>
      <c r="BC30" s="95">
        <v>81</v>
      </c>
      <c r="BD30" s="95">
        <v>81</v>
      </c>
      <c r="BE30" s="96">
        <v>83</v>
      </c>
      <c r="BF30" s="96">
        <v>80</v>
      </c>
      <c r="BG30" s="96">
        <v>80</v>
      </c>
      <c r="BH30" s="15">
        <v>85</v>
      </c>
      <c r="BI30" s="95">
        <v>88</v>
      </c>
      <c r="BJ30" s="95">
        <v>91</v>
      </c>
      <c r="BK30" s="95">
        <v>86</v>
      </c>
      <c r="BL30" s="15">
        <v>85</v>
      </c>
      <c r="BM30" s="95">
        <v>81</v>
      </c>
      <c r="BN30" s="95">
        <v>79</v>
      </c>
      <c r="BO30" s="95">
        <v>85</v>
      </c>
      <c r="BP30" s="15">
        <v>85</v>
      </c>
      <c r="BQ30" s="15">
        <f t="shared" si="0"/>
        <v>84</v>
      </c>
      <c r="BR30" s="15">
        <f t="shared" si="0"/>
        <v>83.333333333333329</v>
      </c>
      <c r="BS30" s="15">
        <f t="shared" si="0"/>
        <v>83.666666666666671</v>
      </c>
      <c r="BT30" s="15">
        <f t="shared" si="0"/>
        <v>85</v>
      </c>
      <c r="BU30" s="14">
        <v>80</v>
      </c>
      <c r="BV30" s="14">
        <v>82</v>
      </c>
      <c r="BW30" s="14">
        <v>84</v>
      </c>
      <c r="BX30" s="15">
        <v>85</v>
      </c>
      <c r="BY30" s="15">
        <v>84</v>
      </c>
      <c r="BZ30" s="15">
        <v>76</v>
      </c>
      <c r="CA30" s="15">
        <v>87</v>
      </c>
      <c r="CB30" s="15">
        <v>73</v>
      </c>
      <c r="CC30" s="15">
        <v>85</v>
      </c>
      <c r="CD30" s="39">
        <v>86</v>
      </c>
      <c r="CE30" s="39">
        <v>88</v>
      </c>
      <c r="CF30" s="40">
        <v>80</v>
      </c>
      <c r="CG30" s="40">
        <v>70</v>
      </c>
      <c r="CH30" s="39">
        <v>82</v>
      </c>
      <c r="CI30" s="39">
        <v>85</v>
      </c>
      <c r="CJ30" s="39">
        <v>85</v>
      </c>
      <c r="CK30" s="39">
        <v>82</v>
      </c>
      <c r="CL30" s="39">
        <v>70</v>
      </c>
      <c r="CM30" s="41">
        <f t="shared" si="1"/>
        <v>87.4</v>
      </c>
      <c r="CN30" s="41">
        <f t="shared" si="2"/>
        <v>85</v>
      </c>
      <c r="CO30" s="41">
        <f t="shared" si="3"/>
        <v>86</v>
      </c>
      <c r="CP30" s="17">
        <f t="shared" si="4"/>
        <v>86.26</v>
      </c>
      <c r="CQ30" s="16">
        <f t="shared" si="5"/>
        <v>85</v>
      </c>
      <c r="CR30" s="16">
        <f t="shared" si="6"/>
        <v>85</v>
      </c>
      <c r="CS30" s="16">
        <f t="shared" si="7"/>
        <v>88</v>
      </c>
      <c r="CT30" s="17">
        <f t="shared" si="8"/>
        <v>85.9</v>
      </c>
      <c r="CU30" s="17">
        <f t="shared" si="9"/>
        <v>78.8</v>
      </c>
      <c r="CV30" s="17">
        <f t="shared" si="10"/>
        <v>82</v>
      </c>
      <c r="CW30" s="17">
        <f t="shared" si="11"/>
        <v>80</v>
      </c>
      <c r="CX30" s="17">
        <f t="shared" si="12"/>
        <v>80.12</v>
      </c>
      <c r="CY30" s="18">
        <f t="shared" si="13"/>
        <v>84.25</v>
      </c>
      <c r="CZ30" s="18">
        <f t="shared" si="14"/>
        <v>84.25</v>
      </c>
      <c r="DA30" s="18">
        <f t="shared" si="15"/>
        <v>81.5</v>
      </c>
      <c r="DB30" s="18">
        <f t="shared" si="16"/>
        <v>81.5</v>
      </c>
      <c r="DC30" s="18">
        <f t="shared" si="17"/>
        <v>87</v>
      </c>
      <c r="DD30" s="18">
        <f t="shared" si="18"/>
        <v>87</v>
      </c>
      <c r="DE30" s="18">
        <f t="shared" si="19"/>
        <v>76</v>
      </c>
      <c r="DF30" s="18">
        <f t="shared" si="20"/>
        <v>76</v>
      </c>
      <c r="DG30" s="18">
        <f t="shared" si="21"/>
        <v>84</v>
      </c>
      <c r="DH30" s="18">
        <f t="shared" si="21"/>
        <v>82</v>
      </c>
      <c r="DI30" s="18">
        <f t="shared" si="22"/>
        <v>70</v>
      </c>
      <c r="DJ30" s="17">
        <f t="shared" si="23"/>
        <v>79.2</v>
      </c>
      <c r="DK30" s="18">
        <f t="shared" si="24"/>
        <v>79.2</v>
      </c>
      <c r="DL30" s="18">
        <f t="shared" si="25"/>
        <v>85</v>
      </c>
      <c r="DM30" s="18">
        <f t="shared" si="26"/>
        <v>82</v>
      </c>
      <c r="DN30" s="17">
        <f t="shared" si="27"/>
        <v>81.78</v>
      </c>
      <c r="DO30" s="18">
        <f t="shared" si="28"/>
        <v>76.2</v>
      </c>
      <c r="DP30" s="18">
        <f t="shared" si="29"/>
        <v>85</v>
      </c>
      <c r="DQ30" s="18">
        <f t="shared" si="30"/>
        <v>85</v>
      </c>
      <c r="DR30" s="17">
        <f t="shared" si="31"/>
        <v>81.47999999999999</v>
      </c>
      <c r="DS30" s="18">
        <f t="shared" si="32"/>
        <v>79</v>
      </c>
      <c r="DT30" s="18">
        <f t="shared" si="33"/>
        <v>79</v>
      </c>
      <c r="DU30" s="18">
        <f t="shared" si="34"/>
        <v>80.5</v>
      </c>
      <c r="DV30" s="18">
        <f t="shared" si="35"/>
        <v>80.5</v>
      </c>
      <c r="DW30" s="18">
        <f t="shared" si="36"/>
        <v>81</v>
      </c>
      <c r="DX30" s="17">
        <f t="shared" si="37"/>
        <v>81</v>
      </c>
      <c r="DY30" s="18">
        <f t="shared" si="38"/>
        <v>83.666666666666671</v>
      </c>
      <c r="DZ30" s="18">
        <f t="shared" si="39"/>
        <v>85</v>
      </c>
      <c r="EA30" s="18">
        <f t="shared" si="40"/>
        <v>70</v>
      </c>
      <c r="EB30" s="17">
        <f t="shared" si="41"/>
        <v>79.966666666666669</v>
      </c>
      <c r="EC30" s="18">
        <f t="shared" si="42"/>
        <v>82</v>
      </c>
      <c r="ED30" s="18">
        <f t="shared" si="43"/>
        <v>85</v>
      </c>
      <c r="EE30" s="18">
        <f t="shared" si="44"/>
        <v>82</v>
      </c>
      <c r="EF30" s="17">
        <f t="shared" si="45"/>
        <v>82.9</v>
      </c>
      <c r="EG30" s="18">
        <f t="shared" si="46"/>
        <v>84</v>
      </c>
      <c r="EH30" s="18">
        <f t="shared" si="47"/>
        <v>78.666666666666671</v>
      </c>
      <c r="EI30" s="18">
        <f t="shared" si="48"/>
        <v>85</v>
      </c>
      <c r="EJ30" s="18">
        <f t="shared" si="49"/>
        <v>85</v>
      </c>
      <c r="EK30" s="17">
        <f t="shared" si="50"/>
        <v>82.466666666666669</v>
      </c>
      <c r="EL30" s="19">
        <f t="shared" si="51"/>
        <v>86.26</v>
      </c>
      <c r="EM30" s="19">
        <f t="shared" si="52"/>
        <v>85.9</v>
      </c>
      <c r="EN30" s="19">
        <f t="shared" si="53"/>
        <v>80.12</v>
      </c>
      <c r="EO30" s="19">
        <f t="shared" si="54"/>
        <v>84.25</v>
      </c>
      <c r="EP30" s="19">
        <f t="shared" si="55"/>
        <v>81.5</v>
      </c>
      <c r="EQ30" s="19">
        <f t="shared" si="56"/>
        <v>87</v>
      </c>
      <c r="ER30" s="19">
        <f t="shared" si="57"/>
        <v>76</v>
      </c>
      <c r="ES30" s="19">
        <f t="shared" si="58"/>
        <v>79.2</v>
      </c>
      <c r="ET30" s="19">
        <f t="shared" si="59"/>
        <v>81.78</v>
      </c>
      <c r="EU30" s="19">
        <f t="shared" si="60"/>
        <v>81.47999999999999</v>
      </c>
      <c r="EV30" s="19">
        <f t="shared" si="61"/>
        <v>79</v>
      </c>
      <c r="EW30" s="19">
        <f t="shared" si="62"/>
        <v>80.5</v>
      </c>
      <c r="EX30" s="19">
        <f t="shared" si="63"/>
        <v>81</v>
      </c>
      <c r="EY30" s="19">
        <f t="shared" si="64"/>
        <v>79.966666666666669</v>
      </c>
      <c r="EZ30" s="19">
        <f t="shared" si="65"/>
        <v>82.9</v>
      </c>
      <c r="FA30" s="19">
        <f t="shared" si="65"/>
        <v>84</v>
      </c>
      <c r="FB30" s="19">
        <f t="shared" si="66"/>
        <v>82.466666666666669</v>
      </c>
      <c r="FC30" s="19">
        <f t="shared" si="67"/>
        <v>81.96019607843138</v>
      </c>
    </row>
    <row r="31" spans="1:159" ht="18">
      <c r="A31" s="11">
        <v>27</v>
      </c>
      <c r="B31" s="93" t="s">
        <v>658</v>
      </c>
      <c r="C31" s="94" t="s">
        <v>525</v>
      </c>
      <c r="D31" s="93" t="s">
        <v>631</v>
      </c>
      <c r="E31" s="95">
        <v>81</v>
      </c>
      <c r="F31" s="95">
        <v>84</v>
      </c>
      <c r="G31" s="96">
        <v>89</v>
      </c>
      <c r="H31" s="96">
        <v>82</v>
      </c>
      <c r="I31" s="95">
        <v>89</v>
      </c>
      <c r="J31" s="95">
        <v>95</v>
      </c>
      <c r="K31" s="95">
        <v>70</v>
      </c>
      <c r="L31" s="95">
        <v>74</v>
      </c>
      <c r="M31" s="95">
        <v>92</v>
      </c>
      <c r="N31" s="95">
        <v>83</v>
      </c>
      <c r="O31" s="95">
        <v>85</v>
      </c>
      <c r="P31" s="95">
        <v>90</v>
      </c>
      <c r="Q31" s="96">
        <v>79</v>
      </c>
      <c r="R31" s="96">
        <v>79</v>
      </c>
      <c r="S31" s="96">
        <v>70</v>
      </c>
      <c r="T31" s="96">
        <v>79</v>
      </c>
      <c r="U31" s="95">
        <v>76</v>
      </c>
      <c r="V31" s="95">
        <v>86</v>
      </c>
      <c r="W31" s="95">
        <v>83</v>
      </c>
      <c r="X31" s="95">
        <v>84</v>
      </c>
      <c r="Y31" s="95">
        <v>84</v>
      </c>
      <c r="Z31" s="95">
        <v>84</v>
      </c>
      <c r="AA31" s="95">
        <v>71</v>
      </c>
      <c r="AB31" s="95">
        <v>74</v>
      </c>
      <c r="AC31" s="95">
        <v>80</v>
      </c>
      <c r="AD31" s="95">
        <v>82</v>
      </c>
      <c r="AE31" s="96">
        <v>91</v>
      </c>
      <c r="AF31" s="96">
        <v>78</v>
      </c>
      <c r="AG31" s="95">
        <v>75</v>
      </c>
      <c r="AH31" s="95">
        <v>70</v>
      </c>
      <c r="AI31" s="95">
        <v>70</v>
      </c>
      <c r="AJ31" s="95">
        <v>81</v>
      </c>
      <c r="AK31" s="95">
        <v>80</v>
      </c>
      <c r="AL31" s="95">
        <v>86</v>
      </c>
      <c r="AM31" s="95">
        <v>72</v>
      </c>
      <c r="AN31" s="95">
        <v>71</v>
      </c>
      <c r="AO31" s="96">
        <v>73</v>
      </c>
      <c r="AP31" s="96">
        <v>79</v>
      </c>
      <c r="AQ31" s="95">
        <v>75</v>
      </c>
      <c r="AR31" s="95">
        <v>91</v>
      </c>
      <c r="AS31" s="95">
        <v>71</v>
      </c>
      <c r="AT31" s="95">
        <v>70</v>
      </c>
      <c r="AU31" s="95">
        <v>74</v>
      </c>
      <c r="AV31" s="95">
        <v>80</v>
      </c>
      <c r="AW31" s="95">
        <v>72</v>
      </c>
      <c r="AX31" s="95">
        <v>91</v>
      </c>
      <c r="AY31" s="95">
        <v>76</v>
      </c>
      <c r="AZ31" s="96">
        <v>78</v>
      </c>
      <c r="BA31" s="96">
        <v>70</v>
      </c>
      <c r="BB31" s="96">
        <v>75</v>
      </c>
      <c r="BC31" s="95">
        <v>80</v>
      </c>
      <c r="BD31" s="95">
        <v>80</v>
      </c>
      <c r="BE31" s="96">
        <v>83</v>
      </c>
      <c r="BF31" s="96">
        <v>80</v>
      </c>
      <c r="BG31" s="96">
        <v>80</v>
      </c>
      <c r="BH31" s="15">
        <v>91</v>
      </c>
      <c r="BI31" s="95">
        <v>88</v>
      </c>
      <c r="BJ31" s="95">
        <v>91</v>
      </c>
      <c r="BK31" s="95">
        <v>86</v>
      </c>
      <c r="BL31" s="15">
        <v>91</v>
      </c>
      <c r="BM31" s="95">
        <v>81</v>
      </c>
      <c r="BN31" s="95">
        <v>79</v>
      </c>
      <c r="BO31" s="95">
        <v>85</v>
      </c>
      <c r="BP31" s="15">
        <v>91</v>
      </c>
      <c r="BQ31" s="15">
        <f t="shared" si="0"/>
        <v>84</v>
      </c>
      <c r="BR31" s="15">
        <f t="shared" si="0"/>
        <v>83.333333333333329</v>
      </c>
      <c r="BS31" s="15">
        <f t="shared" si="0"/>
        <v>83.666666666666671</v>
      </c>
      <c r="BT31" s="15">
        <f t="shared" si="0"/>
        <v>91</v>
      </c>
      <c r="BU31" s="14">
        <v>77</v>
      </c>
      <c r="BV31" s="14">
        <v>82</v>
      </c>
      <c r="BW31" s="14">
        <v>80</v>
      </c>
      <c r="BX31" s="15">
        <v>91</v>
      </c>
      <c r="BY31" s="15">
        <v>91</v>
      </c>
      <c r="BZ31" s="15">
        <v>70</v>
      </c>
      <c r="CA31" s="15">
        <v>78</v>
      </c>
      <c r="CB31" s="15">
        <v>74</v>
      </c>
      <c r="CC31" s="15">
        <v>91</v>
      </c>
      <c r="CD31" s="39">
        <v>83</v>
      </c>
      <c r="CE31" s="39">
        <v>88</v>
      </c>
      <c r="CF31" s="40">
        <v>76</v>
      </c>
      <c r="CG31" s="40">
        <v>87</v>
      </c>
      <c r="CH31" s="39">
        <v>76</v>
      </c>
      <c r="CI31" s="39">
        <v>80</v>
      </c>
      <c r="CJ31" s="39">
        <v>75</v>
      </c>
      <c r="CK31" s="39">
        <v>80</v>
      </c>
      <c r="CL31" s="39">
        <v>72</v>
      </c>
      <c r="CM31" s="41">
        <f t="shared" si="1"/>
        <v>85</v>
      </c>
      <c r="CN31" s="41">
        <f t="shared" si="2"/>
        <v>95</v>
      </c>
      <c r="CO31" s="41">
        <f t="shared" si="3"/>
        <v>83</v>
      </c>
      <c r="CP31" s="17">
        <f t="shared" si="4"/>
        <v>87.4</v>
      </c>
      <c r="CQ31" s="16">
        <f t="shared" si="5"/>
        <v>80.8</v>
      </c>
      <c r="CR31" s="16">
        <f t="shared" si="6"/>
        <v>90</v>
      </c>
      <c r="CS31" s="16">
        <f t="shared" si="7"/>
        <v>88</v>
      </c>
      <c r="CT31" s="17">
        <f t="shared" si="8"/>
        <v>85.72</v>
      </c>
      <c r="CU31" s="17">
        <f t="shared" si="9"/>
        <v>76.599999999999994</v>
      </c>
      <c r="CV31" s="17">
        <f t="shared" si="10"/>
        <v>86</v>
      </c>
      <c r="CW31" s="17">
        <f t="shared" si="11"/>
        <v>76</v>
      </c>
      <c r="CX31" s="17">
        <f t="shared" si="12"/>
        <v>79.239999999999995</v>
      </c>
      <c r="CY31" s="18">
        <f t="shared" si="13"/>
        <v>83.75</v>
      </c>
      <c r="CZ31" s="18">
        <f t="shared" si="14"/>
        <v>83.75</v>
      </c>
      <c r="DA31" s="18">
        <f t="shared" si="15"/>
        <v>76.75</v>
      </c>
      <c r="DB31" s="18">
        <f t="shared" si="16"/>
        <v>76.75</v>
      </c>
      <c r="DC31" s="18">
        <f t="shared" si="17"/>
        <v>84.5</v>
      </c>
      <c r="DD31" s="18">
        <f t="shared" si="18"/>
        <v>84.5</v>
      </c>
      <c r="DE31" s="18">
        <f t="shared" si="19"/>
        <v>74</v>
      </c>
      <c r="DF31" s="18">
        <f t="shared" si="20"/>
        <v>74</v>
      </c>
      <c r="DG31" s="18">
        <f t="shared" si="21"/>
        <v>80</v>
      </c>
      <c r="DH31" s="18">
        <f t="shared" si="21"/>
        <v>86</v>
      </c>
      <c r="DI31" s="18">
        <f t="shared" si="22"/>
        <v>87</v>
      </c>
      <c r="DJ31" s="17">
        <f t="shared" si="23"/>
        <v>83.9</v>
      </c>
      <c r="DK31" s="18">
        <f t="shared" si="24"/>
        <v>74</v>
      </c>
      <c r="DL31" s="18">
        <f t="shared" si="25"/>
        <v>91</v>
      </c>
      <c r="DM31" s="18">
        <f t="shared" si="26"/>
        <v>76</v>
      </c>
      <c r="DN31" s="17">
        <f t="shared" si="27"/>
        <v>79.7</v>
      </c>
      <c r="DO31" s="18">
        <f t="shared" si="28"/>
        <v>73.400000000000006</v>
      </c>
      <c r="DP31" s="18">
        <f t="shared" si="29"/>
        <v>91</v>
      </c>
      <c r="DQ31" s="18">
        <f t="shared" si="30"/>
        <v>80</v>
      </c>
      <c r="DR31" s="17">
        <f t="shared" si="31"/>
        <v>80.66</v>
      </c>
      <c r="DS31" s="18">
        <f t="shared" si="32"/>
        <v>77</v>
      </c>
      <c r="DT31" s="18">
        <f t="shared" si="33"/>
        <v>77</v>
      </c>
      <c r="DU31" s="18">
        <f t="shared" si="34"/>
        <v>72.5</v>
      </c>
      <c r="DV31" s="18">
        <f t="shared" si="35"/>
        <v>72.5</v>
      </c>
      <c r="DW31" s="18">
        <f t="shared" si="36"/>
        <v>80</v>
      </c>
      <c r="DX31" s="17">
        <f t="shared" si="37"/>
        <v>80</v>
      </c>
      <c r="DY31" s="18">
        <f t="shared" si="38"/>
        <v>83.666666666666671</v>
      </c>
      <c r="DZ31" s="18">
        <f t="shared" si="39"/>
        <v>91</v>
      </c>
      <c r="EA31" s="18">
        <f t="shared" si="40"/>
        <v>72</v>
      </c>
      <c r="EB31" s="17">
        <f t="shared" si="41"/>
        <v>82.366666666666674</v>
      </c>
      <c r="EC31" s="18">
        <f t="shared" si="42"/>
        <v>79.666666666666671</v>
      </c>
      <c r="ED31" s="18">
        <f t="shared" si="43"/>
        <v>91</v>
      </c>
      <c r="EE31" s="18">
        <f t="shared" si="44"/>
        <v>80</v>
      </c>
      <c r="EF31" s="17">
        <f t="shared" si="45"/>
        <v>83.166666666666671</v>
      </c>
      <c r="EG31" s="18">
        <f t="shared" si="46"/>
        <v>91</v>
      </c>
      <c r="EH31" s="18">
        <f t="shared" si="47"/>
        <v>74</v>
      </c>
      <c r="EI31" s="18">
        <f t="shared" si="48"/>
        <v>91</v>
      </c>
      <c r="EJ31" s="18">
        <f t="shared" si="49"/>
        <v>75</v>
      </c>
      <c r="EK31" s="17">
        <f t="shared" si="50"/>
        <v>79.400000000000006</v>
      </c>
      <c r="EL31" s="19">
        <f t="shared" si="51"/>
        <v>87.4</v>
      </c>
      <c r="EM31" s="19">
        <f t="shared" si="52"/>
        <v>85.72</v>
      </c>
      <c r="EN31" s="19">
        <f t="shared" si="53"/>
        <v>79.239999999999995</v>
      </c>
      <c r="EO31" s="19">
        <f t="shared" si="54"/>
        <v>83.75</v>
      </c>
      <c r="EP31" s="19">
        <f t="shared" si="55"/>
        <v>76.75</v>
      </c>
      <c r="EQ31" s="19">
        <f t="shared" si="56"/>
        <v>84.5</v>
      </c>
      <c r="ER31" s="19">
        <f t="shared" si="57"/>
        <v>74</v>
      </c>
      <c r="ES31" s="19">
        <f t="shared" si="58"/>
        <v>83.9</v>
      </c>
      <c r="ET31" s="19">
        <f t="shared" si="59"/>
        <v>79.7</v>
      </c>
      <c r="EU31" s="19">
        <f t="shared" si="60"/>
        <v>80.66</v>
      </c>
      <c r="EV31" s="19">
        <f t="shared" si="61"/>
        <v>77</v>
      </c>
      <c r="EW31" s="19">
        <f t="shared" si="62"/>
        <v>72.5</v>
      </c>
      <c r="EX31" s="19">
        <f t="shared" si="63"/>
        <v>80</v>
      </c>
      <c r="EY31" s="19">
        <f t="shared" si="64"/>
        <v>82.366666666666674</v>
      </c>
      <c r="EZ31" s="19">
        <f t="shared" si="65"/>
        <v>83.166666666666671</v>
      </c>
      <c r="FA31" s="19">
        <f t="shared" si="65"/>
        <v>91</v>
      </c>
      <c r="FB31" s="19">
        <f t="shared" si="66"/>
        <v>79.400000000000006</v>
      </c>
      <c r="FC31" s="19">
        <f t="shared" si="67"/>
        <v>81.23843137254903</v>
      </c>
    </row>
    <row r="32" spans="1:159" ht="18">
      <c r="A32" s="11">
        <v>28</v>
      </c>
      <c r="B32" s="93" t="s">
        <v>659</v>
      </c>
      <c r="C32" s="94" t="s">
        <v>527</v>
      </c>
      <c r="D32" s="93" t="s">
        <v>631</v>
      </c>
      <c r="E32" s="95">
        <v>84</v>
      </c>
      <c r="F32" s="95">
        <v>87</v>
      </c>
      <c r="G32" s="96">
        <v>88</v>
      </c>
      <c r="H32" s="96">
        <v>83</v>
      </c>
      <c r="I32" s="95">
        <v>84</v>
      </c>
      <c r="J32" s="95">
        <v>78</v>
      </c>
      <c r="K32" s="95">
        <v>70</v>
      </c>
      <c r="L32" s="95">
        <v>74</v>
      </c>
      <c r="M32" s="95">
        <v>70</v>
      </c>
      <c r="N32" s="95">
        <v>82</v>
      </c>
      <c r="O32" s="95">
        <v>87</v>
      </c>
      <c r="P32" s="95">
        <v>80</v>
      </c>
      <c r="Q32" s="96">
        <v>86</v>
      </c>
      <c r="R32" s="96">
        <v>70</v>
      </c>
      <c r="S32" s="96">
        <v>70</v>
      </c>
      <c r="T32" s="96">
        <v>71</v>
      </c>
      <c r="U32" s="95">
        <v>85</v>
      </c>
      <c r="V32" s="95">
        <v>78</v>
      </c>
      <c r="W32" s="95">
        <v>83</v>
      </c>
      <c r="X32" s="95">
        <v>84</v>
      </c>
      <c r="Y32" s="95">
        <v>79</v>
      </c>
      <c r="Z32" s="95">
        <v>85</v>
      </c>
      <c r="AA32" s="95">
        <v>76</v>
      </c>
      <c r="AB32" s="95">
        <v>76</v>
      </c>
      <c r="AC32" s="95">
        <v>70</v>
      </c>
      <c r="AD32" s="95">
        <v>75</v>
      </c>
      <c r="AE32" s="96">
        <v>91</v>
      </c>
      <c r="AF32" s="96">
        <v>72</v>
      </c>
      <c r="AG32" s="95">
        <v>77</v>
      </c>
      <c r="AH32" s="95">
        <v>72</v>
      </c>
      <c r="AI32" s="95">
        <v>70</v>
      </c>
      <c r="AJ32" s="95">
        <v>81</v>
      </c>
      <c r="AK32" s="95">
        <v>81</v>
      </c>
      <c r="AL32" s="95">
        <v>78</v>
      </c>
      <c r="AM32" s="95">
        <v>73</v>
      </c>
      <c r="AN32" s="95">
        <v>74</v>
      </c>
      <c r="AO32" s="96">
        <v>77</v>
      </c>
      <c r="AP32" s="96">
        <v>80</v>
      </c>
      <c r="AQ32" s="95">
        <v>80</v>
      </c>
      <c r="AR32" s="95">
        <v>79</v>
      </c>
      <c r="AS32" s="95">
        <v>77</v>
      </c>
      <c r="AT32" s="95">
        <v>73</v>
      </c>
      <c r="AU32" s="95">
        <v>74</v>
      </c>
      <c r="AV32" s="95">
        <v>80</v>
      </c>
      <c r="AW32" s="95">
        <v>75</v>
      </c>
      <c r="AX32" s="95">
        <v>79</v>
      </c>
      <c r="AY32" s="95">
        <v>76</v>
      </c>
      <c r="AZ32" s="96">
        <v>75</v>
      </c>
      <c r="BA32" s="96">
        <v>72</v>
      </c>
      <c r="BB32" s="96">
        <v>75</v>
      </c>
      <c r="BC32" s="95">
        <v>80</v>
      </c>
      <c r="BD32" s="95">
        <v>81</v>
      </c>
      <c r="BE32" s="96">
        <v>83</v>
      </c>
      <c r="BF32" s="96">
        <v>80</v>
      </c>
      <c r="BG32" s="96">
        <v>80</v>
      </c>
      <c r="BH32" s="15">
        <v>79</v>
      </c>
      <c r="BI32" s="95">
        <v>88</v>
      </c>
      <c r="BJ32" s="95">
        <v>91</v>
      </c>
      <c r="BK32" s="95">
        <v>86</v>
      </c>
      <c r="BL32" s="15">
        <v>79</v>
      </c>
      <c r="BM32" s="95">
        <v>81</v>
      </c>
      <c r="BN32" s="95">
        <v>79</v>
      </c>
      <c r="BO32" s="95">
        <v>85</v>
      </c>
      <c r="BP32" s="15">
        <v>79</v>
      </c>
      <c r="BQ32" s="15">
        <f t="shared" si="0"/>
        <v>84</v>
      </c>
      <c r="BR32" s="15">
        <f t="shared" si="0"/>
        <v>83.333333333333329</v>
      </c>
      <c r="BS32" s="15">
        <f t="shared" si="0"/>
        <v>83.666666666666671</v>
      </c>
      <c r="BT32" s="15">
        <f t="shared" si="0"/>
        <v>79</v>
      </c>
      <c r="BU32" s="14">
        <v>77</v>
      </c>
      <c r="BV32" s="14">
        <v>82</v>
      </c>
      <c r="BW32" s="14">
        <v>81</v>
      </c>
      <c r="BX32" s="15">
        <v>79</v>
      </c>
      <c r="BY32" s="15">
        <v>79</v>
      </c>
      <c r="BZ32" s="15">
        <v>71</v>
      </c>
      <c r="CA32" s="15">
        <v>85</v>
      </c>
      <c r="CB32" s="15">
        <v>72</v>
      </c>
      <c r="CC32" s="15">
        <v>79</v>
      </c>
      <c r="CD32" s="39">
        <v>86</v>
      </c>
      <c r="CE32" s="39">
        <v>88</v>
      </c>
      <c r="CF32" s="40">
        <v>82</v>
      </c>
      <c r="CG32" s="40">
        <v>90</v>
      </c>
      <c r="CH32" s="39">
        <v>81</v>
      </c>
      <c r="CI32" s="39">
        <v>80</v>
      </c>
      <c r="CJ32" s="39">
        <v>79</v>
      </c>
      <c r="CK32" s="39">
        <v>81</v>
      </c>
      <c r="CL32" s="39">
        <v>70</v>
      </c>
      <c r="CM32" s="41">
        <f t="shared" si="1"/>
        <v>85.2</v>
      </c>
      <c r="CN32" s="41">
        <f t="shared" si="2"/>
        <v>78</v>
      </c>
      <c r="CO32" s="41">
        <f t="shared" si="3"/>
        <v>86</v>
      </c>
      <c r="CP32" s="17">
        <f t="shared" si="4"/>
        <v>83.28</v>
      </c>
      <c r="CQ32" s="16">
        <f t="shared" si="5"/>
        <v>76.599999999999994</v>
      </c>
      <c r="CR32" s="16">
        <f t="shared" si="6"/>
        <v>80</v>
      </c>
      <c r="CS32" s="16">
        <f t="shared" si="7"/>
        <v>88</v>
      </c>
      <c r="CT32" s="17">
        <f t="shared" si="8"/>
        <v>81.039999999999992</v>
      </c>
      <c r="CU32" s="17">
        <f t="shared" si="9"/>
        <v>76.400000000000006</v>
      </c>
      <c r="CV32" s="17">
        <f t="shared" si="10"/>
        <v>78</v>
      </c>
      <c r="CW32" s="17">
        <f t="shared" si="11"/>
        <v>82</v>
      </c>
      <c r="CX32" s="17">
        <f t="shared" si="12"/>
        <v>78.56</v>
      </c>
      <c r="CY32" s="18">
        <f t="shared" si="13"/>
        <v>82.75</v>
      </c>
      <c r="CZ32" s="18">
        <f t="shared" si="14"/>
        <v>82.75</v>
      </c>
      <c r="DA32" s="18">
        <f t="shared" si="15"/>
        <v>74.25</v>
      </c>
      <c r="DB32" s="18">
        <f t="shared" si="16"/>
        <v>74.25</v>
      </c>
      <c r="DC32" s="18">
        <f t="shared" si="17"/>
        <v>81.5</v>
      </c>
      <c r="DD32" s="18">
        <f t="shared" si="18"/>
        <v>81.5</v>
      </c>
      <c r="DE32" s="18">
        <f t="shared" si="19"/>
        <v>75</v>
      </c>
      <c r="DF32" s="18">
        <f t="shared" si="20"/>
        <v>75</v>
      </c>
      <c r="DG32" s="18">
        <f t="shared" si="21"/>
        <v>81</v>
      </c>
      <c r="DH32" s="18">
        <f t="shared" si="21"/>
        <v>78</v>
      </c>
      <c r="DI32" s="18">
        <f t="shared" si="22"/>
        <v>90</v>
      </c>
      <c r="DJ32" s="17">
        <f t="shared" si="23"/>
        <v>82.8</v>
      </c>
      <c r="DK32" s="18">
        <f t="shared" si="24"/>
        <v>76.8</v>
      </c>
      <c r="DL32" s="18">
        <f t="shared" si="25"/>
        <v>79</v>
      </c>
      <c r="DM32" s="18">
        <f t="shared" si="26"/>
        <v>81</v>
      </c>
      <c r="DN32" s="17">
        <f t="shared" si="27"/>
        <v>78.72</v>
      </c>
      <c r="DO32" s="18">
        <f t="shared" si="28"/>
        <v>75.8</v>
      </c>
      <c r="DP32" s="18">
        <f t="shared" si="29"/>
        <v>79</v>
      </c>
      <c r="DQ32" s="18">
        <f t="shared" si="30"/>
        <v>80</v>
      </c>
      <c r="DR32" s="17">
        <f t="shared" si="31"/>
        <v>78.02000000000001</v>
      </c>
      <c r="DS32" s="18">
        <f t="shared" si="32"/>
        <v>75.5</v>
      </c>
      <c r="DT32" s="18">
        <f t="shared" si="33"/>
        <v>75.5</v>
      </c>
      <c r="DU32" s="18">
        <f t="shared" si="34"/>
        <v>73.5</v>
      </c>
      <c r="DV32" s="18">
        <f t="shared" si="35"/>
        <v>73.5</v>
      </c>
      <c r="DW32" s="18">
        <f t="shared" si="36"/>
        <v>80.5</v>
      </c>
      <c r="DX32" s="17">
        <f t="shared" si="37"/>
        <v>80.5</v>
      </c>
      <c r="DY32" s="18">
        <f t="shared" si="38"/>
        <v>83.666666666666671</v>
      </c>
      <c r="DZ32" s="18">
        <f t="shared" si="39"/>
        <v>79</v>
      </c>
      <c r="EA32" s="18">
        <f t="shared" si="40"/>
        <v>70</v>
      </c>
      <c r="EB32" s="17">
        <f t="shared" si="41"/>
        <v>78.166666666666671</v>
      </c>
      <c r="EC32" s="18">
        <f t="shared" si="42"/>
        <v>80</v>
      </c>
      <c r="ED32" s="18">
        <f t="shared" si="43"/>
        <v>79</v>
      </c>
      <c r="EE32" s="18">
        <f t="shared" si="44"/>
        <v>81</v>
      </c>
      <c r="EF32" s="17">
        <f t="shared" si="45"/>
        <v>80</v>
      </c>
      <c r="EG32" s="18">
        <f t="shared" si="46"/>
        <v>79</v>
      </c>
      <c r="EH32" s="18">
        <f t="shared" si="47"/>
        <v>76</v>
      </c>
      <c r="EI32" s="18">
        <f t="shared" si="48"/>
        <v>79</v>
      </c>
      <c r="EJ32" s="18">
        <f t="shared" si="49"/>
        <v>79</v>
      </c>
      <c r="EK32" s="17">
        <f t="shared" si="50"/>
        <v>77.8</v>
      </c>
      <c r="EL32" s="19">
        <f t="shared" si="51"/>
        <v>83.28</v>
      </c>
      <c r="EM32" s="19">
        <f t="shared" si="52"/>
        <v>81.039999999999992</v>
      </c>
      <c r="EN32" s="19">
        <f t="shared" si="53"/>
        <v>78.56</v>
      </c>
      <c r="EO32" s="19">
        <f t="shared" si="54"/>
        <v>82.75</v>
      </c>
      <c r="EP32" s="19">
        <f t="shared" si="55"/>
        <v>74.25</v>
      </c>
      <c r="EQ32" s="19">
        <f t="shared" si="56"/>
        <v>81.5</v>
      </c>
      <c r="ER32" s="19">
        <f t="shared" si="57"/>
        <v>75</v>
      </c>
      <c r="ES32" s="19">
        <f t="shared" si="58"/>
        <v>82.8</v>
      </c>
      <c r="ET32" s="19">
        <f t="shared" si="59"/>
        <v>78.72</v>
      </c>
      <c r="EU32" s="19">
        <f t="shared" si="60"/>
        <v>78.02000000000001</v>
      </c>
      <c r="EV32" s="19">
        <f t="shared" si="61"/>
        <v>75.5</v>
      </c>
      <c r="EW32" s="19">
        <f t="shared" si="62"/>
        <v>73.5</v>
      </c>
      <c r="EX32" s="19">
        <f t="shared" si="63"/>
        <v>80.5</v>
      </c>
      <c r="EY32" s="19">
        <f t="shared" si="64"/>
        <v>78.166666666666671</v>
      </c>
      <c r="EZ32" s="19">
        <f t="shared" si="65"/>
        <v>80</v>
      </c>
      <c r="FA32" s="19">
        <f t="shared" si="65"/>
        <v>79</v>
      </c>
      <c r="FB32" s="19">
        <f t="shared" si="66"/>
        <v>77.8</v>
      </c>
      <c r="FC32" s="19">
        <f t="shared" si="67"/>
        <v>78.846274509803933</v>
      </c>
    </row>
    <row r="33" spans="1:159" ht="18">
      <c r="A33" s="11">
        <v>29</v>
      </c>
      <c r="B33" s="93" t="s">
        <v>660</v>
      </c>
      <c r="C33" s="94" t="s">
        <v>529</v>
      </c>
      <c r="D33" s="93" t="s">
        <v>631</v>
      </c>
      <c r="E33" s="95">
        <v>91</v>
      </c>
      <c r="F33" s="95">
        <v>95</v>
      </c>
      <c r="G33" s="96">
        <v>93</v>
      </c>
      <c r="H33" s="96">
        <v>88</v>
      </c>
      <c r="I33" s="95">
        <v>91</v>
      </c>
      <c r="J33" s="95">
        <v>95</v>
      </c>
      <c r="K33" s="95">
        <v>82</v>
      </c>
      <c r="L33" s="95">
        <v>87</v>
      </c>
      <c r="M33" s="95">
        <v>91</v>
      </c>
      <c r="N33" s="95">
        <v>85</v>
      </c>
      <c r="O33" s="95">
        <v>90</v>
      </c>
      <c r="P33" s="95">
        <v>95</v>
      </c>
      <c r="Q33" s="96">
        <v>90</v>
      </c>
      <c r="R33" s="96">
        <v>88</v>
      </c>
      <c r="S33" s="96">
        <v>85</v>
      </c>
      <c r="T33" s="96">
        <v>90</v>
      </c>
      <c r="U33" s="95">
        <v>90</v>
      </c>
      <c r="V33" s="95">
        <v>91</v>
      </c>
      <c r="W33" s="95">
        <v>84</v>
      </c>
      <c r="X33" s="95">
        <v>85</v>
      </c>
      <c r="Y33" s="95">
        <v>84</v>
      </c>
      <c r="Z33" s="95">
        <v>87</v>
      </c>
      <c r="AA33" s="95">
        <v>86</v>
      </c>
      <c r="AB33" s="95">
        <v>85</v>
      </c>
      <c r="AC33" s="95">
        <v>83</v>
      </c>
      <c r="AD33" s="95">
        <v>86</v>
      </c>
      <c r="AE33" s="96">
        <v>94</v>
      </c>
      <c r="AF33" s="96">
        <v>85</v>
      </c>
      <c r="AG33" s="95">
        <v>86</v>
      </c>
      <c r="AH33" s="95">
        <v>78</v>
      </c>
      <c r="AI33" s="95">
        <v>75</v>
      </c>
      <c r="AJ33" s="95">
        <v>82</v>
      </c>
      <c r="AK33" s="95">
        <v>85</v>
      </c>
      <c r="AL33" s="95">
        <v>91</v>
      </c>
      <c r="AM33" s="95">
        <v>87</v>
      </c>
      <c r="AN33" s="95">
        <v>88</v>
      </c>
      <c r="AO33" s="96">
        <v>95</v>
      </c>
      <c r="AP33" s="96">
        <v>95</v>
      </c>
      <c r="AQ33" s="95">
        <v>94</v>
      </c>
      <c r="AR33" s="95">
        <v>95</v>
      </c>
      <c r="AS33" s="95">
        <v>87</v>
      </c>
      <c r="AT33" s="95">
        <v>83</v>
      </c>
      <c r="AU33" s="95">
        <v>85</v>
      </c>
      <c r="AV33" s="95">
        <v>88</v>
      </c>
      <c r="AW33" s="95">
        <v>84</v>
      </c>
      <c r="AX33" s="95">
        <v>95</v>
      </c>
      <c r="AY33" s="95">
        <v>76</v>
      </c>
      <c r="AZ33" s="96">
        <v>80</v>
      </c>
      <c r="BA33" s="96">
        <v>91</v>
      </c>
      <c r="BB33" s="96">
        <v>88</v>
      </c>
      <c r="BC33" s="95">
        <v>84</v>
      </c>
      <c r="BD33" s="95">
        <v>85</v>
      </c>
      <c r="BE33" s="96">
        <v>83</v>
      </c>
      <c r="BF33" s="96">
        <v>80</v>
      </c>
      <c r="BG33" s="96">
        <v>80</v>
      </c>
      <c r="BH33" s="15">
        <v>95</v>
      </c>
      <c r="BI33" s="95">
        <v>88</v>
      </c>
      <c r="BJ33" s="95">
        <v>91</v>
      </c>
      <c r="BK33" s="95">
        <v>86</v>
      </c>
      <c r="BL33" s="15">
        <v>95</v>
      </c>
      <c r="BM33" s="95">
        <v>81</v>
      </c>
      <c r="BN33" s="95">
        <v>79</v>
      </c>
      <c r="BO33" s="95">
        <v>85</v>
      </c>
      <c r="BP33" s="15">
        <v>95</v>
      </c>
      <c r="BQ33" s="15">
        <f t="shared" si="0"/>
        <v>84</v>
      </c>
      <c r="BR33" s="15">
        <f t="shared" si="0"/>
        <v>83.333333333333329</v>
      </c>
      <c r="BS33" s="15">
        <f t="shared" si="0"/>
        <v>83.666666666666671</v>
      </c>
      <c r="BT33" s="15">
        <f t="shared" si="0"/>
        <v>95</v>
      </c>
      <c r="BU33" s="14">
        <v>83</v>
      </c>
      <c r="BV33" s="14">
        <v>84</v>
      </c>
      <c r="BW33" s="14">
        <v>85</v>
      </c>
      <c r="BX33" s="15">
        <v>95</v>
      </c>
      <c r="BY33" s="15">
        <v>94</v>
      </c>
      <c r="BZ33" s="15">
        <v>77</v>
      </c>
      <c r="CA33" s="15">
        <v>93</v>
      </c>
      <c r="CB33" s="15">
        <v>78</v>
      </c>
      <c r="CC33" s="15">
        <v>95</v>
      </c>
      <c r="CD33" s="39">
        <v>92</v>
      </c>
      <c r="CE33" s="39">
        <v>95</v>
      </c>
      <c r="CF33" s="40">
        <v>88</v>
      </c>
      <c r="CG33" s="40">
        <v>92</v>
      </c>
      <c r="CH33" s="39">
        <v>94</v>
      </c>
      <c r="CI33" s="39">
        <v>88</v>
      </c>
      <c r="CJ33" s="39">
        <v>87</v>
      </c>
      <c r="CK33" s="39">
        <v>84</v>
      </c>
      <c r="CL33" s="39">
        <v>77</v>
      </c>
      <c r="CM33" s="41">
        <f t="shared" si="1"/>
        <v>91.6</v>
      </c>
      <c r="CN33" s="41">
        <f t="shared" si="2"/>
        <v>95</v>
      </c>
      <c r="CO33" s="41">
        <f t="shared" si="3"/>
        <v>92</v>
      </c>
      <c r="CP33" s="17">
        <f t="shared" si="4"/>
        <v>92.74</v>
      </c>
      <c r="CQ33" s="16">
        <f t="shared" si="5"/>
        <v>87</v>
      </c>
      <c r="CR33" s="16">
        <f t="shared" si="6"/>
        <v>95</v>
      </c>
      <c r="CS33" s="16">
        <f t="shared" si="7"/>
        <v>95</v>
      </c>
      <c r="CT33" s="17">
        <f t="shared" si="8"/>
        <v>91.8</v>
      </c>
      <c r="CU33" s="17">
        <f t="shared" si="9"/>
        <v>88.6</v>
      </c>
      <c r="CV33" s="17">
        <f t="shared" si="10"/>
        <v>91</v>
      </c>
      <c r="CW33" s="17">
        <f t="shared" si="11"/>
        <v>88</v>
      </c>
      <c r="CX33" s="17">
        <f t="shared" si="12"/>
        <v>89.14</v>
      </c>
      <c r="CY33" s="18">
        <f t="shared" si="13"/>
        <v>85</v>
      </c>
      <c r="CZ33" s="18">
        <f t="shared" si="14"/>
        <v>85</v>
      </c>
      <c r="DA33" s="18">
        <f t="shared" si="15"/>
        <v>85</v>
      </c>
      <c r="DB33" s="18">
        <f t="shared" si="16"/>
        <v>85</v>
      </c>
      <c r="DC33" s="18">
        <f t="shared" si="17"/>
        <v>89.5</v>
      </c>
      <c r="DD33" s="18">
        <f t="shared" si="18"/>
        <v>89.5</v>
      </c>
      <c r="DE33" s="18">
        <f t="shared" si="19"/>
        <v>80.25</v>
      </c>
      <c r="DF33" s="18">
        <f t="shared" si="20"/>
        <v>80.25</v>
      </c>
      <c r="DG33" s="18">
        <f t="shared" si="21"/>
        <v>85</v>
      </c>
      <c r="DH33" s="18">
        <f t="shared" si="21"/>
        <v>91</v>
      </c>
      <c r="DI33" s="18">
        <f t="shared" si="22"/>
        <v>92</v>
      </c>
      <c r="DJ33" s="17">
        <f t="shared" si="23"/>
        <v>88.9</v>
      </c>
      <c r="DK33" s="18">
        <f t="shared" si="24"/>
        <v>91.8</v>
      </c>
      <c r="DL33" s="18">
        <f t="shared" si="25"/>
        <v>95</v>
      </c>
      <c r="DM33" s="18">
        <f t="shared" si="26"/>
        <v>94</v>
      </c>
      <c r="DN33" s="17">
        <f t="shared" si="27"/>
        <v>93.42</v>
      </c>
      <c r="DO33" s="18">
        <f t="shared" si="28"/>
        <v>85.4</v>
      </c>
      <c r="DP33" s="18">
        <f t="shared" si="29"/>
        <v>95</v>
      </c>
      <c r="DQ33" s="18">
        <f t="shared" si="30"/>
        <v>88</v>
      </c>
      <c r="DR33" s="17">
        <f t="shared" si="31"/>
        <v>89.06</v>
      </c>
      <c r="DS33" s="18">
        <f t="shared" si="32"/>
        <v>78</v>
      </c>
      <c r="DT33" s="18">
        <f t="shared" si="33"/>
        <v>78</v>
      </c>
      <c r="DU33" s="18">
        <f t="shared" si="34"/>
        <v>89.5</v>
      </c>
      <c r="DV33" s="18">
        <f t="shared" si="35"/>
        <v>89.5</v>
      </c>
      <c r="DW33" s="18">
        <f t="shared" si="36"/>
        <v>84.5</v>
      </c>
      <c r="DX33" s="17">
        <f t="shared" si="37"/>
        <v>84.5</v>
      </c>
      <c r="DY33" s="18">
        <f t="shared" si="38"/>
        <v>83.666666666666671</v>
      </c>
      <c r="DZ33" s="18">
        <f t="shared" si="39"/>
        <v>95</v>
      </c>
      <c r="EA33" s="18">
        <f t="shared" si="40"/>
        <v>77</v>
      </c>
      <c r="EB33" s="17">
        <f t="shared" si="41"/>
        <v>85.066666666666677</v>
      </c>
      <c r="EC33" s="18">
        <f t="shared" si="42"/>
        <v>84</v>
      </c>
      <c r="ED33" s="18">
        <f t="shared" si="43"/>
        <v>95</v>
      </c>
      <c r="EE33" s="18">
        <f t="shared" si="44"/>
        <v>84</v>
      </c>
      <c r="EF33" s="17">
        <f t="shared" si="45"/>
        <v>87.3</v>
      </c>
      <c r="EG33" s="18">
        <f t="shared" si="46"/>
        <v>94</v>
      </c>
      <c r="EH33" s="18">
        <f t="shared" si="47"/>
        <v>82.666666666666671</v>
      </c>
      <c r="EI33" s="18">
        <f t="shared" si="48"/>
        <v>95</v>
      </c>
      <c r="EJ33" s="18">
        <f t="shared" si="49"/>
        <v>87</v>
      </c>
      <c r="EK33" s="17">
        <f t="shared" si="50"/>
        <v>87.666666666666671</v>
      </c>
      <c r="EL33" s="19">
        <f t="shared" si="51"/>
        <v>92.74</v>
      </c>
      <c r="EM33" s="19">
        <f t="shared" si="52"/>
        <v>91.8</v>
      </c>
      <c r="EN33" s="19">
        <f t="shared" si="53"/>
        <v>89.14</v>
      </c>
      <c r="EO33" s="19">
        <f t="shared" si="54"/>
        <v>85</v>
      </c>
      <c r="EP33" s="19">
        <f t="shared" si="55"/>
        <v>85</v>
      </c>
      <c r="EQ33" s="19">
        <f t="shared" si="56"/>
        <v>89.5</v>
      </c>
      <c r="ER33" s="19">
        <f t="shared" si="57"/>
        <v>80.25</v>
      </c>
      <c r="ES33" s="19">
        <f t="shared" si="58"/>
        <v>88.9</v>
      </c>
      <c r="ET33" s="19">
        <f t="shared" si="59"/>
        <v>93.42</v>
      </c>
      <c r="EU33" s="19">
        <f t="shared" si="60"/>
        <v>89.06</v>
      </c>
      <c r="EV33" s="19">
        <f t="shared" si="61"/>
        <v>78</v>
      </c>
      <c r="EW33" s="19">
        <f t="shared" si="62"/>
        <v>89.5</v>
      </c>
      <c r="EX33" s="19">
        <f t="shared" si="63"/>
        <v>84.5</v>
      </c>
      <c r="EY33" s="19">
        <f t="shared" si="64"/>
        <v>85.066666666666677</v>
      </c>
      <c r="EZ33" s="19">
        <f t="shared" si="65"/>
        <v>87.3</v>
      </c>
      <c r="FA33" s="19">
        <f t="shared" si="65"/>
        <v>94</v>
      </c>
      <c r="FB33" s="19">
        <f t="shared" si="66"/>
        <v>87.666666666666671</v>
      </c>
      <c r="FC33" s="19">
        <f t="shared" si="67"/>
        <v>87.696666666666658</v>
      </c>
    </row>
    <row r="34" spans="1:159" ht="20.100000000000001" customHeight="1">
      <c r="A34" s="11">
        <v>30</v>
      </c>
      <c r="B34" s="93" t="s">
        <v>661</v>
      </c>
      <c r="C34" s="94" t="s">
        <v>531</v>
      </c>
      <c r="D34" s="93" t="s">
        <v>631</v>
      </c>
      <c r="E34" s="95">
        <v>90</v>
      </c>
      <c r="F34" s="95">
        <v>89</v>
      </c>
      <c r="G34" s="96">
        <v>90</v>
      </c>
      <c r="H34" s="96">
        <v>85</v>
      </c>
      <c r="I34" s="95">
        <v>91</v>
      </c>
      <c r="J34" s="95">
        <v>77</v>
      </c>
      <c r="K34" s="95">
        <v>83</v>
      </c>
      <c r="L34" s="95">
        <v>76</v>
      </c>
      <c r="M34" s="95">
        <v>80</v>
      </c>
      <c r="N34" s="95">
        <v>90</v>
      </c>
      <c r="O34" s="95">
        <v>95</v>
      </c>
      <c r="P34" s="95">
        <v>78</v>
      </c>
      <c r="Q34" s="96">
        <v>83</v>
      </c>
      <c r="R34" s="96">
        <v>74</v>
      </c>
      <c r="S34" s="96">
        <v>87</v>
      </c>
      <c r="T34" s="96">
        <v>87</v>
      </c>
      <c r="U34" s="95">
        <v>75</v>
      </c>
      <c r="V34" s="95">
        <v>77</v>
      </c>
      <c r="W34" s="95">
        <v>83</v>
      </c>
      <c r="X34" s="95">
        <v>84</v>
      </c>
      <c r="Y34" s="95">
        <v>84</v>
      </c>
      <c r="Z34" s="95">
        <v>86</v>
      </c>
      <c r="AA34" s="95">
        <v>74</v>
      </c>
      <c r="AB34" s="95">
        <v>80</v>
      </c>
      <c r="AC34" s="95">
        <v>85</v>
      </c>
      <c r="AD34" s="95">
        <v>86</v>
      </c>
      <c r="AE34" s="96">
        <v>94</v>
      </c>
      <c r="AF34" s="96">
        <v>81</v>
      </c>
      <c r="AG34" s="95">
        <v>77</v>
      </c>
      <c r="AH34" s="95">
        <v>73</v>
      </c>
      <c r="AI34" s="95">
        <v>70</v>
      </c>
      <c r="AJ34" s="95">
        <v>81</v>
      </c>
      <c r="AK34" s="95">
        <v>84</v>
      </c>
      <c r="AL34" s="95">
        <v>77</v>
      </c>
      <c r="AM34" s="95">
        <v>79</v>
      </c>
      <c r="AN34" s="95">
        <v>79</v>
      </c>
      <c r="AO34" s="96">
        <v>78</v>
      </c>
      <c r="AP34" s="96">
        <v>84</v>
      </c>
      <c r="AQ34" s="95">
        <v>82</v>
      </c>
      <c r="AR34" s="95">
        <v>74</v>
      </c>
      <c r="AS34" s="95">
        <v>72</v>
      </c>
      <c r="AT34" s="95">
        <v>78</v>
      </c>
      <c r="AU34" s="95">
        <v>80</v>
      </c>
      <c r="AV34" s="95">
        <v>84</v>
      </c>
      <c r="AW34" s="95">
        <v>78</v>
      </c>
      <c r="AX34" s="95">
        <v>74</v>
      </c>
      <c r="AY34" s="95">
        <v>76</v>
      </c>
      <c r="AZ34" s="96">
        <v>78</v>
      </c>
      <c r="BA34" s="96">
        <v>83</v>
      </c>
      <c r="BB34" s="96">
        <v>84</v>
      </c>
      <c r="BC34" s="95">
        <v>80</v>
      </c>
      <c r="BD34" s="95">
        <v>82</v>
      </c>
      <c r="BE34" s="96">
        <v>83</v>
      </c>
      <c r="BF34" s="96">
        <v>80</v>
      </c>
      <c r="BG34" s="96">
        <v>80</v>
      </c>
      <c r="BH34" s="15">
        <v>77</v>
      </c>
      <c r="BI34" s="95">
        <v>88</v>
      </c>
      <c r="BJ34" s="95">
        <v>91</v>
      </c>
      <c r="BK34" s="95">
        <v>86</v>
      </c>
      <c r="BL34" s="15">
        <v>77</v>
      </c>
      <c r="BM34" s="95">
        <v>81</v>
      </c>
      <c r="BN34" s="95">
        <v>79</v>
      </c>
      <c r="BO34" s="95">
        <v>85</v>
      </c>
      <c r="BP34" s="15">
        <v>77</v>
      </c>
      <c r="BQ34" s="15">
        <f t="shared" si="0"/>
        <v>84</v>
      </c>
      <c r="BR34" s="15">
        <f t="shared" si="0"/>
        <v>83.333333333333329</v>
      </c>
      <c r="BS34" s="15">
        <f t="shared" si="0"/>
        <v>83.666666666666671</v>
      </c>
      <c r="BT34" s="15">
        <f t="shared" si="0"/>
        <v>77</v>
      </c>
      <c r="BU34" s="14">
        <v>81</v>
      </c>
      <c r="BV34" s="14">
        <v>82</v>
      </c>
      <c r="BW34" s="14">
        <v>84</v>
      </c>
      <c r="BX34" s="15">
        <v>77</v>
      </c>
      <c r="BY34" s="15">
        <v>77</v>
      </c>
      <c r="BZ34" s="15">
        <v>74</v>
      </c>
      <c r="CA34" s="15">
        <v>88</v>
      </c>
      <c r="CB34" s="15">
        <v>78</v>
      </c>
      <c r="CC34" s="15">
        <v>74</v>
      </c>
      <c r="CD34" s="39">
        <v>88</v>
      </c>
      <c r="CE34" s="39">
        <v>88</v>
      </c>
      <c r="CF34" s="40">
        <v>80</v>
      </c>
      <c r="CG34" s="40">
        <v>70</v>
      </c>
      <c r="CH34" s="39">
        <v>82</v>
      </c>
      <c r="CI34" s="39">
        <v>84</v>
      </c>
      <c r="CJ34" s="39">
        <v>81</v>
      </c>
      <c r="CK34" s="39">
        <v>85</v>
      </c>
      <c r="CL34" s="39">
        <v>75</v>
      </c>
      <c r="CM34" s="41">
        <f t="shared" si="1"/>
        <v>89</v>
      </c>
      <c r="CN34" s="41">
        <f t="shared" si="2"/>
        <v>77</v>
      </c>
      <c r="CO34" s="41">
        <f t="shared" si="3"/>
        <v>88</v>
      </c>
      <c r="CP34" s="17">
        <f t="shared" si="4"/>
        <v>85.1</v>
      </c>
      <c r="CQ34" s="16">
        <f t="shared" si="5"/>
        <v>84.8</v>
      </c>
      <c r="CR34" s="16">
        <f t="shared" si="6"/>
        <v>78</v>
      </c>
      <c r="CS34" s="16">
        <f t="shared" si="7"/>
        <v>88</v>
      </c>
      <c r="CT34" s="17">
        <f t="shared" si="8"/>
        <v>83.72</v>
      </c>
      <c r="CU34" s="17">
        <f t="shared" si="9"/>
        <v>81.2</v>
      </c>
      <c r="CV34" s="17">
        <f t="shared" si="10"/>
        <v>77</v>
      </c>
      <c r="CW34" s="17">
        <f t="shared" si="11"/>
        <v>80</v>
      </c>
      <c r="CX34" s="17">
        <f t="shared" si="12"/>
        <v>79.58</v>
      </c>
      <c r="CY34" s="18">
        <f t="shared" si="13"/>
        <v>84.25</v>
      </c>
      <c r="CZ34" s="18">
        <f t="shared" si="14"/>
        <v>84.25</v>
      </c>
      <c r="DA34" s="18">
        <f t="shared" si="15"/>
        <v>81.25</v>
      </c>
      <c r="DB34" s="18">
        <f t="shared" si="16"/>
        <v>81.25</v>
      </c>
      <c r="DC34" s="18">
        <f t="shared" si="17"/>
        <v>87.5</v>
      </c>
      <c r="DD34" s="18">
        <f t="shared" si="18"/>
        <v>87.5</v>
      </c>
      <c r="DE34" s="18">
        <f t="shared" si="19"/>
        <v>75.25</v>
      </c>
      <c r="DF34" s="18">
        <f t="shared" si="20"/>
        <v>75.25</v>
      </c>
      <c r="DG34" s="18">
        <f t="shared" si="21"/>
        <v>84</v>
      </c>
      <c r="DH34" s="18">
        <f t="shared" si="21"/>
        <v>77</v>
      </c>
      <c r="DI34" s="18">
        <f t="shared" si="22"/>
        <v>70</v>
      </c>
      <c r="DJ34" s="17">
        <f t="shared" si="23"/>
        <v>77.7</v>
      </c>
      <c r="DK34" s="18">
        <f t="shared" si="24"/>
        <v>80.400000000000006</v>
      </c>
      <c r="DL34" s="18">
        <f t="shared" si="25"/>
        <v>74</v>
      </c>
      <c r="DM34" s="18">
        <f t="shared" si="26"/>
        <v>82</v>
      </c>
      <c r="DN34" s="17">
        <f t="shared" si="27"/>
        <v>78.960000000000008</v>
      </c>
      <c r="DO34" s="18">
        <f t="shared" si="28"/>
        <v>78.400000000000006</v>
      </c>
      <c r="DP34" s="18">
        <f t="shared" si="29"/>
        <v>74</v>
      </c>
      <c r="DQ34" s="18">
        <f t="shared" si="30"/>
        <v>84</v>
      </c>
      <c r="DR34" s="17">
        <f t="shared" si="31"/>
        <v>78.760000000000005</v>
      </c>
      <c r="DS34" s="18">
        <f t="shared" si="32"/>
        <v>77</v>
      </c>
      <c r="DT34" s="18">
        <f t="shared" si="33"/>
        <v>77</v>
      </c>
      <c r="DU34" s="18">
        <f t="shared" si="34"/>
        <v>83.5</v>
      </c>
      <c r="DV34" s="18">
        <f t="shared" si="35"/>
        <v>83.5</v>
      </c>
      <c r="DW34" s="18">
        <f t="shared" si="36"/>
        <v>81</v>
      </c>
      <c r="DX34" s="17">
        <f t="shared" si="37"/>
        <v>81</v>
      </c>
      <c r="DY34" s="18">
        <f t="shared" si="38"/>
        <v>83.666666666666671</v>
      </c>
      <c r="DZ34" s="18">
        <f t="shared" si="39"/>
        <v>77</v>
      </c>
      <c r="EA34" s="18">
        <f t="shared" si="40"/>
        <v>75</v>
      </c>
      <c r="EB34" s="17">
        <f t="shared" si="41"/>
        <v>79.066666666666677</v>
      </c>
      <c r="EC34" s="18">
        <f t="shared" si="42"/>
        <v>82.333333333333329</v>
      </c>
      <c r="ED34" s="18">
        <f t="shared" si="43"/>
        <v>77</v>
      </c>
      <c r="EE34" s="18">
        <f t="shared" si="44"/>
        <v>85</v>
      </c>
      <c r="EF34" s="17">
        <f t="shared" si="45"/>
        <v>81.533333333333331</v>
      </c>
      <c r="EG34" s="18">
        <f t="shared" si="46"/>
        <v>77</v>
      </c>
      <c r="EH34" s="18">
        <f t="shared" si="47"/>
        <v>80</v>
      </c>
      <c r="EI34" s="18">
        <f t="shared" si="48"/>
        <v>74</v>
      </c>
      <c r="EJ34" s="18">
        <f t="shared" si="49"/>
        <v>81</v>
      </c>
      <c r="EK34" s="17">
        <f t="shared" si="50"/>
        <v>78.5</v>
      </c>
      <c r="EL34" s="19">
        <f t="shared" si="51"/>
        <v>85.1</v>
      </c>
      <c r="EM34" s="19">
        <f t="shared" si="52"/>
        <v>83.72</v>
      </c>
      <c r="EN34" s="19">
        <f t="shared" si="53"/>
        <v>79.58</v>
      </c>
      <c r="EO34" s="19">
        <f t="shared" si="54"/>
        <v>84.25</v>
      </c>
      <c r="EP34" s="19">
        <f t="shared" si="55"/>
        <v>81.25</v>
      </c>
      <c r="EQ34" s="19">
        <f t="shared" si="56"/>
        <v>87.5</v>
      </c>
      <c r="ER34" s="19">
        <f t="shared" si="57"/>
        <v>75.25</v>
      </c>
      <c r="ES34" s="19">
        <f t="shared" si="58"/>
        <v>77.7</v>
      </c>
      <c r="ET34" s="19">
        <f t="shared" si="59"/>
        <v>78.960000000000008</v>
      </c>
      <c r="EU34" s="19">
        <f t="shared" si="60"/>
        <v>78.760000000000005</v>
      </c>
      <c r="EV34" s="19">
        <f t="shared" si="61"/>
        <v>77</v>
      </c>
      <c r="EW34" s="19">
        <f t="shared" si="62"/>
        <v>83.5</v>
      </c>
      <c r="EX34" s="19">
        <f t="shared" si="63"/>
        <v>81</v>
      </c>
      <c r="EY34" s="19">
        <f t="shared" si="64"/>
        <v>79.066666666666677</v>
      </c>
      <c r="EZ34" s="19">
        <f t="shared" si="65"/>
        <v>81.533333333333331</v>
      </c>
      <c r="FA34" s="19">
        <f t="shared" si="65"/>
        <v>77</v>
      </c>
      <c r="FB34" s="19">
        <f t="shared" si="66"/>
        <v>78.5</v>
      </c>
      <c r="FC34" s="19">
        <f t="shared" si="67"/>
        <v>80.568823529411773</v>
      </c>
    </row>
    <row r="35" spans="1:159" ht="20.100000000000001" customHeight="1">
      <c r="A35" s="11">
        <v>31</v>
      </c>
      <c r="B35" s="93" t="s">
        <v>662</v>
      </c>
      <c r="C35" s="94" t="s">
        <v>533</v>
      </c>
      <c r="D35" s="93" t="s">
        <v>631</v>
      </c>
      <c r="E35" s="95">
        <v>90</v>
      </c>
      <c r="F35" s="95">
        <v>92</v>
      </c>
      <c r="G35" s="96">
        <v>91</v>
      </c>
      <c r="H35" s="96">
        <v>87</v>
      </c>
      <c r="I35" s="95">
        <v>93</v>
      </c>
      <c r="J35" s="95">
        <v>89</v>
      </c>
      <c r="K35" s="95">
        <v>80</v>
      </c>
      <c r="L35" s="95">
        <v>79</v>
      </c>
      <c r="M35" s="95">
        <v>83</v>
      </c>
      <c r="N35" s="95">
        <v>90</v>
      </c>
      <c r="O35" s="95">
        <v>93</v>
      </c>
      <c r="P35" s="95">
        <v>87</v>
      </c>
      <c r="Q35" s="96">
        <v>85</v>
      </c>
      <c r="R35" s="96">
        <v>85</v>
      </c>
      <c r="S35" s="96">
        <v>80</v>
      </c>
      <c r="T35" s="96">
        <v>83</v>
      </c>
      <c r="U35" s="95">
        <v>87</v>
      </c>
      <c r="V35" s="95">
        <v>84</v>
      </c>
      <c r="W35" s="95">
        <v>82</v>
      </c>
      <c r="X35" s="95">
        <v>84</v>
      </c>
      <c r="Y35" s="95">
        <v>83</v>
      </c>
      <c r="Z35" s="95">
        <v>86</v>
      </c>
      <c r="AA35" s="95">
        <v>78</v>
      </c>
      <c r="AB35" s="95">
        <v>80</v>
      </c>
      <c r="AC35" s="95">
        <v>82</v>
      </c>
      <c r="AD35" s="95">
        <v>84</v>
      </c>
      <c r="AE35" s="96">
        <v>93</v>
      </c>
      <c r="AF35" s="96">
        <v>85</v>
      </c>
      <c r="AG35" s="95">
        <v>79</v>
      </c>
      <c r="AH35" s="95">
        <v>75</v>
      </c>
      <c r="AI35" s="95">
        <v>70</v>
      </c>
      <c r="AJ35" s="95">
        <v>81</v>
      </c>
      <c r="AK35" s="95">
        <v>80</v>
      </c>
      <c r="AL35" s="95">
        <v>84</v>
      </c>
      <c r="AM35" s="95">
        <v>76</v>
      </c>
      <c r="AN35" s="95">
        <v>76</v>
      </c>
      <c r="AO35" s="96">
        <v>77</v>
      </c>
      <c r="AP35" s="96">
        <v>82</v>
      </c>
      <c r="AQ35" s="95">
        <v>80</v>
      </c>
      <c r="AR35" s="95">
        <v>74</v>
      </c>
      <c r="AS35" s="95">
        <v>75</v>
      </c>
      <c r="AT35" s="95">
        <v>78</v>
      </c>
      <c r="AU35" s="95">
        <v>80</v>
      </c>
      <c r="AV35" s="95">
        <v>81</v>
      </c>
      <c r="AW35" s="95">
        <v>78</v>
      </c>
      <c r="AX35" s="95">
        <v>74</v>
      </c>
      <c r="AY35" s="95">
        <v>76</v>
      </c>
      <c r="AZ35" s="96">
        <v>79</v>
      </c>
      <c r="BA35" s="96">
        <v>78</v>
      </c>
      <c r="BB35" s="96">
        <v>84</v>
      </c>
      <c r="BC35" s="95">
        <v>80</v>
      </c>
      <c r="BD35" s="95">
        <v>81</v>
      </c>
      <c r="BE35" s="96">
        <v>83</v>
      </c>
      <c r="BF35" s="96">
        <v>80</v>
      </c>
      <c r="BG35" s="96">
        <v>80</v>
      </c>
      <c r="BH35" s="15">
        <v>82</v>
      </c>
      <c r="BI35" s="95">
        <v>88</v>
      </c>
      <c r="BJ35" s="95">
        <v>91</v>
      </c>
      <c r="BK35" s="95">
        <v>86</v>
      </c>
      <c r="BL35" s="15">
        <v>82</v>
      </c>
      <c r="BM35" s="95">
        <v>81</v>
      </c>
      <c r="BN35" s="95">
        <v>79</v>
      </c>
      <c r="BO35" s="95">
        <v>85</v>
      </c>
      <c r="BP35" s="15">
        <v>82</v>
      </c>
      <c r="BQ35" s="15">
        <f t="shared" si="0"/>
        <v>84</v>
      </c>
      <c r="BR35" s="15">
        <f t="shared" si="0"/>
        <v>83.333333333333329</v>
      </c>
      <c r="BS35" s="15">
        <f t="shared" si="0"/>
        <v>83.666666666666671</v>
      </c>
      <c r="BT35" s="15">
        <f t="shared" si="0"/>
        <v>82</v>
      </c>
      <c r="BU35" s="14">
        <v>77</v>
      </c>
      <c r="BV35" s="14">
        <v>82</v>
      </c>
      <c r="BW35" s="14">
        <v>80</v>
      </c>
      <c r="BX35" s="15">
        <v>82</v>
      </c>
      <c r="BY35" s="15">
        <v>83</v>
      </c>
      <c r="BZ35" s="15">
        <v>76</v>
      </c>
      <c r="CA35" s="15">
        <v>88</v>
      </c>
      <c r="CB35" s="15">
        <v>75</v>
      </c>
      <c r="CC35" s="15">
        <v>74</v>
      </c>
      <c r="CD35" s="39">
        <v>90</v>
      </c>
      <c r="CE35" s="39">
        <v>88</v>
      </c>
      <c r="CF35" s="40">
        <v>80</v>
      </c>
      <c r="CG35" s="40">
        <v>90</v>
      </c>
      <c r="CH35" s="39">
        <v>80</v>
      </c>
      <c r="CI35" s="39">
        <v>83</v>
      </c>
      <c r="CJ35" s="39">
        <v>78</v>
      </c>
      <c r="CK35" s="39">
        <v>83</v>
      </c>
      <c r="CL35" s="39">
        <v>92</v>
      </c>
      <c r="CM35" s="41">
        <f t="shared" si="1"/>
        <v>90.6</v>
      </c>
      <c r="CN35" s="41">
        <f t="shared" si="2"/>
        <v>89</v>
      </c>
      <c r="CO35" s="41">
        <f t="shared" si="3"/>
        <v>90</v>
      </c>
      <c r="CP35" s="17">
        <f t="shared" si="4"/>
        <v>89.94</v>
      </c>
      <c r="CQ35" s="16">
        <f t="shared" si="5"/>
        <v>85</v>
      </c>
      <c r="CR35" s="16">
        <f t="shared" si="6"/>
        <v>87</v>
      </c>
      <c r="CS35" s="16">
        <f t="shared" si="7"/>
        <v>88</v>
      </c>
      <c r="CT35" s="17">
        <f t="shared" si="8"/>
        <v>86.5</v>
      </c>
      <c r="CU35" s="17">
        <f t="shared" si="9"/>
        <v>84</v>
      </c>
      <c r="CV35" s="17">
        <f t="shared" si="10"/>
        <v>84</v>
      </c>
      <c r="CW35" s="17">
        <f t="shared" si="11"/>
        <v>80</v>
      </c>
      <c r="CX35" s="17">
        <f t="shared" si="12"/>
        <v>82.8</v>
      </c>
      <c r="CY35" s="18">
        <f t="shared" si="13"/>
        <v>83.75</v>
      </c>
      <c r="CZ35" s="18">
        <f t="shared" si="14"/>
        <v>83.75</v>
      </c>
      <c r="DA35" s="18">
        <f t="shared" si="15"/>
        <v>81</v>
      </c>
      <c r="DB35" s="18">
        <f t="shared" si="16"/>
        <v>81</v>
      </c>
      <c r="DC35" s="18">
        <f t="shared" si="17"/>
        <v>89</v>
      </c>
      <c r="DD35" s="18">
        <f t="shared" si="18"/>
        <v>89</v>
      </c>
      <c r="DE35" s="18">
        <f t="shared" si="19"/>
        <v>76.25</v>
      </c>
      <c r="DF35" s="18">
        <f t="shared" si="20"/>
        <v>76.25</v>
      </c>
      <c r="DG35" s="18">
        <f t="shared" si="21"/>
        <v>80</v>
      </c>
      <c r="DH35" s="18">
        <f t="shared" si="21"/>
        <v>84</v>
      </c>
      <c r="DI35" s="18">
        <f t="shared" si="22"/>
        <v>90</v>
      </c>
      <c r="DJ35" s="17">
        <f t="shared" si="23"/>
        <v>84.2</v>
      </c>
      <c r="DK35" s="18">
        <f t="shared" si="24"/>
        <v>78.2</v>
      </c>
      <c r="DL35" s="18">
        <f t="shared" si="25"/>
        <v>74</v>
      </c>
      <c r="DM35" s="18">
        <f t="shared" si="26"/>
        <v>80</v>
      </c>
      <c r="DN35" s="17">
        <f t="shared" si="27"/>
        <v>77.47999999999999</v>
      </c>
      <c r="DO35" s="18">
        <f t="shared" si="28"/>
        <v>78.400000000000006</v>
      </c>
      <c r="DP35" s="18">
        <f t="shared" si="29"/>
        <v>74</v>
      </c>
      <c r="DQ35" s="18">
        <f t="shared" si="30"/>
        <v>83</v>
      </c>
      <c r="DR35" s="17">
        <f t="shared" si="31"/>
        <v>78.460000000000008</v>
      </c>
      <c r="DS35" s="18">
        <f t="shared" si="32"/>
        <v>77.5</v>
      </c>
      <c r="DT35" s="18">
        <f t="shared" si="33"/>
        <v>77.5</v>
      </c>
      <c r="DU35" s="18">
        <f t="shared" si="34"/>
        <v>81</v>
      </c>
      <c r="DV35" s="18">
        <f t="shared" si="35"/>
        <v>81</v>
      </c>
      <c r="DW35" s="18">
        <f t="shared" si="36"/>
        <v>80.5</v>
      </c>
      <c r="DX35" s="17">
        <f t="shared" si="37"/>
        <v>80.5</v>
      </c>
      <c r="DY35" s="18">
        <f t="shared" si="38"/>
        <v>83.666666666666671</v>
      </c>
      <c r="DZ35" s="18">
        <f t="shared" si="39"/>
        <v>82</v>
      </c>
      <c r="EA35" s="18">
        <f t="shared" si="40"/>
        <v>92</v>
      </c>
      <c r="EB35" s="17">
        <f t="shared" si="41"/>
        <v>85.666666666666671</v>
      </c>
      <c r="EC35" s="18">
        <f t="shared" si="42"/>
        <v>79.666666666666671</v>
      </c>
      <c r="ED35" s="18">
        <f t="shared" si="43"/>
        <v>82</v>
      </c>
      <c r="EE35" s="18">
        <f t="shared" si="44"/>
        <v>83</v>
      </c>
      <c r="EF35" s="17">
        <f t="shared" si="45"/>
        <v>81.366666666666674</v>
      </c>
      <c r="EG35" s="18">
        <f t="shared" si="46"/>
        <v>83</v>
      </c>
      <c r="EH35" s="18">
        <f t="shared" si="47"/>
        <v>79.666666666666671</v>
      </c>
      <c r="EI35" s="18">
        <f t="shared" si="48"/>
        <v>74</v>
      </c>
      <c r="EJ35" s="18">
        <f t="shared" si="49"/>
        <v>78</v>
      </c>
      <c r="EK35" s="17">
        <f t="shared" si="50"/>
        <v>77.466666666666669</v>
      </c>
      <c r="EL35" s="19">
        <f t="shared" si="51"/>
        <v>89.94</v>
      </c>
      <c r="EM35" s="19">
        <f t="shared" si="52"/>
        <v>86.5</v>
      </c>
      <c r="EN35" s="19">
        <f t="shared" si="53"/>
        <v>82.8</v>
      </c>
      <c r="EO35" s="19">
        <f t="shared" si="54"/>
        <v>83.75</v>
      </c>
      <c r="EP35" s="19">
        <f t="shared" si="55"/>
        <v>81</v>
      </c>
      <c r="EQ35" s="19">
        <f t="shared" si="56"/>
        <v>89</v>
      </c>
      <c r="ER35" s="19">
        <f t="shared" si="57"/>
        <v>76.25</v>
      </c>
      <c r="ES35" s="19">
        <f t="shared" si="58"/>
        <v>84.2</v>
      </c>
      <c r="ET35" s="19">
        <f t="shared" si="59"/>
        <v>77.47999999999999</v>
      </c>
      <c r="EU35" s="19">
        <f t="shared" si="60"/>
        <v>78.460000000000008</v>
      </c>
      <c r="EV35" s="19">
        <f t="shared" si="61"/>
        <v>77.5</v>
      </c>
      <c r="EW35" s="19">
        <f t="shared" si="62"/>
        <v>81</v>
      </c>
      <c r="EX35" s="19">
        <f t="shared" si="63"/>
        <v>80.5</v>
      </c>
      <c r="EY35" s="19">
        <f t="shared" si="64"/>
        <v>85.666666666666671</v>
      </c>
      <c r="EZ35" s="19">
        <f t="shared" si="65"/>
        <v>81.366666666666674</v>
      </c>
      <c r="FA35" s="19">
        <f t="shared" si="65"/>
        <v>83</v>
      </c>
      <c r="FB35" s="19">
        <f t="shared" si="66"/>
        <v>77.466666666666669</v>
      </c>
      <c r="FC35" s="19">
        <f t="shared" si="67"/>
        <v>82.110588235294131</v>
      </c>
    </row>
    <row r="36" spans="1:159" ht="20.100000000000001" customHeight="1">
      <c r="A36" s="11">
        <v>32</v>
      </c>
      <c r="B36" s="93" t="s">
        <v>663</v>
      </c>
      <c r="C36" s="94" t="s">
        <v>535</v>
      </c>
      <c r="D36" s="93" t="s">
        <v>631</v>
      </c>
      <c r="E36" s="95">
        <v>83</v>
      </c>
      <c r="F36" s="95">
        <v>87</v>
      </c>
      <c r="G36" s="96">
        <v>90</v>
      </c>
      <c r="H36" s="96">
        <v>84</v>
      </c>
      <c r="I36" s="95">
        <v>86</v>
      </c>
      <c r="J36" s="95">
        <v>80</v>
      </c>
      <c r="K36" s="95">
        <v>80</v>
      </c>
      <c r="L36" s="95">
        <v>77</v>
      </c>
      <c r="M36" s="95">
        <v>90</v>
      </c>
      <c r="N36" s="95">
        <v>90</v>
      </c>
      <c r="O36" s="95">
        <v>95</v>
      </c>
      <c r="P36" s="95">
        <v>80</v>
      </c>
      <c r="Q36" s="96">
        <v>84</v>
      </c>
      <c r="R36" s="96">
        <v>70</v>
      </c>
      <c r="S36" s="96">
        <v>79</v>
      </c>
      <c r="T36" s="96">
        <v>80</v>
      </c>
      <c r="U36" s="95">
        <v>75</v>
      </c>
      <c r="V36" s="95">
        <v>79</v>
      </c>
      <c r="W36" s="95">
        <v>83</v>
      </c>
      <c r="X36" s="95">
        <v>85</v>
      </c>
      <c r="Y36" s="95">
        <v>84</v>
      </c>
      <c r="Z36" s="95">
        <v>86</v>
      </c>
      <c r="AA36" s="95">
        <v>74</v>
      </c>
      <c r="AB36" s="95">
        <v>80</v>
      </c>
      <c r="AC36" s="95">
        <v>85</v>
      </c>
      <c r="AD36" s="95">
        <v>87</v>
      </c>
      <c r="AE36" s="96">
        <v>92</v>
      </c>
      <c r="AF36" s="96">
        <v>82</v>
      </c>
      <c r="AG36" s="95">
        <v>76</v>
      </c>
      <c r="AH36" s="95">
        <v>75</v>
      </c>
      <c r="AI36" s="95">
        <v>74</v>
      </c>
      <c r="AJ36" s="95">
        <v>80</v>
      </c>
      <c r="AK36" s="95">
        <v>84</v>
      </c>
      <c r="AL36" s="95">
        <v>79</v>
      </c>
      <c r="AM36" s="95">
        <v>75</v>
      </c>
      <c r="AN36" s="95">
        <v>74</v>
      </c>
      <c r="AO36" s="96">
        <v>80</v>
      </c>
      <c r="AP36" s="96">
        <v>83</v>
      </c>
      <c r="AQ36" s="95">
        <v>82</v>
      </c>
      <c r="AR36" s="95">
        <v>88</v>
      </c>
      <c r="AS36" s="95">
        <v>72</v>
      </c>
      <c r="AT36" s="95">
        <v>78</v>
      </c>
      <c r="AU36" s="95">
        <v>78</v>
      </c>
      <c r="AV36" s="95">
        <v>83</v>
      </c>
      <c r="AW36" s="95">
        <v>83</v>
      </c>
      <c r="AX36" s="95">
        <v>88</v>
      </c>
      <c r="AY36" s="95">
        <v>77</v>
      </c>
      <c r="AZ36" s="96">
        <v>81</v>
      </c>
      <c r="BA36" s="96">
        <v>77</v>
      </c>
      <c r="BB36" s="96">
        <v>85</v>
      </c>
      <c r="BC36" s="95">
        <v>80</v>
      </c>
      <c r="BD36" s="95">
        <v>82</v>
      </c>
      <c r="BE36" s="96">
        <v>83</v>
      </c>
      <c r="BF36" s="96">
        <v>80</v>
      </c>
      <c r="BG36" s="96">
        <v>80</v>
      </c>
      <c r="BH36" s="15">
        <v>88</v>
      </c>
      <c r="BI36" s="95">
        <v>88</v>
      </c>
      <c r="BJ36" s="95">
        <v>91</v>
      </c>
      <c r="BK36" s="95">
        <v>86</v>
      </c>
      <c r="BL36" s="15">
        <v>88</v>
      </c>
      <c r="BM36" s="95">
        <v>81</v>
      </c>
      <c r="BN36" s="95">
        <v>79</v>
      </c>
      <c r="BO36" s="95">
        <v>85</v>
      </c>
      <c r="BP36" s="15">
        <v>88</v>
      </c>
      <c r="BQ36" s="15">
        <f t="shared" si="0"/>
        <v>84</v>
      </c>
      <c r="BR36" s="15">
        <f t="shared" si="0"/>
        <v>83.333333333333329</v>
      </c>
      <c r="BS36" s="15">
        <f t="shared" si="0"/>
        <v>83.666666666666671</v>
      </c>
      <c r="BT36" s="15">
        <f t="shared" si="0"/>
        <v>88</v>
      </c>
      <c r="BU36" s="14">
        <v>80</v>
      </c>
      <c r="BV36" s="14">
        <v>82</v>
      </c>
      <c r="BW36" s="14">
        <v>84</v>
      </c>
      <c r="BX36" s="15">
        <v>88</v>
      </c>
      <c r="BY36" s="15">
        <v>83</v>
      </c>
      <c r="BZ36" s="15">
        <v>71</v>
      </c>
      <c r="CA36" s="15">
        <v>83</v>
      </c>
      <c r="CB36" s="15">
        <v>73</v>
      </c>
      <c r="CC36" s="15">
        <v>88</v>
      </c>
      <c r="CD36" s="39">
        <v>82</v>
      </c>
      <c r="CE36" s="39">
        <v>95</v>
      </c>
      <c r="CF36" s="40">
        <v>82</v>
      </c>
      <c r="CG36" s="40">
        <v>85</v>
      </c>
      <c r="CH36" s="39">
        <v>83</v>
      </c>
      <c r="CI36" s="39">
        <v>85</v>
      </c>
      <c r="CJ36" s="39">
        <v>85</v>
      </c>
      <c r="CK36" s="39">
        <v>81</v>
      </c>
      <c r="CL36" s="39">
        <v>77</v>
      </c>
      <c r="CM36" s="41">
        <f t="shared" si="1"/>
        <v>86</v>
      </c>
      <c r="CN36" s="41">
        <f t="shared" si="2"/>
        <v>80</v>
      </c>
      <c r="CO36" s="41">
        <f t="shared" si="3"/>
        <v>82</v>
      </c>
      <c r="CP36" s="17">
        <f t="shared" si="4"/>
        <v>83</v>
      </c>
      <c r="CQ36" s="16">
        <f t="shared" si="5"/>
        <v>86.4</v>
      </c>
      <c r="CR36" s="16">
        <f t="shared" si="6"/>
        <v>80</v>
      </c>
      <c r="CS36" s="16">
        <f t="shared" si="7"/>
        <v>95</v>
      </c>
      <c r="CT36" s="17">
        <f t="shared" si="8"/>
        <v>87.06</v>
      </c>
      <c r="CU36" s="17">
        <f t="shared" si="9"/>
        <v>77.599999999999994</v>
      </c>
      <c r="CV36" s="17">
        <f t="shared" si="10"/>
        <v>79</v>
      </c>
      <c r="CW36" s="17">
        <f t="shared" si="11"/>
        <v>82</v>
      </c>
      <c r="CX36" s="17">
        <f t="shared" si="12"/>
        <v>79.34</v>
      </c>
      <c r="CY36" s="18">
        <f t="shared" si="13"/>
        <v>84.5</v>
      </c>
      <c r="CZ36" s="18">
        <f t="shared" si="14"/>
        <v>84.5</v>
      </c>
      <c r="DA36" s="18">
        <f t="shared" si="15"/>
        <v>81.5</v>
      </c>
      <c r="DB36" s="18">
        <f t="shared" si="16"/>
        <v>81.5</v>
      </c>
      <c r="DC36" s="18">
        <f t="shared" si="17"/>
        <v>87</v>
      </c>
      <c r="DD36" s="18">
        <f t="shared" si="18"/>
        <v>87</v>
      </c>
      <c r="DE36" s="18">
        <f t="shared" si="19"/>
        <v>76.25</v>
      </c>
      <c r="DF36" s="18">
        <f t="shared" si="20"/>
        <v>76.25</v>
      </c>
      <c r="DG36" s="18">
        <f t="shared" si="21"/>
        <v>84</v>
      </c>
      <c r="DH36" s="18">
        <f t="shared" si="21"/>
        <v>79</v>
      </c>
      <c r="DI36" s="18">
        <f t="shared" si="22"/>
        <v>85</v>
      </c>
      <c r="DJ36" s="17">
        <f t="shared" si="23"/>
        <v>82.8</v>
      </c>
      <c r="DK36" s="18">
        <f t="shared" si="24"/>
        <v>78.8</v>
      </c>
      <c r="DL36" s="18">
        <f t="shared" si="25"/>
        <v>88</v>
      </c>
      <c r="DM36" s="18">
        <f t="shared" si="26"/>
        <v>83</v>
      </c>
      <c r="DN36" s="17">
        <f t="shared" si="27"/>
        <v>82.820000000000007</v>
      </c>
      <c r="DO36" s="18">
        <f t="shared" si="28"/>
        <v>78.8</v>
      </c>
      <c r="DP36" s="18">
        <f t="shared" si="29"/>
        <v>88</v>
      </c>
      <c r="DQ36" s="18">
        <f t="shared" si="30"/>
        <v>85</v>
      </c>
      <c r="DR36" s="17">
        <f t="shared" si="31"/>
        <v>83.42</v>
      </c>
      <c r="DS36" s="18">
        <f t="shared" si="32"/>
        <v>79</v>
      </c>
      <c r="DT36" s="18">
        <f t="shared" si="33"/>
        <v>79</v>
      </c>
      <c r="DU36" s="18">
        <f t="shared" si="34"/>
        <v>81</v>
      </c>
      <c r="DV36" s="18">
        <f t="shared" si="35"/>
        <v>81</v>
      </c>
      <c r="DW36" s="18">
        <f t="shared" si="36"/>
        <v>81</v>
      </c>
      <c r="DX36" s="17">
        <f t="shared" si="37"/>
        <v>81</v>
      </c>
      <c r="DY36" s="18">
        <f t="shared" si="38"/>
        <v>83.666666666666671</v>
      </c>
      <c r="DZ36" s="18">
        <f t="shared" si="39"/>
        <v>88</v>
      </c>
      <c r="EA36" s="18">
        <f t="shared" si="40"/>
        <v>77</v>
      </c>
      <c r="EB36" s="17">
        <f t="shared" si="41"/>
        <v>82.966666666666669</v>
      </c>
      <c r="EC36" s="18">
        <f t="shared" si="42"/>
        <v>82</v>
      </c>
      <c r="ED36" s="18">
        <f t="shared" si="43"/>
        <v>88</v>
      </c>
      <c r="EE36" s="18">
        <f t="shared" si="44"/>
        <v>81</v>
      </c>
      <c r="EF36" s="17">
        <f t="shared" si="45"/>
        <v>83.5</v>
      </c>
      <c r="EG36" s="18">
        <f t="shared" si="46"/>
        <v>83</v>
      </c>
      <c r="EH36" s="18">
        <f t="shared" si="47"/>
        <v>75.666666666666671</v>
      </c>
      <c r="EI36" s="18">
        <f t="shared" si="48"/>
        <v>88</v>
      </c>
      <c r="EJ36" s="18">
        <f t="shared" si="49"/>
        <v>85</v>
      </c>
      <c r="EK36" s="17">
        <f t="shared" si="50"/>
        <v>82.166666666666671</v>
      </c>
      <c r="EL36" s="19">
        <f t="shared" si="51"/>
        <v>83</v>
      </c>
      <c r="EM36" s="19">
        <f t="shared" si="52"/>
        <v>87.06</v>
      </c>
      <c r="EN36" s="19">
        <f t="shared" si="53"/>
        <v>79.34</v>
      </c>
      <c r="EO36" s="19">
        <f t="shared" si="54"/>
        <v>84.5</v>
      </c>
      <c r="EP36" s="19">
        <f t="shared" si="55"/>
        <v>81.5</v>
      </c>
      <c r="EQ36" s="19">
        <f t="shared" si="56"/>
        <v>87</v>
      </c>
      <c r="ER36" s="19">
        <f t="shared" si="57"/>
        <v>76.25</v>
      </c>
      <c r="ES36" s="19">
        <f t="shared" si="58"/>
        <v>82.8</v>
      </c>
      <c r="ET36" s="19">
        <f t="shared" si="59"/>
        <v>82.820000000000007</v>
      </c>
      <c r="EU36" s="19">
        <f t="shared" si="60"/>
        <v>83.42</v>
      </c>
      <c r="EV36" s="19">
        <f t="shared" si="61"/>
        <v>79</v>
      </c>
      <c r="EW36" s="19">
        <f t="shared" si="62"/>
        <v>81</v>
      </c>
      <c r="EX36" s="19">
        <f t="shared" si="63"/>
        <v>81</v>
      </c>
      <c r="EY36" s="19">
        <f t="shared" si="64"/>
        <v>82.966666666666669</v>
      </c>
      <c r="EZ36" s="19">
        <f t="shared" si="65"/>
        <v>83.5</v>
      </c>
      <c r="FA36" s="19">
        <f t="shared" si="65"/>
        <v>83</v>
      </c>
      <c r="FB36" s="19">
        <f t="shared" si="66"/>
        <v>82.166666666666671</v>
      </c>
      <c r="FC36" s="19">
        <f t="shared" si="67"/>
        <v>82.371960784313728</v>
      </c>
    </row>
    <row r="37" spans="1:159" ht="20.100000000000001" customHeight="1">
      <c r="A37" s="11">
        <v>33</v>
      </c>
      <c r="B37" s="93" t="s">
        <v>664</v>
      </c>
      <c r="C37" s="94" t="s">
        <v>537</v>
      </c>
      <c r="D37" s="93" t="s">
        <v>631</v>
      </c>
      <c r="E37" s="95">
        <v>90</v>
      </c>
      <c r="F37" s="95">
        <v>90</v>
      </c>
      <c r="G37" s="96">
        <v>90</v>
      </c>
      <c r="H37" s="96">
        <v>85</v>
      </c>
      <c r="I37" s="95">
        <v>85</v>
      </c>
      <c r="J37" s="95">
        <v>79</v>
      </c>
      <c r="K37" s="95">
        <v>80</v>
      </c>
      <c r="L37" s="95">
        <v>78</v>
      </c>
      <c r="M37" s="95">
        <v>77</v>
      </c>
      <c r="N37" s="95">
        <v>90</v>
      </c>
      <c r="O37" s="95">
        <v>93</v>
      </c>
      <c r="P37" s="95">
        <v>77</v>
      </c>
      <c r="Q37" s="96">
        <v>82</v>
      </c>
      <c r="R37" s="96">
        <v>70</v>
      </c>
      <c r="S37" s="96">
        <v>80</v>
      </c>
      <c r="T37" s="96">
        <v>84</v>
      </c>
      <c r="U37" s="95">
        <v>84</v>
      </c>
      <c r="V37" s="95">
        <v>78</v>
      </c>
      <c r="W37" s="95">
        <v>83</v>
      </c>
      <c r="X37" s="95">
        <v>85</v>
      </c>
      <c r="Y37" s="95">
        <v>84</v>
      </c>
      <c r="Z37" s="95">
        <v>87</v>
      </c>
      <c r="AA37" s="95">
        <v>75</v>
      </c>
      <c r="AB37" s="95">
        <v>80</v>
      </c>
      <c r="AC37" s="95">
        <v>82</v>
      </c>
      <c r="AD37" s="95">
        <v>84</v>
      </c>
      <c r="AE37" s="96">
        <v>94</v>
      </c>
      <c r="AF37" s="96">
        <v>81</v>
      </c>
      <c r="AG37" s="95">
        <v>76</v>
      </c>
      <c r="AH37" s="95">
        <v>70</v>
      </c>
      <c r="AI37" s="95">
        <v>70</v>
      </c>
      <c r="AJ37" s="95">
        <v>81</v>
      </c>
      <c r="AK37" s="95">
        <v>85</v>
      </c>
      <c r="AL37" s="95">
        <v>78</v>
      </c>
      <c r="AM37" s="95">
        <v>75</v>
      </c>
      <c r="AN37" s="95">
        <v>76</v>
      </c>
      <c r="AO37" s="96">
        <v>78</v>
      </c>
      <c r="AP37" s="96">
        <v>82</v>
      </c>
      <c r="AQ37" s="95">
        <v>83</v>
      </c>
      <c r="AR37" s="95">
        <v>78</v>
      </c>
      <c r="AS37" s="95">
        <v>72</v>
      </c>
      <c r="AT37" s="95">
        <v>78</v>
      </c>
      <c r="AU37" s="95">
        <v>78</v>
      </c>
      <c r="AV37" s="95">
        <v>80</v>
      </c>
      <c r="AW37" s="95">
        <v>78</v>
      </c>
      <c r="AX37" s="95">
        <v>78</v>
      </c>
      <c r="AY37" s="95">
        <v>75</v>
      </c>
      <c r="AZ37" s="96">
        <v>78</v>
      </c>
      <c r="BA37" s="96">
        <v>76</v>
      </c>
      <c r="BB37" s="96">
        <v>84</v>
      </c>
      <c r="BC37" s="95">
        <v>80</v>
      </c>
      <c r="BD37" s="95">
        <v>81</v>
      </c>
      <c r="BE37" s="96">
        <v>83</v>
      </c>
      <c r="BF37" s="96">
        <v>80</v>
      </c>
      <c r="BG37" s="96">
        <v>80</v>
      </c>
      <c r="BH37" s="15">
        <v>80</v>
      </c>
      <c r="BI37" s="95">
        <v>88</v>
      </c>
      <c r="BJ37" s="95">
        <v>91</v>
      </c>
      <c r="BK37" s="95">
        <v>86</v>
      </c>
      <c r="BL37" s="15">
        <v>80</v>
      </c>
      <c r="BM37" s="95">
        <v>81</v>
      </c>
      <c r="BN37" s="95">
        <v>79</v>
      </c>
      <c r="BO37" s="95">
        <v>85</v>
      </c>
      <c r="BP37" s="15">
        <v>80</v>
      </c>
      <c r="BQ37" s="15">
        <f t="shared" si="0"/>
        <v>84</v>
      </c>
      <c r="BR37" s="15">
        <f t="shared" si="0"/>
        <v>83.333333333333329</v>
      </c>
      <c r="BS37" s="15">
        <f t="shared" si="0"/>
        <v>83.666666666666671</v>
      </c>
      <c r="BT37" s="15">
        <f t="shared" si="0"/>
        <v>80</v>
      </c>
      <c r="BU37" s="14">
        <v>77</v>
      </c>
      <c r="BV37" s="14">
        <v>82</v>
      </c>
      <c r="BW37" s="14">
        <v>85</v>
      </c>
      <c r="BX37" s="15">
        <v>80</v>
      </c>
      <c r="BY37" s="15">
        <v>78</v>
      </c>
      <c r="BZ37" s="15">
        <v>71</v>
      </c>
      <c r="CA37" s="15">
        <v>86</v>
      </c>
      <c r="CB37" s="15">
        <v>76</v>
      </c>
      <c r="CC37" s="15">
        <v>78</v>
      </c>
      <c r="CD37" s="39">
        <v>87</v>
      </c>
      <c r="CE37" s="39">
        <v>95</v>
      </c>
      <c r="CF37" s="40">
        <v>90</v>
      </c>
      <c r="CG37" s="40">
        <v>92</v>
      </c>
      <c r="CH37" s="39">
        <v>83</v>
      </c>
      <c r="CI37" s="39">
        <v>83</v>
      </c>
      <c r="CJ37" s="39">
        <v>77</v>
      </c>
      <c r="CK37" s="39">
        <v>82</v>
      </c>
      <c r="CL37" s="39">
        <v>90</v>
      </c>
      <c r="CM37" s="41">
        <f t="shared" si="1"/>
        <v>88</v>
      </c>
      <c r="CN37" s="41">
        <f t="shared" si="2"/>
        <v>79</v>
      </c>
      <c r="CO37" s="41">
        <f t="shared" si="3"/>
        <v>87</v>
      </c>
      <c r="CP37" s="17">
        <f t="shared" si="4"/>
        <v>85</v>
      </c>
      <c r="CQ37" s="16">
        <f t="shared" si="5"/>
        <v>83.6</v>
      </c>
      <c r="CR37" s="16">
        <f t="shared" si="6"/>
        <v>77</v>
      </c>
      <c r="CS37" s="16">
        <f t="shared" si="7"/>
        <v>95</v>
      </c>
      <c r="CT37" s="17">
        <f t="shared" si="8"/>
        <v>85.039999999999992</v>
      </c>
      <c r="CU37" s="17">
        <f t="shared" si="9"/>
        <v>80</v>
      </c>
      <c r="CV37" s="17">
        <f t="shared" si="10"/>
        <v>78</v>
      </c>
      <c r="CW37" s="17">
        <f t="shared" si="11"/>
        <v>90</v>
      </c>
      <c r="CX37" s="17">
        <f t="shared" si="12"/>
        <v>82.4</v>
      </c>
      <c r="CY37" s="18">
        <f t="shared" si="13"/>
        <v>84.75</v>
      </c>
      <c r="CZ37" s="18">
        <f t="shared" si="14"/>
        <v>84.75</v>
      </c>
      <c r="DA37" s="18">
        <f t="shared" si="15"/>
        <v>80.25</v>
      </c>
      <c r="DB37" s="18">
        <f t="shared" si="16"/>
        <v>80.25</v>
      </c>
      <c r="DC37" s="18">
        <f t="shared" si="17"/>
        <v>87.5</v>
      </c>
      <c r="DD37" s="18">
        <f t="shared" si="18"/>
        <v>87.5</v>
      </c>
      <c r="DE37" s="18">
        <f t="shared" si="19"/>
        <v>74.25</v>
      </c>
      <c r="DF37" s="18">
        <f t="shared" si="20"/>
        <v>74.25</v>
      </c>
      <c r="DG37" s="18">
        <f t="shared" si="21"/>
        <v>85</v>
      </c>
      <c r="DH37" s="18">
        <f t="shared" si="21"/>
        <v>78</v>
      </c>
      <c r="DI37" s="18">
        <f t="shared" si="22"/>
        <v>92</v>
      </c>
      <c r="DJ37" s="17">
        <f t="shared" si="23"/>
        <v>85</v>
      </c>
      <c r="DK37" s="18">
        <f t="shared" si="24"/>
        <v>78.8</v>
      </c>
      <c r="DL37" s="18">
        <f t="shared" si="25"/>
        <v>78</v>
      </c>
      <c r="DM37" s="18">
        <f t="shared" si="26"/>
        <v>83</v>
      </c>
      <c r="DN37" s="17">
        <f t="shared" si="27"/>
        <v>79.820000000000007</v>
      </c>
      <c r="DO37" s="18">
        <f t="shared" si="28"/>
        <v>77.2</v>
      </c>
      <c r="DP37" s="18">
        <f t="shared" si="29"/>
        <v>78</v>
      </c>
      <c r="DQ37" s="18">
        <f t="shared" si="30"/>
        <v>83</v>
      </c>
      <c r="DR37" s="17">
        <f t="shared" si="31"/>
        <v>79.179999999999993</v>
      </c>
      <c r="DS37" s="18">
        <f t="shared" si="32"/>
        <v>76.5</v>
      </c>
      <c r="DT37" s="18">
        <f t="shared" si="33"/>
        <v>76.5</v>
      </c>
      <c r="DU37" s="18">
        <f t="shared" si="34"/>
        <v>80</v>
      </c>
      <c r="DV37" s="18">
        <f t="shared" si="35"/>
        <v>80</v>
      </c>
      <c r="DW37" s="18">
        <f t="shared" si="36"/>
        <v>80.5</v>
      </c>
      <c r="DX37" s="17">
        <f t="shared" si="37"/>
        <v>80.5</v>
      </c>
      <c r="DY37" s="18">
        <f t="shared" si="38"/>
        <v>83.666666666666671</v>
      </c>
      <c r="DZ37" s="18">
        <f t="shared" si="39"/>
        <v>80</v>
      </c>
      <c r="EA37" s="18">
        <f t="shared" si="40"/>
        <v>90</v>
      </c>
      <c r="EB37" s="17">
        <f t="shared" si="41"/>
        <v>84.466666666666669</v>
      </c>
      <c r="EC37" s="18">
        <f t="shared" si="42"/>
        <v>81.333333333333329</v>
      </c>
      <c r="ED37" s="18">
        <f t="shared" si="43"/>
        <v>80</v>
      </c>
      <c r="EE37" s="18">
        <f t="shared" si="44"/>
        <v>82</v>
      </c>
      <c r="EF37" s="17">
        <f t="shared" si="45"/>
        <v>81.133333333333326</v>
      </c>
      <c r="EG37" s="18">
        <f t="shared" si="46"/>
        <v>78</v>
      </c>
      <c r="EH37" s="18">
        <f t="shared" si="47"/>
        <v>77.666666666666671</v>
      </c>
      <c r="EI37" s="18">
        <f t="shared" si="48"/>
        <v>78</v>
      </c>
      <c r="EJ37" s="18">
        <f t="shared" si="49"/>
        <v>77</v>
      </c>
      <c r="EK37" s="17">
        <f t="shared" si="50"/>
        <v>77.566666666666677</v>
      </c>
      <c r="EL37" s="19">
        <f t="shared" si="51"/>
        <v>85</v>
      </c>
      <c r="EM37" s="19">
        <f t="shared" si="52"/>
        <v>85.039999999999992</v>
      </c>
      <c r="EN37" s="19">
        <f t="shared" si="53"/>
        <v>82.4</v>
      </c>
      <c r="EO37" s="19">
        <f t="shared" si="54"/>
        <v>84.75</v>
      </c>
      <c r="EP37" s="19">
        <f t="shared" si="55"/>
        <v>80.25</v>
      </c>
      <c r="EQ37" s="19">
        <f t="shared" si="56"/>
        <v>87.5</v>
      </c>
      <c r="ER37" s="19">
        <f t="shared" si="57"/>
        <v>74.25</v>
      </c>
      <c r="ES37" s="19">
        <f t="shared" si="58"/>
        <v>85</v>
      </c>
      <c r="ET37" s="19">
        <f t="shared" si="59"/>
        <v>79.820000000000007</v>
      </c>
      <c r="EU37" s="19">
        <f t="shared" si="60"/>
        <v>79.179999999999993</v>
      </c>
      <c r="EV37" s="19">
        <f t="shared" si="61"/>
        <v>76.5</v>
      </c>
      <c r="EW37" s="19">
        <f t="shared" si="62"/>
        <v>80</v>
      </c>
      <c r="EX37" s="19">
        <f t="shared" si="63"/>
        <v>80.5</v>
      </c>
      <c r="EY37" s="19">
        <f t="shared" si="64"/>
        <v>84.466666666666669</v>
      </c>
      <c r="EZ37" s="19">
        <f t="shared" si="65"/>
        <v>81.133333333333326</v>
      </c>
      <c r="FA37" s="19">
        <f t="shared" si="65"/>
        <v>78</v>
      </c>
      <c r="FB37" s="19">
        <f t="shared" si="66"/>
        <v>77.566666666666677</v>
      </c>
      <c r="FC37" s="19">
        <f t="shared" si="67"/>
        <v>81.256274509803916</v>
      </c>
    </row>
    <row r="38" spans="1:159" ht="20.100000000000001" customHeight="1">
      <c r="A38" s="11">
        <v>34</v>
      </c>
      <c r="B38" s="93" t="s">
        <v>665</v>
      </c>
      <c r="C38" s="94" t="s">
        <v>539</v>
      </c>
      <c r="D38" s="93" t="s">
        <v>631</v>
      </c>
      <c r="E38" s="95">
        <v>90</v>
      </c>
      <c r="F38" s="95">
        <v>84</v>
      </c>
      <c r="G38" s="96">
        <v>88</v>
      </c>
      <c r="H38" s="96">
        <v>83</v>
      </c>
      <c r="I38" s="95">
        <v>85</v>
      </c>
      <c r="J38" s="95">
        <v>76</v>
      </c>
      <c r="K38" s="95">
        <v>79</v>
      </c>
      <c r="L38" s="95">
        <v>80</v>
      </c>
      <c r="M38" s="95">
        <v>93</v>
      </c>
      <c r="N38" s="95">
        <v>92</v>
      </c>
      <c r="O38" s="95">
        <v>94</v>
      </c>
      <c r="P38" s="95">
        <v>75</v>
      </c>
      <c r="Q38" s="96">
        <v>93</v>
      </c>
      <c r="R38" s="96">
        <v>95</v>
      </c>
      <c r="S38" s="96">
        <v>85</v>
      </c>
      <c r="T38" s="96">
        <v>87</v>
      </c>
      <c r="U38" s="95">
        <v>76</v>
      </c>
      <c r="V38" s="95">
        <v>77</v>
      </c>
      <c r="W38" s="95">
        <v>82</v>
      </c>
      <c r="X38" s="95">
        <v>83</v>
      </c>
      <c r="Y38" s="95">
        <v>79</v>
      </c>
      <c r="Z38" s="95">
        <v>84</v>
      </c>
      <c r="AA38" s="95">
        <v>83</v>
      </c>
      <c r="AB38" s="95">
        <v>81</v>
      </c>
      <c r="AC38" s="95">
        <v>83</v>
      </c>
      <c r="AD38" s="95">
        <v>84</v>
      </c>
      <c r="AE38" s="96">
        <v>94</v>
      </c>
      <c r="AF38" s="96">
        <v>83</v>
      </c>
      <c r="AG38" s="95">
        <v>80</v>
      </c>
      <c r="AH38" s="95">
        <v>76</v>
      </c>
      <c r="AI38" s="95">
        <v>74</v>
      </c>
      <c r="AJ38" s="95">
        <v>80</v>
      </c>
      <c r="AK38" s="95">
        <v>80</v>
      </c>
      <c r="AL38" s="95">
        <v>77</v>
      </c>
      <c r="AM38" s="95">
        <v>74</v>
      </c>
      <c r="AN38" s="95">
        <v>74</v>
      </c>
      <c r="AO38" s="96">
        <v>79</v>
      </c>
      <c r="AP38" s="96">
        <v>75</v>
      </c>
      <c r="AQ38" s="95">
        <v>77</v>
      </c>
      <c r="AR38" s="95">
        <v>79</v>
      </c>
      <c r="AS38" s="95">
        <v>86</v>
      </c>
      <c r="AT38" s="95">
        <v>88</v>
      </c>
      <c r="AU38" s="95">
        <v>88</v>
      </c>
      <c r="AV38" s="95">
        <v>88</v>
      </c>
      <c r="AW38" s="95">
        <v>88</v>
      </c>
      <c r="AX38" s="95">
        <v>79</v>
      </c>
      <c r="AY38" s="95">
        <v>74</v>
      </c>
      <c r="AZ38" s="96">
        <v>79</v>
      </c>
      <c r="BA38" s="96">
        <v>79</v>
      </c>
      <c r="BB38" s="96">
        <v>80</v>
      </c>
      <c r="BC38" s="95">
        <v>80</v>
      </c>
      <c r="BD38" s="95">
        <v>81</v>
      </c>
      <c r="BE38" s="96">
        <v>83</v>
      </c>
      <c r="BF38" s="96">
        <v>80</v>
      </c>
      <c r="BG38" s="96">
        <v>80</v>
      </c>
      <c r="BH38" s="15">
        <v>78</v>
      </c>
      <c r="BI38" s="95">
        <v>88</v>
      </c>
      <c r="BJ38" s="95">
        <v>91</v>
      </c>
      <c r="BK38" s="95">
        <v>86</v>
      </c>
      <c r="BL38" s="15">
        <v>78</v>
      </c>
      <c r="BM38" s="95">
        <v>81</v>
      </c>
      <c r="BN38" s="95">
        <v>79</v>
      </c>
      <c r="BO38" s="95">
        <v>85</v>
      </c>
      <c r="BP38" s="15">
        <v>78</v>
      </c>
      <c r="BQ38" s="15">
        <f t="shared" si="0"/>
        <v>84</v>
      </c>
      <c r="BR38" s="15">
        <f t="shared" si="0"/>
        <v>83.333333333333329</v>
      </c>
      <c r="BS38" s="15">
        <f t="shared" si="0"/>
        <v>83.666666666666671</v>
      </c>
      <c r="BT38" s="15">
        <f t="shared" si="0"/>
        <v>78</v>
      </c>
      <c r="BU38" s="14">
        <v>77</v>
      </c>
      <c r="BV38" s="14">
        <v>82</v>
      </c>
      <c r="BW38" s="14">
        <v>80</v>
      </c>
      <c r="BX38" s="15">
        <v>78</v>
      </c>
      <c r="BY38" s="15">
        <v>77</v>
      </c>
      <c r="BZ38" s="15">
        <v>82</v>
      </c>
      <c r="CA38" s="15">
        <v>89</v>
      </c>
      <c r="CB38" s="15">
        <v>75</v>
      </c>
      <c r="CC38" s="15">
        <v>79</v>
      </c>
      <c r="CD38" s="39">
        <v>80</v>
      </c>
      <c r="CE38" s="39">
        <v>95</v>
      </c>
      <c r="CF38" s="40">
        <v>78</v>
      </c>
      <c r="CG38" s="40">
        <v>92</v>
      </c>
      <c r="CH38" s="39">
        <v>76</v>
      </c>
      <c r="CI38" s="39">
        <v>87</v>
      </c>
      <c r="CJ38" s="39">
        <v>79</v>
      </c>
      <c r="CK38" s="39">
        <v>82</v>
      </c>
      <c r="CL38" s="39">
        <v>92</v>
      </c>
      <c r="CM38" s="41">
        <f t="shared" si="1"/>
        <v>86</v>
      </c>
      <c r="CN38" s="41">
        <f t="shared" si="2"/>
        <v>76</v>
      </c>
      <c r="CO38" s="41">
        <f t="shared" si="3"/>
        <v>80</v>
      </c>
      <c r="CP38" s="17">
        <f t="shared" si="4"/>
        <v>81.2</v>
      </c>
      <c r="CQ38" s="16">
        <f t="shared" si="5"/>
        <v>87.6</v>
      </c>
      <c r="CR38" s="16">
        <f t="shared" si="6"/>
        <v>75</v>
      </c>
      <c r="CS38" s="16">
        <f t="shared" si="7"/>
        <v>95</v>
      </c>
      <c r="CT38" s="17">
        <f t="shared" si="8"/>
        <v>86.039999999999992</v>
      </c>
      <c r="CU38" s="17">
        <f t="shared" si="9"/>
        <v>87.2</v>
      </c>
      <c r="CV38" s="17">
        <f t="shared" si="10"/>
        <v>77</v>
      </c>
      <c r="CW38" s="17">
        <f t="shared" si="11"/>
        <v>78</v>
      </c>
      <c r="CX38" s="17">
        <f t="shared" si="12"/>
        <v>81.38</v>
      </c>
      <c r="CY38" s="18">
        <f t="shared" si="13"/>
        <v>82</v>
      </c>
      <c r="CZ38" s="18">
        <f t="shared" si="14"/>
        <v>82</v>
      </c>
      <c r="DA38" s="18">
        <f t="shared" si="15"/>
        <v>82.75</v>
      </c>
      <c r="DB38" s="18">
        <f t="shared" si="16"/>
        <v>82.75</v>
      </c>
      <c r="DC38" s="18">
        <f t="shared" si="17"/>
        <v>88.5</v>
      </c>
      <c r="DD38" s="18">
        <f t="shared" si="18"/>
        <v>88.5</v>
      </c>
      <c r="DE38" s="18">
        <f t="shared" si="19"/>
        <v>77.5</v>
      </c>
      <c r="DF38" s="18">
        <f t="shared" si="20"/>
        <v>77.5</v>
      </c>
      <c r="DG38" s="18">
        <f t="shared" si="21"/>
        <v>80</v>
      </c>
      <c r="DH38" s="18">
        <f t="shared" si="21"/>
        <v>77</v>
      </c>
      <c r="DI38" s="18">
        <f t="shared" si="22"/>
        <v>92</v>
      </c>
      <c r="DJ38" s="17">
        <f t="shared" si="23"/>
        <v>82.7</v>
      </c>
      <c r="DK38" s="18">
        <f t="shared" si="24"/>
        <v>75.8</v>
      </c>
      <c r="DL38" s="18">
        <f t="shared" si="25"/>
        <v>79</v>
      </c>
      <c r="DM38" s="18">
        <f t="shared" si="26"/>
        <v>76</v>
      </c>
      <c r="DN38" s="17">
        <f t="shared" si="27"/>
        <v>76.820000000000007</v>
      </c>
      <c r="DO38" s="18">
        <f t="shared" si="28"/>
        <v>87.6</v>
      </c>
      <c r="DP38" s="18">
        <f t="shared" si="29"/>
        <v>79</v>
      </c>
      <c r="DQ38" s="18">
        <f t="shared" si="30"/>
        <v>87</v>
      </c>
      <c r="DR38" s="17">
        <f t="shared" si="31"/>
        <v>84.84</v>
      </c>
      <c r="DS38" s="18">
        <f t="shared" si="32"/>
        <v>76.5</v>
      </c>
      <c r="DT38" s="18">
        <f t="shared" si="33"/>
        <v>76.5</v>
      </c>
      <c r="DU38" s="18">
        <f t="shared" si="34"/>
        <v>79.5</v>
      </c>
      <c r="DV38" s="18">
        <f t="shared" si="35"/>
        <v>79.5</v>
      </c>
      <c r="DW38" s="18">
        <f t="shared" si="36"/>
        <v>80.5</v>
      </c>
      <c r="DX38" s="17">
        <f t="shared" si="37"/>
        <v>80.5</v>
      </c>
      <c r="DY38" s="18">
        <f t="shared" si="38"/>
        <v>83.666666666666671</v>
      </c>
      <c r="DZ38" s="18">
        <f t="shared" si="39"/>
        <v>78</v>
      </c>
      <c r="EA38" s="18">
        <f t="shared" si="40"/>
        <v>92</v>
      </c>
      <c r="EB38" s="17">
        <f t="shared" si="41"/>
        <v>84.466666666666669</v>
      </c>
      <c r="EC38" s="18">
        <f t="shared" si="42"/>
        <v>79.666666666666671</v>
      </c>
      <c r="ED38" s="18">
        <f t="shared" si="43"/>
        <v>78</v>
      </c>
      <c r="EE38" s="18">
        <f t="shared" si="44"/>
        <v>82</v>
      </c>
      <c r="EF38" s="17">
        <f t="shared" si="45"/>
        <v>79.866666666666674</v>
      </c>
      <c r="EG38" s="18">
        <f t="shared" si="46"/>
        <v>77</v>
      </c>
      <c r="EH38" s="18">
        <f t="shared" si="47"/>
        <v>82</v>
      </c>
      <c r="EI38" s="18">
        <f t="shared" si="48"/>
        <v>79</v>
      </c>
      <c r="EJ38" s="18">
        <f t="shared" si="49"/>
        <v>79</v>
      </c>
      <c r="EK38" s="17">
        <f t="shared" si="50"/>
        <v>80.2</v>
      </c>
      <c r="EL38" s="19">
        <f t="shared" si="51"/>
        <v>81.2</v>
      </c>
      <c r="EM38" s="19">
        <f t="shared" si="52"/>
        <v>86.039999999999992</v>
      </c>
      <c r="EN38" s="19">
        <f t="shared" si="53"/>
        <v>81.38</v>
      </c>
      <c r="EO38" s="19">
        <f t="shared" si="54"/>
        <v>82</v>
      </c>
      <c r="EP38" s="19">
        <f t="shared" si="55"/>
        <v>82.75</v>
      </c>
      <c r="EQ38" s="19">
        <f t="shared" si="56"/>
        <v>88.5</v>
      </c>
      <c r="ER38" s="19">
        <f t="shared" si="57"/>
        <v>77.5</v>
      </c>
      <c r="ES38" s="19">
        <f t="shared" si="58"/>
        <v>82.7</v>
      </c>
      <c r="ET38" s="19">
        <f t="shared" si="59"/>
        <v>76.820000000000007</v>
      </c>
      <c r="EU38" s="19">
        <f t="shared" si="60"/>
        <v>84.84</v>
      </c>
      <c r="EV38" s="19">
        <f t="shared" si="61"/>
        <v>76.5</v>
      </c>
      <c r="EW38" s="19">
        <f t="shared" si="62"/>
        <v>79.5</v>
      </c>
      <c r="EX38" s="19">
        <f t="shared" si="63"/>
        <v>80.5</v>
      </c>
      <c r="EY38" s="19">
        <f t="shared" si="64"/>
        <v>84.466666666666669</v>
      </c>
      <c r="EZ38" s="19">
        <f t="shared" si="65"/>
        <v>79.866666666666674</v>
      </c>
      <c r="FA38" s="19">
        <f t="shared" si="65"/>
        <v>77</v>
      </c>
      <c r="FB38" s="19">
        <f t="shared" si="66"/>
        <v>80.2</v>
      </c>
      <c r="FC38" s="19">
        <f t="shared" si="67"/>
        <v>81.280196078431388</v>
      </c>
    </row>
    <row r="39" spans="1:159" ht="20.100000000000001" customHeight="1">
      <c r="A39" s="11">
        <v>35</v>
      </c>
      <c r="B39" s="93" t="s">
        <v>666</v>
      </c>
      <c r="C39" s="94" t="s">
        <v>541</v>
      </c>
      <c r="D39" s="93" t="s">
        <v>631</v>
      </c>
      <c r="E39" s="95">
        <v>87</v>
      </c>
      <c r="F39" s="95">
        <v>88</v>
      </c>
      <c r="G39" s="95">
        <v>91</v>
      </c>
      <c r="H39" s="95">
        <v>85</v>
      </c>
      <c r="I39" s="95">
        <v>85</v>
      </c>
      <c r="J39" s="95">
        <v>87</v>
      </c>
      <c r="K39" s="95">
        <v>83</v>
      </c>
      <c r="L39" s="95">
        <v>79</v>
      </c>
      <c r="M39" s="95">
        <v>85</v>
      </c>
      <c r="N39" s="95">
        <v>90</v>
      </c>
      <c r="O39" s="96">
        <v>95</v>
      </c>
      <c r="P39" s="96">
        <v>84</v>
      </c>
      <c r="Q39" s="96">
        <v>84</v>
      </c>
      <c r="R39" s="96">
        <v>85</v>
      </c>
      <c r="S39" s="96">
        <v>76</v>
      </c>
      <c r="T39" s="96">
        <v>82</v>
      </c>
      <c r="U39" s="95">
        <v>84</v>
      </c>
      <c r="V39" s="95">
        <v>82</v>
      </c>
      <c r="W39" s="95">
        <v>85</v>
      </c>
      <c r="X39" s="95">
        <v>85</v>
      </c>
      <c r="Y39" s="95">
        <v>83</v>
      </c>
      <c r="Z39" s="95">
        <v>86</v>
      </c>
      <c r="AA39" s="96">
        <v>82</v>
      </c>
      <c r="AB39" s="96">
        <v>84</v>
      </c>
      <c r="AC39" s="95">
        <v>85</v>
      </c>
      <c r="AD39" s="95">
        <v>87</v>
      </c>
      <c r="AE39" s="95">
        <v>93</v>
      </c>
      <c r="AF39" s="95">
        <v>84</v>
      </c>
      <c r="AG39" s="95">
        <v>81</v>
      </c>
      <c r="AH39" s="95">
        <v>73</v>
      </c>
      <c r="AI39" s="95">
        <v>73</v>
      </c>
      <c r="AJ39" s="95">
        <v>81</v>
      </c>
      <c r="AK39" s="96">
        <v>83</v>
      </c>
      <c r="AL39" s="96">
        <v>82</v>
      </c>
      <c r="AM39" s="95">
        <v>75</v>
      </c>
      <c r="AN39" s="95">
        <v>76</v>
      </c>
      <c r="AO39" s="96">
        <v>82</v>
      </c>
      <c r="AP39" s="96">
        <v>83</v>
      </c>
      <c r="AQ39" s="95">
        <v>81</v>
      </c>
      <c r="AR39" s="95">
        <v>88</v>
      </c>
      <c r="AS39" s="95">
        <v>79</v>
      </c>
      <c r="AT39" s="95">
        <v>80</v>
      </c>
      <c r="AU39" s="95">
        <v>80</v>
      </c>
      <c r="AV39" s="95">
        <v>80</v>
      </c>
      <c r="AW39" s="96">
        <v>78</v>
      </c>
      <c r="AX39" s="96">
        <v>88</v>
      </c>
      <c r="AY39" s="96">
        <v>77</v>
      </c>
      <c r="AZ39" s="95">
        <v>81</v>
      </c>
      <c r="BA39" s="96">
        <v>79</v>
      </c>
      <c r="BB39" s="96">
        <v>88</v>
      </c>
      <c r="BC39" s="95">
        <v>83</v>
      </c>
      <c r="BD39" s="96">
        <v>83</v>
      </c>
      <c r="BE39" s="96">
        <v>83</v>
      </c>
      <c r="BF39" s="96">
        <v>80</v>
      </c>
      <c r="BG39" s="96">
        <v>80</v>
      </c>
      <c r="BH39" s="15">
        <v>88</v>
      </c>
      <c r="BI39" s="95">
        <v>88</v>
      </c>
      <c r="BJ39" s="95">
        <v>91</v>
      </c>
      <c r="BK39" s="95">
        <v>86</v>
      </c>
      <c r="BL39" s="15">
        <v>88</v>
      </c>
      <c r="BM39" s="95">
        <v>81</v>
      </c>
      <c r="BN39" s="95">
        <v>79</v>
      </c>
      <c r="BO39" s="95">
        <v>85</v>
      </c>
      <c r="BP39" s="15">
        <v>88</v>
      </c>
      <c r="BQ39" s="15">
        <f t="shared" si="0"/>
        <v>84</v>
      </c>
      <c r="BR39" s="15">
        <f t="shared" si="0"/>
        <v>83.333333333333329</v>
      </c>
      <c r="BS39" s="15">
        <f t="shared" si="0"/>
        <v>83.666666666666671</v>
      </c>
      <c r="BT39" s="15">
        <f t="shared" si="0"/>
        <v>88</v>
      </c>
      <c r="BU39" s="14">
        <v>83</v>
      </c>
      <c r="BV39" s="14">
        <v>84</v>
      </c>
      <c r="BW39" s="14">
        <v>83</v>
      </c>
      <c r="BX39" s="15">
        <v>88</v>
      </c>
      <c r="BY39" s="15">
        <v>86</v>
      </c>
      <c r="BZ39" s="15">
        <v>75</v>
      </c>
      <c r="CA39" s="14">
        <v>87</v>
      </c>
      <c r="CB39" s="14">
        <v>73</v>
      </c>
      <c r="CC39" s="15">
        <v>88</v>
      </c>
      <c r="CD39" s="39">
        <v>86</v>
      </c>
      <c r="CE39" s="39">
        <v>95</v>
      </c>
      <c r="CF39" s="39">
        <v>81</v>
      </c>
      <c r="CG39" s="39">
        <v>75</v>
      </c>
      <c r="CH39" s="39">
        <v>82</v>
      </c>
      <c r="CI39" s="39">
        <v>83</v>
      </c>
      <c r="CJ39" s="39">
        <v>86</v>
      </c>
      <c r="CK39" s="39">
        <v>82</v>
      </c>
      <c r="CL39" s="39">
        <v>70</v>
      </c>
      <c r="CM39" s="41">
        <f t="shared" si="1"/>
        <v>87.2</v>
      </c>
      <c r="CN39" s="41">
        <f t="shared" si="2"/>
        <v>87</v>
      </c>
      <c r="CO39" s="41">
        <f t="shared" si="3"/>
        <v>86</v>
      </c>
      <c r="CP39" s="17">
        <f t="shared" si="4"/>
        <v>86.78</v>
      </c>
      <c r="CQ39" s="16">
        <f t="shared" si="5"/>
        <v>86.4</v>
      </c>
      <c r="CR39" s="16">
        <f t="shared" si="6"/>
        <v>84</v>
      </c>
      <c r="CS39" s="16">
        <f t="shared" si="7"/>
        <v>95</v>
      </c>
      <c r="CT39" s="17">
        <f t="shared" si="8"/>
        <v>88.26</v>
      </c>
      <c r="CU39" s="17">
        <f t="shared" si="9"/>
        <v>82.2</v>
      </c>
      <c r="CV39" s="17">
        <f t="shared" si="10"/>
        <v>82</v>
      </c>
      <c r="CW39" s="17">
        <f t="shared" si="11"/>
        <v>81</v>
      </c>
      <c r="CX39" s="17">
        <f t="shared" si="12"/>
        <v>81.78</v>
      </c>
      <c r="CY39" s="18">
        <f t="shared" si="13"/>
        <v>84.75</v>
      </c>
      <c r="CZ39" s="18">
        <f t="shared" si="14"/>
        <v>84.75</v>
      </c>
      <c r="DA39" s="18">
        <f t="shared" si="15"/>
        <v>84.5</v>
      </c>
      <c r="DB39" s="18">
        <f t="shared" si="16"/>
        <v>84.5</v>
      </c>
      <c r="DC39" s="18">
        <f t="shared" si="17"/>
        <v>88.5</v>
      </c>
      <c r="DD39" s="18">
        <f t="shared" si="18"/>
        <v>88.5</v>
      </c>
      <c r="DE39" s="18">
        <f t="shared" si="19"/>
        <v>77</v>
      </c>
      <c r="DF39" s="18">
        <f t="shared" si="20"/>
        <v>77</v>
      </c>
      <c r="DG39" s="18">
        <f t="shared" si="21"/>
        <v>83</v>
      </c>
      <c r="DH39" s="18">
        <f t="shared" si="21"/>
        <v>82</v>
      </c>
      <c r="DI39" s="18">
        <f t="shared" si="22"/>
        <v>75</v>
      </c>
      <c r="DJ39" s="17">
        <f t="shared" si="23"/>
        <v>80.3</v>
      </c>
      <c r="DK39" s="18">
        <f t="shared" si="24"/>
        <v>79.400000000000006</v>
      </c>
      <c r="DL39" s="18">
        <f t="shared" si="25"/>
        <v>88</v>
      </c>
      <c r="DM39" s="18">
        <f t="shared" si="26"/>
        <v>82</v>
      </c>
      <c r="DN39" s="17">
        <f t="shared" si="27"/>
        <v>82.76</v>
      </c>
      <c r="DO39" s="18">
        <f t="shared" si="28"/>
        <v>79.400000000000006</v>
      </c>
      <c r="DP39" s="18">
        <f t="shared" si="29"/>
        <v>88</v>
      </c>
      <c r="DQ39" s="18">
        <f t="shared" si="30"/>
        <v>83</v>
      </c>
      <c r="DR39" s="17">
        <f t="shared" si="31"/>
        <v>83.06</v>
      </c>
      <c r="DS39" s="18">
        <f t="shared" si="32"/>
        <v>79</v>
      </c>
      <c r="DT39" s="18">
        <f t="shared" si="33"/>
        <v>79</v>
      </c>
      <c r="DU39" s="18">
        <f t="shared" si="34"/>
        <v>83.5</v>
      </c>
      <c r="DV39" s="18">
        <f t="shared" si="35"/>
        <v>83.5</v>
      </c>
      <c r="DW39" s="18">
        <f t="shared" si="36"/>
        <v>83</v>
      </c>
      <c r="DX39" s="17">
        <f t="shared" si="37"/>
        <v>83</v>
      </c>
      <c r="DY39" s="18">
        <f t="shared" si="38"/>
        <v>83.666666666666671</v>
      </c>
      <c r="DZ39" s="18">
        <f t="shared" si="39"/>
        <v>88</v>
      </c>
      <c r="EA39" s="18">
        <f t="shared" si="40"/>
        <v>70</v>
      </c>
      <c r="EB39" s="17">
        <f t="shared" si="41"/>
        <v>80.866666666666674</v>
      </c>
      <c r="EC39" s="18">
        <f t="shared" si="42"/>
        <v>83.333333333333329</v>
      </c>
      <c r="ED39" s="18">
        <f t="shared" si="43"/>
        <v>88</v>
      </c>
      <c r="EE39" s="18">
        <f t="shared" si="44"/>
        <v>82</v>
      </c>
      <c r="EF39" s="17">
        <f t="shared" si="45"/>
        <v>84.333333333333329</v>
      </c>
      <c r="EG39" s="18">
        <f t="shared" si="46"/>
        <v>86</v>
      </c>
      <c r="EH39" s="18">
        <f t="shared" si="47"/>
        <v>78.333333333333329</v>
      </c>
      <c r="EI39" s="18">
        <f t="shared" si="48"/>
        <v>88</v>
      </c>
      <c r="EJ39" s="18">
        <f t="shared" si="49"/>
        <v>86</v>
      </c>
      <c r="EK39" s="17">
        <f t="shared" si="50"/>
        <v>83.533333333333331</v>
      </c>
      <c r="EL39" s="19">
        <f t="shared" si="51"/>
        <v>86.78</v>
      </c>
      <c r="EM39" s="19">
        <f t="shared" si="52"/>
        <v>88.26</v>
      </c>
      <c r="EN39" s="19">
        <f t="shared" si="53"/>
        <v>81.78</v>
      </c>
      <c r="EO39" s="19">
        <f t="shared" si="54"/>
        <v>84.75</v>
      </c>
      <c r="EP39" s="19">
        <f t="shared" si="55"/>
        <v>84.5</v>
      </c>
      <c r="EQ39" s="19">
        <f t="shared" si="56"/>
        <v>88.5</v>
      </c>
      <c r="ER39" s="19">
        <f t="shared" si="57"/>
        <v>77</v>
      </c>
      <c r="ES39" s="19">
        <f t="shared" si="58"/>
        <v>80.3</v>
      </c>
      <c r="ET39" s="19">
        <f t="shared" si="59"/>
        <v>82.76</v>
      </c>
      <c r="EU39" s="19">
        <f t="shared" si="60"/>
        <v>83.06</v>
      </c>
      <c r="EV39" s="19">
        <f t="shared" si="61"/>
        <v>79</v>
      </c>
      <c r="EW39" s="19">
        <f t="shared" si="62"/>
        <v>83.5</v>
      </c>
      <c r="EX39" s="19">
        <f t="shared" si="63"/>
        <v>83</v>
      </c>
      <c r="EY39" s="19">
        <f t="shared" si="64"/>
        <v>80.866666666666674</v>
      </c>
      <c r="EZ39" s="19">
        <f t="shared" si="65"/>
        <v>84.333333333333329</v>
      </c>
      <c r="FA39" s="19">
        <f t="shared" si="65"/>
        <v>86</v>
      </c>
      <c r="FB39" s="19">
        <f t="shared" si="66"/>
        <v>83.533333333333331</v>
      </c>
      <c r="FC39" s="19">
        <f t="shared" si="67"/>
        <v>83.407254901960783</v>
      </c>
    </row>
    <row r="40" spans="1:159" ht="20.100000000000001" customHeight="1">
      <c r="A40" s="11">
        <v>36</v>
      </c>
      <c r="B40" s="93" t="s">
        <v>667</v>
      </c>
      <c r="C40" s="94" t="s">
        <v>543</v>
      </c>
      <c r="D40" s="93" t="s">
        <v>631</v>
      </c>
      <c r="E40" s="95">
        <v>87</v>
      </c>
      <c r="F40" s="95">
        <v>90</v>
      </c>
      <c r="G40" s="95">
        <v>91</v>
      </c>
      <c r="H40" s="95">
        <v>85</v>
      </c>
      <c r="I40" s="95">
        <v>89</v>
      </c>
      <c r="J40" s="95">
        <v>73</v>
      </c>
      <c r="K40" s="95">
        <v>80</v>
      </c>
      <c r="L40" s="95">
        <v>83</v>
      </c>
      <c r="M40" s="95">
        <v>77</v>
      </c>
      <c r="N40" s="95">
        <v>94</v>
      </c>
      <c r="O40" s="96">
        <v>95</v>
      </c>
      <c r="P40" s="96">
        <v>92</v>
      </c>
      <c r="Q40" s="96">
        <v>85</v>
      </c>
      <c r="R40" s="96">
        <v>87</v>
      </c>
      <c r="S40" s="96">
        <v>75</v>
      </c>
      <c r="T40" s="96">
        <v>79</v>
      </c>
      <c r="U40" s="95">
        <v>85</v>
      </c>
      <c r="V40" s="95">
        <v>87</v>
      </c>
      <c r="W40" s="95">
        <v>83</v>
      </c>
      <c r="X40" s="95">
        <v>83</v>
      </c>
      <c r="Y40" s="95">
        <v>84</v>
      </c>
      <c r="Z40" s="95">
        <v>84</v>
      </c>
      <c r="AA40" s="96">
        <v>78</v>
      </c>
      <c r="AB40" s="96">
        <v>83</v>
      </c>
      <c r="AC40" s="95">
        <v>85</v>
      </c>
      <c r="AD40" s="95">
        <v>86</v>
      </c>
      <c r="AE40" s="95">
        <v>93</v>
      </c>
      <c r="AF40" s="95">
        <v>83</v>
      </c>
      <c r="AG40" s="95">
        <v>76</v>
      </c>
      <c r="AH40" s="95">
        <v>70</v>
      </c>
      <c r="AI40" s="95">
        <v>70</v>
      </c>
      <c r="AJ40" s="95">
        <v>81</v>
      </c>
      <c r="AK40" s="96">
        <v>82</v>
      </c>
      <c r="AL40" s="96">
        <v>87</v>
      </c>
      <c r="AM40" s="95">
        <v>74</v>
      </c>
      <c r="AN40" s="95">
        <v>75</v>
      </c>
      <c r="AO40" s="96">
        <v>80</v>
      </c>
      <c r="AP40" s="96">
        <v>82</v>
      </c>
      <c r="AQ40" s="95">
        <v>80</v>
      </c>
      <c r="AR40" s="95">
        <v>72</v>
      </c>
      <c r="AS40" s="95">
        <v>74</v>
      </c>
      <c r="AT40" s="95">
        <v>80</v>
      </c>
      <c r="AU40" s="95">
        <v>80</v>
      </c>
      <c r="AV40" s="95">
        <v>80</v>
      </c>
      <c r="AW40" s="96">
        <v>80</v>
      </c>
      <c r="AX40" s="96">
        <v>72</v>
      </c>
      <c r="AY40" s="96">
        <v>75</v>
      </c>
      <c r="AZ40" s="95">
        <v>79</v>
      </c>
      <c r="BA40" s="96">
        <v>75</v>
      </c>
      <c r="BB40" s="96">
        <v>85</v>
      </c>
      <c r="BC40" s="95">
        <v>80</v>
      </c>
      <c r="BD40" s="96">
        <v>82</v>
      </c>
      <c r="BE40" s="96">
        <v>83</v>
      </c>
      <c r="BF40" s="96">
        <v>80</v>
      </c>
      <c r="BG40" s="96">
        <v>80</v>
      </c>
      <c r="BH40" s="15">
        <v>80</v>
      </c>
      <c r="BI40" s="95">
        <v>88</v>
      </c>
      <c r="BJ40" s="95">
        <v>91</v>
      </c>
      <c r="BK40" s="95">
        <v>86</v>
      </c>
      <c r="BL40" s="15">
        <v>80</v>
      </c>
      <c r="BM40" s="95">
        <v>81</v>
      </c>
      <c r="BN40" s="95">
        <v>79</v>
      </c>
      <c r="BO40" s="95">
        <v>85</v>
      </c>
      <c r="BP40" s="15">
        <v>80</v>
      </c>
      <c r="BQ40" s="15">
        <f t="shared" si="0"/>
        <v>84</v>
      </c>
      <c r="BR40" s="15">
        <f t="shared" si="0"/>
        <v>83.333333333333329</v>
      </c>
      <c r="BS40" s="15">
        <f t="shared" si="0"/>
        <v>83.666666666666671</v>
      </c>
      <c r="BT40" s="15">
        <f t="shared" si="0"/>
        <v>80</v>
      </c>
      <c r="BU40" s="14">
        <v>81</v>
      </c>
      <c r="BV40" s="14">
        <v>83</v>
      </c>
      <c r="BW40" s="14">
        <v>82</v>
      </c>
      <c r="BX40" s="15">
        <v>80</v>
      </c>
      <c r="BY40" s="15">
        <v>81</v>
      </c>
      <c r="BZ40" s="15">
        <v>70</v>
      </c>
      <c r="CA40" s="14">
        <v>87</v>
      </c>
      <c r="CB40" s="14">
        <v>81</v>
      </c>
      <c r="CC40" s="15">
        <v>72</v>
      </c>
      <c r="CD40" s="39">
        <v>88</v>
      </c>
      <c r="CE40" s="39">
        <v>95</v>
      </c>
      <c r="CF40" s="39">
        <v>82</v>
      </c>
      <c r="CG40" s="39">
        <v>82</v>
      </c>
      <c r="CH40" s="39">
        <v>81</v>
      </c>
      <c r="CI40" s="39">
        <v>85</v>
      </c>
      <c r="CJ40" s="39">
        <v>83</v>
      </c>
      <c r="CK40" s="39">
        <v>82</v>
      </c>
      <c r="CL40" s="39">
        <v>97</v>
      </c>
      <c r="CM40" s="41">
        <f t="shared" si="1"/>
        <v>88.4</v>
      </c>
      <c r="CN40" s="41">
        <f t="shared" si="2"/>
        <v>73</v>
      </c>
      <c r="CO40" s="41">
        <f t="shared" si="3"/>
        <v>88</v>
      </c>
      <c r="CP40" s="17">
        <f t="shared" si="4"/>
        <v>83.66</v>
      </c>
      <c r="CQ40" s="16">
        <f t="shared" si="5"/>
        <v>85.8</v>
      </c>
      <c r="CR40" s="16">
        <f t="shared" si="6"/>
        <v>92</v>
      </c>
      <c r="CS40" s="16">
        <f t="shared" si="7"/>
        <v>95</v>
      </c>
      <c r="CT40" s="17">
        <f t="shared" si="8"/>
        <v>90.42</v>
      </c>
      <c r="CU40" s="17">
        <f t="shared" si="9"/>
        <v>82.2</v>
      </c>
      <c r="CV40" s="17">
        <f t="shared" si="10"/>
        <v>87</v>
      </c>
      <c r="CW40" s="17">
        <f t="shared" si="11"/>
        <v>82</v>
      </c>
      <c r="CX40" s="17">
        <f t="shared" si="12"/>
        <v>83.58</v>
      </c>
      <c r="CY40" s="18">
        <f t="shared" si="13"/>
        <v>83.5</v>
      </c>
      <c r="CZ40" s="18">
        <f t="shared" si="14"/>
        <v>83.5</v>
      </c>
      <c r="DA40" s="18">
        <f t="shared" si="15"/>
        <v>83</v>
      </c>
      <c r="DB40" s="18">
        <f t="shared" si="16"/>
        <v>83</v>
      </c>
      <c r="DC40" s="18">
        <f t="shared" si="17"/>
        <v>88</v>
      </c>
      <c r="DD40" s="18">
        <f t="shared" si="18"/>
        <v>88</v>
      </c>
      <c r="DE40" s="18">
        <f t="shared" si="19"/>
        <v>74.25</v>
      </c>
      <c r="DF40" s="18">
        <f t="shared" si="20"/>
        <v>74.25</v>
      </c>
      <c r="DG40" s="18">
        <f t="shared" si="21"/>
        <v>82</v>
      </c>
      <c r="DH40" s="18">
        <f t="shared" si="21"/>
        <v>87</v>
      </c>
      <c r="DI40" s="18">
        <f t="shared" si="22"/>
        <v>82</v>
      </c>
      <c r="DJ40" s="17">
        <f t="shared" si="23"/>
        <v>83.5</v>
      </c>
      <c r="DK40" s="18">
        <f t="shared" si="24"/>
        <v>78.2</v>
      </c>
      <c r="DL40" s="18">
        <f t="shared" si="25"/>
        <v>72</v>
      </c>
      <c r="DM40" s="18">
        <f t="shared" si="26"/>
        <v>81</v>
      </c>
      <c r="DN40" s="17">
        <f t="shared" si="27"/>
        <v>77.179999999999993</v>
      </c>
      <c r="DO40" s="18">
        <f t="shared" si="28"/>
        <v>78.8</v>
      </c>
      <c r="DP40" s="18">
        <f t="shared" si="29"/>
        <v>72</v>
      </c>
      <c r="DQ40" s="18">
        <f t="shared" si="30"/>
        <v>85</v>
      </c>
      <c r="DR40" s="17">
        <f t="shared" si="31"/>
        <v>78.62</v>
      </c>
      <c r="DS40" s="18">
        <f t="shared" si="32"/>
        <v>77</v>
      </c>
      <c r="DT40" s="18">
        <f t="shared" si="33"/>
        <v>77</v>
      </c>
      <c r="DU40" s="18">
        <f t="shared" si="34"/>
        <v>80</v>
      </c>
      <c r="DV40" s="18">
        <f t="shared" si="35"/>
        <v>80</v>
      </c>
      <c r="DW40" s="18">
        <f t="shared" si="36"/>
        <v>81</v>
      </c>
      <c r="DX40" s="17">
        <f t="shared" si="37"/>
        <v>81</v>
      </c>
      <c r="DY40" s="18">
        <f t="shared" si="38"/>
        <v>83.666666666666671</v>
      </c>
      <c r="DZ40" s="18">
        <f t="shared" si="39"/>
        <v>80</v>
      </c>
      <c r="EA40" s="18">
        <f t="shared" si="40"/>
        <v>97</v>
      </c>
      <c r="EB40" s="17">
        <f t="shared" si="41"/>
        <v>86.566666666666677</v>
      </c>
      <c r="EC40" s="18">
        <f t="shared" si="42"/>
        <v>82</v>
      </c>
      <c r="ED40" s="18">
        <f t="shared" si="43"/>
        <v>80</v>
      </c>
      <c r="EE40" s="18">
        <f t="shared" si="44"/>
        <v>82</v>
      </c>
      <c r="EF40" s="17">
        <f t="shared" si="45"/>
        <v>81.400000000000006</v>
      </c>
      <c r="EG40" s="18">
        <f t="shared" si="46"/>
        <v>81</v>
      </c>
      <c r="EH40" s="18">
        <f t="shared" si="47"/>
        <v>79.333333333333329</v>
      </c>
      <c r="EI40" s="18">
        <f t="shared" si="48"/>
        <v>72</v>
      </c>
      <c r="EJ40" s="18">
        <f t="shared" si="49"/>
        <v>83</v>
      </c>
      <c r="EK40" s="17">
        <f t="shared" si="50"/>
        <v>78.23333333333332</v>
      </c>
      <c r="EL40" s="19">
        <f t="shared" si="51"/>
        <v>83.66</v>
      </c>
      <c r="EM40" s="19">
        <f t="shared" si="52"/>
        <v>90.42</v>
      </c>
      <c r="EN40" s="19">
        <f t="shared" si="53"/>
        <v>83.58</v>
      </c>
      <c r="EO40" s="19">
        <f t="shared" si="54"/>
        <v>83.5</v>
      </c>
      <c r="EP40" s="19">
        <f t="shared" si="55"/>
        <v>83</v>
      </c>
      <c r="EQ40" s="19">
        <f t="shared" si="56"/>
        <v>88</v>
      </c>
      <c r="ER40" s="19">
        <f t="shared" si="57"/>
        <v>74.25</v>
      </c>
      <c r="ES40" s="19">
        <f t="shared" si="58"/>
        <v>83.5</v>
      </c>
      <c r="ET40" s="19">
        <f t="shared" si="59"/>
        <v>77.179999999999993</v>
      </c>
      <c r="EU40" s="19">
        <f t="shared" si="60"/>
        <v>78.62</v>
      </c>
      <c r="EV40" s="19">
        <f t="shared" si="61"/>
        <v>77</v>
      </c>
      <c r="EW40" s="19">
        <f t="shared" si="62"/>
        <v>80</v>
      </c>
      <c r="EX40" s="19">
        <f t="shared" si="63"/>
        <v>81</v>
      </c>
      <c r="EY40" s="19">
        <f t="shared" si="64"/>
        <v>86.566666666666677</v>
      </c>
      <c r="EZ40" s="19">
        <f t="shared" si="65"/>
        <v>81.400000000000006</v>
      </c>
      <c r="FA40" s="19">
        <f t="shared" si="65"/>
        <v>81</v>
      </c>
      <c r="FB40" s="19">
        <f t="shared" si="66"/>
        <v>78.23333333333332</v>
      </c>
      <c r="FC40" s="19">
        <f t="shared" si="67"/>
        <v>81.818235294117656</v>
      </c>
    </row>
    <row r="41" spans="1:159" ht="20.100000000000001" customHeight="1">
      <c r="A41" s="11">
        <v>37</v>
      </c>
      <c r="B41" s="101" t="s">
        <v>668</v>
      </c>
      <c r="C41" s="102" t="s">
        <v>545</v>
      </c>
      <c r="D41" s="103" t="s">
        <v>631</v>
      </c>
      <c r="E41" s="95">
        <v>81</v>
      </c>
      <c r="F41" s="95">
        <v>86</v>
      </c>
      <c r="G41" s="95">
        <v>89</v>
      </c>
      <c r="H41" s="95">
        <v>82</v>
      </c>
      <c r="I41" s="95">
        <v>90</v>
      </c>
      <c r="J41" s="95">
        <v>88</v>
      </c>
      <c r="K41" s="95">
        <v>80</v>
      </c>
      <c r="L41" s="95">
        <v>75</v>
      </c>
      <c r="M41" s="95">
        <v>86</v>
      </c>
      <c r="N41" s="95">
        <v>87</v>
      </c>
      <c r="O41" s="96">
        <v>90</v>
      </c>
      <c r="P41" s="96">
        <v>85</v>
      </c>
      <c r="Q41" s="96">
        <v>78</v>
      </c>
      <c r="R41" s="96">
        <v>85</v>
      </c>
      <c r="S41" s="96">
        <v>75</v>
      </c>
      <c r="T41" s="96">
        <v>78</v>
      </c>
      <c r="U41" s="95">
        <v>80</v>
      </c>
      <c r="V41" s="95">
        <v>84</v>
      </c>
      <c r="W41" s="95">
        <v>83</v>
      </c>
      <c r="X41" s="95">
        <v>83</v>
      </c>
      <c r="Y41" s="95">
        <v>83</v>
      </c>
      <c r="Z41" s="95">
        <v>85</v>
      </c>
      <c r="AA41" s="96">
        <v>75</v>
      </c>
      <c r="AB41" s="96">
        <v>80</v>
      </c>
      <c r="AC41" s="95">
        <v>83</v>
      </c>
      <c r="AD41" s="95">
        <v>84</v>
      </c>
      <c r="AE41" s="95">
        <v>93</v>
      </c>
      <c r="AF41" s="95">
        <v>84</v>
      </c>
      <c r="AG41" s="95">
        <v>81</v>
      </c>
      <c r="AH41" s="95">
        <v>74</v>
      </c>
      <c r="AI41" s="95">
        <v>73</v>
      </c>
      <c r="AJ41" s="95">
        <v>83</v>
      </c>
      <c r="AK41" s="96">
        <v>80</v>
      </c>
      <c r="AL41" s="96">
        <v>84</v>
      </c>
      <c r="AM41" s="95">
        <v>75</v>
      </c>
      <c r="AN41" s="95">
        <v>76</v>
      </c>
      <c r="AO41" s="96">
        <v>75</v>
      </c>
      <c r="AP41" s="96">
        <v>82</v>
      </c>
      <c r="AQ41" s="95">
        <v>80</v>
      </c>
      <c r="AR41" s="95">
        <v>74</v>
      </c>
      <c r="AS41" s="95">
        <v>70</v>
      </c>
      <c r="AT41" s="95">
        <v>73</v>
      </c>
      <c r="AU41" s="95">
        <v>78</v>
      </c>
      <c r="AV41" s="95">
        <v>80</v>
      </c>
      <c r="AW41" s="96">
        <v>77</v>
      </c>
      <c r="AX41" s="96">
        <v>74</v>
      </c>
      <c r="AY41" s="96">
        <v>77</v>
      </c>
      <c r="AZ41" s="95">
        <v>79</v>
      </c>
      <c r="BA41" s="96">
        <v>84</v>
      </c>
      <c r="BB41" s="96">
        <v>80</v>
      </c>
      <c r="BC41" s="96">
        <v>80</v>
      </c>
      <c r="BD41" s="96">
        <v>81</v>
      </c>
      <c r="BE41" s="96">
        <v>83</v>
      </c>
      <c r="BF41" s="96">
        <v>80</v>
      </c>
      <c r="BG41" s="96">
        <v>80</v>
      </c>
      <c r="BH41" s="15">
        <v>82</v>
      </c>
      <c r="BI41" s="95">
        <v>88</v>
      </c>
      <c r="BJ41" s="95">
        <v>91</v>
      </c>
      <c r="BK41" s="95">
        <v>86</v>
      </c>
      <c r="BL41" s="15">
        <v>82</v>
      </c>
      <c r="BM41" s="95">
        <v>81</v>
      </c>
      <c r="BN41" s="95">
        <v>79</v>
      </c>
      <c r="BO41" s="95">
        <v>85</v>
      </c>
      <c r="BP41" s="15">
        <v>82</v>
      </c>
      <c r="BQ41" s="15">
        <f t="shared" si="0"/>
        <v>84</v>
      </c>
      <c r="BR41" s="15">
        <f t="shared" si="0"/>
        <v>83.333333333333329</v>
      </c>
      <c r="BS41" s="15">
        <f t="shared" si="0"/>
        <v>83.666666666666671</v>
      </c>
      <c r="BT41" s="15">
        <f t="shared" si="0"/>
        <v>82</v>
      </c>
      <c r="BU41" s="14">
        <v>77</v>
      </c>
      <c r="BV41" s="14">
        <v>82</v>
      </c>
      <c r="BW41" s="14">
        <v>80</v>
      </c>
      <c r="BX41" s="15">
        <v>82</v>
      </c>
      <c r="BY41" s="15">
        <v>83</v>
      </c>
      <c r="BZ41" s="15">
        <v>70</v>
      </c>
      <c r="CA41" s="14">
        <v>84</v>
      </c>
      <c r="CB41" s="14">
        <v>74</v>
      </c>
      <c r="CC41" s="15">
        <v>74</v>
      </c>
      <c r="CD41" s="39">
        <v>85</v>
      </c>
      <c r="CE41" s="39">
        <v>88</v>
      </c>
      <c r="CF41" s="39">
        <v>78</v>
      </c>
      <c r="CG41" s="39">
        <v>95</v>
      </c>
      <c r="CH41" s="39">
        <v>80</v>
      </c>
      <c r="CI41" s="39">
        <v>88</v>
      </c>
      <c r="CJ41" s="39">
        <v>78</v>
      </c>
      <c r="CK41" s="39">
        <v>81</v>
      </c>
      <c r="CL41" s="39">
        <v>95</v>
      </c>
      <c r="CM41" s="41">
        <f t="shared" si="1"/>
        <v>85.6</v>
      </c>
      <c r="CN41" s="41">
        <f t="shared" si="2"/>
        <v>88</v>
      </c>
      <c r="CO41" s="41">
        <f t="shared" si="3"/>
        <v>85</v>
      </c>
      <c r="CP41" s="17">
        <f t="shared" si="4"/>
        <v>86.14</v>
      </c>
      <c r="CQ41" s="16">
        <f t="shared" si="5"/>
        <v>83.6</v>
      </c>
      <c r="CR41" s="16">
        <f t="shared" si="6"/>
        <v>85</v>
      </c>
      <c r="CS41" s="16">
        <f t="shared" si="7"/>
        <v>88</v>
      </c>
      <c r="CT41" s="17">
        <f t="shared" si="8"/>
        <v>85.34</v>
      </c>
      <c r="CU41" s="17">
        <f t="shared" si="9"/>
        <v>79.2</v>
      </c>
      <c r="CV41" s="17">
        <f t="shared" si="10"/>
        <v>84</v>
      </c>
      <c r="CW41" s="17">
        <f t="shared" si="11"/>
        <v>78</v>
      </c>
      <c r="CX41" s="17">
        <f t="shared" si="12"/>
        <v>80.28</v>
      </c>
      <c r="CY41" s="18">
        <f t="shared" si="13"/>
        <v>83.5</v>
      </c>
      <c r="CZ41" s="18">
        <f t="shared" si="14"/>
        <v>83.5</v>
      </c>
      <c r="DA41" s="18">
        <f t="shared" si="15"/>
        <v>80.5</v>
      </c>
      <c r="DB41" s="18">
        <f t="shared" si="16"/>
        <v>80.5</v>
      </c>
      <c r="DC41" s="18">
        <f t="shared" si="17"/>
        <v>88.5</v>
      </c>
      <c r="DD41" s="18">
        <f t="shared" si="18"/>
        <v>88.5</v>
      </c>
      <c r="DE41" s="18">
        <f t="shared" si="19"/>
        <v>77.75</v>
      </c>
      <c r="DF41" s="18">
        <f t="shared" si="20"/>
        <v>77.75</v>
      </c>
      <c r="DG41" s="18">
        <f t="shared" si="21"/>
        <v>80</v>
      </c>
      <c r="DH41" s="18">
        <f t="shared" si="21"/>
        <v>84</v>
      </c>
      <c r="DI41" s="18">
        <f t="shared" si="22"/>
        <v>95</v>
      </c>
      <c r="DJ41" s="17">
        <f t="shared" si="23"/>
        <v>85.7</v>
      </c>
      <c r="DK41" s="18">
        <f t="shared" si="24"/>
        <v>77.599999999999994</v>
      </c>
      <c r="DL41" s="18">
        <f t="shared" si="25"/>
        <v>74</v>
      </c>
      <c r="DM41" s="18">
        <f t="shared" si="26"/>
        <v>80</v>
      </c>
      <c r="DN41" s="17">
        <f t="shared" si="27"/>
        <v>77.239999999999995</v>
      </c>
      <c r="DO41" s="18">
        <f t="shared" si="28"/>
        <v>75.599999999999994</v>
      </c>
      <c r="DP41" s="18">
        <f t="shared" si="29"/>
        <v>74</v>
      </c>
      <c r="DQ41" s="18">
        <f t="shared" si="30"/>
        <v>88</v>
      </c>
      <c r="DR41" s="17">
        <f t="shared" si="31"/>
        <v>78.84</v>
      </c>
      <c r="DS41" s="18">
        <f t="shared" si="32"/>
        <v>78</v>
      </c>
      <c r="DT41" s="18">
        <f t="shared" si="33"/>
        <v>78</v>
      </c>
      <c r="DU41" s="18">
        <f t="shared" si="34"/>
        <v>82</v>
      </c>
      <c r="DV41" s="18">
        <f t="shared" si="35"/>
        <v>82</v>
      </c>
      <c r="DW41" s="18">
        <f t="shared" si="36"/>
        <v>80.5</v>
      </c>
      <c r="DX41" s="17">
        <f t="shared" si="37"/>
        <v>80.5</v>
      </c>
      <c r="DY41" s="18">
        <f t="shared" si="38"/>
        <v>83.666666666666671</v>
      </c>
      <c r="DZ41" s="18">
        <f t="shared" si="39"/>
        <v>82</v>
      </c>
      <c r="EA41" s="18">
        <f t="shared" si="40"/>
        <v>95</v>
      </c>
      <c r="EB41" s="17">
        <f t="shared" si="41"/>
        <v>86.566666666666677</v>
      </c>
      <c r="EC41" s="18">
        <f t="shared" si="42"/>
        <v>79.666666666666671</v>
      </c>
      <c r="ED41" s="18">
        <f t="shared" si="43"/>
        <v>82</v>
      </c>
      <c r="EE41" s="18">
        <f t="shared" si="44"/>
        <v>81</v>
      </c>
      <c r="EF41" s="17">
        <f t="shared" si="45"/>
        <v>80.76666666666668</v>
      </c>
      <c r="EG41" s="18">
        <f t="shared" si="46"/>
        <v>83</v>
      </c>
      <c r="EH41" s="18">
        <f t="shared" si="47"/>
        <v>76</v>
      </c>
      <c r="EI41" s="18">
        <f t="shared" si="48"/>
        <v>74</v>
      </c>
      <c r="EJ41" s="18">
        <f t="shared" si="49"/>
        <v>78</v>
      </c>
      <c r="EK41" s="17">
        <f t="shared" si="50"/>
        <v>76</v>
      </c>
      <c r="EL41" s="19">
        <f t="shared" si="51"/>
        <v>86.14</v>
      </c>
      <c r="EM41" s="19">
        <f t="shared" si="52"/>
        <v>85.34</v>
      </c>
      <c r="EN41" s="19">
        <f t="shared" si="53"/>
        <v>80.28</v>
      </c>
      <c r="EO41" s="19">
        <f t="shared" si="54"/>
        <v>83.5</v>
      </c>
      <c r="EP41" s="19">
        <f t="shared" si="55"/>
        <v>80.5</v>
      </c>
      <c r="EQ41" s="19">
        <f t="shared" si="56"/>
        <v>88.5</v>
      </c>
      <c r="ER41" s="19">
        <f t="shared" si="57"/>
        <v>77.75</v>
      </c>
      <c r="ES41" s="19">
        <f t="shared" si="58"/>
        <v>85.7</v>
      </c>
      <c r="ET41" s="19">
        <f t="shared" si="59"/>
        <v>77.239999999999995</v>
      </c>
      <c r="EU41" s="19">
        <f t="shared" si="60"/>
        <v>78.84</v>
      </c>
      <c r="EV41" s="19">
        <f t="shared" si="61"/>
        <v>78</v>
      </c>
      <c r="EW41" s="19">
        <f t="shared" si="62"/>
        <v>82</v>
      </c>
      <c r="EX41" s="19">
        <f t="shared" si="63"/>
        <v>80.5</v>
      </c>
      <c r="EY41" s="19">
        <f t="shared" si="64"/>
        <v>86.566666666666677</v>
      </c>
      <c r="EZ41" s="19">
        <f t="shared" si="65"/>
        <v>80.76666666666668</v>
      </c>
      <c r="FA41" s="19">
        <f t="shared" si="65"/>
        <v>83</v>
      </c>
      <c r="FB41" s="19">
        <f t="shared" si="66"/>
        <v>76</v>
      </c>
      <c r="FC41" s="19">
        <f t="shared" si="67"/>
        <v>81.801372549019604</v>
      </c>
    </row>
    <row r="42" spans="1:159" ht="20.100000000000001" customHeight="1">
      <c r="A42" s="11">
        <v>38</v>
      </c>
      <c r="B42" s="101" t="s">
        <v>669</v>
      </c>
      <c r="C42" s="102" t="s">
        <v>547</v>
      </c>
      <c r="D42" s="103" t="s">
        <v>631</v>
      </c>
      <c r="E42" s="95">
        <v>90</v>
      </c>
      <c r="F42" s="95">
        <v>85</v>
      </c>
      <c r="G42" s="95">
        <v>90</v>
      </c>
      <c r="H42" s="95">
        <v>85</v>
      </c>
      <c r="I42" s="95">
        <v>93</v>
      </c>
      <c r="J42" s="95">
        <v>85</v>
      </c>
      <c r="K42" s="95">
        <v>72</v>
      </c>
      <c r="L42" s="95">
        <v>76</v>
      </c>
      <c r="M42" s="95">
        <v>71</v>
      </c>
      <c r="N42" s="95">
        <v>87</v>
      </c>
      <c r="O42" s="96">
        <v>90</v>
      </c>
      <c r="P42" s="96">
        <v>90</v>
      </c>
      <c r="Q42" s="96">
        <v>77</v>
      </c>
      <c r="R42" s="96">
        <v>83</v>
      </c>
      <c r="S42" s="96">
        <v>80</v>
      </c>
      <c r="T42" s="96">
        <v>81</v>
      </c>
      <c r="U42" s="95">
        <v>83</v>
      </c>
      <c r="V42" s="95">
        <v>83</v>
      </c>
      <c r="W42" s="95">
        <v>82</v>
      </c>
      <c r="X42" s="95">
        <v>83</v>
      </c>
      <c r="Y42" s="95">
        <v>83</v>
      </c>
      <c r="Z42" s="95">
        <v>84</v>
      </c>
      <c r="AA42" s="96">
        <v>78</v>
      </c>
      <c r="AB42" s="96">
        <v>79</v>
      </c>
      <c r="AC42" s="95">
        <v>83</v>
      </c>
      <c r="AD42" s="95">
        <v>84</v>
      </c>
      <c r="AE42" s="95">
        <v>93</v>
      </c>
      <c r="AF42" s="95">
        <v>82</v>
      </c>
      <c r="AG42" s="95">
        <v>80</v>
      </c>
      <c r="AH42" s="95">
        <v>72</v>
      </c>
      <c r="AI42" s="95">
        <v>73</v>
      </c>
      <c r="AJ42" s="95">
        <v>81</v>
      </c>
      <c r="AK42" s="96">
        <v>80</v>
      </c>
      <c r="AL42" s="96">
        <v>83</v>
      </c>
      <c r="AM42" s="96">
        <v>74</v>
      </c>
      <c r="AN42" s="96">
        <v>75</v>
      </c>
      <c r="AO42" s="96">
        <v>79</v>
      </c>
      <c r="AP42" s="96">
        <v>80</v>
      </c>
      <c r="AQ42" s="95">
        <v>80</v>
      </c>
      <c r="AR42" s="95">
        <v>85</v>
      </c>
      <c r="AS42" s="95">
        <v>72</v>
      </c>
      <c r="AT42" s="95">
        <v>75</v>
      </c>
      <c r="AU42" s="95">
        <v>78</v>
      </c>
      <c r="AV42" s="95">
        <v>78</v>
      </c>
      <c r="AW42" s="96">
        <v>75</v>
      </c>
      <c r="AX42" s="96">
        <v>85</v>
      </c>
      <c r="AY42" s="96">
        <v>76</v>
      </c>
      <c r="AZ42" s="95">
        <v>76</v>
      </c>
      <c r="BA42" s="96">
        <v>81</v>
      </c>
      <c r="BB42" s="96">
        <v>75</v>
      </c>
      <c r="BC42" s="96">
        <v>80</v>
      </c>
      <c r="BD42" s="96">
        <v>80</v>
      </c>
      <c r="BE42" s="96">
        <v>83</v>
      </c>
      <c r="BF42" s="96">
        <v>80</v>
      </c>
      <c r="BG42" s="96">
        <v>80</v>
      </c>
      <c r="BH42" s="15">
        <v>85</v>
      </c>
      <c r="BI42" s="95">
        <v>88</v>
      </c>
      <c r="BJ42" s="95">
        <v>91</v>
      </c>
      <c r="BK42" s="95">
        <v>86</v>
      </c>
      <c r="BL42" s="15">
        <v>85</v>
      </c>
      <c r="BM42" s="95">
        <v>81</v>
      </c>
      <c r="BN42" s="95">
        <v>79</v>
      </c>
      <c r="BO42" s="95">
        <v>85</v>
      </c>
      <c r="BP42" s="15">
        <v>85</v>
      </c>
      <c r="BQ42" s="15">
        <f t="shared" si="0"/>
        <v>84</v>
      </c>
      <c r="BR42" s="15">
        <f t="shared" si="0"/>
        <v>83.333333333333329</v>
      </c>
      <c r="BS42" s="15">
        <f t="shared" si="0"/>
        <v>83.666666666666671</v>
      </c>
      <c r="BT42" s="15">
        <f t="shared" si="0"/>
        <v>85</v>
      </c>
      <c r="BU42" s="14">
        <v>77</v>
      </c>
      <c r="BV42" s="14">
        <v>82</v>
      </c>
      <c r="BW42" s="14">
        <v>80</v>
      </c>
      <c r="BX42" s="15">
        <v>85</v>
      </c>
      <c r="BY42" s="15">
        <v>86</v>
      </c>
      <c r="BZ42" s="15">
        <v>70</v>
      </c>
      <c r="CA42" s="14">
        <v>74</v>
      </c>
      <c r="CB42" s="14">
        <v>74</v>
      </c>
      <c r="CC42" s="15">
        <v>85</v>
      </c>
      <c r="CD42" s="39">
        <v>85</v>
      </c>
      <c r="CE42" s="39">
        <v>88</v>
      </c>
      <c r="CF42" s="39">
        <v>78</v>
      </c>
      <c r="CG42" s="39">
        <v>95</v>
      </c>
      <c r="CH42" s="39">
        <v>80</v>
      </c>
      <c r="CI42" s="39">
        <v>80</v>
      </c>
      <c r="CJ42" s="39">
        <v>79</v>
      </c>
      <c r="CK42" s="39">
        <v>82</v>
      </c>
      <c r="CL42" s="39">
        <v>95</v>
      </c>
      <c r="CM42" s="41">
        <f t="shared" si="1"/>
        <v>88.6</v>
      </c>
      <c r="CN42" s="41">
        <f t="shared" si="2"/>
        <v>85</v>
      </c>
      <c r="CO42" s="41">
        <f t="shared" si="3"/>
        <v>85</v>
      </c>
      <c r="CP42" s="17">
        <f t="shared" si="4"/>
        <v>86.44</v>
      </c>
      <c r="CQ42" s="16">
        <f t="shared" si="5"/>
        <v>79.2</v>
      </c>
      <c r="CR42" s="16">
        <f t="shared" si="6"/>
        <v>90</v>
      </c>
      <c r="CS42" s="16">
        <f t="shared" si="7"/>
        <v>88</v>
      </c>
      <c r="CT42" s="17">
        <f t="shared" si="8"/>
        <v>85.08</v>
      </c>
      <c r="CU42" s="17">
        <f t="shared" si="9"/>
        <v>80.8</v>
      </c>
      <c r="CV42" s="17">
        <f t="shared" si="10"/>
        <v>83</v>
      </c>
      <c r="CW42" s="17">
        <f t="shared" si="11"/>
        <v>78</v>
      </c>
      <c r="CX42" s="17">
        <f t="shared" si="12"/>
        <v>80.62</v>
      </c>
      <c r="CY42" s="18">
        <f t="shared" si="13"/>
        <v>83</v>
      </c>
      <c r="CZ42" s="18">
        <f t="shared" si="14"/>
        <v>83</v>
      </c>
      <c r="DA42" s="18">
        <f t="shared" si="15"/>
        <v>81</v>
      </c>
      <c r="DB42" s="18">
        <f t="shared" si="16"/>
        <v>81</v>
      </c>
      <c r="DC42" s="18">
        <f t="shared" si="17"/>
        <v>87.5</v>
      </c>
      <c r="DD42" s="18">
        <f t="shared" si="18"/>
        <v>87.5</v>
      </c>
      <c r="DE42" s="18">
        <f t="shared" si="19"/>
        <v>76.5</v>
      </c>
      <c r="DF42" s="18">
        <f t="shared" si="20"/>
        <v>76.5</v>
      </c>
      <c r="DG42" s="18">
        <f t="shared" si="21"/>
        <v>80</v>
      </c>
      <c r="DH42" s="18">
        <f t="shared" si="21"/>
        <v>83</v>
      </c>
      <c r="DI42" s="18">
        <f t="shared" si="22"/>
        <v>95</v>
      </c>
      <c r="DJ42" s="17">
        <f t="shared" si="23"/>
        <v>85.4</v>
      </c>
      <c r="DK42" s="18">
        <f t="shared" si="24"/>
        <v>77.599999999999994</v>
      </c>
      <c r="DL42" s="18">
        <f t="shared" si="25"/>
        <v>85</v>
      </c>
      <c r="DM42" s="18">
        <f t="shared" si="26"/>
        <v>80</v>
      </c>
      <c r="DN42" s="17">
        <f t="shared" si="27"/>
        <v>80.539999999999992</v>
      </c>
      <c r="DO42" s="18">
        <f t="shared" si="28"/>
        <v>75.599999999999994</v>
      </c>
      <c r="DP42" s="18">
        <f t="shared" si="29"/>
        <v>85</v>
      </c>
      <c r="DQ42" s="18">
        <f t="shared" si="30"/>
        <v>80</v>
      </c>
      <c r="DR42" s="17">
        <f t="shared" si="31"/>
        <v>79.739999999999995</v>
      </c>
      <c r="DS42" s="18">
        <f t="shared" si="32"/>
        <v>76</v>
      </c>
      <c r="DT42" s="18">
        <f t="shared" si="33"/>
        <v>76</v>
      </c>
      <c r="DU42" s="18">
        <f t="shared" si="34"/>
        <v>78</v>
      </c>
      <c r="DV42" s="18">
        <f t="shared" si="35"/>
        <v>78</v>
      </c>
      <c r="DW42" s="18">
        <f t="shared" si="36"/>
        <v>80</v>
      </c>
      <c r="DX42" s="17">
        <f t="shared" si="37"/>
        <v>80</v>
      </c>
      <c r="DY42" s="18">
        <f t="shared" si="38"/>
        <v>83.666666666666671</v>
      </c>
      <c r="DZ42" s="18">
        <f t="shared" si="39"/>
        <v>85</v>
      </c>
      <c r="EA42" s="18">
        <f t="shared" si="40"/>
        <v>95</v>
      </c>
      <c r="EB42" s="17">
        <f t="shared" si="41"/>
        <v>87.466666666666669</v>
      </c>
      <c r="EC42" s="18">
        <f t="shared" si="42"/>
        <v>79.666666666666671</v>
      </c>
      <c r="ED42" s="18">
        <f t="shared" si="43"/>
        <v>85</v>
      </c>
      <c r="EE42" s="18">
        <f t="shared" si="44"/>
        <v>82</v>
      </c>
      <c r="EF42" s="17">
        <f t="shared" si="45"/>
        <v>81.966666666666669</v>
      </c>
      <c r="EG42" s="18">
        <f t="shared" si="46"/>
        <v>86</v>
      </c>
      <c r="EH42" s="18">
        <f t="shared" si="47"/>
        <v>72.666666666666671</v>
      </c>
      <c r="EI42" s="18">
        <f t="shared" si="48"/>
        <v>85</v>
      </c>
      <c r="EJ42" s="18">
        <f t="shared" si="49"/>
        <v>79</v>
      </c>
      <c r="EK42" s="17">
        <f t="shared" si="50"/>
        <v>78.26666666666668</v>
      </c>
      <c r="EL42" s="19">
        <f t="shared" si="51"/>
        <v>86.44</v>
      </c>
      <c r="EM42" s="19">
        <f t="shared" si="52"/>
        <v>85.08</v>
      </c>
      <c r="EN42" s="19">
        <f t="shared" si="53"/>
        <v>80.62</v>
      </c>
      <c r="EO42" s="19">
        <f t="shared" si="54"/>
        <v>83</v>
      </c>
      <c r="EP42" s="19">
        <f t="shared" si="55"/>
        <v>81</v>
      </c>
      <c r="EQ42" s="19">
        <f t="shared" si="56"/>
        <v>87.5</v>
      </c>
      <c r="ER42" s="19">
        <f t="shared" si="57"/>
        <v>76.5</v>
      </c>
      <c r="ES42" s="19">
        <f t="shared" si="58"/>
        <v>85.4</v>
      </c>
      <c r="ET42" s="19">
        <f t="shared" si="59"/>
        <v>80.539999999999992</v>
      </c>
      <c r="EU42" s="19">
        <f t="shared" si="60"/>
        <v>79.739999999999995</v>
      </c>
      <c r="EV42" s="19">
        <f t="shared" si="61"/>
        <v>76</v>
      </c>
      <c r="EW42" s="19">
        <f t="shared" si="62"/>
        <v>78</v>
      </c>
      <c r="EX42" s="19">
        <f t="shared" si="63"/>
        <v>80</v>
      </c>
      <c r="EY42" s="19">
        <f t="shared" si="64"/>
        <v>87.466666666666669</v>
      </c>
      <c r="EZ42" s="19">
        <f t="shared" si="65"/>
        <v>81.966666666666669</v>
      </c>
      <c r="FA42" s="19">
        <f t="shared" si="65"/>
        <v>86</v>
      </c>
      <c r="FB42" s="19">
        <f t="shared" si="66"/>
        <v>78.26666666666668</v>
      </c>
      <c r="FC42" s="19">
        <f t="shared" si="67"/>
        <v>81.97176470588235</v>
      </c>
    </row>
    <row r="43" spans="1:159" ht="20.100000000000001" customHeight="1">
      <c r="A43" s="11">
        <v>39</v>
      </c>
      <c r="B43" s="101" t="s">
        <v>670</v>
      </c>
      <c r="C43" s="102" t="s">
        <v>549</v>
      </c>
      <c r="D43" s="103" t="s">
        <v>631</v>
      </c>
      <c r="E43" s="95">
        <v>89</v>
      </c>
      <c r="F43" s="95">
        <v>89</v>
      </c>
      <c r="G43" s="95">
        <v>89</v>
      </c>
      <c r="H43" s="95">
        <v>83</v>
      </c>
      <c r="I43" s="95">
        <v>87</v>
      </c>
      <c r="J43" s="95">
        <v>95</v>
      </c>
      <c r="K43" s="95">
        <v>72</v>
      </c>
      <c r="L43" s="95">
        <v>77</v>
      </c>
      <c r="M43" s="95">
        <v>87</v>
      </c>
      <c r="N43" s="95">
        <v>93</v>
      </c>
      <c r="O43" s="96">
        <v>94</v>
      </c>
      <c r="P43" s="96">
        <v>90</v>
      </c>
      <c r="Q43" s="96">
        <v>84</v>
      </c>
      <c r="R43" s="96">
        <v>81</v>
      </c>
      <c r="S43" s="96">
        <v>84</v>
      </c>
      <c r="T43" s="96">
        <v>85</v>
      </c>
      <c r="U43" s="95">
        <v>80</v>
      </c>
      <c r="V43" s="95">
        <v>86</v>
      </c>
      <c r="W43" s="95">
        <v>84</v>
      </c>
      <c r="X43" s="95">
        <v>84</v>
      </c>
      <c r="Y43" s="95">
        <v>84</v>
      </c>
      <c r="Z43" s="95">
        <v>83</v>
      </c>
      <c r="AA43" s="96">
        <v>73</v>
      </c>
      <c r="AB43" s="96">
        <v>79</v>
      </c>
      <c r="AC43" s="95">
        <v>83</v>
      </c>
      <c r="AD43" s="95">
        <v>84</v>
      </c>
      <c r="AE43" s="95">
        <v>93</v>
      </c>
      <c r="AF43" s="95">
        <v>81</v>
      </c>
      <c r="AG43" s="95">
        <v>76</v>
      </c>
      <c r="AH43" s="95">
        <v>70</v>
      </c>
      <c r="AI43" s="95">
        <v>71</v>
      </c>
      <c r="AJ43" s="95">
        <v>80</v>
      </c>
      <c r="AK43" s="96">
        <v>85</v>
      </c>
      <c r="AL43" s="96">
        <v>86</v>
      </c>
      <c r="AM43" s="95">
        <v>76</v>
      </c>
      <c r="AN43" s="95">
        <v>77</v>
      </c>
      <c r="AO43" s="96">
        <v>81</v>
      </c>
      <c r="AP43" s="96">
        <v>84</v>
      </c>
      <c r="AQ43" s="95">
        <v>84</v>
      </c>
      <c r="AR43" s="95">
        <v>90</v>
      </c>
      <c r="AS43" s="95">
        <v>75</v>
      </c>
      <c r="AT43" s="95">
        <v>75</v>
      </c>
      <c r="AU43" s="95">
        <v>78</v>
      </c>
      <c r="AV43" s="95">
        <v>79</v>
      </c>
      <c r="AW43" s="96">
        <v>77</v>
      </c>
      <c r="AX43" s="96">
        <v>90</v>
      </c>
      <c r="AY43" s="96">
        <v>77</v>
      </c>
      <c r="AZ43" s="95">
        <v>79</v>
      </c>
      <c r="BA43" s="96">
        <v>77</v>
      </c>
      <c r="BB43" s="96">
        <v>81</v>
      </c>
      <c r="BC43" s="96">
        <v>80</v>
      </c>
      <c r="BD43" s="96">
        <v>80</v>
      </c>
      <c r="BE43" s="96">
        <v>83</v>
      </c>
      <c r="BF43" s="96">
        <v>80</v>
      </c>
      <c r="BG43" s="96">
        <v>80</v>
      </c>
      <c r="BH43" s="15">
        <v>90</v>
      </c>
      <c r="BI43" s="95">
        <v>88</v>
      </c>
      <c r="BJ43" s="95">
        <v>91</v>
      </c>
      <c r="BK43" s="95">
        <v>86</v>
      </c>
      <c r="BL43" s="15">
        <v>90</v>
      </c>
      <c r="BM43" s="95">
        <v>81</v>
      </c>
      <c r="BN43" s="95">
        <v>79</v>
      </c>
      <c r="BO43" s="95">
        <v>85</v>
      </c>
      <c r="BP43" s="15">
        <v>90</v>
      </c>
      <c r="BQ43" s="15">
        <f t="shared" si="0"/>
        <v>84</v>
      </c>
      <c r="BR43" s="15">
        <f t="shared" si="0"/>
        <v>83.333333333333329</v>
      </c>
      <c r="BS43" s="15">
        <f t="shared" si="0"/>
        <v>83.666666666666671</v>
      </c>
      <c r="BT43" s="15">
        <f t="shared" si="0"/>
        <v>90</v>
      </c>
      <c r="BU43" s="14">
        <v>77</v>
      </c>
      <c r="BV43" s="14">
        <v>82</v>
      </c>
      <c r="BW43" s="14">
        <v>85</v>
      </c>
      <c r="BX43" s="15">
        <v>90</v>
      </c>
      <c r="BY43" s="15">
        <v>90</v>
      </c>
      <c r="BZ43" s="15">
        <v>70</v>
      </c>
      <c r="CA43" s="14">
        <v>85</v>
      </c>
      <c r="CB43" s="14">
        <v>77</v>
      </c>
      <c r="CC43" s="15">
        <v>90</v>
      </c>
      <c r="CD43" s="39">
        <v>86</v>
      </c>
      <c r="CE43" s="39">
        <v>90</v>
      </c>
      <c r="CF43" s="39">
        <v>82</v>
      </c>
      <c r="CG43" s="39">
        <v>87</v>
      </c>
      <c r="CH43" s="39">
        <v>84</v>
      </c>
      <c r="CI43" s="39">
        <v>80</v>
      </c>
      <c r="CJ43" s="39">
        <v>79</v>
      </c>
      <c r="CK43" s="39">
        <v>82</v>
      </c>
      <c r="CL43" s="39">
        <v>90</v>
      </c>
      <c r="CM43" s="41">
        <f t="shared" si="1"/>
        <v>87.4</v>
      </c>
      <c r="CN43" s="41">
        <f t="shared" si="2"/>
        <v>95</v>
      </c>
      <c r="CO43" s="41">
        <f t="shared" si="3"/>
        <v>86</v>
      </c>
      <c r="CP43" s="17">
        <f t="shared" si="4"/>
        <v>89.26</v>
      </c>
      <c r="CQ43" s="16">
        <f t="shared" si="5"/>
        <v>84.6</v>
      </c>
      <c r="CR43" s="16">
        <f t="shared" si="6"/>
        <v>90</v>
      </c>
      <c r="CS43" s="16">
        <f t="shared" si="7"/>
        <v>90</v>
      </c>
      <c r="CT43" s="17">
        <f t="shared" si="8"/>
        <v>87.84</v>
      </c>
      <c r="CU43" s="17">
        <f t="shared" si="9"/>
        <v>82.8</v>
      </c>
      <c r="CV43" s="17">
        <f t="shared" si="10"/>
        <v>86</v>
      </c>
      <c r="CW43" s="17">
        <f t="shared" si="11"/>
        <v>82</v>
      </c>
      <c r="CX43" s="17">
        <f t="shared" si="12"/>
        <v>83.52000000000001</v>
      </c>
      <c r="CY43" s="18">
        <f t="shared" si="13"/>
        <v>83.75</v>
      </c>
      <c r="CZ43" s="18">
        <f t="shared" si="14"/>
        <v>83.75</v>
      </c>
      <c r="DA43" s="18">
        <f t="shared" si="15"/>
        <v>79.75</v>
      </c>
      <c r="DB43" s="18">
        <f t="shared" si="16"/>
        <v>79.75</v>
      </c>
      <c r="DC43" s="18">
        <f t="shared" si="17"/>
        <v>87</v>
      </c>
      <c r="DD43" s="18">
        <f t="shared" si="18"/>
        <v>87</v>
      </c>
      <c r="DE43" s="18">
        <f t="shared" si="19"/>
        <v>74.25</v>
      </c>
      <c r="DF43" s="18">
        <f t="shared" si="20"/>
        <v>74.25</v>
      </c>
      <c r="DG43" s="18">
        <f t="shared" si="21"/>
        <v>85</v>
      </c>
      <c r="DH43" s="18">
        <f t="shared" si="21"/>
        <v>86</v>
      </c>
      <c r="DI43" s="18">
        <f t="shared" si="22"/>
        <v>87</v>
      </c>
      <c r="DJ43" s="17">
        <f t="shared" si="23"/>
        <v>85.9</v>
      </c>
      <c r="DK43" s="18">
        <f t="shared" si="24"/>
        <v>80.400000000000006</v>
      </c>
      <c r="DL43" s="18">
        <f t="shared" si="25"/>
        <v>90</v>
      </c>
      <c r="DM43" s="18">
        <f t="shared" si="26"/>
        <v>84</v>
      </c>
      <c r="DN43" s="17">
        <f t="shared" si="27"/>
        <v>84.36</v>
      </c>
      <c r="DO43" s="18">
        <f t="shared" si="28"/>
        <v>76.8</v>
      </c>
      <c r="DP43" s="18">
        <f t="shared" si="29"/>
        <v>90</v>
      </c>
      <c r="DQ43" s="18">
        <f t="shared" si="30"/>
        <v>80</v>
      </c>
      <c r="DR43" s="17">
        <f t="shared" si="31"/>
        <v>81.72</v>
      </c>
      <c r="DS43" s="18">
        <f t="shared" si="32"/>
        <v>78</v>
      </c>
      <c r="DT43" s="18">
        <f t="shared" si="33"/>
        <v>78</v>
      </c>
      <c r="DU43" s="18">
        <f t="shared" si="34"/>
        <v>79</v>
      </c>
      <c r="DV43" s="18">
        <f t="shared" si="35"/>
        <v>79</v>
      </c>
      <c r="DW43" s="18">
        <f t="shared" si="36"/>
        <v>80</v>
      </c>
      <c r="DX43" s="17">
        <f t="shared" si="37"/>
        <v>80</v>
      </c>
      <c r="DY43" s="18">
        <f t="shared" si="38"/>
        <v>83.666666666666671</v>
      </c>
      <c r="DZ43" s="18">
        <f t="shared" si="39"/>
        <v>90</v>
      </c>
      <c r="EA43" s="18">
        <f t="shared" si="40"/>
        <v>90</v>
      </c>
      <c r="EB43" s="17">
        <f t="shared" si="41"/>
        <v>87.466666666666669</v>
      </c>
      <c r="EC43" s="18">
        <f t="shared" si="42"/>
        <v>81.333333333333329</v>
      </c>
      <c r="ED43" s="18">
        <f t="shared" si="43"/>
        <v>90</v>
      </c>
      <c r="EE43" s="18">
        <f t="shared" si="44"/>
        <v>82</v>
      </c>
      <c r="EF43" s="17">
        <f t="shared" si="45"/>
        <v>84.133333333333326</v>
      </c>
      <c r="EG43" s="18">
        <f t="shared" si="46"/>
        <v>90</v>
      </c>
      <c r="EH43" s="18">
        <f t="shared" si="47"/>
        <v>77.333333333333329</v>
      </c>
      <c r="EI43" s="18">
        <f t="shared" si="48"/>
        <v>90</v>
      </c>
      <c r="EJ43" s="18">
        <f t="shared" si="49"/>
        <v>79</v>
      </c>
      <c r="EK43" s="17">
        <f t="shared" si="50"/>
        <v>81.633333333333326</v>
      </c>
      <c r="EL43" s="19">
        <f t="shared" si="51"/>
        <v>89.26</v>
      </c>
      <c r="EM43" s="19">
        <f t="shared" si="52"/>
        <v>87.84</v>
      </c>
      <c r="EN43" s="19">
        <f t="shared" si="53"/>
        <v>83.52000000000001</v>
      </c>
      <c r="EO43" s="19">
        <f t="shared" si="54"/>
        <v>83.75</v>
      </c>
      <c r="EP43" s="19">
        <f t="shared" si="55"/>
        <v>79.75</v>
      </c>
      <c r="EQ43" s="19">
        <f t="shared" si="56"/>
        <v>87</v>
      </c>
      <c r="ER43" s="19">
        <f t="shared" si="57"/>
        <v>74.25</v>
      </c>
      <c r="ES43" s="19">
        <f t="shared" si="58"/>
        <v>85.9</v>
      </c>
      <c r="ET43" s="19">
        <f t="shared" si="59"/>
        <v>84.36</v>
      </c>
      <c r="EU43" s="19">
        <f t="shared" si="60"/>
        <v>81.72</v>
      </c>
      <c r="EV43" s="19">
        <f t="shared" si="61"/>
        <v>78</v>
      </c>
      <c r="EW43" s="19">
        <f t="shared" si="62"/>
        <v>79</v>
      </c>
      <c r="EX43" s="19">
        <f t="shared" si="63"/>
        <v>80</v>
      </c>
      <c r="EY43" s="19">
        <f t="shared" si="64"/>
        <v>87.466666666666669</v>
      </c>
      <c r="EZ43" s="19">
        <f t="shared" si="65"/>
        <v>84.133333333333326</v>
      </c>
      <c r="FA43" s="19">
        <f t="shared" si="65"/>
        <v>90</v>
      </c>
      <c r="FB43" s="19">
        <f t="shared" si="66"/>
        <v>81.633333333333326</v>
      </c>
      <c r="FC43" s="19">
        <f t="shared" si="67"/>
        <v>83.387254901960773</v>
      </c>
    </row>
  </sheetData>
  <mergeCells count="168">
    <mergeCell ref="CS3:CS4"/>
    <mergeCell ref="CT3:CT4"/>
    <mergeCell ref="CM3:CM4"/>
    <mergeCell ref="CN3:CN4"/>
    <mergeCell ref="CO3:CO4"/>
    <mergeCell ref="CP3:CP4"/>
    <mergeCell ref="CQ3:CQ4"/>
    <mergeCell ref="CR3:CR4"/>
    <mergeCell ref="CG3:CG4"/>
    <mergeCell ref="CH3:CH4"/>
    <mergeCell ref="CI3:CI4"/>
    <mergeCell ref="CJ3:CJ4"/>
    <mergeCell ref="CK3:CK4"/>
    <mergeCell ref="CL3:CL4"/>
    <mergeCell ref="CA3:CA4"/>
    <mergeCell ref="CB3:CB4"/>
    <mergeCell ref="CC3:CC4"/>
    <mergeCell ref="CD3:CD4"/>
    <mergeCell ref="CE3:CE4"/>
    <mergeCell ref="CF3:CF4"/>
    <mergeCell ref="BU3:BU4"/>
    <mergeCell ref="BV3:BV4"/>
    <mergeCell ref="BW3:BW4"/>
    <mergeCell ref="BX3:BX4"/>
    <mergeCell ref="BY3:BY4"/>
    <mergeCell ref="BZ3:BZ4"/>
    <mergeCell ref="BK3:BK4"/>
    <mergeCell ref="BL3:BL4"/>
    <mergeCell ref="BM3:BM4"/>
    <mergeCell ref="BN3:BN4"/>
    <mergeCell ref="BO3:BO4"/>
    <mergeCell ref="BP3:BP4"/>
    <mergeCell ref="BE3:BE4"/>
    <mergeCell ref="BF3:BF4"/>
    <mergeCell ref="BG3:BG4"/>
    <mergeCell ref="BH3:BH4"/>
    <mergeCell ref="BI3:BI4"/>
    <mergeCell ref="BJ3:BJ4"/>
    <mergeCell ref="AY3:AY4"/>
    <mergeCell ref="AZ3:AZ4"/>
    <mergeCell ref="BA3:BA4"/>
    <mergeCell ref="BB3:BB4"/>
    <mergeCell ref="BC3:BC4"/>
    <mergeCell ref="BD3:BD4"/>
    <mergeCell ref="AS3:AS4"/>
    <mergeCell ref="AT3:AT4"/>
    <mergeCell ref="AU3:AU4"/>
    <mergeCell ref="AV3:AV4"/>
    <mergeCell ref="AW3:AW4"/>
    <mergeCell ref="AX3:AX4"/>
    <mergeCell ref="AM3:AM4"/>
    <mergeCell ref="AN3:AN4"/>
    <mergeCell ref="AO3:AO4"/>
    <mergeCell ref="AP3:AP4"/>
    <mergeCell ref="AQ3:AQ4"/>
    <mergeCell ref="AR3:AR4"/>
    <mergeCell ref="AG3:AG4"/>
    <mergeCell ref="AH3:AH4"/>
    <mergeCell ref="AI3:AI4"/>
    <mergeCell ref="AJ3:AJ4"/>
    <mergeCell ref="AK3:AK4"/>
    <mergeCell ref="AL3:AL4"/>
    <mergeCell ref="AC3:AC4"/>
    <mergeCell ref="AD3:AD4"/>
    <mergeCell ref="AE3:AE4"/>
    <mergeCell ref="AF3:AF4"/>
    <mergeCell ref="U3:U4"/>
    <mergeCell ref="V3:V4"/>
    <mergeCell ref="W3:W4"/>
    <mergeCell ref="X3:X4"/>
    <mergeCell ref="Y3:Y4"/>
    <mergeCell ref="Z3:Z4"/>
    <mergeCell ref="Q3:Q4"/>
    <mergeCell ref="R3:R4"/>
    <mergeCell ref="S3:S4"/>
    <mergeCell ref="T3:T4"/>
    <mergeCell ref="EZ2:EZ4"/>
    <mergeCell ref="FA2:FA4"/>
    <mergeCell ref="FB2:FB4"/>
    <mergeCell ref="EM2:EM4"/>
    <mergeCell ref="BQ3:BQ4"/>
    <mergeCell ref="BR3:BR4"/>
    <mergeCell ref="BS3:BS4"/>
    <mergeCell ref="BT3:BT4"/>
    <mergeCell ref="AS2:AX2"/>
    <mergeCell ref="AY2:AZ2"/>
    <mergeCell ref="BA2:BB2"/>
    <mergeCell ref="BC2:BD2"/>
    <mergeCell ref="BE2:BH2"/>
    <mergeCell ref="BI2:BL2"/>
    <mergeCell ref="CQ1:CT2"/>
    <mergeCell ref="CU1:CX2"/>
    <mergeCell ref="CY1:CZ2"/>
    <mergeCell ref="DA1:DB2"/>
    <mergeCell ref="AA3:AA4"/>
    <mergeCell ref="AB3:AB4"/>
    <mergeCell ref="FC2:FC4"/>
    <mergeCell ref="E3:E4"/>
    <mergeCell ref="F3:F4"/>
    <mergeCell ref="G3:G4"/>
    <mergeCell ref="H3:H4"/>
    <mergeCell ref="I3:I4"/>
    <mergeCell ref="J3:J4"/>
    <mergeCell ref="ET2:ET4"/>
    <mergeCell ref="EU2:EU4"/>
    <mergeCell ref="EV2:EV4"/>
    <mergeCell ref="EW2:EW4"/>
    <mergeCell ref="EX2:EX4"/>
    <mergeCell ref="EY2:EY4"/>
    <mergeCell ref="EN2:EN4"/>
    <mergeCell ref="EO2:EO4"/>
    <mergeCell ref="EP2:EP4"/>
    <mergeCell ref="EQ2:EQ4"/>
    <mergeCell ref="ER2:ER4"/>
    <mergeCell ref="ES2:ES4"/>
    <mergeCell ref="BM2:BP2"/>
    <mergeCell ref="BQ2:BT2"/>
    <mergeCell ref="BU2:BX2"/>
    <mergeCell ref="BZ2:CC2"/>
    <mergeCell ref="EL2:EL4"/>
    <mergeCell ref="EL1:FB1"/>
    <mergeCell ref="E2:J2"/>
    <mergeCell ref="K2:P2"/>
    <mergeCell ref="Q2:V2"/>
    <mergeCell ref="W2:Z2"/>
    <mergeCell ref="AA2:AD2"/>
    <mergeCell ref="AE2:AF2"/>
    <mergeCell ref="AG2:AJ2"/>
    <mergeCell ref="AK2:AL2"/>
    <mergeCell ref="AM2:AR2"/>
    <mergeCell ref="DU1:DV2"/>
    <mergeCell ref="DW1:DX2"/>
    <mergeCell ref="DY1:EB2"/>
    <mergeCell ref="EC1:EF2"/>
    <mergeCell ref="EG1:EG2"/>
    <mergeCell ref="EH1:EK2"/>
    <mergeCell ref="DC1:DD2"/>
    <mergeCell ref="DE1:DF2"/>
    <mergeCell ref="DG1:DJ2"/>
    <mergeCell ref="DK1:DN2"/>
    <mergeCell ref="DO1:DR2"/>
    <mergeCell ref="DS1:DT2"/>
    <mergeCell ref="CD1:CL2"/>
    <mergeCell ref="CM1:CP2"/>
    <mergeCell ref="AS1:AV1"/>
    <mergeCell ref="AW1:BB1"/>
    <mergeCell ref="BC1:BD1"/>
    <mergeCell ref="BE1:BH1"/>
    <mergeCell ref="BI1:BL1"/>
    <mergeCell ref="BM1:BP1"/>
    <mergeCell ref="Q1:Z1"/>
    <mergeCell ref="AA1:AD1"/>
    <mergeCell ref="AE1:AF1"/>
    <mergeCell ref="AG1:AJ1"/>
    <mergeCell ref="AK1:AL1"/>
    <mergeCell ref="AM1:AR1"/>
    <mergeCell ref="A1:A4"/>
    <mergeCell ref="B1:B4"/>
    <mergeCell ref="C1:C4"/>
    <mergeCell ref="D1:D4"/>
    <mergeCell ref="E1:I1"/>
    <mergeCell ref="K1:P1"/>
    <mergeCell ref="K3:K4"/>
    <mergeCell ref="L3:L4"/>
    <mergeCell ref="M3:M4"/>
    <mergeCell ref="N3:N4"/>
    <mergeCell ref="O3:O4"/>
    <mergeCell ref="P3:P4"/>
  </mergeCells>
  <pageMargins left="0.70866141732283472" right="0.70866141732283472" top="0.74803149606299213" bottom="0.74803149606299213" header="0.31496062992125984" footer="0.31496062992125984"/>
  <pageSetup paperSize="9" scale="54" orientation="landscape"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6149D-C867-43A7-86B1-A8D5E58AE407}">
  <sheetPr>
    <tabColor rgb="FF00B0F0"/>
  </sheetPr>
  <dimension ref="A1:AJ378"/>
  <sheetViews>
    <sheetView zoomScale="70" zoomScaleNormal="70" workbookViewId="0">
      <selection activeCell="T366" sqref="T366"/>
    </sheetView>
  </sheetViews>
  <sheetFormatPr defaultColWidth="9" defaultRowHeight="14.4"/>
  <cols>
    <col min="1" max="1" width="4.109375" style="42" customWidth="1"/>
    <col min="2" max="2" width="12.6640625" style="42" customWidth="1"/>
    <col min="3" max="3" width="20.6640625" style="42" customWidth="1"/>
    <col min="4" max="4" width="13.6640625" style="42" customWidth="1"/>
    <col min="5" max="5" width="13.33203125" style="42" customWidth="1"/>
    <col min="6" max="6" width="13" style="42" customWidth="1"/>
    <col min="7" max="7" width="12" style="42" customWidth="1"/>
    <col min="8" max="8" width="11.88671875" style="42" customWidth="1"/>
    <col min="9" max="9" width="10" style="42" customWidth="1"/>
    <col min="10" max="10" width="13.109375" style="42" customWidth="1"/>
    <col min="11" max="15" width="10.6640625" style="42" customWidth="1"/>
    <col min="16" max="16" width="9.109375" style="42" customWidth="1"/>
    <col min="17" max="17" width="10.6640625" style="42" customWidth="1"/>
    <col min="18" max="18" width="11.88671875" style="42" customWidth="1"/>
    <col min="19" max="19" width="11.44140625" style="42" customWidth="1"/>
    <col min="20" max="20" width="12.109375" style="42" customWidth="1"/>
    <col min="21" max="21" width="16.44140625" style="42" customWidth="1"/>
    <col min="22" max="22" width="8" style="42" customWidth="1"/>
    <col min="23" max="16384" width="9" style="42"/>
  </cols>
  <sheetData>
    <row r="1" spans="1:36" ht="24.75" customHeight="1">
      <c r="A1" s="245" t="s">
        <v>272</v>
      </c>
      <c r="B1" s="245"/>
      <c r="C1" s="245"/>
      <c r="D1" s="245"/>
      <c r="E1" s="245"/>
      <c r="F1" s="245"/>
      <c r="G1" s="245"/>
      <c r="H1" s="245"/>
      <c r="I1" s="245"/>
      <c r="J1" s="245"/>
      <c r="K1" s="245"/>
      <c r="L1" s="245"/>
      <c r="M1" s="245"/>
      <c r="N1" s="245"/>
      <c r="O1" s="245"/>
      <c r="P1" s="245"/>
      <c r="Q1" s="245"/>
      <c r="R1" s="245"/>
      <c r="S1" s="245"/>
      <c r="T1" s="245"/>
      <c r="U1" s="245"/>
      <c r="V1" s="245"/>
    </row>
    <row r="2" spans="1:36" ht="24.75" customHeight="1">
      <c r="A2" s="246" t="s">
        <v>273</v>
      </c>
      <c r="B2" s="246"/>
      <c r="C2" s="246"/>
      <c r="D2" s="246"/>
      <c r="E2" s="246"/>
      <c r="F2" s="246"/>
      <c r="G2" s="246"/>
      <c r="H2" s="246"/>
      <c r="I2" s="246"/>
      <c r="J2" s="246"/>
      <c r="K2" s="246"/>
      <c r="L2" s="246"/>
      <c r="M2" s="246"/>
      <c r="N2" s="246"/>
      <c r="O2" s="246"/>
      <c r="P2" s="246"/>
      <c r="Q2" s="246"/>
      <c r="R2" s="246"/>
      <c r="S2" s="246"/>
      <c r="T2" s="246"/>
      <c r="U2" s="246"/>
      <c r="V2" s="246"/>
    </row>
    <row r="3" spans="1:36" ht="10.5" customHeight="1">
      <c r="C3" s="43"/>
      <c r="D3" s="43"/>
      <c r="E3" s="43"/>
      <c r="F3" s="43"/>
      <c r="G3" s="43"/>
      <c r="H3" s="43"/>
      <c r="I3" s="43"/>
      <c r="J3" s="43"/>
      <c r="K3" s="43"/>
      <c r="L3" s="43"/>
      <c r="M3" s="43"/>
      <c r="N3" s="43"/>
      <c r="O3" s="43"/>
      <c r="P3" s="43"/>
      <c r="Q3" s="43"/>
      <c r="R3" s="43"/>
      <c r="S3" s="43"/>
      <c r="T3" s="43"/>
      <c r="U3" s="43"/>
      <c r="V3" s="43"/>
    </row>
    <row r="4" spans="1:36" ht="21.75" customHeight="1">
      <c r="A4" s="81" t="s">
        <v>274</v>
      </c>
      <c r="B4" s="81"/>
      <c r="C4" s="81"/>
      <c r="D4" s="81" t="s">
        <v>307</v>
      </c>
      <c r="E4" s="81"/>
      <c r="F4" s="81"/>
      <c r="G4" s="82"/>
      <c r="H4" s="82"/>
      <c r="I4" s="82"/>
      <c r="J4" s="82"/>
      <c r="K4" s="82"/>
      <c r="L4" s="82"/>
      <c r="M4" s="45"/>
      <c r="N4" s="45"/>
      <c r="O4" s="45"/>
      <c r="P4" s="45"/>
      <c r="Q4" s="45"/>
      <c r="R4" s="45"/>
      <c r="S4" s="45"/>
      <c r="T4" s="45"/>
      <c r="U4" s="45"/>
      <c r="V4" s="46"/>
    </row>
    <row r="5" spans="1:36" ht="18.75" customHeight="1">
      <c r="A5" s="83" t="s">
        <v>275</v>
      </c>
      <c r="B5" s="83"/>
      <c r="C5" s="83"/>
      <c r="D5" s="81" t="s">
        <v>308</v>
      </c>
      <c r="E5" s="81"/>
      <c r="F5" s="81"/>
      <c r="G5" s="81"/>
      <c r="H5" s="81"/>
      <c r="I5" s="81"/>
      <c r="J5" s="81"/>
      <c r="K5" s="81"/>
      <c r="L5" s="81"/>
      <c r="M5" s="44"/>
      <c r="N5" s="44"/>
      <c r="O5" s="44"/>
      <c r="P5" s="44"/>
      <c r="Q5" s="44"/>
      <c r="R5" s="44"/>
      <c r="S5" s="44"/>
      <c r="T5" s="44"/>
      <c r="U5" s="44"/>
      <c r="V5" s="46"/>
    </row>
    <row r="6" spans="1:36">
      <c r="A6" s="47"/>
      <c r="B6" s="47"/>
      <c r="C6" s="47"/>
      <c r="D6" s="47"/>
      <c r="E6" s="48"/>
      <c r="F6" s="47"/>
      <c r="G6" s="47"/>
      <c r="H6" s="47"/>
      <c r="I6" s="47"/>
      <c r="J6" s="47"/>
      <c r="K6" s="47"/>
      <c r="L6" s="47"/>
      <c r="M6" s="47"/>
      <c r="N6" s="47"/>
      <c r="O6" s="47"/>
      <c r="P6" s="47"/>
      <c r="Q6" s="47"/>
      <c r="R6" s="47"/>
      <c r="S6" s="47"/>
      <c r="T6" s="47"/>
      <c r="U6" s="47"/>
    </row>
    <row r="7" spans="1:36" ht="15" thickBot="1">
      <c r="A7" s="47"/>
      <c r="B7" s="47"/>
      <c r="C7" s="47"/>
      <c r="D7" s="44"/>
      <c r="E7" s="47"/>
      <c r="F7" s="47"/>
      <c r="G7" s="47"/>
      <c r="H7" s="47"/>
      <c r="I7" s="47"/>
      <c r="J7" s="47"/>
      <c r="K7" s="47"/>
      <c r="L7" s="47"/>
      <c r="M7" s="47"/>
      <c r="N7" s="47"/>
      <c r="O7" s="47"/>
      <c r="P7" s="47"/>
      <c r="Q7" s="47"/>
      <c r="R7" s="47"/>
      <c r="S7" s="47"/>
      <c r="T7" s="47"/>
      <c r="U7" s="47"/>
    </row>
    <row r="8" spans="1:36" ht="18.75" customHeight="1" thickBot="1">
      <c r="A8" s="247" t="s">
        <v>276</v>
      </c>
      <c r="B8" s="250" t="s">
        <v>1</v>
      </c>
      <c r="C8" s="250" t="s">
        <v>277</v>
      </c>
      <c r="D8" s="49"/>
      <c r="E8" s="253" t="s">
        <v>268</v>
      </c>
      <c r="F8" s="254"/>
      <c r="G8" s="254"/>
      <c r="H8" s="254"/>
      <c r="I8" s="254"/>
      <c r="J8" s="255"/>
      <c r="K8" s="256" t="s">
        <v>269</v>
      </c>
      <c r="L8" s="255"/>
      <c r="M8" s="256" t="s">
        <v>270</v>
      </c>
      <c r="N8" s="254"/>
      <c r="O8" s="254"/>
      <c r="P8" s="254"/>
      <c r="Q8" s="254"/>
      <c r="R8" s="254"/>
      <c r="S8" s="254"/>
      <c r="T8" s="254"/>
      <c r="U8" s="255"/>
      <c r="V8" s="257" t="s">
        <v>278</v>
      </c>
    </row>
    <row r="9" spans="1:36" ht="18" customHeight="1">
      <c r="A9" s="248"/>
      <c r="B9" s="251"/>
      <c r="C9" s="251"/>
      <c r="D9" s="260" t="s">
        <v>279</v>
      </c>
      <c r="E9" s="266" t="s">
        <v>280</v>
      </c>
      <c r="F9" s="266" t="s">
        <v>281</v>
      </c>
      <c r="G9" s="266" t="s">
        <v>282</v>
      </c>
      <c r="H9" s="266" t="s">
        <v>283</v>
      </c>
      <c r="I9" s="266" t="s">
        <v>284</v>
      </c>
      <c r="J9" s="266" t="s">
        <v>285</v>
      </c>
      <c r="K9" s="265" t="s">
        <v>286</v>
      </c>
      <c r="L9" s="265" t="s">
        <v>309</v>
      </c>
      <c r="M9" s="262" t="s">
        <v>287</v>
      </c>
      <c r="N9" s="262" t="s">
        <v>288</v>
      </c>
      <c r="O9" s="262" t="s">
        <v>289</v>
      </c>
      <c r="P9" s="265" t="s">
        <v>271</v>
      </c>
      <c r="Q9" s="265" t="s">
        <v>290</v>
      </c>
      <c r="R9" s="265" t="s">
        <v>291</v>
      </c>
      <c r="S9" s="265" t="s">
        <v>292</v>
      </c>
      <c r="T9" s="260" t="s">
        <v>293</v>
      </c>
      <c r="U9" s="260" t="s">
        <v>310</v>
      </c>
      <c r="V9" s="258"/>
      <c r="Z9" s="50"/>
      <c r="AA9" s="50"/>
      <c r="AB9" s="50"/>
      <c r="AC9" s="50"/>
      <c r="AD9" s="50"/>
      <c r="AE9" s="50"/>
      <c r="AF9" s="50"/>
      <c r="AG9" s="50"/>
      <c r="AH9" s="50"/>
      <c r="AI9" s="50"/>
      <c r="AJ9" s="50"/>
    </row>
    <row r="10" spans="1:36" ht="18" customHeight="1">
      <c r="A10" s="248"/>
      <c r="B10" s="251"/>
      <c r="C10" s="251"/>
      <c r="D10" s="260"/>
      <c r="E10" s="266"/>
      <c r="F10" s="266"/>
      <c r="G10" s="266"/>
      <c r="H10" s="266"/>
      <c r="I10" s="266"/>
      <c r="J10" s="266"/>
      <c r="K10" s="260"/>
      <c r="L10" s="260"/>
      <c r="M10" s="263"/>
      <c r="N10" s="263"/>
      <c r="O10" s="263"/>
      <c r="P10" s="260"/>
      <c r="Q10" s="260"/>
      <c r="R10" s="260"/>
      <c r="S10" s="260"/>
      <c r="T10" s="260"/>
      <c r="U10" s="260"/>
      <c r="V10" s="258"/>
      <c r="Z10" s="50"/>
      <c r="AA10" s="50"/>
      <c r="AB10" s="50">
        <v>49</v>
      </c>
      <c r="AC10" s="50"/>
      <c r="AD10" s="50"/>
      <c r="AE10" s="50"/>
      <c r="AF10" s="50"/>
      <c r="AG10" s="50"/>
      <c r="AH10" s="50"/>
      <c r="AI10" s="50"/>
      <c r="AJ10" s="50"/>
    </row>
    <row r="11" spans="1:36" ht="39.75" customHeight="1" thickBot="1">
      <c r="A11" s="249"/>
      <c r="B11" s="252"/>
      <c r="C11" s="252"/>
      <c r="D11" s="261"/>
      <c r="E11" s="267"/>
      <c r="F11" s="267"/>
      <c r="G11" s="267"/>
      <c r="H11" s="267"/>
      <c r="I11" s="267"/>
      <c r="J11" s="267"/>
      <c r="K11" s="261"/>
      <c r="L11" s="261"/>
      <c r="M11" s="264"/>
      <c r="N11" s="264"/>
      <c r="O11" s="264"/>
      <c r="P11" s="261"/>
      <c r="Q11" s="261"/>
      <c r="R11" s="261"/>
      <c r="S11" s="261"/>
      <c r="T11" s="261"/>
      <c r="U11" s="261"/>
      <c r="V11" s="259"/>
      <c r="W11" s="87"/>
      <c r="X11" s="87"/>
      <c r="Y11" s="87"/>
      <c r="Z11" s="51"/>
      <c r="AA11" s="51"/>
      <c r="AB11" s="51">
        <v>12</v>
      </c>
      <c r="AC11" s="51"/>
      <c r="AD11" s="51"/>
      <c r="AE11" s="51"/>
      <c r="AF11" s="51"/>
      <c r="AG11" s="51"/>
      <c r="AH11" s="51"/>
      <c r="AI11" s="51"/>
      <c r="AJ11" s="51"/>
    </row>
    <row r="12" spans="1:36" ht="18.75" customHeight="1" thickBot="1">
      <c r="A12" s="268">
        <v>1</v>
      </c>
      <c r="B12" s="276" t="s">
        <v>472</v>
      </c>
      <c r="C12" s="277" t="s">
        <v>473</v>
      </c>
      <c r="D12" s="52" t="s">
        <v>294</v>
      </c>
      <c r="E12" s="53">
        <f>tkr!$E$5</f>
        <v>91</v>
      </c>
      <c r="F12" s="53">
        <f>tkr!$K$5</f>
        <v>74</v>
      </c>
      <c r="G12" s="53">
        <f>tkr!$Q$5</f>
        <v>85</v>
      </c>
      <c r="H12" s="53">
        <f>tkr!$W$5</f>
        <v>82</v>
      </c>
      <c r="I12" s="53">
        <f>tkr!$AA$5</f>
        <v>83</v>
      </c>
      <c r="J12" s="53">
        <f>tkr!$AE$5</f>
        <v>94</v>
      </c>
      <c r="K12" s="54">
        <f>tkr!$AG$5</f>
        <v>84</v>
      </c>
      <c r="L12" s="55"/>
      <c r="M12" s="53">
        <f>tkr!$AM$5</f>
        <v>74</v>
      </c>
      <c r="N12" s="53">
        <f>tkr!$AS$5</f>
        <v>82</v>
      </c>
      <c r="O12" s="53">
        <f>tkr!$AY$5</f>
        <v>75</v>
      </c>
      <c r="P12" s="54">
        <f>tkr!$BA$5</f>
        <v>88</v>
      </c>
      <c r="Q12" s="54">
        <f>tkr!$BC$5</f>
        <v>82</v>
      </c>
      <c r="R12" s="55"/>
      <c r="S12" s="55"/>
      <c r="T12" s="55"/>
      <c r="U12" s="55"/>
      <c r="V12" s="56"/>
      <c r="W12" s="88"/>
      <c r="X12" s="278">
        <v>5</v>
      </c>
      <c r="Y12" s="88"/>
      <c r="Z12" s="57"/>
      <c r="AA12" s="57"/>
      <c r="AB12" s="57">
        <v>44</v>
      </c>
      <c r="AC12" s="57"/>
      <c r="AD12" s="57"/>
      <c r="AE12" s="57"/>
      <c r="AF12" s="57"/>
      <c r="AG12" s="57"/>
      <c r="AH12" s="57"/>
      <c r="AI12" s="57"/>
      <c r="AJ12" s="57"/>
    </row>
    <row r="13" spans="1:36" ht="18.75" customHeight="1" thickBot="1">
      <c r="A13" s="268"/>
      <c r="B13" s="271"/>
      <c r="C13" s="274"/>
      <c r="D13" s="52" t="s">
        <v>295</v>
      </c>
      <c r="E13" s="53">
        <f>tkr!$F$5</f>
        <v>89</v>
      </c>
      <c r="F13" s="53">
        <f>tkr!$L$5</f>
        <v>82</v>
      </c>
      <c r="G13" s="53">
        <f>tkr!$R$5</f>
        <v>89</v>
      </c>
      <c r="H13" s="53">
        <f>tkr!$X$5</f>
        <v>84</v>
      </c>
      <c r="I13" s="53">
        <f>tkr!$AB$5</f>
        <v>85</v>
      </c>
      <c r="J13" s="53">
        <f>tkr!$AF$5</f>
        <v>85</v>
      </c>
      <c r="K13" s="54">
        <f>tkr!$AH$5</f>
        <v>76</v>
      </c>
      <c r="L13" s="55"/>
      <c r="M13" s="53">
        <f>tkr!$AN$5</f>
        <v>75</v>
      </c>
      <c r="N13" s="53">
        <f>tkr!$AT$5</f>
        <v>85</v>
      </c>
      <c r="O13" s="53">
        <f>tkr!$AZ$5</f>
        <v>79</v>
      </c>
      <c r="P13" s="54">
        <f>tkr!$BB$5</f>
        <v>88</v>
      </c>
      <c r="Q13" s="54">
        <f>tkr!$BD$5</f>
        <v>85</v>
      </c>
      <c r="R13" s="55"/>
      <c r="S13" s="55"/>
      <c r="T13" s="55"/>
      <c r="U13" s="55"/>
      <c r="V13" s="58"/>
      <c r="W13" s="88"/>
      <c r="X13" s="278">
        <v>5</v>
      </c>
      <c r="Y13" s="88"/>
      <c r="Z13" s="57"/>
      <c r="AA13" s="57"/>
      <c r="AB13" s="57">
        <v>34</v>
      </c>
      <c r="AC13" s="57"/>
      <c r="AD13" s="57"/>
      <c r="AE13" s="57"/>
      <c r="AF13" s="57"/>
      <c r="AG13" s="57"/>
      <c r="AH13" s="57"/>
      <c r="AI13" s="57"/>
      <c r="AJ13" s="57"/>
    </row>
    <row r="14" spans="1:36" ht="18.75" customHeight="1" thickBot="1">
      <c r="A14" s="268"/>
      <c r="B14" s="271"/>
      <c r="C14" s="274"/>
      <c r="D14" s="52" t="s">
        <v>296</v>
      </c>
      <c r="E14" s="53">
        <f>tkr!$G$5</f>
        <v>91</v>
      </c>
      <c r="F14" s="53">
        <f>tkr!$M$5</f>
        <v>95</v>
      </c>
      <c r="G14" s="53">
        <f>tkr!$S$5</f>
        <v>83</v>
      </c>
      <c r="H14" s="53">
        <f>tkr!$Y$5</f>
        <v>84</v>
      </c>
      <c r="I14" s="53">
        <f>tkr!$AC$5</f>
        <v>85</v>
      </c>
      <c r="J14" s="59"/>
      <c r="K14" s="54">
        <f>tkr!$AI$5</f>
        <v>78</v>
      </c>
      <c r="L14" s="55"/>
      <c r="M14" s="53">
        <f>tkr!$AO$5</f>
        <v>75</v>
      </c>
      <c r="N14" s="53">
        <f>tkr!$AU$5</f>
        <v>83</v>
      </c>
      <c r="O14" s="59"/>
      <c r="P14" s="55"/>
      <c r="Q14" s="55"/>
      <c r="R14" s="54">
        <f>tkr!$BQ$5</f>
        <v>84.666666666666671</v>
      </c>
      <c r="S14" s="54">
        <f>tkr!$BU$5</f>
        <v>81</v>
      </c>
      <c r="T14" s="55"/>
      <c r="U14" s="54">
        <f>tkr!$BZ$5</f>
        <v>70</v>
      </c>
      <c r="V14" s="58"/>
      <c r="W14" s="89"/>
      <c r="X14" s="278">
        <v>5</v>
      </c>
      <c r="Y14" s="89"/>
      <c r="Z14" s="60"/>
      <c r="AA14" s="60"/>
      <c r="AB14" s="60">
        <v>33</v>
      </c>
      <c r="AC14" s="60"/>
      <c r="AD14" s="61"/>
      <c r="AE14" s="60"/>
      <c r="AF14" s="60"/>
      <c r="AG14" s="60"/>
      <c r="AH14" s="60"/>
      <c r="AI14" s="60"/>
      <c r="AJ14" s="60"/>
    </row>
    <row r="15" spans="1:36" ht="18.75" customHeight="1" thickBot="1">
      <c r="A15" s="268"/>
      <c r="B15" s="271"/>
      <c r="C15" s="274"/>
      <c r="D15" s="62" t="s">
        <v>297</v>
      </c>
      <c r="E15" s="53">
        <f>tkr!$H$5</f>
        <v>85</v>
      </c>
      <c r="F15" s="53">
        <f>tkr!$N$5</f>
        <v>89</v>
      </c>
      <c r="G15" s="53">
        <f>tkr!$T$5</f>
        <v>86</v>
      </c>
      <c r="H15" s="53">
        <f>tkr!$Z$5</f>
        <v>85</v>
      </c>
      <c r="I15" s="53">
        <f>tkr!$AD$5</f>
        <v>86</v>
      </c>
      <c r="J15" s="59"/>
      <c r="K15" s="54">
        <f>tkr!$AJ$5</f>
        <v>83</v>
      </c>
      <c r="L15" s="55"/>
      <c r="M15" s="53">
        <f>tkr!$AP$5</f>
        <v>82</v>
      </c>
      <c r="N15" s="53">
        <f>tkr!$AV$5</f>
        <v>86</v>
      </c>
      <c r="O15" s="59"/>
      <c r="P15" s="55"/>
      <c r="Q15" s="55"/>
      <c r="R15" s="54">
        <f>tkr!$BR$5</f>
        <v>83</v>
      </c>
      <c r="S15" s="54">
        <f>tkr!$BV$5</f>
        <v>82</v>
      </c>
      <c r="T15" s="63"/>
      <c r="U15" s="54">
        <f>tkr!$CA$5</f>
        <v>82</v>
      </c>
      <c r="V15" s="58"/>
      <c r="W15" s="90"/>
      <c r="X15" s="278">
        <v>5</v>
      </c>
      <c r="Y15" s="90"/>
      <c r="Z15" s="64"/>
      <c r="AA15" s="64"/>
      <c r="AB15" s="64">
        <v>42</v>
      </c>
      <c r="AC15" s="64"/>
      <c r="AD15" s="64"/>
      <c r="AE15" s="64"/>
      <c r="AF15" s="64"/>
      <c r="AG15" s="64"/>
      <c r="AH15" s="64"/>
      <c r="AI15" s="64"/>
      <c r="AJ15" s="64"/>
    </row>
    <row r="16" spans="1:36" ht="18.75" customHeight="1">
      <c r="A16" s="268"/>
      <c r="B16" s="271"/>
      <c r="C16" s="274"/>
      <c r="D16" s="62" t="s">
        <v>298</v>
      </c>
      <c r="E16" s="53">
        <f>tkr!$I$5</f>
        <v>91</v>
      </c>
      <c r="F16" s="53">
        <f>tkr!$O$5</f>
        <v>93</v>
      </c>
      <c r="G16" s="53">
        <f>tkr!$U$5</f>
        <v>83</v>
      </c>
      <c r="H16" s="65"/>
      <c r="I16" s="65"/>
      <c r="J16" s="59"/>
      <c r="K16" s="59"/>
      <c r="L16" s="53">
        <f>tkr!$AK$5</f>
        <v>86</v>
      </c>
      <c r="M16" s="53">
        <f>tkr!$AQ$5</f>
        <v>80</v>
      </c>
      <c r="N16" s="53">
        <f>tkr!$AW$5</f>
        <v>86</v>
      </c>
      <c r="O16" s="59"/>
      <c r="P16" s="55"/>
      <c r="Q16" s="55"/>
      <c r="R16" s="54">
        <f>tkr!$BS$5</f>
        <v>85.666666666666671</v>
      </c>
      <c r="S16" s="54">
        <f>tkr!$BW$5</f>
        <v>86</v>
      </c>
      <c r="T16" s="54"/>
      <c r="U16" s="54">
        <f>tkr!$CB$5</f>
        <v>83</v>
      </c>
      <c r="V16" s="58"/>
      <c r="W16" s="90"/>
      <c r="X16" s="278">
        <v>5</v>
      </c>
      <c r="Y16" s="90"/>
      <c r="Z16" s="64"/>
      <c r="AA16" s="64"/>
      <c r="AB16" s="64">
        <v>43</v>
      </c>
      <c r="AC16" s="64"/>
      <c r="AD16" s="64"/>
      <c r="AE16" s="64"/>
      <c r="AF16" s="64"/>
      <c r="AG16" s="64"/>
      <c r="AH16" s="64"/>
      <c r="AI16" s="64"/>
      <c r="AJ16" s="64"/>
    </row>
    <row r="17" spans="1:36" ht="18.75" customHeight="1">
      <c r="A17" s="268"/>
      <c r="B17" s="271"/>
      <c r="C17" s="274"/>
      <c r="D17" s="66" t="s">
        <v>299</v>
      </c>
      <c r="E17" s="67">
        <f>AVERAGE(E12:E16)</f>
        <v>89.4</v>
      </c>
      <c r="F17" s="67">
        <f>AVERAGE(F12:F16)</f>
        <v>86.6</v>
      </c>
      <c r="G17" s="67">
        <f>AVERAGE(G12:G16)</f>
        <v>85.2</v>
      </c>
      <c r="H17" s="68"/>
      <c r="I17" s="68"/>
      <c r="J17" s="69"/>
      <c r="K17" s="69"/>
      <c r="L17" s="67">
        <f>AVERAGE(L12:L16)</f>
        <v>86</v>
      </c>
      <c r="M17" s="67">
        <f>AVERAGE(M12:M16)</f>
        <v>77.2</v>
      </c>
      <c r="N17" s="67">
        <f>AVERAGE(N12:N16)</f>
        <v>84.4</v>
      </c>
      <c r="O17" s="69"/>
      <c r="P17" s="63"/>
      <c r="Q17" s="63"/>
      <c r="R17" s="84">
        <f>AVERAGE(R14:R16)</f>
        <v>84.444444444444457</v>
      </c>
      <c r="S17" s="84">
        <f>AVERAGE(S14:S16)</f>
        <v>83</v>
      </c>
      <c r="T17" s="63"/>
      <c r="U17" s="84">
        <f>AVERAGE(U12:U16)</f>
        <v>78.333333333333329</v>
      </c>
      <c r="V17" s="58"/>
      <c r="W17" s="90"/>
      <c r="X17" s="278">
        <v>5</v>
      </c>
      <c r="Y17" s="90"/>
      <c r="Z17" s="64"/>
      <c r="AA17" s="64"/>
      <c r="AB17" s="64">
        <v>29</v>
      </c>
      <c r="AC17" s="64"/>
      <c r="AD17" s="64"/>
      <c r="AE17" s="64"/>
      <c r="AF17" s="64"/>
      <c r="AG17" s="64"/>
      <c r="AH17" s="64"/>
      <c r="AI17" s="64"/>
      <c r="AJ17" s="64"/>
    </row>
    <row r="18" spans="1:36" ht="18.75" customHeight="1">
      <c r="A18" s="268"/>
      <c r="B18" s="271"/>
      <c r="C18" s="274"/>
      <c r="D18" s="70" t="s">
        <v>300</v>
      </c>
      <c r="E18" s="71">
        <f>tkr!$J$5</f>
        <v>90</v>
      </c>
      <c r="F18" s="71">
        <f>tkr!$P$5</f>
        <v>90</v>
      </c>
      <c r="G18" s="71">
        <f>tkr!$V$5</f>
        <v>84</v>
      </c>
      <c r="H18" s="72"/>
      <c r="I18" s="72"/>
      <c r="J18" s="73"/>
      <c r="K18" s="73"/>
      <c r="L18" s="71">
        <f>tkr!$AL$5</f>
        <v>84</v>
      </c>
      <c r="M18" s="71">
        <f>tkr!$AR$5</f>
        <v>89</v>
      </c>
      <c r="N18" s="71">
        <f>tkr!$AX$5</f>
        <v>89</v>
      </c>
      <c r="O18" s="73"/>
      <c r="P18" s="74"/>
      <c r="Q18" s="74"/>
      <c r="R18" s="85">
        <f>tkr!$BT$5</f>
        <v>90</v>
      </c>
      <c r="S18" s="85">
        <f>tkr!$BX$5</f>
        <v>90</v>
      </c>
      <c r="T18" s="85">
        <f>tkr!$BY$5</f>
        <v>89</v>
      </c>
      <c r="U18" s="75">
        <f>tkr!$CC$5</f>
        <v>89</v>
      </c>
      <c r="V18" s="58"/>
      <c r="W18" s="90"/>
      <c r="X18" s="278">
        <v>5</v>
      </c>
      <c r="Y18" s="90"/>
      <c r="Z18" s="64"/>
      <c r="AA18" s="64"/>
      <c r="AB18" s="64">
        <v>58</v>
      </c>
      <c r="AC18" s="64"/>
      <c r="AD18" s="64"/>
      <c r="AE18" s="64"/>
      <c r="AF18" s="64"/>
      <c r="AG18" s="64"/>
      <c r="AH18" s="64"/>
      <c r="AI18" s="64"/>
      <c r="AJ18" s="64"/>
    </row>
    <row r="19" spans="1:36" ht="18.75" customHeight="1">
      <c r="A19" s="268"/>
      <c r="B19" s="271"/>
      <c r="C19" s="274"/>
      <c r="D19" s="76" t="s">
        <v>301</v>
      </c>
      <c r="E19" s="77">
        <f>tkr!$CD$5</f>
        <v>90</v>
      </c>
      <c r="F19" s="77">
        <f>tkr!$CE$5</f>
        <v>95</v>
      </c>
      <c r="G19" s="77">
        <f>tkr!$CF$5</f>
        <v>88</v>
      </c>
      <c r="H19" s="72"/>
      <c r="I19" s="72"/>
      <c r="J19" s="73"/>
      <c r="K19" s="73"/>
      <c r="L19" s="77">
        <f>tkr!$CG$5</f>
        <v>97</v>
      </c>
      <c r="M19" s="77">
        <f>tkr!$CH$5</f>
        <v>81</v>
      </c>
      <c r="N19" s="77">
        <f>tkr!$CI$5</f>
        <v>88</v>
      </c>
      <c r="O19" s="73"/>
      <c r="P19" s="74"/>
      <c r="Q19" s="74"/>
      <c r="R19" s="86">
        <f>tkr!$CL$5</f>
        <v>75</v>
      </c>
      <c r="S19" s="86">
        <f>tkr!$CK$5</f>
        <v>85.9</v>
      </c>
      <c r="T19" s="74"/>
      <c r="U19" s="86">
        <f>tkr!$CJ$5</f>
        <v>87</v>
      </c>
      <c r="V19" s="58"/>
      <c r="W19" s="90"/>
      <c r="X19" s="278">
        <v>5</v>
      </c>
      <c r="Y19" s="90"/>
      <c r="Z19" s="64"/>
      <c r="AA19" s="64"/>
      <c r="AB19" s="64">
        <v>34</v>
      </c>
      <c r="AC19" s="64"/>
      <c r="AD19" s="64"/>
      <c r="AE19" s="64"/>
      <c r="AF19" s="64"/>
      <c r="AG19" s="64"/>
      <c r="AH19" s="64"/>
      <c r="AI19" s="64"/>
      <c r="AJ19" s="64"/>
    </row>
    <row r="20" spans="1:36" ht="18.75" customHeight="1" thickBot="1">
      <c r="A20" s="269"/>
      <c r="B20" s="272"/>
      <c r="C20" s="275"/>
      <c r="D20" s="78" t="s">
        <v>302</v>
      </c>
      <c r="E20" s="79">
        <f>(E17*4+E18*3+E19*3)/10</f>
        <v>89.76</v>
      </c>
      <c r="F20" s="79">
        <f t="shared" ref="F20:U20" si="0">(F17*4+F18*3+F19*3)/10</f>
        <v>90.14</v>
      </c>
      <c r="G20" s="79">
        <f t="shared" si="0"/>
        <v>85.679999999999993</v>
      </c>
      <c r="H20" s="79">
        <f>AVERAGE(H12:H15)</f>
        <v>83.75</v>
      </c>
      <c r="I20" s="79">
        <f>AVERAGE(I12:I15)</f>
        <v>84.75</v>
      </c>
      <c r="J20" s="79">
        <f>AVERAGE(J12:J13)</f>
        <v>89.5</v>
      </c>
      <c r="K20" s="79">
        <f>AVERAGE(K12:K15)</f>
        <v>80.25</v>
      </c>
      <c r="L20" s="79">
        <f>(L17*4+L18*3+L19*3)/10</f>
        <v>88.7</v>
      </c>
      <c r="M20" s="79">
        <f>(M17*4+M18*3+M19*3)/10</f>
        <v>81.88</v>
      </c>
      <c r="N20" s="79">
        <f>(N17*4+N18*3+N19*3)/10</f>
        <v>86.86</v>
      </c>
      <c r="O20" s="79">
        <f>AVERAGE(O12:O13)</f>
        <v>77</v>
      </c>
      <c r="P20" s="79">
        <f>AVERAGE(P12:P13)</f>
        <v>88</v>
      </c>
      <c r="Q20" s="79">
        <f>AVERAGE(Q12:Q13)</f>
        <v>83.5</v>
      </c>
      <c r="R20" s="79">
        <f>(R17*4+R18*3+R19*3)/10</f>
        <v>83.277777777777786</v>
      </c>
      <c r="S20" s="79">
        <f>(S17*4+S18*3+S19*3)/10</f>
        <v>85.97</v>
      </c>
      <c r="T20" s="79">
        <f>T18</f>
        <v>89</v>
      </c>
      <c r="U20" s="79">
        <f t="shared" si="0"/>
        <v>84.133333333333326</v>
      </c>
      <c r="V20" s="80">
        <f>AVERAGE(E20:U20)</f>
        <v>85.420653594771252</v>
      </c>
      <c r="W20" s="90"/>
      <c r="X20" s="278">
        <v>5</v>
      </c>
      <c r="Y20" s="90"/>
      <c r="Z20" s="64"/>
      <c r="AA20" s="64"/>
      <c r="AB20" s="64">
        <v>32</v>
      </c>
      <c r="AC20" s="64"/>
      <c r="AD20" s="64"/>
      <c r="AE20" s="64"/>
      <c r="AF20" s="64"/>
      <c r="AG20" s="64"/>
      <c r="AH20" s="64"/>
      <c r="AI20" s="64"/>
      <c r="AJ20" s="64"/>
    </row>
    <row r="21" spans="1:36" ht="18.75" customHeight="1" thickTop="1" thickBot="1">
      <c r="A21" s="268">
        <v>2</v>
      </c>
      <c r="B21" s="270" t="s">
        <v>474</v>
      </c>
      <c r="C21" s="273" t="s">
        <v>475</v>
      </c>
      <c r="D21" s="52" t="s">
        <v>294</v>
      </c>
      <c r="E21" s="53">
        <f>tkr!$E$6</f>
        <v>91</v>
      </c>
      <c r="F21" s="53">
        <f>tkr!$K$6</f>
        <v>80</v>
      </c>
      <c r="G21" s="53">
        <f>tkr!$Q$6</f>
        <v>80</v>
      </c>
      <c r="H21" s="53">
        <f>tkr!$W$6</f>
        <v>82</v>
      </c>
      <c r="I21" s="53">
        <f>tkr!$AA$6</f>
        <v>77</v>
      </c>
      <c r="J21" s="53">
        <f>tkr!$AE$6</f>
        <v>96</v>
      </c>
      <c r="K21" s="54">
        <f>tkr!$AG$6</f>
        <v>82</v>
      </c>
      <c r="L21" s="55"/>
      <c r="M21" s="53">
        <f>tkr!$AM$6</f>
        <v>84</v>
      </c>
      <c r="N21" s="53">
        <f>tkr!$AS$6</f>
        <v>81</v>
      </c>
      <c r="O21" s="53">
        <f>tkr!$AY$6</f>
        <v>75</v>
      </c>
      <c r="P21" s="54">
        <f>tkr!$BA$6</f>
        <v>84</v>
      </c>
      <c r="Q21" s="54">
        <f>tkr!$BC$6</f>
        <v>80</v>
      </c>
      <c r="R21" s="55"/>
      <c r="S21" s="55"/>
      <c r="T21" s="55"/>
      <c r="U21" s="55"/>
      <c r="V21" s="56"/>
      <c r="W21" s="90"/>
      <c r="X21" s="278">
        <v>6</v>
      </c>
      <c r="Y21" s="90"/>
      <c r="Z21" s="64"/>
      <c r="AA21" s="64"/>
      <c r="AB21" s="64">
        <v>14</v>
      </c>
      <c r="AC21" s="64"/>
      <c r="AD21" s="64"/>
      <c r="AE21" s="64"/>
      <c r="AF21" s="64"/>
      <c r="AG21" s="64"/>
      <c r="AH21" s="64"/>
      <c r="AI21" s="64"/>
      <c r="AJ21" s="64"/>
    </row>
    <row r="22" spans="1:36" ht="18.75" customHeight="1" thickBot="1">
      <c r="A22" s="268">
        <v>2</v>
      </c>
      <c r="B22" s="271"/>
      <c r="C22" s="274"/>
      <c r="D22" s="52" t="s">
        <v>295</v>
      </c>
      <c r="E22" s="53">
        <f>tkr!$F$6</f>
        <v>79</v>
      </c>
      <c r="F22" s="53">
        <f>tkr!$L$6</f>
        <v>82</v>
      </c>
      <c r="G22" s="53">
        <f>tkr!$R$6</f>
        <v>89</v>
      </c>
      <c r="H22" s="53">
        <f>tkr!$X$6</f>
        <v>81</v>
      </c>
      <c r="I22" s="53">
        <f>tkr!$AB$6</f>
        <v>83</v>
      </c>
      <c r="J22" s="53">
        <f>tkr!$AF$6</f>
        <v>84</v>
      </c>
      <c r="K22" s="54">
        <f>tkr!$AH$6</f>
        <v>72</v>
      </c>
      <c r="L22" s="55"/>
      <c r="M22" s="53">
        <f>tkr!$AN$6</f>
        <v>83</v>
      </c>
      <c r="N22" s="53">
        <f>tkr!$AT$6</f>
        <v>80</v>
      </c>
      <c r="O22" s="53">
        <f>tkr!$AZ$6</f>
        <v>77</v>
      </c>
      <c r="P22" s="54">
        <f>tkr!$BB$6</f>
        <v>84</v>
      </c>
      <c r="Q22" s="54">
        <f>tkr!$BD$6</f>
        <v>79</v>
      </c>
      <c r="R22" s="55"/>
      <c r="S22" s="55"/>
      <c r="T22" s="55"/>
      <c r="U22" s="55"/>
      <c r="V22" s="58"/>
      <c r="W22" s="90"/>
      <c r="X22" s="278">
        <v>6</v>
      </c>
      <c r="Y22" s="90"/>
      <c r="Z22" s="64"/>
      <c r="AA22" s="64"/>
      <c r="AB22" s="64"/>
      <c r="AC22" s="64"/>
      <c r="AD22" s="64"/>
      <c r="AE22" s="64"/>
      <c r="AF22" s="64"/>
      <c r="AG22" s="64"/>
      <c r="AH22" s="64"/>
      <c r="AI22" s="64"/>
      <c r="AJ22" s="64"/>
    </row>
    <row r="23" spans="1:36" ht="18.75" customHeight="1" thickBot="1">
      <c r="A23" s="268">
        <v>2</v>
      </c>
      <c r="B23" s="271"/>
      <c r="C23" s="274"/>
      <c r="D23" s="52" t="s">
        <v>296</v>
      </c>
      <c r="E23" s="53">
        <f>tkr!$G$6</f>
        <v>88</v>
      </c>
      <c r="F23" s="53">
        <f>tkr!$M$6</f>
        <v>80</v>
      </c>
      <c r="G23" s="53">
        <f>tkr!$S$6</f>
        <v>78</v>
      </c>
      <c r="H23" s="53">
        <f>tkr!$Y$6</f>
        <v>79</v>
      </c>
      <c r="I23" s="53">
        <f>tkr!$AC$6</f>
        <v>77</v>
      </c>
      <c r="J23" s="59"/>
      <c r="K23" s="54">
        <f>tkr!$AI$6</f>
        <v>71</v>
      </c>
      <c r="L23" s="55"/>
      <c r="M23" s="53">
        <f>tkr!$AO$6</f>
        <v>73</v>
      </c>
      <c r="N23" s="53">
        <f>tkr!$AU$6</f>
        <v>77</v>
      </c>
      <c r="O23" s="59"/>
      <c r="P23" s="55"/>
      <c r="Q23" s="55"/>
      <c r="R23" s="54">
        <f>tkr!$BQ$6</f>
        <v>76</v>
      </c>
      <c r="S23" s="54">
        <f>tkr!$BU$6</f>
        <v>78</v>
      </c>
      <c r="T23" s="55"/>
      <c r="U23" s="54">
        <f>tkr!$BZ$6</f>
        <v>73</v>
      </c>
      <c r="V23" s="58"/>
      <c r="W23" s="90"/>
      <c r="X23" s="278">
        <v>6</v>
      </c>
      <c r="Y23" s="90"/>
      <c r="Z23" s="64"/>
      <c r="AA23" s="64"/>
      <c r="AB23" s="64"/>
      <c r="AC23" s="64"/>
      <c r="AD23" s="64"/>
      <c r="AE23" s="64"/>
      <c r="AF23" s="64"/>
      <c r="AG23" s="64"/>
      <c r="AH23" s="64"/>
      <c r="AI23" s="64"/>
      <c r="AJ23" s="64"/>
    </row>
    <row r="24" spans="1:36" ht="18.75" customHeight="1" thickBot="1">
      <c r="A24" s="268">
        <v>2</v>
      </c>
      <c r="B24" s="271"/>
      <c r="C24" s="274"/>
      <c r="D24" s="62" t="s">
        <v>297</v>
      </c>
      <c r="E24" s="53">
        <f>tkr!$H$6</f>
        <v>84</v>
      </c>
      <c r="F24" s="53">
        <f>tkr!$N$6</f>
        <v>91</v>
      </c>
      <c r="G24" s="53">
        <f>tkr!$T$6</f>
        <v>84</v>
      </c>
      <c r="H24" s="53">
        <f>tkr!$Z$6</f>
        <v>82</v>
      </c>
      <c r="I24" s="53">
        <f>tkr!$AD$6</f>
        <v>82</v>
      </c>
      <c r="J24" s="59"/>
      <c r="K24" s="54">
        <f>tkr!$AJ$6</f>
        <v>82</v>
      </c>
      <c r="L24" s="55"/>
      <c r="M24" s="53">
        <f>tkr!$AP$6</f>
        <v>79</v>
      </c>
      <c r="N24" s="53">
        <f>tkr!$AV$6</f>
        <v>77</v>
      </c>
      <c r="O24" s="59"/>
      <c r="P24" s="55"/>
      <c r="Q24" s="55"/>
      <c r="R24" s="54">
        <f>tkr!$BR$6</f>
        <v>75.333333333333329</v>
      </c>
      <c r="S24" s="54">
        <f>tkr!$BV$6</f>
        <v>80</v>
      </c>
      <c r="T24" s="63"/>
      <c r="U24" s="54">
        <f>tkr!$CA$6</f>
        <v>86</v>
      </c>
      <c r="V24" s="58"/>
      <c r="W24" s="90"/>
      <c r="X24" s="278">
        <v>6</v>
      </c>
      <c r="Y24" s="90"/>
      <c r="Z24" s="64"/>
      <c r="AA24" s="64"/>
      <c r="AB24" s="64"/>
      <c r="AC24" s="64"/>
      <c r="AD24" s="64"/>
      <c r="AE24" s="64"/>
      <c r="AF24" s="64"/>
      <c r="AG24" s="64"/>
      <c r="AH24" s="64"/>
      <c r="AI24" s="64"/>
      <c r="AJ24" s="64"/>
    </row>
    <row r="25" spans="1:36" ht="18.75" customHeight="1">
      <c r="A25" s="268">
        <v>2</v>
      </c>
      <c r="B25" s="271"/>
      <c r="C25" s="274"/>
      <c r="D25" s="62" t="s">
        <v>298</v>
      </c>
      <c r="E25" s="53">
        <f>tkr!$I$6</f>
        <v>84</v>
      </c>
      <c r="F25" s="53">
        <f>tkr!$O$6</f>
        <v>91</v>
      </c>
      <c r="G25" s="53">
        <f>tkr!$U$6</f>
        <v>73</v>
      </c>
      <c r="H25" s="65"/>
      <c r="I25" s="65"/>
      <c r="J25" s="59"/>
      <c r="K25" s="59"/>
      <c r="L25" s="53">
        <f>tkr!$AK$6</f>
        <v>80</v>
      </c>
      <c r="M25" s="53">
        <f>tkr!$AQ$6</f>
        <v>79</v>
      </c>
      <c r="N25" s="53">
        <f>tkr!$AW$6</f>
        <v>77</v>
      </c>
      <c r="O25" s="59"/>
      <c r="P25" s="55"/>
      <c r="Q25" s="55"/>
      <c r="R25" s="54">
        <f>tkr!$BS$6</f>
        <v>76</v>
      </c>
      <c r="S25" s="54">
        <f>tkr!$BW$6</f>
        <v>80</v>
      </c>
      <c r="T25" s="54"/>
      <c r="U25" s="54">
        <f>tkr!$CB$6</f>
        <v>75</v>
      </c>
      <c r="V25" s="58"/>
      <c r="W25" s="90"/>
      <c r="X25" s="278">
        <v>6</v>
      </c>
      <c r="Y25" s="90"/>
      <c r="Z25" s="64"/>
      <c r="AA25" s="64"/>
      <c r="AB25" s="64"/>
      <c r="AC25" s="64"/>
      <c r="AD25" s="64"/>
      <c r="AE25" s="64"/>
      <c r="AF25" s="64"/>
      <c r="AG25" s="64"/>
      <c r="AH25" s="64"/>
      <c r="AI25" s="64"/>
      <c r="AJ25" s="64"/>
    </row>
    <row r="26" spans="1:36" ht="18.75" customHeight="1">
      <c r="A26" s="268">
        <v>2</v>
      </c>
      <c r="B26" s="271"/>
      <c r="C26" s="274"/>
      <c r="D26" s="66" t="s">
        <v>299</v>
      </c>
      <c r="E26" s="67">
        <f>AVERAGE(E21:E25)</f>
        <v>85.2</v>
      </c>
      <c r="F26" s="67">
        <f>AVERAGE(F21:F25)</f>
        <v>84.8</v>
      </c>
      <c r="G26" s="67">
        <f>AVERAGE(G21:G25)</f>
        <v>80.8</v>
      </c>
      <c r="H26" s="68"/>
      <c r="I26" s="68"/>
      <c r="J26" s="69"/>
      <c r="K26" s="69"/>
      <c r="L26" s="67">
        <f>AVERAGE(L21:L25)</f>
        <v>80</v>
      </c>
      <c r="M26" s="67">
        <f>AVERAGE(M21:M25)</f>
        <v>79.599999999999994</v>
      </c>
      <c r="N26" s="67">
        <f>AVERAGE(N21:N25)</f>
        <v>78.400000000000006</v>
      </c>
      <c r="O26" s="69"/>
      <c r="P26" s="63"/>
      <c r="Q26" s="63"/>
      <c r="R26" s="84">
        <f>AVERAGE(R23:R25)</f>
        <v>75.777777777777771</v>
      </c>
      <c r="S26" s="84">
        <f>AVERAGE(S23:S25)</f>
        <v>79.333333333333329</v>
      </c>
      <c r="T26" s="63"/>
      <c r="U26" s="84">
        <f>AVERAGE(U21:U25)</f>
        <v>78</v>
      </c>
      <c r="V26" s="58"/>
      <c r="W26" s="90"/>
      <c r="X26" s="278">
        <v>6</v>
      </c>
      <c r="Y26" s="90"/>
      <c r="Z26" s="64"/>
      <c r="AA26" s="64"/>
      <c r="AB26" s="64"/>
      <c r="AC26" s="64"/>
      <c r="AD26" s="64"/>
      <c r="AE26" s="64"/>
      <c r="AF26" s="64"/>
      <c r="AG26" s="64"/>
      <c r="AH26" s="64"/>
      <c r="AI26" s="64"/>
      <c r="AJ26" s="64"/>
    </row>
    <row r="27" spans="1:36" ht="18.75" customHeight="1">
      <c r="A27" s="268">
        <v>2</v>
      </c>
      <c r="B27" s="271"/>
      <c r="C27" s="274"/>
      <c r="D27" s="70" t="s">
        <v>300</v>
      </c>
      <c r="E27" s="71">
        <f>tkr!$J$6</f>
        <v>75</v>
      </c>
      <c r="F27" s="71">
        <f>tkr!$P$6</f>
        <v>75</v>
      </c>
      <c r="G27" s="71">
        <f>tkr!$V$6</f>
        <v>76</v>
      </c>
      <c r="H27" s="72"/>
      <c r="I27" s="72"/>
      <c r="J27" s="73"/>
      <c r="K27" s="73"/>
      <c r="L27" s="71">
        <f>tkr!$AL$6</f>
        <v>76</v>
      </c>
      <c r="M27" s="71">
        <f>tkr!$AR$6</f>
        <v>79</v>
      </c>
      <c r="N27" s="71">
        <f>tkr!$AX$6</f>
        <v>79</v>
      </c>
      <c r="O27" s="73"/>
      <c r="P27" s="74"/>
      <c r="Q27" s="74"/>
      <c r="R27" s="85">
        <f>tkr!$BT$6</f>
        <v>77</v>
      </c>
      <c r="S27" s="85">
        <f>tkr!$BX$6</f>
        <v>77</v>
      </c>
      <c r="T27" s="85">
        <f>tkr!$BY$6</f>
        <v>76</v>
      </c>
      <c r="U27" s="75">
        <f>tkr!$CC$6</f>
        <v>79</v>
      </c>
      <c r="V27" s="58"/>
      <c r="W27" s="90"/>
      <c r="X27" s="278">
        <v>6</v>
      </c>
      <c r="Y27" s="90"/>
      <c r="Z27" s="64"/>
      <c r="AA27" s="64"/>
      <c r="AB27" s="64"/>
      <c r="AC27" s="64"/>
      <c r="AD27" s="64"/>
      <c r="AE27" s="64"/>
      <c r="AF27" s="64"/>
      <c r="AG27" s="64"/>
      <c r="AH27" s="64"/>
      <c r="AI27" s="64"/>
      <c r="AJ27" s="64"/>
    </row>
    <row r="28" spans="1:36" ht="18.75" customHeight="1">
      <c r="A28" s="268">
        <v>2</v>
      </c>
      <c r="B28" s="271"/>
      <c r="C28" s="274"/>
      <c r="D28" s="76" t="s">
        <v>301</v>
      </c>
      <c r="E28" s="77">
        <f>tkr!$CD$6</f>
        <v>88</v>
      </c>
      <c r="F28" s="77">
        <f>tkr!$CE$6</f>
        <v>93</v>
      </c>
      <c r="G28" s="77">
        <f>tkr!$CF$6</f>
        <v>85</v>
      </c>
      <c r="H28" s="72"/>
      <c r="I28" s="72"/>
      <c r="J28" s="73"/>
      <c r="K28" s="73"/>
      <c r="L28" s="77">
        <f>tkr!$CG$6</f>
        <v>97</v>
      </c>
      <c r="M28" s="77">
        <f>tkr!$CH$6</f>
        <v>80</v>
      </c>
      <c r="N28" s="77">
        <f>tkr!$CI$6</f>
        <v>85</v>
      </c>
      <c r="O28" s="73"/>
      <c r="P28" s="74"/>
      <c r="Q28" s="74"/>
      <c r="R28" s="86">
        <f>tkr!$CL$6</f>
        <v>97</v>
      </c>
      <c r="S28" s="86">
        <f>tkr!$CK$6</f>
        <v>75.7</v>
      </c>
      <c r="T28" s="74"/>
      <c r="U28" s="86">
        <f>tkr!$CJ$6</f>
        <v>76</v>
      </c>
      <c r="V28" s="58"/>
      <c r="W28" s="90"/>
      <c r="X28" s="278">
        <v>6</v>
      </c>
      <c r="Y28" s="90"/>
      <c r="Z28" s="64"/>
      <c r="AA28" s="64"/>
      <c r="AB28" s="64"/>
      <c r="AC28" s="64"/>
      <c r="AD28" s="64"/>
      <c r="AE28" s="64"/>
      <c r="AF28" s="64"/>
      <c r="AG28" s="64"/>
      <c r="AH28" s="64"/>
      <c r="AI28" s="64"/>
      <c r="AJ28" s="64"/>
    </row>
    <row r="29" spans="1:36" ht="18.75" customHeight="1" thickBot="1">
      <c r="A29" s="269">
        <v>2</v>
      </c>
      <c r="B29" s="272"/>
      <c r="C29" s="275"/>
      <c r="D29" s="78" t="s">
        <v>302</v>
      </c>
      <c r="E29" s="79">
        <f>(E26*4+E27*3+E28*3)/10</f>
        <v>82.97999999999999</v>
      </c>
      <c r="F29" s="79">
        <f t="shared" ref="F29:G29" si="1">(F26*4+F27*3+F28*3)/10</f>
        <v>84.320000000000007</v>
      </c>
      <c r="G29" s="79">
        <f t="shared" si="1"/>
        <v>80.62</v>
      </c>
      <c r="H29" s="79">
        <f>AVERAGE(H21:H24)</f>
        <v>81</v>
      </c>
      <c r="I29" s="79">
        <f>AVERAGE(I21:I24)</f>
        <v>79.75</v>
      </c>
      <c r="J29" s="79">
        <f>AVERAGE(J21:J22)</f>
        <v>90</v>
      </c>
      <c r="K29" s="79">
        <f>AVERAGE(K21:K24)</f>
        <v>76.75</v>
      </c>
      <c r="L29" s="79">
        <f>(L26*4+L27*3+L28*3)/10</f>
        <v>83.9</v>
      </c>
      <c r="M29" s="79">
        <f>(M26*4+M27*3+M28*3)/10</f>
        <v>79.539999999999992</v>
      </c>
      <c r="N29" s="79">
        <f>(N26*4+N27*3+N28*3)/10</f>
        <v>80.56</v>
      </c>
      <c r="O29" s="79">
        <f>AVERAGE(O21:O22)</f>
        <v>76</v>
      </c>
      <c r="P29" s="79">
        <f>AVERAGE(P21:P22)</f>
        <v>84</v>
      </c>
      <c r="Q29" s="79">
        <f>AVERAGE(Q21:Q22)</f>
        <v>79.5</v>
      </c>
      <c r="R29" s="79">
        <f>(R26*4+R27*3+R28*3)/10</f>
        <v>82.511111111111106</v>
      </c>
      <c r="S29" s="79">
        <f>(S26*4+S27*3+S28*3)/10</f>
        <v>77.543333333333322</v>
      </c>
      <c r="T29" s="79">
        <f>T27</f>
        <v>76</v>
      </c>
      <c r="U29" s="79">
        <f t="shared" ref="U29" si="2">(U26*4+U27*3+U28*3)/10</f>
        <v>77.7</v>
      </c>
      <c r="V29" s="80">
        <f>AVERAGE(E29:U29)</f>
        <v>80.745555555555569</v>
      </c>
      <c r="W29" s="90"/>
      <c r="X29" s="278">
        <v>6</v>
      </c>
      <c r="Y29" s="90"/>
      <c r="Z29" s="64"/>
      <c r="AA29" s="64"/>
      <c r="AB29" s="64"/>
      <c r="AC29" s="64"/>
      <c r="AD29" s="64"/>
      <c r="AE29" s="64"/>
      <c r="AF29" s="64"/>
      <c r="AG29" s="64"/>
      <c r="AH29" s="64"/>
      <c r="AI29" s="64"/>
      <c r="AJ29" s="64"/>
    </row>
    <row r="30" spans="1:36" ht="18.75" customHeight="1" thickTop="1" thickBot="1">
      <c r="A30" s="268">
        <v>3</v>
      </c>
      <c r="B30" s="270" t="s">
        <v>476</v>
      </c>
      <c r="C30" s="273" t="s">
        <v>477</v>
      </c>
      <c r="D30" s="52" t="s">
        <v>294</v>
      </c>
      <c r="E30" s="53">
        <f>tkr!$E$7</f>
        <v>90</v>
      </c>
      <c r="F30" s="53">
        <f>tkr!$K$7</f>
        <v>86</v>
      </c>
      <c r="G30" s="53">
        <f>tkr!$Q$7</f>
        <v>88</v>
      </c>
      <c r="H30" s="53">
        <f>tkr!$W$7</f>
        <v>84</v>
      </c>
      <c r="I30" s="53">
        <f>tkr!$AA$7</f>
        <v>80</v>
      </c>
      <c r="J30" s="53">
        <f>tkr!$AE$7</f>
        <v>95</v>
      </c>
      <c r="K30" s="54">
        <f>tkr!$AG$7</f>
        <v>81</v>
      </c>
      <c r="L30" s="55"/>
      <c r="M30" s="53">
        <f>tkr!$AM$7</f>
        <v>85</v>
      </c>
      <c r="N30" s="53">
        <f>tkr!$AS$7</f>
        <v>77</v>
      </c>
      <c r="O30" s="53">
        <f>tkr!$AY$7</f>
        <v>75</v>
      </c>
      <c r="P30" s="54">
        <f>tkr!$BA$7</f>
        <v>87</v>
      </c>
      <c r="Q30" s="54">
        <f>tkr!$BC$7</f>
        <v>81</v>
      </c>
      <c r="R30" s="55"/>
      <c r="S30" s="55"/>
      <c r="T30" s="55"/>
      <c r="U30" s="55"/>
      <c r="V30" s="56"/>
      <c r="W30" s="90"/>
      <c r="X30" s="278">
        <v>7</v>
      </c>
      <c r="Y30" s="90"/>
      <c r="Z30" s="64"/>
      <c r="AA30" s="64"/>
      <c r="AB30" s="64"/>
      <c r="AC30" s="64"/>
      <c r="AD30" s="64"/>
      <c r="AE30" s="64"/>
      <c r="AF30" s="64"/>
      <c r="AG30" s="64"/>
      <c r="AH30" s="64"/>
      <c r="AI30" s="64"/>
      <c r="AJ30" s="64"/>
    </row>
    <row r="31" spans="1:36" ht="18.75" customHeight="1" thickBot="1">
      <c r="A31" s="268">
        <v>3</v>
      </c>
      <c r="B31" s="271"/>
      <c r="C31" s="274"/>
      <c r="D31" s="52" t="s">
        <v>295</v>
      </c>
      <c r="E31" s="53">
        <f>tkr!$F$7</f>
        <v>88</v>
      </c>
      <c r="F31" s="53">
        <f>tkr!$L$7</f>
        <v>84</v>
      </c>
      <c r="G31" s="53">
        <f>tkr!$R$7</f>
        <v>86</v>
      </c>
      <c r="H31" s="53">
        <f>tkr!$X$7</f>
        <v>84</v>
      </c>
      <c r="I31" s="53">
        <f>tkr!$AB$7</f>
        <v>82</v>
      </c>
      <c r="J31" s="53">
        <f>tkr!$AF$7</f>
        <v>84</v>
      </c>
      <c r="K31" s="54">
        <f>tkr!$AH$7</f>
        <v>78</v>
      </c>
      <c r="L31" s="55"/>
      <c r="M31" s="53">
        <f>tkr!$AN$7</f>
        <v>88</v>
      </c>
      <c r="N31" s="53">
        <f>tkr!$AT$7</f>
        <v>80</v>
      </c>
      <c r="O31" s="53">
        <f>tkr!$AZ$7</f>
        <v>78</v>
      </c>
      <c r="P31" s="54">
        <f>tkr!$BB$7</f>
        <v>90</v>
      </c>
      <c r="Q31" s="54">
        <f>tkr!$BD$7</f>
        <v>85</v>
      </c>
      <c r="R31" s="55"/>
      <c r="S31" s="55"/>
      <c r="T31" s="55"/>
      <c r="U31" s="55"/>
      <c r="V31" s="58"/>
      <c r="W31" s="90"/>
      <c r="X31" s="278">
        <v>7</v>
      </c>
      <c r="Y31" s="90"/>
      <c r="Z31" s="64"/>
      <c r="AA31" s="64"/>
      <c r="AB31" s="64"/>
      <c r="AC31" s="64"/>
      <c r="AD31" s="64"/>
      <c r="AE31" s="64"/>
      <c r="AF31" s="64"/>
      <c r="AG31" s="64"/>
      <c r="AH31" s="64"/>
      <c r="AI31" s="64"/>
      <c r="AJ31" s="64"/>
    </row>
    <row r="32" spans="1:36" ht="18.75" customHeight="1" thickBot="1">
      <c r="A32" s="268">
        <v>3</v>
      </c>
      <c r="B32" s="271"/>
      <c r="C32" s="274"/>
      <c r="D32" s="52" t="s">
        <v>296</v>
      </c>
      <c r="E32" s="53">
        <f>tkr!$G$7</f>
        <v>93</v>
      </c>
      <c r="F32" s="53">
        <f>tkr!$M$7</f>
        <v>95</v>
      </c>
      <c r="G32" s="53">
        <f>tkr!$S$7</f>
        <v>90</v>
      </c>
      <c r="H32" s="53">
        <f>tkr!$Y$7</f>
        <v>84</v>
      </c>
      <c r="I32" s="53">
        <f>tkr!$AC$7</f>
        <v>85</v>
      </c>
      <c r="J32" s="59"/>
      <c r="K32" s="54">
        <f>tkr!$AI$7</f>
        <v>75</v>
      </c>
      <c r="L32" s="55"/>
      <c r="M32" s="53">
        <f>tkr!$AO$7</f>
        <v>88</v>
      </c>
      <c r="N32" s="53">
        <f>tkr!$AU$7</f>
        <v>80</v>
      </c>
      <c r="O32" s="59"/>
      <c r="P32" s="55"/>
      <c r="Q32" s="55"/>
      <c r="R32" s="54">
        <f>tkr!$BQ$7</f>
        <v>85.666666666666671</v>
      </c>
      <c r="S32" s="54">
        <f>tkr!$BU$7</f>
        <v>81</v>
      </c>
      <c r="T32" s="55"/>
      <c r="U32" s="54">
        <f>tkr!$BZ$7</f>
        <v>78</v>
      </c>
      <c r="V32" s="58"/>
      <c r="W32" s="90"/>
      <c r="X32" s="278">
        <v>7</v>
      </c>
      <c r="Y32" s="90"/>
      <c r="Z32" s="64"/>
      <c r="AA32" s="64"/>
      <c r="AB32" s="64"/>
      <c r="AC32" s="64"/>
      <c r="AD32" s="64"/>
      <c r="AE32" s="64"/>
      <c r="AF32" s="64"/>
      <c r="AG32" s="64"/>
      <c r="AH32" s="64"/>
      <c r="AI32" s="64"/>
      <c r="AJ32" s="64"/>
    </row>
    <row r="33" spans="1:36" ht="18.75" customHeight="1" thickBot="1">
      <c r="A33" s="268">
        <v>3</v>
      </c>
      <c r="B33" s="271"/>
      <c r="C33" s="274"/>
      <c r="D33" s="62" t="s">
        <v>297</v>
      </c>
      <c r="E33" s="53">
        <f>tkr!$H$7</f>
        <v>89</v>
      </c>
      <c r="F33" s="53">
        <f>tkr!$N$7</f>
        <v>91</v>
      </c>
      <c r="G33" s="53">
        <f>tkr!$T$7</f>
        <v>93</v>
      </c>
      <c r="H33" s="53">
        <f>tkr!$Z$7</f>
        <v>86</v>
      </c>
      <c r="I33" s="53">
        <f>tkr!$AD$7</f>
        <v>86</v>
      </c>
      <c r="J33" s="59"/>
      <c r="K33" s="54">
        <f>tkr!$AJ$7</f>
        <v>82</v>
      </c>
      <c r="L33" s="55"/>
      <c r="M33" s="53">
        <f>tkr!$AP$7</f>
        <v>93</v>
      </c>
      <c r="N33" s="53">
        <f>tkr!$AV$7</f>
        <v>86</v>
      </c>
      <c r="O33" s="59"/>
      <c r="P33" s="55"/>
      <c r="Q33" s="55"/>
      <c r="R33" s="54">
        <f>tkr!$BR$7</f>
        <v>84.666666666666671</v>
      </c>
      <c r="S33" s="54">
        <f>tkr!$BV$7</f>
        <v>82</v>
      </c>
      <c r="T33" s="63"/>
      <c r="U33" s="54">
        <f>tkr!$CA$7</f>
        <v>93</v>
      </c>
      <c r="V33" s="58"/>
      <c r="W33" s="90"/>
      <c r="X33" s="278">
        <v>7</v>
      </c>
      <c r="Y33" s="90"/>
      <c r="Z33" s="64"/>
      <c r="AA33" s="64"/>
      <c r="AB33" s="64"/>
      <c r="AC33" s="64"/>
      <c r="AD33" s="64"/>
      <c r="AE33" s="64"/>
      <c r="AF33" s="64"/>
      <c r="AG33" s="64"/>
      <c r="AH33" s="64"/>
      <c r="AI33" s="64"/>
      <c r="AJ33" s="64"/>
    </row>
    <row r="34" spans="1:36" ht="18.75" customHeight="1">
      <c r="A34" s="268">
        <v>3</v>
      </c>
      <c r="B34" s="271"/>
      <c r="C34" s="274"/>
      <c r="D34" s="62" t="s">
        <v>298</v>
      </c>
      <c r="E34" s="53">
        <f>tkr!$I$7</f>
        <v>91</v>
      </c>
      <c r="F34" s="53">
        <f>tkr!$O$7</f>
        <v>93</v>
      </c>
      <c r="G34" s="53">
        <f>tkr!$U$7</f>
        <v>86</v>
      </c>
      <c r="H34" s="65"/>
      <c r="I34" s="65"/>
      <c r="J34" s="59"/>
      <c r="K34" s="59"/>
      <c r="L34" s="53">
        <f>tkr!$AK$7</f>
        <v>88</v>
      </c>
      <c r="M34" s="53">
        <f>tkr!$AQ$7</f>
        <v>90</v>
      </c>
      <c r="N34" s="53">
        <f>tkr!$AW$7</f>
        <v>80</v>
      </c>
      <c r="O34" s="59"/>
      <c r="P34" s="55"/>
      <c r="Q34" s="55"/>
      <c r="R34" s="54">
        <f>tkr!$BS$7</f>
        <v>77.666666666666671</v>
      </c>
      <c r="S34" s="54">
        <f>tkr!$BW$7</f>
        <v>88</v>
      </c>
      <c r="T34" s="54"/>
      <c r="U34" s="54">
        <f>tkr!$CB$7</f>
        <v>79</v>
      </c>
      <c r="V34" s="58"/>
      <c r="W34" s="90"/>
      <c r="X34" s="278">
        <v>7</v>
      </c>
      <c r="Y34" s="90"/>
      <c r="Z34" s="64"/>
      <c r="AA34" s="64"/>
      <c r="AB34" s="64"/>
      <c r="AC34" s="64"/>
      <c r="AD34" s="64"/>
      <c r="AE34" s="64"/>
      <c r="AF34" s="64"/>
      <c r="AG34" s="64"/>
      <c r="AH34" s="64"/>
      <c r="AI34" s="64"/>
      <c r="AJ34" s="64"/>
    </row>
    <row r="35" spans="1:36" ht="18.75" customHeight="1">
      <c r="A35" s="268">
        <v>3</v>
      </c>
      <c r="B35" s="271"/>
      <c r="C35" s="274"/>
      <c r="D35" s="66" t="s">
        <v>299</v>
      </c>
      <c r="E35" s="67">
        <f>AVERAGE(E30:E34)</f>
        <v>90.2</v>
      </c>
      <c r="F35" s="67">
        <f>AVERAGE(F30:F34)</f>
        <v>89.8</v>
      </c>
      <c r="G35" s="67">
        <f>AVERAGE(G30:G34)</f>
        <v>88.6</v>
      </c>
      <c r="H35" s="68"/>
      <c r="I35" s="68"/>
      <c r="J35" s="69"/>
      <c r="K35" s="69"/>
      <c r="L35" s="67">
        <f>AVERAGE(L30:L34)</f>
        <v>88</v>
      </c>
      <c r="M35" s="67">
        <f>AVERAGE(M30:M34)</f>
        <v>88.8</v>
      </c>
      <c r="N35" s="67">
        <f>AVERAGE(N30:N34)</f>
        <v>80.599999999999994</v>
      </c>
      <c r="O35" s="69"/>
      <c r="P35" s="63"/>
      <c r="Q35" s="63"/>
      <c r="R35" s="84">
        <f>AVERAGE(R32:R34)</f>
        <v>82.666666666666671</v>
      </c>
      <c r="S35" s="84">
        <f>AVERAGE(S32:S34)</f>
        <v>83.666666666666671</v>
      </c>
      <c r="T35" s="63"/>
      <c r="U35" s="84">
        <f>AVERAGE(U30:U34)</f>
        <v>83.333333333333329</v>
      </c>
      <c r="V35" s="58"/>
      <c r="W35" s="90"/>
      <c r="X35" s="278">
        <v>7</v>
      </c>
      <c r="Y35" s="90"/>
      <c r="Z35" s="64"/>
      <c r="AA35" s="64"/>
      <c r="AB35" s="64"/>
      <c r="AC35" s="64"/>
      <c r="AD35" s="64"/>
      <c r="AE35" s="64"/>
      <c r="AF35" s="64"/>
      <c r="AG35" s="64"/>
      <c r="AH35" s="64"/>
      <c r="AI35" s="64"/>
      <c r="AJ35" s="64"/>
    </row>
    <row r="36" spans="1:36" ht="18.75" customHeight="1">
      <c r="A36" s="268">
        <v>3</v>
      </c>
      <c r="B36" s="271"/>
      <c r="C36" s="274"/>
      <c r="D36" s="70" t="s">
        <v>300</v>
      </c>
      <c r="E36" s="71">
        <f>tkr!$J$7</f>
        <v>87</v>
      </c>
      <c r="F36" s="71">
        <f>tkr!$P$7</f>
        <v>85</v>
      </c>
      <c r="G36" s="71">
        <f>tkr!$V$7</f>
        <v>84</v>
      </c>
      <c r="H36" s="72"/>
      <c r="I36" s="72"/>
      <c r="J36" s="73"/>
      <c r="K36" s="73"/>
      <c r="L36" s="71">
        <f>tkr!$AL$7</f>
        <v>84</v>
      </c>
      <c r="M36" s="71">
        <f>tkr!$AR$7</f>
        <v>87</v>
      </c>
      <c r="N36" s="71">
        <f>tkr!$AX$7</f>
        <v>87</v>
      </c>
      <c r="O36" s="73"/>
      <c r="P36" s="74"/>
      <c r="Q36" s="74"/>
      <c r="R36" s="85">
        <f>tkr!$BT$7</f>
        <v>86</v>
      </c>
      <c r="S36" s="85">
        <f>tkr!$BX$7</f>
        <v>86</v>
      </c>
      <c r="T36" s="85">
        <f>tkr!$BY$7</f>
        <v>86</v>
      </c>
      <c r="U36" s="75">
        <f>tkr!$CC$7</f>
        <v>87</v>
      </c>
      <c r="V36" s="58"/>
      <c r="X36" s="278">
        <v>7</v>
      </c>
      <c r="Z36" s="50"/>
      <c r="AA36" s="50"/>
      <c r="AB36" s="50"/>
      <c r="AC36" s="50"/>
      <c r="AD36" s="50"/>
      <c r="AE36" s="50"/>
      <c r="AF36" s="50"/>
      <c r="AG36" s="50"/>
      <c r="AH36" s="50"/>
      <c r="AI36" s="50"/>
      <c r="AJ36" s="50"/>
    </row>
    <row r="37" spans="1:36" ht="18.75" customHeight="1">
      <c r="A37" s="268">
        <v>3</v>
      </c>
      <c r="B37" s="271"/>
      <c r="C37" s="274"/>
      <c r="D37" s="76" t="s">
        <v>301</v>
      </c>
      <c r="E37" s="77">
        <f>tkr!$CD$7</f>
        <v>90</v>
      </c>
      <c r="F37" s="77">
        <f>tkr!$CE$7</f>
        <v>95</v>
      </c>
      <c r="G37" s="77">
        <f>tkr!$CF$7</f>
        <v>90</v>
      </c>
      <c r="H37" s="72"/>
      <c r="I37" s="72"/>
      <c r="J37" s="73"/>
      <c r="K37" s="73"/>
      <c r="L37" s="77">
        <f>tkr!$CG$7</f>
        <v>97</v>
      </c>
      <c r="M37" s="77">
        <f>tkr!$CH$7</f>
        <v>91</v>
      </c>
      <c r="N37" s="77">
        <f>tkr!$CI$7</f>
        <v>88</v>
      </c>
      <c r="O37" s="73"/>
      <c r="P37" s="74"/>
      <c r="Q37" s="74"/>
      <c r="R37" s="86">
        <f>tkr!$CL$7</f>
        <v>90</v>
      </c>
      <c r="S37" s="86">
        <f>tkr!$CK$7</f>
        <v>78</v>
      </c>
      <c r="T37" s="74"/>
      <c r="U37" s="86">
        <f>tkr!$CJ$7</f>
        <v>81</v>
      </c>
      <c r="V37" s="58"/>
      <c r="X37" s="278">
        <v>7</v>
      </c>
      <c r="Z37" s="50"/>
      <c r="AA37" s="50"/>
      <c r="AB37" s="50"/>
      <c r="AC37" s="50"/>
      <c r="AD37" s="50"/>
      <c r="AE37" s="50"/>
      <c r="AF37" s="50"/>
      <c r="AG37" s="50"/>
      <c r="AH37" s="50"/>
      <c r="AI37" s="50"/>
      <c r="AJ37" s="50"/>
    </row>
    <row r="38" spans="1:36" ht="18.75" customHeight="1" thickBot="1">
      <c r="A38" s="269">
        <v>3</v>
      </c>
      <c r="B38" s="272"/>
      <c r="C38" s="275"/>
      <c r="D38" s="78" t="s">
        <v>302</v>
      </c>
      <c r="E38" s="79">
        <f>(E35*4+E36*3+E37*3)/10</f>
        <v>89.179999999999993</v>
      </c>
      <c r="F38" s="79">
        <f t="shared" ref="F38:G38" si="3">(F35*4+F36*3+F37*3)/10</f>
        <v>89.92</v>
      </c>
      <c r="G38" s="79">
        <f t="shared" si="3"/>
        <v>87.64</v>
      </c>
      <c r="H38" s="79">
        <f>AVERAGE(H30:H33)</f>
        <v>84.5</v>
      </c>
      <c r="I38" s="79">
        <f>AVERAGE(I30:I33)</f>
        <v>83.25</v>
      </c>
      <c r="J38" s="79">
        <f>AVERAGE(J30:J31)</f>
        <v>89.5</v>
      </c>
      <c r="K38" s="79">
        <f>AVERAGE(K30:K33)</f>
        <v>79</v>
      </c>
      <c r="L38" s="79">
        <f>(L35*4+L36*3+L37*3)/10</f>
        <v>89.5</v>
      </c>
      <c r="M38" s="79">
        <f>(M35*4+M36*3+M37*3)/10</f>
        <v>88.92</v>
      </c>
      <c r="N38" s="79">
        <f>(N35*4+N36*3+N37*3)/10</f>
        <v>84.74</v>
      </c>
      <c r="O38" s="79">
        <f>AVERAGE(O30:O31)</f>
        <v>76.5</v>
      </c>
      <c r="P38" s="79">
        <f>AVERAGE(P30:P31)</f>
        <v>88.5</v>
      </c>
      <c r="Q38" s="79">
        <f>AVERAGE(Q30:Q31)</f>
        <v>83</v>
      </c>
      <c r="R38" s="79">
        <f>(R35*4+R36*3+R37*3)/10</f>
        <v>85.866666666666674</v>
      </c>
      <c r="S38" s="79">
        <f>(S35*4+S36*3+S37*3)/10</f>
        <v>82.666666666666671</v>
      </c>
      <c r="T38" s="79">
        <f>T36</f>
        <v>86</v>
      </c>
      <c r="U38" s="79">
        <f t="shared" ref="U38" si="4">(U35*4+U36*3+U37*3)/10</f>
        <v>83.73333333333332</v>
      </c>
      <c r="V38" s="80">
        <f>AVERAGE(E38:U38)</f>
        <v>85.436274509803937</v>
      </c>
      <c r="X38" s="278">
        <v>7</v>
      </c>
      <c r="Z38" s="50"/>
      <c r="AA38" s="50"/>
      <c r="AB38" s="50"/>
      <c r="AC38" s="50"/>
      <c r="AD38" s="50"/>
      <c r="AE38" s="50"/>
      <c r="AF38" s="50"/>
      <c r="AG38" s="50"/>
      <c r="AH38" s="50"/>
      <c r="AI38" s="50"/>
      <c r="AJ38" s="50"/>
    </row>
    <row r="39" spans="1:36" ht="18.75" customHeight="1" thickTop="1" thickBot="1">
      <c r="A39" s="268">
        <v>4</v>
      </c>
      <c r="B39" s="270" t="s">
        <v>478</v>
      </c>
      <c r="C39" s="273" t="s">
        <v>479</v>
      </c>
      <c r="D39" s="52" t="s">
        <v>294</v>
      </c>
      <c r="E39" s="53">
        <f>tkr!$E$8</f>
        <v>87</v>
      </c>
      <c r="F39" s="53">
        <f>tkr!$K$8</f>
        <v>80</v>
      </c>
      <c r="G39" s="53">
        <f>tkr!$Q$8</f>
        <v>80</v>
      </c>
      <c r="H39" s="53">
        <f>tkr!$W$8</f>
        <v>82</v>
      </c>
      <c r="I39" s="53">
        <f>tkr!$AA$8</f>
        <v>82</v>
      </c>
      <c r="J39" s="53">
        <f>tkr!$AE$8</f>
        <v>95</v>
      </c>
      <c r="K39" s="54">
        <f>tkr!$AG$8</f>
        <v>80</v>
      </c>
      <c r="L39" s="55"/>
      <c r="M39" s="53">
        <f>tkr!$AM$8</f>
        <v>74</v>
      </c>
      <c r="N39" s="53">
        <f>tkr!$AS$8</f>
        <v>72</v>
      </c>
      <c r="O39" s="53">
        <f>tkr!$AY$8</f>
        <v>76</v>
      </c>
      <c r="P39" s="54">
        <f>tkr!$BA$8</f>
        <v>80</v>
      </c>
      <c r="Q39" s="54">
        <f>tkr!$BC$8</f>
        <v>80</v>
      </c>
      <c r="R39" s="55"/>
      <c r="S39" s="55"/>
      <c r="T39" s="55"/>
      <c r="U39" s="55"/>
      <c r="V39" s="56"/>
      <c r="X39" s="278">
        <v>8</v>
      </c>
      <c r="Z39" s="50"/>
      <c r="AA39" s="50"/>
      <c r="AB39" s="50"/>
      <c r="AC39" s="50"/>
      <c r="AD39" s="50"/>
      <c r="AE39" s="50"/>
      <c r="AF39" s="50"/>
      <c r="AG39" s="50"/>
      <c r="AH39" s="50"/>
      <c r="AI39" s="50"/>
      <c r="AJ39" s="50"/>
    </row>
    <row r="40" spans="1:36" ht="18.75" customHeight="1" thickBot="1">
      <c r="A40" s="268">
        <v>4</v>
      </c>
      <c r="B40" s="271"/>
      <c r="C40" s="274"/>
      <c r="D40" s="52" t="s">
        <v>295</v>
      </c>
      <c r="E40" s="53">
        <f>tkr!$F$8</f>
        <v>84</v>
      </c>
      <c r="F40" s="53">
        <f>tkr!$L$8</f>
        <v>84</v>
      </c>
      <c r="G40" s="53">
        <f>tkr!$R$8</f>
        <v>70</v>
      </c>
      <c r="H40" s="53">
        <f>tkr!$X$8</f>
        <v>83</v>
      </c>
      <c r="I40" s="53">
        <f>tkr!$AB$8</f>
        <v>79</v>
      </c>
      <c r="J40" s="53">
        <f>tkr!$AF$8</f>
        <v>84</v>
      </c>
      <c r="K40" s="54">
        <f>tkr!$AH$8</f>
        <v>74</v>
      </c>
      <c r="L40" s="55"/>
      <c r="M40" s="53">
        <f>tkr!$AN$8</f>
        <v>75</v>
      </c>
      <c r="N40" s="53">
        <f>tkr!$AT$8</f>
        <v>78</v>
      </c>
      <c r="O40" s="53">
        <f>tkr!$AZ$8</f>
        <v>78</v>
      </c>
      <c r="P40" s="54">
        <f>tkr!$BB$8</f>
        <v>82</v>
      </c>
      <c r="Q40" s="54">
        <f>tkr!$BD$8</f>
        <v>85</v>
      </c>
      <c r="R40" s="55"/>
      <c r="S40" s="55"/>
      <c r="T40" s="55"/>
      <c r="U40" s="55"/>
      <c r="V40" s="58"/>
      <c r="X40" s="278">
        <v>8</v>
      </c>
      <c r="Z40" s="50"/>
      <c r="AA40" s="50"/>
      <c r="AB40" s="50"/>
      <c r="AC40" s="50"/>
      <c r="AD40" s="50"/>
      <c r="AE40" s="50"/>
      <c r="AF40" s="50"/>
      <c r="AG40" s="50"/>
      <c r="AH40" s="50"/>
      <c r="AI40" s="50"/>
      <c r="AJ40" s="50"/>
    </row>
    <row r="41" spans="1:36" ht="18.75" customHeight="1" thickBot="1">
      <c r="A41" s="268">
        <v>4</v>
      </c>
      <c r="B41" s="271"/>
      <c r="C41" s="274"/>
      <c r="D41" s="52" t="s">
        <v>296</v>
      </c>
      <c r="E41" s="53">
        <f>tkr!$G$8</f>
        <v>89</v>
      </c>
      <c r="F41" s="53">
        <f>tkr!$M$8</f>
        <v>89</v>
      </c>
      <c r="G41" s="53">
        <f>tkr!$S$8</f>
        <v>81</v>
      </c>
      <c r="H41" s="53">
        <f>tkr!$Y$8</f>
        <v>83</v>
      </c>
      <c r="I41" s="53">
        <f>tkr!$AC$8</f>
        <v>84</v>
      </c>
      <c r="J41" s="59"/>
      <c r="K41" s="54">
        <f>tkr!$AI$8</f>
        <v>72</v>
      </c>
      <c r="L41" s="55"/>
      <c r="M41" s="53">
        <f>tkr!$AO$8</f>
        <v>77</v>
      </c>
      <c r="N41" s="53">
        <f>tkr!$AU$8</f>
        <v>80</v>
      </c>
      <c r="O41" s="59"/>
      <c r="P41" s="55"/>
      <c r="Q41" s="55"/>
      <c r="R41" s="54">
        <f>tkr!$BQ$8</f>
        <v>81</v>
      </c>
      <c r="S41" s="54">
        <f>tkr!$BU$8</f>
        <v>77</v>
      </c>
      <c r="T41" s="55"/>
      <c r="U41" s="54">
        <f>tkr!$BZ$8</f>
        <v>72</v>
      </c>
      <c r="V41" s="58"/>
      <c r="X41" s="278">
        <v>8</v>
      </c>
      <c r="Z41" s="50"/>
      <c r="AA41" s="50"/>
      <c r="AB41" s="50"/>
      <c r="AC41" s="50"/>
      <c r="AD41" s="50"/>
      <c r="AE41" s="50"/>
      <c r="AF41" s="50"/>
      <c r="AG41" s="50"/>
      <c r="AH41" s="50"/>
      <c r="AI41" s="50"/>
      <c r="AJ41" s="50"/>
    </row>
    <row r="42" spans="1:36" ht="18.75" customHeight="1" thickBot="1">
      <c r="A42" s="268">
        <v>4</v>
      </c>
      <c r="B42" s="271"/>
      <c r="C42" s="274"/>
      <c r="D42" s="62" t="s">
        <v>297</v>
      </c>
      <c r="E42" s="53">
        <f>tkr!$H$8</f>
        <v>80</v>
      </c>
      <c r="F42" s="53">
        <f>tkr!$N$8</f>
        <v>90</v>
      </c>
      <c r="G42" s="53">
        <f>tkr!$T$8</f>
        <v>82</v>
      </c>
      <c r="H42" s="53">
        <f>tkr!$Z$8</f>
        <v>84</v>
      </c>
      <c r="I42" s="53">
        <f>tkr!$AD$8</f>
        <v>84</v>
      </c>
      <c r="J42" s="59"/>
      <c r="K42" s="54">
        <f>tkr!$AJ$8</f>
        <v>80</v>
      </c>
      <c r="L42" s="55"/>
      <c r="M42" s="53">
        <f>tkr!$AP$8</f>
        <v>79</v>
      </c>
      <c r="N42" s="53">
        <f>tkr!$AV$8</f>
        <v>77</v>
      </c>
      <c r="O42" s="59"/>
      <c r="P42" s="55"/>
      <c r="Q42" s="55"/>
      <c r="R42" s="54">
        <f>tkr!$BR$8</f>
        <v>76.666666666666671</v>
      </c>
      <c r="S42" s="54">
        <f>tkr!$BV$8</f>
        <v>79</v>
      </c>
      <c r="T42" s="63"/>
      <c r="U42" s="54">
        <f>tkr!$CA$8</f>
        <v>77</v>
      </c>
      <c r="V42" s="58"/>
      <c r="X42" s="278">
        <v>8</v>
      </c>
      <c r="Z42" s="50"/>
      <c r="AA42" s="50"/>
      <c r="AB42" s="50"/>
      <c r="AC42" s="50"/>
      <c r="AD42" s="50"/>
      <c r="AE42" s="50"/>
      <c r="AF42" s="50"/>
      <c r="AG42" s="50"/>
      <c r="AH42" s="50"/>
      <c r="AI42" s="50"/>
      <c r="AJ42" s="50"/>
    </row>
    <row r="43" spans="1:36" ht="18.75" customHeight="1">
      <c r="A43" s="268">
        <v>4</v>
      </c>
      <c r="B43" s="271"/>
      <c r="C43" s="274"/>
      <c r="D43" s="62" t="s">
        <v>298</v>
      </c>
      <c r="E43" s="53">
        <f>tkr!$I$8</f>
        <v>84</v>
      </c>
      <c r="F43" s="53">
        <f>tkr!$O$8</f>
        <v>93</v>
      </c>
      <c r="G43" s="53">
        <f>tkr!$U$8</f>
        <v>71</v>
      </c>
      <c r="H43" s="65"/>
      <c r="I43" s="65"/>
      <c r="J43" s="59"/>
      <c r="K43" s="59"/>
      <c r="L43" s="53">
        <f>tkr!$AK$8</f>
        <v>80</v>
      </c>
      <c r="M43" s="53">
        <f>tkr!$AQ$8</f>
        <v>74</v>
      </c>
      <c r="N43" s="53">
        <f>tkr!$AW$8</f>
        <v>80</v>
      </c>
      <c r="O43" s="59"/>
      <c r="P43" s="55"/>
      <c r="Q43" s="55"/>
      <c r="R43" s="54">
        <f>tkr!$BS$8</f>
        <v>84.333333333333329</v>
      </c>
      <c r="S43" s="54">
        <f>tkr!$BW$8</f>
        <v>80</v>
      </c>
      <c r="T43" s="54"/>
      <c r="U43" s="54">
        <f>tkr!$CB$8</f>
        <v>79</v>
      </c>
      <c r="V43" s="58"/>
      <c r="X43" s="278">
        <v>8</v>
      </c>
      <c r="Z43" s="50"/>
      <c r="AA43" s="50"/>
      <c r="AB43" s="50"/>
      <c r="AC43" s="50"/>
      <c r="AD43" s="50"/>
      <c r="AE43" s="50"/>
      <c r="AF43" s="50"/>
      <c r="AG43" s="50"/>
      <c r="AH43" s="50"/>
      <c r="AI43" s="50"/>
      <c r="AJ43" s="50"/>
    </row>
    <row r="44" spans="1:36" ht="18.75" customHeight="1">
      <c r="A44" s="268">
        <v>4</v>
      </c>
      <c r="B44" s="271"/>
      <c r="C44" s="274"/>
      <c r="D44" s="66" t="s">
        <v>299</v>
      </c>
      <c r="E44" s="67">
        <f>AVERAGE(E39:E43)</f>
        <v>84.8</v>
      </c>
      <c r="F44" s="67">
        <f>AVERAGE(F39:F43)</f>
        <v>87.2</v>
      </c>
      <c r="G44" s="67">
        <f>AVERAGE(G39:G43)</f>
        <v>76.8</v>
      </c>
      <c r="H44" s="68"/>
      <c r="I44" s="68"/>
      <c r="J44" s="69"/>
      <c r="K44" s="69"/>
      <c r="L44" s="67">
        <f>AVERAGE(L39:L43)</f>
        <v>80</v>
      </c>
      <c r="M44" s="67">
        <f>AVERAGE(M39:M43)</f>
        <v>75.8</v>
      </c>
      <c r="N44" s="67">
        <f>AVERAGE(N39:N43)</f>
        <v>77.400000000000006</v>
      </c>
      <c r="O44" s="69"/>
      <c r="P44" s="63"/>
      <c r="Q44" s="63"/>
      <c r="R44" s="84">
        <f>AVERAGE(R41:R43)</f>
        <v>80.666666666666671</v>
      </c>
      <c r="S44" s="84">
        <f>AVERAGE(S41:S43)</f>
        <v>78.666666666666671</v>
      </c>
      <c r="T44" s="63"/>
      <c r="U44" s="84">
        <f>AVERAGE(U39:U43)</f>
        <v>76</v>
      </c>
      <c r="V44" s="58"/>
      <c r="X44" s="278">
        <v>8</v>
      </c>
      <c r="Z44" s="50"/>
      <c r="AA44" s="50"/>
      <c r="AB44" s="50"/>
      <c r="AC44" s="50"/>
      <c r="AD44" s="50"/>
      <c r="AE44" s="50"/>
      <c r="AF44" s="50"/>
      <c r="AG44" s="50"/>
      <c r="AH44" s="50"/>
      <c r="AI44" s="50"/>
      <c r="AJ44" s="50"/>
    </row>
    <row r="45" spans="1:36" ht="18.75" customHeight="1">
      <c r="A45" s="268">
        <v>4</v>
      </c>
      <c r="B45" s="271"/>
      <c r="C45" s="274"/>
      <c r="D45" s="70" t="s">
        <v>300</v>
      </c>
      <c r="E45" s="71">
        <f>tkr!$J$8</f>
        <v>95</v>
      </c>
      <c r="F45" s="71">
        <f>tkr!$P$8</f>
        <v>90</v>
      </c>
      <c r="G45" s="71">
        <f>tkr!$V$8</f>
        <v>85</v>
      </c>
      <c r="H45" s="72"/>
      <c r="I45" s="72"/>
      <c r="J45" s="73"/>
      <c r="K45" s="73"/>
      <c r="L45" s="71">
        <f>tkr!$AL$8</f>
        <v>85</v>
      </c>
      <c r="M45" s="71">
        <f>tkr!$AR$8</f>
        <v>90</v>
      </c>
      <c r="N45" s="71">
        <f>tkr!$AX$8</f>
        <v>90</v>
      </c>
      <c r="O45" s="73"/>
      <c r="P45" s="74"/>
      <c r="Q45" s="74"/>
      <c r="R45" s="85">
        <f>tkr!$BT$8</f>
        <v>91</v>
      </c>
      <c r="S45" s="85">
        <f>tkr!$BX$8</f>
        <v>91</v>
      </c>
      <c r="T45" s="85">
        <f>tkr!$BY$8</f>
        <v>90</v>
      </c>
      <c r="U45" s="75">
        <f>tkr!$CC$8</f>
        <v>90</v>
      </c>
      <c r="V45" s="58"/>
      <c r="X45" s="278">
        <v>8</v>
      </c>
      <c r="Z45" s="50"/>
      <c r="AA45" s="50"/>
      <c r="AB45" s="50"/>
      <c r="AC45" s="50"/>
      <c r="AD45" s="50"/>
      <c r="AE45" s="50"/>
      <c r="AF45" s="50"/>
      <c r="AG45" s="50"/>
      <c r="AH45" s="50"/>
      <c r="AI45" s="50"/>
      <c r="AJ45" s="50"/>
    </row>
    <row r="46" spans="1:36" ht="18.75" customHeight="1">
      <c r="A46" s="268">
        <v>4</v>
      </c>
      <c r="B46" s="271"/>
      <c r="C46" s="274"/>
      <c r="D46" s="76" t="s">
        <v>301</v>
      </c>
      <c r="E46" s="77">
        <f>tkr!$CD$8</f>
        <v>85</v>
      </c>
      <c r="F46" s="77">
        <f>tkr!$CE$8</f>
        <v>93</v>
      </c>
      <c r="G46" s="77">
        <f>tkr!$CF$8</f>
        <v>75</v>
      </c>
      <c r="H46" s="72"/>
      <c r="I46" s="72"/>
      <c r="J46" s="73"/>
      <c r="K46" s="73"/>
      <c r="L46" s="77">
        <f>tkr!$CG$8</f>
        <v>70</v>
      </c>
      <c r="M46" s="77">
        <f>tkr!$CH$8</f>
        <v>75</v>
      </c>
      <c r="N46" s="77">
        <f>tkr!$CI$8</f>
        <v>80</v>
      </c>
      <c r="O46" s="73"/>
      <c r="P46" s="74"/>
      <c r="Q46" s="74"/>
      <c r="R46" s="86">
        <f>tkr!$CL$8</f>
        <v>70</v>
      </c>
      <c r="S46" s="86">
        <f>tkr!$CK$8</f>
        <v>87.78</v>
      </c>
      <c r="T46" s="74"/>
      <c r="U46" s="86">
        <f>tkr!$CJ$8</f>
        <v>78</v>
      </c>
      <c r="V46" s="58"/>
      <c r="X46" s="278">
        <v>8</v>
      </c>
      <c r="Z46" s="50"/>
      <c r="AA46" s="50"/>
      <c r="AB46" s="50"/>
      <c r="AC46" s="50"/>
      <c r="AD46" s="50"/>
      <c r="AE46" s="50"/>
      <c r="AF46" s="50"/>
      <c r="AG46" s="50"/>
      <c r="AH46" s="50"/>
      <c r="AI46" s="50"/>
      <c r="AJ46" s="50"/>
    </row>
    <row r="47" spans="1:36" ht="18.75" customHeight="1" thickBot="1">
      <c r="A47" s="269">
        <v>4</v>
      </c>
      <c r="B47" s="272"/>
      <c r="C47" s="275"/>
      <c r="D47" s="78" t="s">
        <v>302</v>
      </c>
      <c r="E47" s="79">
        <f>(E44*4+E45*3+E46*3)/10</f>
        <v>87.92</v>
      </c>
      <c r="F47" s="79">
        <f t="shared" ref="F47:G47" si="5">(F44*4+F45*3+F46*3)/10</f>
        <v>89.78</v>
      </c>
      <c r="G47" s="79">
        <f t="shared" si="5"/>
        <v>78.72</v>
      </c>
      <c r="H47" s="79">
        <f>AVERAGE(H39:H42)</f>
        <v>83</v>
      </c>
      <c r="I47" s="79">
        <f>AVERAGE(I39:I42)</f>
        <v>82.25</v>
      </c>
      <c r="J47" s="79">
        <f>AVERAGE(J39:J40)</f>
        <v>89.5</v>
      </c>
      <c r="K47" s="79">
        <f>AVERAGE(K39:K42)</f>
        <v>76.5</v>
      </c>
      <c r="L47" s="79">
        <f>(L44*4+L45*3+L46*3)/10</f>
        <v>78.5</v>
      </c>
      <c r="M47" s="79">
        <f>(M44*4+M45*3+M46*3)/10</f>
        <v>79.820000000000007</v>
      </c>
      <c r="N47" s="79">
        <f>(N44*4+N45*3+N46*3)/10</f>
        <v>81.960000000000008</v>
      </c>
      <c r="O47" s="79">
        <f>AVERAGE(O39:O40)</f>
        <v>77</v>
      </c>
      <c r="P47" s="79">
        <f>AVERAGE(P39:P40)</f>
        <v>81</v>
      </c>
      <c r="Q47" s="79">
        <f>AVERAGE(Q39:Q40)</f>
        <v>82.5</v>
      </c>
      <c r="R47" s="79">
        <f>(R44*4+R45*3+R46*3)/10</f>
        <v>80.566666666666677</v>
      </c>
      <c r="S47" s="79">
        <f>(S44*4+S45*3+S46*3)/10</f>
        <v>85.100666666666683</v>
      </c>
      <c r="T47" s="79">
        <f>T45</f>
        <v>90</v>
      </c>
      <c r="U47" s="79">
        <f t="shared" ref="U47" si="6">(U44*4+U45*3+U46*3)/10</f>
        <v>80.8</v>
      </c>
      <c r="V47" s="80">
        <f>AVERAGE(E47:U47)</f>
        <v>82.642196078431368</v>
      </c>
      <c r="X47" s="278">
        <v>8</v>
      </c>
      <c r="Z47" s="50"/>
      <c r="AA47" s="50"/>
      <c r="AB47" s="50"/>
      <c r="AC47" s="50"/>
      <c r="AD47" s="50"/>
      <c r="AE47" s="50"/>
      <c r="AF47" s="50"/>
      <c r="AG47" s="50"/>
      <c r="AH47" s="50"/>
      <c r="AI47" s="50"/>
      <c r="AJ47" s="50"/>
    </row>
    <row r="48" spans="1:36" ht="18.75" customHeight="1" thickTop="1" thickBot="1">
      <c r="A48" s="268">
        <v>5</v>
      </c>
      <c r="B48" s="270" t="s">
        <v>480</v>
      </c>
      <c r="C48" s="273" t="s">
        <v>481</v>
      </c>
      <c r="D48" s="52" t="s">
        <v>294</v>
      </c>
      <c r="E48" s="53">
        <f>tkr!$E$9</f>
        <v>92</v>
      </c>
      <c r="F48" s="53">
        <f>tkr!$K$9</f>
        <v>85</v>
      </c>
      <c r="G48" s="53">
        <f>tkr!$Q$9</f>
        <v>80</v>
      </c>
      <c r="H48" s="53">
        <f>tkr!$W$9</f>
        <v>84</v>
      </c>
      <c r="I48" s="53">
        <f>tkr!$AA$9</f>
        <v>82</v>
      </c>
      <c r="J48" s="53">
        <f>tkr!$AE$9</f>
        <v>95</v>
      </c>
      <c r="K48" s="54">
        <f>tkr!$AG$9</f>
        <v>83</v>
      </c>
      <c r="L48" s="55"/>
      <c r="M48" s="53">
        <f>tkr!$AM$9</f>
        <v>79</v>
      </c>
      <c r="N48" s="53">
        <f>tkr!$AS$9</f>
        <v>78</v>
      </c>
      <c r="O48" s="53">
        <f>tkr!$AY$9</f>
        <v>78</v>
      </c>
      <c r="P48" s="54">
        <f>tkr!$BA$9</f>
        <v>85</v>
      </c>
      <c r="Q48" s="54">
        <f>tkr!$BC$9</f>
        <v>80</v>
      </c>
      <c r="R48" s="55"/>
      <c r="S48" s="55"/>
      <c r="T48" s="55"/>
      <c r="U48" s="55"/>
      <c r="V48" s="56"/>
      <c r="X48" s="278">
        <v>9</v>
      </c>
      <c r="Z48" s="50"/>
      <c r="AA48" s="50"/>
      <c r="AB48" s="50"/>
      <c r="AC48" s="50"/>
      <c r="AD48" s="50"/>
      <c r="AE48" s="50"/>
      <c r="AF48" s="50"/>
      <c r="AG48" s="50"/>
      <c r="AH48" s="50"/>
      <c r="AI48" s="50"/>
      <c r="AJ48" s="50"/>
    </row>
    <row r="49" spans="1:36" ht="18.75" customHeight="1" thickBot="1">
      <c r="A49" s="268">
        <v>5</v>
      </c>
      <c r="B49" s="271"/>
      <c r="C49" s="274"/>
      <c r="D49" s="52" t="s">
        <v>295</v>
      </c>
      <c r="E49" s="53">
        <f>tkr!$F$9</f>
        <v>90</v>
      </c>
      <c r="F49" s="53">
        <f>tkr!$L$9</f>
        <v>85</v>
      </c>
      <c r="G49" s="53">
        <f>tkr!$R$9</f>
        <v>88</v>
      </c>
      <c r="H49" s="53">
        <f>tkr!$X$9</f>
        <v>84</v>
      </c>
      <c r="I49" s="53">
        <f>tkr!$AB$9</f>
        <v>82</v>
      </c>
      <c r="J49" s="53">
        <f>tkr!$AF$9</f>
        <v>86</v>
      </c>
      <c r="K49" s="54">
        <f>tkr!$AH$9</f>
        <v>81</v>
      </c>
      <c r="L49" s="55"/>
      <c r="M49" s="53">
        <f>tkr!$AN$9</f>
        <v>80</v>
      </c>
      <c r="N49" s="53">
        <f>tkr!$AT$9</f>
        <v>82</v>
      </c>
      <c r="O49" s="53">
        <f>tkr!$AZ$9</f>
        <v>79</v>
      </c>
      <c r="P49" s="54">
        <f>tkr!$BB$9</f>
        <v>90</v>
      </c>
      <c r="Q49" s="54">
        <f>tkr!$BD$9</f>
        <v>85</v>
      </c>
      <c r="R49" s="55"/>
      <c r="S49" s="55"/>
      <c r="T49" s="55"/>
      <c r="U49" s="55"/>
      <c r="V49" s="58"/>
      <c r="X49" s="278">
        <v>9</v>
      </c>
      <c r="Z49" s="50"/>
      <c r="AA49" s="50"/>
      <c r="AB49" s="50"/>
      <c r="AC49" s="50"/>
      <c r="AD49" s="50"/>
      <c r="AE49" s="50"/>
      <c r="AF49" s="50"/>
      <c r="AG49" s="50"/>
      <c r="AH49" s="50"/>
      <c r="AI49" s="50"/>
      <c r="AJ49" s="50"/>
    </row>
    <row r="50" spans="1:36" ht="18.75" customHeight="1" thickBot="1">
      <c r="A50" s="268">
        <v>5</v>
      </c>
      <c r="B50" s="271"/>
      <c r="C50" s="274"/>
      <c r="D50" s="52" t="s">
        <v>296</v>
      </c>
      <c r="E50" s="53">
        <f>tkr!$G$9</f>
        <v>93</v>
      </c>
      <c r="F50" s="53">
        <f>tkr!$M$9</f>
        <v>93</v>
      </c>
      <c r="G50" s="53">
        <f>tkr!$S$9</f>
        <v>80</v>
      </c>
      <c r="H50" s="53">
        <f>tkr!$Y$9</f>
        <v>84</v>
      </c>
      <c r="I50" s="53">
        <f>tkr!$AC$9</f>
        <v>86</v>
      </c>
      <c r="J50" s="59"/>
      <c r="K50" s="54">
        <f>tkr!$AI$9</f>
        <v>78</v>
      </c>
      <c r="L50" s="55"/>
      <c r="M50" s="53">
        <f>tkr!$AO$9</f>
        <v>80</v>
      </c>
      <c r="N50" s="53">
        <f>tkr!$AU$9</f>
        <v>78</v>
      </c>
      <c r="O50" s="59"/>
      <c r="P50" s="55"/>
      <c r="Q50" s="55"/>
      <c r="R50" s="54">
        <f>tkr!$BQ$9</f>
        <v>84.666666666666671</v>
      </c>
      <c r="S50" s="54">
        <f>tkr!$BU$9</f>
        <v>81</v>
      </c>
      <c r="T50" s="55"/>
      <c r="U50" s="54">
        <f>tkr!$BZ$9</f>
        <v>72</v>
      </c>
      <c r="V50" s="58"/>
      <c r="X50" s="278">
        <v>9</v>
      </c>
      <c r="Z50" s="50"/>
      <c r="AA50" s="50"/>
      <c r="AB50" s="50"/>
      <c r="AC50" s="50"/>
      <c r="AD50" s="50"/>
      <c r="AE50" s="50"/>
      <c r="AF50" s="50"/>
      <c r="AG50" s="50"/>
      <c r="AH50" s="50"/>
      <c r="AI50" s="50"/>
      <c r="AJ50" s="50"/>
    </row>
    <row r="51" spans="1:36" ht="18.75" customHeight="1" thickBot="1">
      <c r="A51" s="268">
        <v>5</v>
      </c>
      <c r="B51" s="271"/>
      <c r="C51" s="274"/>
      <c r="D51" s="62" t="s">
        <v>297</v>
      </c>
      <c r="E51" s="53">
        <f>tkr!$H$9</f>
        <v>88</v>
      </c>
      <c r="F51" s="53">
        <f>tkr!$N$9</f>
        <v>90</v>
      </c>
      <c r="G51" s="53">
        <f>tkr!$T$9</f>
        <v>88</v>
      </c>
      <c r="H51" s="53">
        <f>tkr!$Z$9</f>
        <v>86</v>
      </c>
      <c r="I51" s="53">
        <f>tkr!$AD$9</f>
        <v>87</v>
      </c>
      <c r="J51" s="59"/>
      <c r="K51" s="54">
        <f>tkr!$AJ$9</f>
        <v>81</v>
      </c>
      <c r="L51" s="55"/>
      <c r="M51" s="53">
        <f>tkr!$AP$9</f>
        <v>83</v>
      </c>
      <c r="N51" s="53">
        <f>tkr!$AV$9</f>
        <v>82</v>
      </c>
      <c r="O51" s="59"/>
      <c r="P51" s="55"/>
      <c r="Q51" s="55"/>
      <c r="R51" s="54">
        <f>tkr!$BR$9</f>
        <v>83</v>
      </c>
      <c r="S51" s="54">
        <f>tkr!$BV$9</f>
        <v>82</v>
      </c>
      <c r="T51" s="63"/>
      <c r="U51" s="54">
        <f>tkr!$CA$9</f>
        <v>91</v>
      </c>
      <c r="V51" s="58"/>
      <c r="X51" s="278">
        <v>9</v>
      </c>
      <c r="Z51" s="50"/>
      <c r="AA51" s="50"/>
      <c r="AB51" s="50"/>
      <c r="AC51" s="50"/>
      <c r="AD51" s="50"/>
      <c r="AE51" s="50"/>
      <c r="AF51" s="50"/>
      <c r="AG51" s="50"/>
      <c r="AH51" s="50"/>
      <c r="AI51" s="50"/>
      <c r="AJ51" s="50"/>
    </row>
    <row r="52" spans="1:36" ht="18.75" customHeight="1">
      <c r="A52" s="268">
        <v>5</v>
      </c>
      <c r="B52" s="271"/>
      <c r="C52" s="274"/>
      <c r="D52" s="62" t="s">
        <v>298</v>
      </c>
      <c r="E52" s="53">
        <f>tkr!$I$9</f>
        <v>90</v>
      </c>
      <c r="F52" s="53">
        <f>tkr!$O$9</f>
        <v>93</v>
      </c>
      <c r="G52" s="53">
        <f>tkr!$U$9</f>
        <v>75</v>
      </c>
      <c r="H52" s="65"/>
      <c r="I52" s="65"/>
      <c r="J52" s="59"/>
      <c r="K52" s="59"/>
      <c r="L52" s="53">
        <f>tkr!$AK$9</f>
        <v>83</v>
      </c>
      <c r="M52" s="53">
        <f>tkr!$AQ$9</f>
        <v>82</v>
      </c>
      <c r="N52" s="53">
        <f>tkr!$AW$9</f>
        <v>80</v>
      </c>
      <c r="O52" s="59"/>
      <c r="P52" s="55"/>
      <c r="Q52" s="55"/>
      <c r="R52" s="54">
        <f>tkr!$BS$9</f>
        <v>78.333333333333329</v>
      </c>
      <c r="S52" s="54">
        <f>tkr!$BW$9</f>
        <v>83</v>
      </c>
      <c r="T52" s="54"/>
      <c r="U52" s="54">
        <f>tkr!$CB$9</f>
        <v>79</v>
      </c>
      <c r="V52" s="58"/>
      <c r="W52" s="90"/>
      <c r="X52" s="278">
        <v>9</v>
      </c>
      <c r="Y52" s="90"/>
      <c r="Z52" s="64"/>
      <c r="AA52" s="64"/>
      <c r="AB52" s="64"/>
      <c r="AC52" s="64"/>
      <c r="AD52" s="64"/>
      <c r="AE52" s="64"/>
      <c r="AF52" s="64"/>
      <c r="AG52" s="64"/>
      <c r="AH52" s="64"/>
      <c r="AI52" s="64"/>
      <c r="AJ52" s="64"/>
    </row>
    <row r="53" spans="1:36" ht="18.75" customHeight="1">
      <c r="A53" s="268">
        <v>5</v>
      </c>
      <c r="B53" s="271"/>
      <c r="C53" s="274"/>
      <c r="D53" s="66" t="s">
        <v>299</v>
      </c>
      <c r="E53" s="67">
        <f>AVERAGE(E48:E52)</f>
        <v>90.6</v>
      </c>
      <c r="F53" s="67">
        <f>AVERAGE(F48:F52)</f>
        <v>89.2</v>
      </c>
      <c r="G53" s="67">
        <f>AVERAGE(G48:G52)</f>
        <v>82.2</v>
      </c>
      <c r="H53" s="68"/>
      <c r="I53" s="68"/>
      <c r="J53" s="69"/>
      <c r="K53" s="69"/>
      <c r="L53" s="67">
        <f>AVERAGE(L48:L52)</f>
        <v>83</v>
      </c>
      <c r="M53" s="67">
        <f>AVERAGE(M48:M52)</f>
        <v>80.8</v>
      </c>
      <c r="N53" s="67">
        <f>AVERAGE(N48:N52)</f>
        <v>80</v>
      </c>
      <c r="O53" s="69"/>
      <c r="P53" s="63"/>
      <c r="Q53" s="63"/>
      <c r="R53" s="84">
        <f>AVERAGE(R50:R52)</f>
        <v>82</v>
      </c>
      <c r="S53" s="84">
        <f>AVERAGE(S50:S52)</f>
        <v>82</v>
      </c>
      <c r="T53" s="63"/>
      <c r="U53" s="84">
        <f>AVERAGE(U48:U52)</f>
        <v>80.666666666666671</v>
      </c>
      <c r="V53" s="58"/>
      <c r="X53" s="278">
        <v>9</v>
      </c>
      <c r="Z53" s="50"/>
      <c r="AA53" s="50"/>
      <c r="AB53" s="50"/>
      <c r="AC53" s="50"/>
      <c r="AD53" s="50"/>
      <c r="AE53" s="50"/>
      <c r="AF53" s="50"/>
      <c r="AG53" s="50"/>
      <c r="AH53" s="50"/>
      <c r="AI53" s="50"/>
      <c r="AJ53" s="50"/>
    </row>
    <row r="54" spans="1:36" ht="18.75" customHeight="1">
      <c r="A54" s="268">
        <v>5</v>
      </c>
      <c r="B54" s="271"/>
      <c r="C54" s="274"/>
      <c r="D54" s="70" t="s">
        <v>300</v>
      </c>
      <c r="E54" s="71">
        <f>tkr!$J$9</f>
        <v>83</v>
      </c>
      <c r="F54" s="71">
        <f>tkr!$P$9</f>
        <v>80</v>
      </c>
      <c r="G54" s="71">
        <f>tkr!$V$9</f>
        <v>80</v>
      </c>
      <c r="H54" s="72"/>
      <c r="I54" s="72"/>
      <c r="J54" s="73"/>
      <c r="K54" s="73"/>
      <c r="L54" s="71">
        <f>tkr!$AL$9</f>
        <v>80</v>
      </c>
      <c r="M54" s="71">
        <f>tkr!$AR$9</f>
        <v>79</v>
      </c>
      <c r="N54" s="71">
        <f>tkr!$AX$9</f>
        <v>79</v>
      </c>
      <c r="O54" s="73"/>
      <c r="P54" s="74"/>
      <c r="Q54" s="74"/>
      <c r="R54" s="85">
        <f>tkr!$BT$9</f>
        <v>86</v>
      </c>
      <c r="S54" s="85">
        <f>tkr!$BX$9</f>
        <v>86</v>
      </c>
      <c r="T54" s="85">
        <f>tkr!$BY$9</f>
        <v>82</v>
      </c>
      <c r="U54" s="75">
        <f>tkr!$CC$9</f>
        <v>79</v>
      </c>
      <c r="V54" s="58"/>
      <c r="X54" s="278">
        <v>9</v>
      </c>
      <c r="Z54" s="50"/>
      <c r="AA54" s="50"/>
      <c r="AB54" s="50"/>
      <c r="AC54" s="50"/>
      <c r="AD54" s="50"/>
      <c r="AE54" s="50"/>
      <c r="AF54" s="50"/>
      <c r="AG54" s="50"/>
      <c r="AH54" s="50"/>
      <c r="AI54" s="50"/>
      <c r="AJ54" s="50"/>
    </row>
    <row r="55" spans="1:36" ht="18.75" customHeight="1">
      <c r="A55" s="268">
        <v>5</v>
      </c>
      <c r="B55" s="271"/>
      <c r="C55" s="274"/>
      <c r="D55" s="76" t="s">
        <v>301</v>
      </c>
      <c r="E55" s="77">
        <f>tkr!$CD$9</f>
        <v>89</v>
      </c>
      <c r="F55" s="77">
        <f>tkr!$CE$9</f>
        <v>88</v>
      </c>
      <c r="G55" s="77">
        <f>tkr!$CF$9</f>
        <v>87</v>
      </c>
      <c r="H55" s="72"/>
      <c r="I55" s="72"/>
      <c r="J55" s="73"/>
      <c r="K55" s="73"/>
      <c r="L55" s="77">
        <f>tkr!$CG$9</f>
        <v>87</v>
      </c>
      <c r="M55" s="77">
        <f>tkr!$CH$9</f>
        <v>83</v>
      </c>
      <c r="N55" s="77">
        <f>tkr!$CI$9</f>
        <v>83</v>
      </c>
      <c r="O55" s="73"/>
      <c r="P55" s="74"/>
      <c r="Q55" s="74"/>
      <c r="R55" s="86">
        <f>tkr!$CL$9</f>
        <v>70</v>
      </c>
      <c r="S55" s="86">
        <f>tkr!$CK$9</f>
        <v>80</v>
      </c>
      <c r="T55" s="74"/>
      <c r="U55" s="86">
        <f>tkr!$CJ$9</f>
        <v>81</v>
      </c>
      <c r="V55" s="58"/>
      <c r="X55" s="278">
        <v>9</v>
      </c>
      <c r="Z55" s="50"/>
      <c r="AA55" s="50"/>
      <c r="AB55" s="50"/>
      <c r="AC55" s="50"/>
      <c r="AD55" s="50"/>
      <c r="AE55" s="50"/>
      <c r="AF55" s="50"/>
      <c r="AG55" s="50"/>
      <c r="AH55" s="50"/>
      <c r="AI55" s="50"/>
      <c r="AJ55" s="50"/>
    </row>
    <row r="56" spans="1:36" ht="17.25" customHeight="1" thickBot="1">
      <c r="A56" s="269">
        <v>5</v>
      </c>
      <c r="B56" s="272"/>
      <c r="C56" s="275"/>
      <c r="D56" s="78" t="s">
        <v>302</v>
      </c>
      <c r="E56" s="79">
        <f>(E53*4+E54*3+E55*3)/10</f>
        <v>87.84</v>
      </c>
      <c r="F56" s="79">
        <f t="shared" ref="F56:G56" si="7">(F53*4+F54*3+F55*3)/10</f>
        <v>86.08</v>
      </c>
      <c r="G56" s="79">
        <f t="shared" si="7"/>
        <v>82.97999999999999</v>
      </c>
      <c r="H56" s="79">
        <f>AVERAGE(H48:H51)</f>
        <v>84.5</v>
      </c>
      <c r="I56" s="79">
        <f>AVERAGE(I48:I51)</f>
        <v>84.25</v>
      </c>
      <c r="J56" s="79">
        <f>AVERAGE(J48:J49)</f>
        <v>90.5</v>
      </c>
      <c r="K56" s="79">
        <f>AVERAGE(K48:K51)</f>
        <v>80.75</v>
      </c>
      <c r="L56" s="79">
        <f>(L53*4+L54*3+L55*3)/10</f>
        <v>83.3</v>
      </c>
      <c r="M56" s="79">
        <f>(M53*4+M54*3+M55*3)/10</f>
        <v>80.92</v>
      </c>
      <c r="N56" s="79">
        <f>(N53*4+N54*3+N55*3)/10</f>
        <v>80.599999999999994</v>
      </c>
      <c r="O56" s="79">
        <f>AVERAGE(O48:O49)</f>
        <v>78.5</v>
      </c>
      <c r="P56" s="79">
        <f>AVERAGE(P48:P49)</f>
        <v>87.5</v>
      </c>
      <c r="Q56" s="79">
        <f>AVERAGE(Q48:Q49)</f>
        <v>82.5</v>
      </c>
      <c r="R56" s="79">
        <f>(R53*4+R54*3+R55*3)/10</f>
        <v>79.599999999999994</v>
      </c>
      <c r="S56" s="79">
        <f>(S53*4+S54*3+S55*3)/10</f>
        <v>82.6</v>
      </c>
      <c r="T56" s="79">
        <f>T54</f>
        <v>82</v>
      </c>
      <c r="U56" s="79">
        <f t="shared" ref="U56" si="8">(U53*4+U54*3+U55*3)/10</f>
        <v>80.26666666666668</v>
      </c>
      <c r="V56" s="80">
        <f>AVERAGE(E56:U56)</f>
        <v>83.216862745098013</v>
      </c>
      <c r="X56" s="278">
        <v>9</v>
      </c>
      <c r="Z56" s="50"/>
      <c r="AA56" s="50"/>
      <c r="AB56" s="50"/>
      <c r="AC56" s="50"/>
      <c r="AD56" s="50"/>
      <c r="AE56" s="50"/>
      <c r="AF56" s="50"/>
      <c r="AG56" s="50"/>
      <c r="AH56" s="50"/>
      <c r="AI56" s="50"/>
      <c r="AJ56" s="50"/>
    </row>
    <row r="57" spans="1:36" ht="18" customHeight="1" thickTop="1" thickBot="1">
      <c r="A57" s="268">
        <v>6</v>
      </c>
      <c r="B57" s="270" t="s">
        <v>482</v>
      </c>
      <c r="C57" s="273" t="s">
        <v>483</v>
      </c>
      <c r="D57" s="52" t="s">
        <v>294</v>
      </c>
      <c r="E57" s="53">
        <f>tkr!$E$10</f>
        <v>91</v>
      </c>
      <c r="F57" s="53">
        <f>tkr!$K$10</f>
        <v>87</v>
      </c>
      <c r="G57" s="53">
        <f>tkr!$Q$10</f>
        <v>83</v>
      </c>
      <c r="H57" s="53">
        <f>tkr!$W$10</f>
        <v>85</v>
      </c>
      <c r="I57" s="53">
        <f>tkr!$AA$10</f>
        <v>80</v>
      </c>
      <c r="J57" s="53">
        <f>tkr!$AE$10</f>
        <v>94</v>
      </c>
      <c r="K57" s="54">
        <f>tkr!$AG$10</f>
        <v>80</v>
      </c>
      <c r="L57" s="55"/>
      <c r="M57" s="53">
        <f>tkr!$AM$10</f>
        <v>87</v>
      </c>
      <c r="N57" s="53">
        <f>tkr!$AS$10</f>
        <v>77</v>
      </c>
      <c r="O57" s="53">
        <f>tkr!$AY$10</f>
        <v>74</v>
      </c>
      <c r="P57" s="54">
        <f>tkr!$BA$10</f>
        <v>80</v>
      </c>
      <c r="Q57" s="54">
        <f>tkr!$BC$10</f>
        <v>81</v>
      </c>
      <c r="R57" s="55"/>
      <c r="S57" s="55"/>
      <c r="T57" s="55"/>
      <c r="U57" s="55"/>
      <c r="V57" s="56"/>
      <c r="X57" s="278">
        <v>10</v>
      </c>
    </row>
    <row r="58" spans="1:36" ht="15" thickBot="1">
      <c r="A58" s="268">
        <v>6</v>
      </c>
      <c r="B58" s="271"/>
      <c r="C58" s="274"/>
      <c r="D58" s="52" t="s">
        <v>295</v>
      </c>
      <c r="E58" s="53">
        <f>tkr!$F$10</f>
        <v>87</v>
      </c>
      <c r="F58" s="53">
        <f>tkr!$L$10</f>
        <v>83</v>
      </c>
      <c r="G58" s="53">
        <f>tkr!$R$10</f>
        <v>76</v>
      </c>
      <c r="H58" s="53">
        <f>tkr!$X$10</f>
        <v>85</v>
      </c>
      <c r="I58" s="53">
        <f>tkr!$AB$10</f>
        <v>83</v>
      </c>
      <c r="J58" s="53">
        <f>tkr!$AF$10</f>
        <v>83</v>
      </c>
      <c r="K58" s="54">
        <f>tkr!$AH$10</f>
        <v>74</v>
      </c>
      <c r="L58" s="55"/>
      <c r="M58" s="53">
        <f>tkr!$AN$10</f>
        <v>88</v>
      </c>
      <c r="N58" s="53">
        <f>tkr!$AT$10</f>
        <v>80</v>
      </c>
      <c r="O58" s="53">
        <f>tkr!$AZ$10</f>
        <v>78</v>
      </c>
      <c r="P58" s="54">
        <f>tkr!$BB$10</f>
        <v>82</v>
      </c>
      <c r="Q58" s="54">
        <f>tkr!$BD$10</f>
        <v>80</v>
      </c>
      <c r="R58" s="55"/>
      <c r="S58" s="55"/>
      <c r="T58" s="55"/>
      <c r="U58" s="55"/>
      <c r="V58" s="58"/>
      <c r="X58" s="278">
        <v>10</v>
      </c>
    </row>
    <row r="59" spans="1:36" ht="15" thickBot="1">
      <c r="A59" s="268">
        <v>6</v>
      </c>
      <c r="B59" s="271"/>
      <c r="C59" s="274"/>
      <c r="D59" s="52" t="s">
        <v>296</v>
      </c>
      <c r="E59" s="53">
        <f>tkr!$G$10</f>
        <v>91</v>
      </c>
      <c r="F59" s="53">
        <f>tkr!$M$10</f>
        <v>95</v>
      </c>
      <c r="G59" s="53">
        <f>tkr!$S$10</f>
        <v>84</v>
      </c>
      <c r="H59" s="53">
        <f>tkr!$Y$10</f>
        <v>84</v>
      </c>
      <c r="I59" s="53">
        <f>tkr!$AC$10</f>
        <v>85</v>
      </c>
      <c r="J59" s="59"/>
      <c r="K59" s="54">
        <f>tkr!$AI$10</f>
        <v>72</v>
      </c>
      <c r="L59" s="55"/>
      <c r="M59" s="53">
        <f>tkr!$AO$10</f>
        <v>80</v>
      </c>
      <c r="N59" s="53">
        <f>tkr!$AU$10</f>
        <v>80</v>
      </c>
      <c r="O59" s="59"/>
      <c r="P59" s="55"/>
      <c r="Q59" s="55"/>
      <c r="R59" s="54">
        <f>tkr!$BQ$10</f>
        <v>82</v>
      </c>
      <c r="S59" s="54">
        <f>tkr!$BU$10</f>
        <v>78</v>
      </c>
      <c r="T59" s="55"/>
      <c r="U59" s="54">
        <f>tkr!$BZ$10</f>
        <v>73</v>
      </c>
      <c r="V59" s="58"/>
      <c r="X59" s="278">
        <v>10</v>
      </c>
    </row>
    <row r="60" spans="1:36" ht="15" thickBot="1">
      <c r="A60" s="268">
        <v>6</v>
      </c>
      <c r="B60" s="271"/>
      <c r="C60" s="274"/>
      <c r="D60" s="62" t="s">
        <v>297</v>
      </c>
      <c r="E60" s="53">
        <f>tkr!$H$10</f>
        <v>82</v>
      </c>
      <c r="F60" s="53">
        <f>tkr!$N$10</f>
        <v>87</v>
      </c>
      <c r="G60" s="53">
        <f>tkr!$T$10</f>
        <v>85</v>
      </c>
      <c r="H60" s="53">
        <f>tkr!$Z$10</f>
        <v>86</v>
      </c>
      <c r="I60" s="53">
        <f>tkr!$AD$10</f>
        <v>86</v>
      </c>
      <c r="J60" s="59"/>
      <c r="K60" s="54">
        <f>tkr!$AJ$10</f>
        <v>80</v>
      </c>
      <c r="L60" s="55"/>
      <c r="M60" s="53">
        <f>tkr!$AP$10</f>
        <v>84</v>
      </c>
      <c r="N60" s="53">
        <f>tkr!$AV$10</f>
        <v>77</v>
      </c>
      <c r="O60" s="59"/>
      <c r="P60" s="55"/>
      <c r="Q60" s="55"/>
      <c r="R60" s="54">
        <f>tkr!$BR$10</f>
        <v>81.666666666666671</v>
      </c>
      <c r="S60" s="54">
        <f>tkr!$BV$10</f>
        <v>80</v>
      </c>
      <c r="T60" s="63"/>
      <c r="U60" s="54">
        <f>tkr!$CA$10</f>
        <v>84</v>
      </c>
      <c r="V60" s="58"/>
      <c r="X60" s="278">
        <v>10</v>
      </c>
    </row>
    <row r="61" spans="1:36">
      <c r="A61" s="268">
        <v>6</v>
      </c>
      <c r="B61" s="271"/>
      <c r="C61" s="274"/>
      <c r="D61" s="62" t="s">
        <v>298</v>
      </c>
      <c r="E61" s="53">
        <f>tkr!$I$10</f>
        <v>91</v>
      </c>
      <c r="F61" s="53">
        <f>tkr!$O$10</f>
        <v>92</v>
      </c>
      <c r="G61" s="53">
        <f>tkr!$U$10</f>
        <v>83</v>
      </c>
      <c r="H61" s="65"/>
      <c r="I61" s="65"/>
      <c r="J61" s="59"/>
      <c r="K61" s="59"/>
      <c r="L61" s="53">
        <f>tkr!$AK$10</f>
        <v>86</v>
      </c>
      <c r="M61" s="53">
        <f>tkr!$AQ$10</f>
        <v>85</v>
      </c>
      <c r="N61" s="53">
        <f>tkr!$AW$10</f>
        <v>80</v>
      </c>
      <c r="O61" s="59"/>
      <c r="P61" s="55"/>
      <c r="Q61" s="55"/>
      <c r="R61" s="54">
        <f>tkr!$BS$10</f>
        <v>83</v>
      </c>
      <c r="S61" s="54">
        <f>tkr!$BW$10</f>
        <v>86</v>
      </c>
      <c r="T61" s="54"/>
      <c r="U61" s="54">
        <f>tkr!$CB$10</f>
        <v>76</v>
      </c>
      <c r="V61" s="58"/>
      <c r="X61" s="278">
        <v>10</v>
      </c>
    </row>
    <row r="62" spans="1:36">
      <c r="A62" s="268">
        <v>6</v>
      </c>
      <c r="B62" s="271"/>
      <c r="C62" s="274"/>
      <c r="D62" s="66" t="s">
        <v>299</v>
      </c>
      <c r="E62" s="67">
        <f>AVERAGE(E57:E61)</f>
        <v>88.4</v>
      </c>
      <c r="F62" s="67">
        <f>AVERAGE(F57:F61)</f>
        <v>88.8</v>
      </c>
      <c r="G62" s="67">
        <f>AVERAGE(G57:G61)</f>
        <v>82.2</v>
      </c>
      <c r="H62" s="68"/>
      <c r="I62" s="68"/>
      <c r="J62" s="69"/>
      <c r="K62" s="69"/>
      <c r="L62" s="67">
        <f>AVERAGE(L57:L61)</f>
        <v>86</v>
      </c>
      <c r="M62" s="67">
        <f>AVERAGE(M57:M61)</f>
        <v>84.8</v>
      </c>
      <c r="N62" s="67">
        <f>AVERAGE(N57:N61)</f>
        <v>78.8</v>
      </c>
      <c r="O62" s="69"/>
      <c r="P62" s="63"/>
      <c r="Q62" s="63"/>
      <c r="R62" s="84">
        <f>AVERAGE(R59:R61)</f>
        <v>82.222222222222229</v>
      </c>
      <c r="S62" s="84">
        <f>AVERAGE(S59:S61)</f>
        <v>81.333333333333329</v>
      </c>
      <c r="T62" s="63"/>
      <c r="U62" s="84">
        <f>AVERAGE(U57:U61)</f>
        <v>77.666666666666671</v>
      </c>
      <c r="V62" s="58"/>
      <c r="X62" s="278">
        <v>10</v>
      </c>
    </row>
    <row r="63" spans="1:36">
      <c r="A63" s="268">
        <v>6</v>
      </c>
      <c r="B63" s="271"/>
      <c r="C63" s="274"/>
      <c r="D63" s="70" t="s">
        <v>300</v>
      </c>
      <c r="E63" s="71">
        <f>tkr!$J$10</f>
        <v>95</v>
      </c>
      <c r="F63" s="71">
        <f>tkr!$P$10</f>
        <v>90</v>
      </c>
      <c r="G63" s="71">
        <f>tkr!$V$10</f>
        <v>90</v>
      </c>
      <c r="H63" s="72"/>
      <c r="I63" s="72"/>
      <c r="J63" s="73"/>
      <c r="K63" s="73"/>
      <c r="L63" s="71">
        <f>tkr!$AL$10</f>
        <v>90</v>
      </c>
      <c r="M63" s="71">
        <f>tkr!$AR$10</f>
        <v>95</v>
      </c>
      <c r="N63" s="71">
        <f>tkr!$AX$10</f>
        <v>95</v>
      </c>
      <c r="O63" s="73"/>
      <c r="P63" s="74"/>
      <c r="Q63" s="74"/>
      <c r="R63" s="85">
        <f>tkr!$BT$10</f>
        <v>93</v>
      </c>
      <c r="S63" s="85">
        <f>tkr!$BX$10</f>
        <v>93</v>
      </c>
      <c r="T63" s="85">
        <f>tkr!$BY$10</f>
        <v>93</v>
      </c>
      <c r="U63" s="75">
        <f>tkr!$CC$10</f>
        <v>95</v>
      </c>
      <c r="V63" s="58"/>
      <c r="X63" s="278">
        <v>10</v>
      </c>
    </row>
    <row r="64" spans="1:36">
      <c r="A64" s="268">
        <v>6</v>
      </c>
      <c r="B64" s="271"/>
      <c r="C64" s="274"/>
      <c r="D64" s="76" t="s">
        <v>301</v>
      </c>
      <c r="E64" s="77">
        <f>tkr!$CD$10</f>
        <v>87</v>
      </c>
      <c r="F64" s="77">
        <f>tkr!$CE$10</f>
        <v>80</v>
      </c>
      <c r="G64" s="77">
        <f>tkr!$CF$10</f>
        <v>80</v>
      </c>
      <c r="H64" s="72"/>
      <c r="I64" s="72"/>
      <c r="J64" s="73"/>
      <c r="K64" s="73"/>
      <c r="L64" s="77">
        <f>tkr!$CG$10</f>
        <v>70</v>
      </c>
      <c r="M64" s="77">
        <f>tkr!$CH$10</f>
        <v>86</v>
      </c>
      <c r="N64" s="77">
        <f>tkr!$CI$10</f>
        <v>83</v>
      </c>
      <c r="O64" s="73"/>
      <c r="P64" s="74"/>
      <c r="Q64" s="74"/>
      <c r="R64" s="86">
        <f>tkr!$CL$10</f>
        <v>70</v>
      </c>
      <c r="S64" s="86">
        <f>tkr!$CK$10</f>
        <v>82</v>
      </c>
      <c r="T64" s="74"/>
      <c r="U64" s="86">
        <f>tkr!$CJ$10</f>
        <v>84</v>
      </c>
      <c r="V64" s="58"/>
      <c r="X64" s="278">
        <v>10</v>
      </c>
    </row>
    <row r="65" spans="1:24" ht="15" thickBot="1">
      <c r="A65" s="269">
        <v>6</v>
      </c>
      <c r="B65" s="272"/>
      <c r="C65" s="275"/>
      <c r="D65" s="78" t="s">
        <v>302</v>
      </c>
      <c r="E65" s="79">
        <f>(E62*4+E63*3+E64*3)/10</f>
        <v>89.960000000000008</v>
      </c>
      <c r="F65" s="79">
        <f t="shared" ref="F65:G65" si="9">(F62*4+F63*3+F64*3)/10</f>
        <v>86.52000000000001</v>
      </c>
      <c r="G65" s="79">
        <f t="shared" si="9"/>
        <v>83.88</v>
      </c>
      <c r="H65" s="79">
        <f>AVERAGE(H57:H60)</f>
        <v>85</v>
      </c>
      <c r="I65" s="79">
        <f>AVERAGE(I57:I60)</f>
        <v>83.5</v>
      </c>
      <c r="J65" s="79">
        <f>AVERAGE(J57:J58)</f>
        <v>88.5</v>
      </c>
      <c r="K65" s="79">
        <f>AVERAGE(K57:K60)</f>
        <v>76.5</v>
      </c>
      <c r="L65" s="79">
        <f>(L62*4+L63*3+L64*3)/10</f>
        <v>82.4</v>
      </c>
      <c r="M65" s="79">
        <f>(M62*4+M63*3+M64*3)/10</f>
        <v>88.22</v>
      </c>
      <c r="N65" s="79">
        <f>(N62*4+N63*3+N64*3)/10</f>
        <v>84.92</v>
      </c>
      <c r="O65" s="79">
        <f>AVERAGE(O57:O58)</f>
        <v>76</v>
      </c>
      <c r="P65" s="79">
        <f>AVERAGE(P57:P58)</f>
        <v>81</v>
      </c>
      <c r="Q65" s="79">
        <f>AVERAGE(Q57:Q58)</f>
        <v>80.5</v>
      </c>
      <c r="R65" s="79">
        <f>(R62*4+R63*3+R64*3)/10</f>
        <v>81.788888888888891</v>
      </c>
      <c r="S65" s="79">
        <f>(S62*4+S63*3+S64*3)/10</f>
        <v>85.033333333333331</v>
      </c>
      <c r="T65" s="79">
        <f>T63</f>
        <v>93</v>
      </c>
      <c r="U65" s="79">
        <f t="shared" ref="U65" si="10">(U62*4+U63*3+U64*3)/10</f>
        <v>84.76666666666668</v>
      </c>
      <c r="V65" s="80">
        <f>AVERAGE(E65:U65)</f>
        <v>84.205228758169937</v>
      </c>
      <c r="X65" s="278">
        <v>10</v>
      </c>
    </row>
    <row r="66" spans="1:24" ht="15.6" thickTop="1" thickBot="1">
      <c r="A66" s="268">
        <v>7</v>
      </c>
      <c r="B66" s="270" t="s">
        <v>484</v>
      </c>
      <c r="C66" s="273" t="s">
        <v>485</v>
      </c>
      <c r="D66" s="52" t="s">
        <v>294</v>
      </c>
      <c r="E66" s="53">
        <f>tkr!$E$11</f>
        <v>87</v>
      </c>
      <c r="F66" s="53">
        <f>tkr!$K$11</f>
        <v>77</v>
      </c>
      <c r="G66" s="53">
        <f>tkr!$Q$11</f>
        <v>78</v>
      </c>
      <c r="H66" s="53">
        <f>tkr!$W$11</f>
        <v>82</v>
      </c>
      <c r="I66" s="53">
        <f>tkr!$AA$11</f>
        <v>84</v>
      </c>
      <c r="J66" s="53">
        <f>tkr!$AE$11</f>
        <v>94</v>
      </c>
      <c r="K66" s="54">
        <f>tkr!$AG$11</f>
        <v>77</v>
      </c>
      <c r="L66" s="55"/>
      <c r="M66" s="53">
        <f>tkr!$AM$11</f>
        <v>74</v>
      </c>
      <c r="N66" s="53">
        <f>tkr!$AS$11</f>
        <v>75</v>
      </c>
      <c r="O66" s="53">
        <f>tkr!$AY$11</f>
        <v>77</v>
      </c>
      <c r="P66" s="54">
        <f>tkr!$BA$11</f>
        <v>80</v>
      </c>
      <c r="Q66" s="54">
        <f>tkr!$BC$11</f>
        <v>81</v>
      </c>
      <c r="R66" s="55"/>
      <c r="S66" s="55"/>
      <c r="T66" s="55"/>
      <c r="U66" s="55"/>
      <c r="V66" s="56"/>
      <c r="X66" s="278">
        <v>11</v>
      </c>
    </row>
    <row r="67" spans="1:24" ht="15" thickBot="1">
      <c r="A67" s="268">
        <v>7</v>
      </c>
      <c r="B67" s="271"/>
      <c r="C67" s="274"/>
      <c r="D67" s="52" t="s">
        <v>295</v>
      </c>
      <c r="E67" s="53">
        <f>tkr!$F$11</f>
        <v>87</v>
      </c>
      <c r="F67" s="53">
        <f>tkr!$L$11</f>
        <v>82</v>
      </c>
      <c r="G67" s="53">
        <f>tkr!$R$11</f>
        <v>85</v>
      </c>
      <c r="H67" s="53">
        <f>tkr!$X$11</f>
        <v>84</v>
      </c>
      <c r="I67" s="53">
        <f>tkr!$AB$11</f>
        <v>82</v>
      </c>
      <c r="J67" s="53">
        <f>tkr!$AF$11</f>
        <v>87</v>
      </c>
      <c r="K67" s="54">
        <f>tkr!$AH$11</f>
        <v>75</v>
      </c>
      <c r="L67" s="55"/>
      <c r="M67" s="53">
        <f>tkr!$AN$11</f>
        <v>75</v>
      </c>
      <c r="N67" s="53">
        <f>tkr!$AT$11</f>
        <v>78</v>
      </c>
      <c r="O67" s="53">
        <f>tkr!$AZ$11</f>
        <v>80</v>
      </c>
      <c r="P67" s="54">
        <f>tkr!$BB$11</f>
        <v>82</v>
      </c>
      <c r="Q67" s="54">
        <f>tkr!$BD$11</f>
        <v>84</v>
      </c>
      <c r="R67" s="55"/>
      <c r="S67" s="55"/>
      <c r="T67" s="55"/>
      <c r="U67" s="55"/>
      <c r="V67" s="58"/>
      <c r="X67" s="278">
        <v>11</v>
      </c>
    </row>
    <row r="68" spans="1:24" ht="15" thickBot="1">
      <c r="A68" s="268">
        <v>7</v>
      </c>
      <c r="B68" s="271"/>
      <c r="C68" s="274"/>
      <c r="D68" s="52" t="s">
        <v>296</v>
      </c>
      <c r="E68" s="53">
        <f>tkr!$G$11</f>
        <v>92</v>
      </c>
      <c r="F68" s="53">
        <f>tkr!$M$11</f>
        <v>91</v>
      </c>
      <c r="G68" s="53">
        <f>tkr!$S$11</f>
        <v>80</v>
      </c>
      <c r="H68" s="53">
        <f>tkr!$Y$11</f>
        <v>84</v>
      </c>
      <c r="I68" s="53">
        <f>tkr!$AC$11</f>
        <v>84</v>
      </c>
      <c r="J68" s="59"/>
      <c r="K68" s="54">
        <f>tkr!$AI$11</f>
        <v>72</v>
      </c>
      <c r="L68" s="55"/>
      <c r="M68" s="53">
        <f>tkr!$AO$11</f>
        <v>78</v>
      </c>
      <c r="N68" s="53">
        <f>tkr!$AU$11</f>
        <v>78</v>
      </c>
      <c r="O68" s="59"/>
      <c r="P68" s="55"/>
      <c r="Q68" s="55"/>
      <c r="R68" s="54">
        <f>tkr!$BQ$11</f>
        <v>83.333333333333329</v>
      </c>
      <c r="S68" s="54">
        <f>tkr!$BU$11</f>
        <v>81</v>
      </c>
      <c r="T68" s="55"/>
      <c r="U68" s="54">
        <f>tkr!$BZ$11</f>
        <v>72</v>
      </c>
      <c r="V68" s="58"/>
      <c r="X68" s="278">
        <v>11</v>
      </c>
    </row>
    <row r="69" spans="1:24" ht="15" thickBot="1">
      <c r="A69" s="268">
        <v>7</v>
      </c>
      <c r="B69" s="271"/>
      <c r="C69" s="274"/>
      <c r="D69" s="62" t="s">
        <v>297</v>
      </c>
      <c r="E69" s="53">
        <f>tkr!$H$11</f>
        <v>85</v>
      </c>
      <c r="F69" s="53">
        <f>tkr!$N$11</f>
        <v>88</v>
      </c>
      <c r="G69" s="53">
        <f>tkr!$T$11</f>
        <v>87</v>
      </c>
      <c r="H69" s="53">
        <f>tkr!$Z$11</f>
        <v>85</v>
      </c>
      <c r="I69" s="53">
        <f>tkr!$AD$11</f>
        <v>85</v>
      </c>
      <c r="J69" s="59"/>
      <c r="K69" s="54">
        <f>tkr!$AJ$11</f>
        <v>80</v>
      </c>
      <c r="L69" s="55"/>
      <c r="M69" s="53">
        <f>tkr!$AP$11</f>
        <v>78</v>
      </c>
      <c r="N69" s="53">
        <f>tkr!$AV$11</f>
        <v>78</v>
      </c>
      <c r="O69" s="59"/>
      <c r="P69" s="55"/>
      <c r="Q69" s="55"/>
      <c r="R69" s="54">
        <f>tkr!$BR$11</f>
        <v>83.333333333333329</v>
      </c>
      <c r="S69" s="54">
        <f>tkr!$BV$11</f>
        <v>82</v>
      </c>
      <c r="T69" s="63"/>
      <c r="U69" s="54">
        <f>tkr!$CA$11</f>
        <v>80</v>
      </c>
      <c r="V69" s="58"/>
      <c r="X69" s="278">
        <v>11</v>
      </c>
    </row>
    <row r="70" spans="1:24">
      <c r="A70" s="268">
        <v>7</v>
      </c>
      <c r="B70" s="271"/>
      <c r="C70" s="274"/>
      <c r="D70" s="62" t="s">
        <v>298</v>
      </c>
      <c r="E70" s="53">
        <f>tkr!$I$11</f>
        <v>91</v>
      </c>
      <c r="F70" s="53">
        <f>tkr!$O$11</f>
        <v>93</v>
      </c>
      <c r="G70" s="53">
        <f>tkr!$U$11</f>
        <v>87</v>
      </c>
      <c r="H70" s="65"/>
      <c r="I70" s="65"/>
      <c r="J70" s="59"/>
      <c r="K70" s="59"/>
      <c r="L70" s="53">
        <f>tkr!$AK$11</f>
        <v>80</v>
      </c>
      <c r="M70" s="53">
        <f>tkr!$AQ$11</f>
        <v>79</v>
      </c>
      <c r="N70" s="53">
        <f>tkr!$AW$11</f>
        <v>78</v>
      </c>
      <c r="O70" s="59"/>
      <c r="P70" s="55"/>
      <c r="Q70" s="55"/>
      <c r="R70" s="54">
        <f>tkr!$BS$11</f>
        <v>79</v>
      </c>
      <c r="S70" s="54">
        <f>tkr!$BW$11</f>
        <v>80</v>
      </c>
      <c r="T70" s="54"/>
      <c r="U70" s="54">
        <f>tkr!$CB$11</f>
        <v>75</v>
      </c>
      <c r="V70" s="58"/>
      <c r="X70" s="278">
        <v>11</v>
      </c>
    </row>
    <row r="71" spans="1:24">
      <c r="A71" s="268">
        <v>7</v>
      </c>
      <c r="B71" s="271"/>
      <c r="C71" s="274"/>
      <c r="D71" s="66" t="s">
        <v>299</v>
      </c>
      <c r="E71" s="67">
        <f>AVERAGE(E66:E70)</f>
        <v>88.4</v>
      </c>
      <c r="F71" s="67">
        <f>AVERAGE(F66:F70)</f>
        <v>86.2</v>
      </c>
      <c r="G71" s="67">
        <f>AVERAGE(G66:G70)</f>
        <v>83.4</v>
      </c>
      <c r="H71" s="68"/>
      <c r="I71" s="68"/>
      <c r="J71" s="69"/>
      <c r="K71" s="69"/>
      <c r="L71" s="67">
        <f>AVERAGE(L66:L70)</f>
        <v>80</v>
      </c>
      <c r="M71" s="67">
        <f>AVERAGE(M66:M70)</f>
        <v>76.8</v>
      </c>
      <c r="N71" s="67">
        <f>AVERAGE(N66:N70)</f>
        <v>77.400000000000006</v>
      </c>
      <c r="O71" s="69"/>
      <c r="P71" s="63"/>
      <c r="Q71" s="63"/>
      <c r="R71" s="84">
        <f>AVERAGE(R68:R70)</f>
        <v>81.888888888888886</v>
      </c>
      <c r="S71" s="84">
        <f>AVERAGE(S68:S70)</f>
        <v>81</v>
      </c>
      <c r="T71" s="63"/>
      <c r="U71" s="84">
        <f>AVERAGE(U66:U70)</f>
        <v>75.666666666666671</v>
      </c>
      <c r="V71" s="58"/>
      <c r="X71" s="278">
        <v>11</v>
      </c>
    </row>
    <row r="72" spans="1:24">
      <c r="A72" s="268">
        <v>7</v>
      </c>
      <c r="B72" s="271"/>
      <c r="C72" s="274"/>
      <c r="D72" s="70" t="s">
        <v>300</v>
      </c>
      <c r="E72" s="71">
        <f>tkr!$J$11</f>
        <v>85</v>
      </c>
      <c r="F72" s="71">
        <f>tkr!$P$11</f>
        <v>80</v>
      </c>
      <c r="G72" s="71">
        <f>tkr!$V$11</f>
        <v>81</v>
      </c>
      <c r="H72" s="72"/>
      <c r="I72" s="72"/>
      <c r="J72" s="73"/>
      <c r="K72" s="73"/>
      <c r="L72" s="71">
        <f>tkr!$AL$11</f>
        <v>81</v>
      </c>
      <c r="M72" s="71">
        <f>tkr!$AR$11</f>
        <v>80</v>
      </c>
      <c r="N72" s="71">
        <f>tkr!$AX$11</f>
        <v>80</v>
      </c>
      <c r="O72" s="73"/>
      <c r="P72" s="74"/>
      <c r="Q72" s="74"/>
      <c r="R72" s="85">
        <f>tkr!$BT$11</f>
        <v>83</v>
      </c>
      <c r="S72" s="85">
        <f>tkr!$BX$11</f>
        <v>83</v>
      </c>
      <c r="T72" s="85">
        <f>tkr!$BY$11</f>
        <v>82</v>
      </c>
      <c r="U72" s="75">
        <f>tkr!$CC$11</f>
        <v>80</v>
      </c>
      <c r="V72" s="58"/>
      <c r="X72" s="278">
        <v>11</v>
      </c>
    </row>
    <row r="73" spans="1:24">
      <c r="A73" s="268">
        <v>7</v>
      </c>
      <c r="B73" s="271"/>
      <c r="C73" s="274"/>
      <c r="D73" s="76" t="s">
        <v>301</v>
      </c>
      <c r="E73" s="77">
        <f>tkr!$CD$11</f>
        <v>89</v>
      </c>
      <c r="F73" s="77">
        <f>tkr!$CE$11</f>
        <v>90</v>
      </c>
      <c r="G73" s="77">
        <f>tkr!$CF$11</f>
        <v>88</v>
      </c>
      <c r="H73" s="72"/>
      <c r="I73" s="72"/>
      <c r="J73" s="73"/>
      <c r="K73" s="73"/>
      <c r="L73" s="77">
        <f>tkr!$CG$11</f>
        <v>92</v>
      </c>
      <c r="M73" s="77">
        <f>tkr!$CH$11</f>
        <v>80</v>
      </c>
      <c r="N73" s="77">
        <f>tkr!$CI$11</f>
        <v>85</v>
      </c>
      <c r="O73" s="73"/>
      <c r="P73" s="74"/>
      <c r="Q73" s="74"/>
      <c r="R73" s="86">
        <f>tkr!$CL$11</f>
        <v>70</v>
      </c>
      <c r="S73" s="86">
        <f>tkr!$CK$11</f>
        <v>81</v>
      </c>
      <c r="T73" s="74"/>
      <c r="U73" s="86">
        <f>tkr!$CJ$11</f>
        <v>82</v>
      </c>
      <c r="V73" s="58"/>
      <c r="X73" s="278">
        <v>11</v>
      </c>
    </row>
    <row r="74" spans="1:24" ht="15" thickBot="1">
      <c r="A74" s="269">
        <v>7</v>
      </c>
      <c r="B74" s="272"/>
      <c r="C74" s="275"/>
      <c r="D74" s="78" t="s">
        <v>302</v>
      </c>
      <c r="E74" s="79">
        <f>(E71*4+E72*3+E73*3)/10</f>
        <v>87.56</v>
      </c>
      <c r="F74" s="79">
        <f t="shared" ref="F74:G74" si="11">(F71*4+F72*3+F73*3)/10</f>
        <v>85.47999999999999</v>
      </c>
      <c r="G74" s="79">
        <f t="shared" si="11"/>
        <v>84.06</v>
      </c>
      <c r="H74" s="79">
        <f>AVERAGE(H66:H69)</f>
        <v>83.75</v>
      </c>
      <c r="I74" s="79">
        <f>AVERAGE(I66:I69)</f>
        <v>83.75</v>
      </c>
      <c r="J74" s="79">
        <f>AVERAGE(J66:J67)</f>
        <v>90.5</v>
      </c>
      <c r="K74" s="79">
        <f>AVERAGE(K66:K69)</f>
        <v>76</v>
      </c>
      <c r="L74" s="79">
        <f>(L71*4+L72*3+L73*3)/10</f>
        <v>83.9</v>
      </c>
      <c r="M74" s="79">
        <f>(M71*4+M72*3+M73*3)/10</f>
        <v>78.72</v>
      </c>
      <c r="N74" s="79">
        <f>(N71*4+N72*3+N73*3)/10</f>
        <v>80.460000000000008</v>
      </c>
      <c r="O74" s="79">
        <f>AVERAGE(O66:O67)</f>
        <v>78.5</v>
      </c>
      <c r="P74" s="79">
        <f>AVERAGE(P66:P67)</f>
        <v>81</v>
      </c>
      <c r="Q74" s="79">
        <f>AVERAGE(Q66:Q67)</f>
        <v>82.5</v>
      </c>
      <c r="R74" s="79">
        <f>(R71*4+R72*3+R73*3)/10</f>
        <v>78.655555555555551</v>
      </c>
      <c r="S74" s="79">
        <f>(S71*4+S72*3+S73*3)/10</f>
        <v>81.599999999999994</v>
      </c>
      <c r="T74" s="79">
        <f>T72</f>
        <v>82</v>
      </c>
      <c r="U74" s="79">
        <f t="shared" ref="U74" si="12">(U71*4+U72*3+U73*3)/10</f>
        <v>78.866666666666674</v>
      </c>
      <c r="V74" s="80">
        <f>AVERAGE(E74:U74)</f>
        <v>82.19424836601307</v>
      </c>
      <c r="X74" s="278">
        <v>11</v>
      </c>
    </row>
    <row r="75" spans="1:24" ht="15.6" thickTop="1" thickBot="1">
      <c r="A75" s="268">
        <v>8</v>
      </c>
      <c r="B75" s="270" t="s">
        <v>486</v>
      </c>
      <c r="C75" s="273" t="s">
        <v>487</v>
      </c>
      <c r="D75" s="52" t="s">
        <v>294</v>
      </c>
      <c r="E75" s="53">
        <f>tkr!$E$12</f>
        <v>87</v>
      </c>
      <c r="F75" s="53">
        <f>tkr!$K$12</f>
        <v>81</v>
      </c>
      <c r="G75" s="53">
        <f>tkr!$Q$12</f>
        <v>80</v>
      </c>
      <c r="H75" s="53">
        <f>tkr!$W$12</f>
        <v>81</v>
      </c>
      <c r="I75" s="53">
        <f>tkr!$AA$12</f>
        <v>80</v>
      </c>
      <c r="J75" s="53">
        <f>tkr!$AE$12</f>
        <v>94</v>
      </c>
      <c r="K75" s="54">
        <f>tkr!$AG$12</f>
        <v>76</v>
      </c>
      <c r="L75" s="55"/>
      <c r="M75" s="53">
        <f>tkr!$AM$12</f>
        <v>73</v>
      </c>
      <c r="N75" s="53">
        <f>tkr!$AS$12</f>
        <v>75</v>
      </c>
      <c r="O75" s="53">
        <f>tkr!$AY$12</f>
        <v>75</v>
      </c>
      <c r="P75" s="54">
        <f>tkr!$BA$12</f>
        <v>80</v>
      </c>
      <c r="Q75" s="54">
        <f>tkr!$BC$12</f>
        <v>82</v>
      </c>
      <c r="R75" s="55"/>
      <c r="S75" s="55"/>
      <c r="T75" s="55"/>
      <c r="U75" s="55"/>
      <c r="V75" s="56"/>
      <c r="X75" s="278">
        <v>12</v>
      </c>
    </row>
    <row r="76" spans="1:24" ht="15" thickBot="1">
      <c r="A76" s="268">
        <v>8</v>
      </c>
      <c r="B76" s="271"/>
      <c r="C76" s="274"/>
      <c r="D76" s="52" t="s">
        <v>295</v>
      </c>
      <c r="E76" s="53">
        <f>tkr!$F$12</f>
        <v>77</v>
      </c>
      <c r="F76" s="53">
        <f>tkr!$L$12</f>
        <v>78</v>
      </c>
      <c r="G76" s="53">
        <f>tkr!$R$12</f>
        <v>70</v>
      </c>
      <c r="H76" s="53">
        <f>tkr!$X$12</f>
        <v>80</v>
      </c>
      <c r="I76" s="53">
        <f>tkr!$AB$12</f>
        <v>80</v>
      </c>
      <c r="J76" s="53">
        <f>tkr!$AF$12</f>
        <v>83</v>
      </c>
      <c r="K76" s="54">
        <f>tkr!$AH$12</f>
        <v>70</v>
      </c>
      <c r="L76" s="55"/>
      <c r="M76" s="53">
        <f>tkr!$AN$12</f>
        <v>74</v>
      </c>
      <c r="N76" s="53">
        <f>tkr!$AT$12</f>
        <v>78</v>
      </c>
      <c r="O76" s="53">
        <f>tkr!$AZ$12</f>
        <v>78</v>
      </c>
      <c r="P76" s="54">
        <f>tkr!$BB$12</f>
        <v>78</v>
      </c>
      <c r="Q76" s="54">
        <f>tkr!$BD$12</f>
        <v>85</v>
      </c>
      <c r="R76" s="55"/>
      <c r="S76" s="55"/>
      <c r="T76" s="55"/>
      <c r="U76" s="55"/>
      <c r="V76" s="58"/>
      <c r="X76" s="278">
        <v>12</v>
      </c>
    </row>
    <row r="77" spans="1:24" ht="15" thickBot="1">
      <c r="A77" s="268">
        <v>8</v>
      </c>
      <c r="B77" s="271"/>
      <c r="C77" s="274"/>
      <c r="D77" s="52" t="s">
        <v>296</v>
      </c>
      <c r="E77" s="53">
        <f>tkr!$G$12</f>
        <v>89</v>
      </c>
      <c r="F77" s="53">
        <f>tkr!$M$12</f>
        <v>86</v>
      </c>
      <c r="G77" s="53">
        <f>tkr!$S$12</f>
        <v>72</v>
      </c>
      <c r="H77" s="53">
        <f>tkr!$Y$12</f>
        <v>79</v>
      </c>
      <c r="I77" s="53">
        <f>tkr!$AC$12</f>
        <v>82</v>
      </c>
      <c r="J77" s="59"/>
      <c r="K77" s="54">
        <f>tkr!$AI$12</f>
        <v>70</v>
      </c>
      <c r="L77" s="55"/>
      <c r="M77" s="53">
        <f>tkr!$AO$12</f>
        <v>76</v>
      </c>
      <c r="N77" s="53">
        <f>tkr!$AU$12</f>
        <v>78</v>
      </c>
      <c r="O77" s="59"/>
      <c r="P77" s="55"/>
      <c r="Q77" s="55"/>
      <c r="R77" s="54">
        <f>tkr!$BQ$12</f>
        <v>77.666666666666671</v>
      </c>
      <c r="S77" s="54">
        <f>tkr!$BU$12</f>
        <v>77</v>
      </c>
      <c r="T77" s="55"/>
      <c r="U77" s="54">
        <f>tkr!$BZ$12</f>
        <v>70</v>
      </c>
      <c r="V77" s="58"/>
      <c r="X77" s="278">
        <v>12</v>
      </c>
    </row>
    <row r="78" spans="1:24" ht="15" thickBot="1">
      <c r="A78" s="268">
        <v>8</v>
      </c>
      <c r="B78" s="271"/>
      <c r="C78" s="274"/>
      <c r="D78" s="62" t="s">
        <v>297</v>
      </c>
      <c r="E78" s="53">
        <f>tkr!$H$12</f>
        <v>81</v>
      </c>
      <c r="F78" s="53">
        <f>tkr!$N$12</f>
        <v>80</v>
      </c>
      <c r="G78" s="53">
        <f>tkr!$T$12</f>
        <v>75</v>
      </c>
      <c r="H78" s="53">
        <f>tkr!$Z$12</f>
        <v>78</v>
      </c>
      <c r="I78" s="53">
        <f>tkr!$AD$12</f>
        <v>80</v>
      </c>
      <c r="J78" s="59"/>
      <c r="K78" s="54">
        <f>tkr!$AJ$12</f>
        <v>80</v>
      </c>
      <c r="L78" s="55"/>
      <c r="M78" s="53">
        <f>tkr!$AP$12</f>
        <v>76</v>
      </c>
      <c r="N78" s="53">
        <f>tkr!$AV$12</f>
        <v>75</v>
      </c>
      <c r="O78" s="59"/>
      <c r="P78" s="55"/>
      <c r="Q78" s="55"/>
      <c r="R78" s="54">
        <f>tkr!$BR$12</f>
        <v>76.666666666666671</v>
      </c>
      <c r="S78" s="54">
        <f>tkr!$BV$12</f>
        <v>79</v>
      </c>
      <c r="T78" s="63"/>
      <c r="U78" s="54">
        <f>tkr!$CA$12</f>
        <v>74</v>
      </c>
      <c r="V78" s="58"/>
      <c r="X78" s="278">
        <v>12</v>
      </c>
    </row>
    <row r="79" spans="1:24">
      <c r="A79" s="268">
        <v>8</v>
      </c>
      <c r="B79" s="271"/>
      <c r="C79" s="274"/>
      <c r="D79" s="62" t="s">
        <v>298</v>
      </c>
      <c r="E79" s="53">
        <f>tkr!$I$12</f>
        <v>84</v>
      </c>
      <c r="F79" s="53">
        <f>tkr!$O$12</f>
        <v>80</v>
      </c>
      <c r="G79" s="53">
        <f>tkr!$U$12</f>
        <v>70</v>
      </c>
      <c r="H79" s="65"/>
      <c r="I79" s="65"/>
      <c r="J79" s="59"/>
      <c r="K79" s="59"/>
      <c r="L79" s="53">
        <f>tkr!$AK$12</f>
        <v>80</v>
      </c>
      <c r="M79" s="53">
        <f>tkr!$AQ$12</f>
        <v>74</v>
      </c>
      <c r="N79" s="53">
        <f>tkr!$AW$12</f>
        <v>78</v>
      </c>
      <c r="O79" s="59"/>
      <c r="P79" s="55"/>
      <c r="Q79" s="55"/>
      <c r="R79" s="54">
        <f>tkr!$BS$12</f>
        <v>76.333333333333329</v>
      </c>
      <c r="S79" s="54">
        <f>tkr!$BW$12</f>
        <v>80</v>
      </c>
      <c r="T79" s="54"/>
      <c r="U79" s="54">
        <f>tkr!$CB$12</f>
        <v>70</v>
      </c>
      <c r="V79" s="58"/>
      <c r="X79" s="278">
        <v>12</v>
      </c>
    </row>
    <row r="80" spans="1:24">
      <c r="A80" s="268">
        <v>8</v>
      </c>
      <c r="B80" s="271"/>
      <c r="C80" s="274"/>
      <c r="D80" s="66" t="s">
        <v>299</v>
      </c>
      <c r="E80" s="67">
        <f>AVERAGE(E75:E79)</f>
        <v>83.6</v>
      </c>
      <c r="F80" s="67">
        <f>AVERAGE(F75:F79)</f>
        <v>81</v>
      </c>
      <c r="G80" s="67">
        <f>AVERAGE(G75:G79)</f>
        <v>73.400000000000006</v>
      </c>
      <c r="H80" s="68"/>
      <c r="I80" s="68"/>
      <c r="J80" s="69"/>
      <c r="K80" s="69"/>
      <c r="L80" s="67">
        <f>AVERAGE(L75:L79)</f>
        <v>80</v>
      </c>
      <c r="M80" s="67">
        <f>AVERAGE(M75:M79)</f>
        <v>74.599999999999994</v>
      </c>
      <c r="N80" s="67">
        <f>AVERAGE(N75:N79)</f>
        <v>76.8</v>
      </c>
      <c r="O80" s="69"/>
      <c r="P80" s="63"/>
      <c r="Q80" s="63"/>
      <c r="R80" s="84">
        <f>AVERAGE(R77:R79)</f>
        <v>76.8888888888889</v>
      </c>
      <c r="S80" s="84">
        <f>AVERAGE(S77:S79)</f>
        <v>78.666666666666671</v>
      </c>
      <c r="T80" s="63"/>
      <c r="U80" s="84">
        <f>AVERAGE(U75:U79)</f>
        <v>71.333333333333329</v>
      </c>
      <c r="V80" s="58"/>
      <c r="X80" s="278">
        <v>12</v>
      </c>
    </row>
    <row r="81" spans="1:24">
      <c r="A81" s="268">
        <v>8</v>
      </c>
      <c r="B81" s="271"/>
      <c r="C81" s="274"/>
      <c r="D81" s="70" t="s">
        <v>300</v>
      </c>
      <c r="E81" s="71">
        <f>tkr!$J$12</f>
        <v>77</v>
      </c>
      <c r="F81" s="71">
        <f>tkr!$P$12</f>
        <v>79</v>
      </c>
      <c r="G81" s="71">
        <f>tkr!$V$12</f>
        <v>77</v>
      </c>
      <c r="H81" s="72"/>
      <c r="I81" s="72"/>
      <c r="J81" s="73"/>
      <c r="K81" s="73"/>
      <c r="L81" s="71">
        <f>tkr!$AL$12</f>
        <v>77</v>
      </c>
      <c r="M81" s="71">
        <f>tkr!$AR$12</f>
        <v>75</v>
      </c>
      <c r="N81" s="71">
        <f>tkr!$AX$12</f>
        <v>75</v>
      </c>
      <c r="O81" s="73"/>
      <c r="P81" s="74"/>
      <c r="Q81" s="74"/>
      <c r="R81" s="85">
        <f>tkr!$BT$12</f>
        <v>79</v>
      </c>
      <c r="S81" s="85">
        <f>tkr!$BX$12</f>
        <v>79</v>
      </c>
      <c r="T81" s="85">
        <f>tkr!$BY$12</f>
        <v>77</v>
      </c>
      <c r="U81" s="75">
        <f>tkr!$CC$12</f>
        <v>75</v>
      </c>
      <c r="V81" s="58"/>
      <c r="X81" s="278">
        <v>12</v>
      </c>
    </row>
    <row r="82" spans="1:24">
      <c r="A82" s="268">
        <v>8</v>
      </c>
      <c r="B82" s="271"/>
      <c r="C82" s="274"/>
      <c r="D82" s="76" t="s">
        <v>301</v>
      </c>
      <c r="E82" s="77">
        <f>tkr!$CD$12</f>
        <v>80</v>
      </c>
      <c r="F82" s="77">
        <f>tkr!$CE$12</f>
        <v>85</v>
      </c>
      <c r="G82" s="77">
        <f>tkr!$CF$12</f>
        <v>70</v>
      </c>
      <c r="H82" s="72"/>
      <c r="I82" s="72"/>
      <c r="J82" s="73"/>
      <c r="K82" s="73"/>
      <c r="L82" s="77">
        <f>tkr!$CG$12</f>
        <v>70</v>
      </c>
      <c r="M82" s="77">
        <f>tkr!$CH$12</f>
        <v>75</v>
      </c>
      <c r="N82" s="77">
        <f>tkr!$CI$12</f>
        <v>83</v>
      </c>
      <c r="O82" s="73"/>
      <c r="P82" s="74"/>
      <c r="Q82" s="74"/>
      <c r="R82" s="86">
        <f>tkr!$CL$12</f>
        <v>70</v>
      </c>
      <c r="S82" s="86">
        <f>tkr!$CK$12</f>
        <v>70</v>
      </c>
      <c r="T82" s="74"/>
      <c r="U82" s="86">
        <f>tkr!$CJ$12</f>
        <v>75</v>
      </c>
      <c r="V82" s="58"/>
      <c r="X82" s="278">
        <v>12</v>
      </c>
    </row>
    <row r="83" spans="1:24" ht="15" thickBot="1">
      <c r="A83" s="269">
        <v>8</v>
      </c>
      <c r="B83" s="272"/>
      <c r="C83" s="275"/>
      <c r="D83" s="78" t="s">
        <v>302</v>
      </c>
      <c r="E83" s="79">
        <f>(E80*4+E81*3+E82*3)/10</f>
        <v>80.539999999999992</v>
      </c>
      <c r="F83" s="79">
        <f t="shared" ref="F83:G83" si="13">(F80*4+F81*3+F82*3)/10</f>
        <v>81.599999999999994</v>
      </c>
      <c r="G83" s="79">
        <f t="shared" si="13"/>
        <v>73.460000000000008</v>
      </c>
      <c r="H83" s="79">
        <f>AVERAGE(H75:H78)</f>
        <v>79.5</v>
      </c>
      <c r="I83" s="79">
        <f>AVERAGE(I75:I78)</f>
        <v>80.5</v>
      </c>
      <c r="J83" s="79">
        <f>AVERAGE(J75:J76)</f>
        <v>88.5</v>
      </c>
      <c r="K83" s="79">
        <f>AVERAGE(K75:K78)</f>
        <v>74</v>
      </c>
      <c r="L83" s="79">
        <f>(L80*4+L81*3+L82*3)/10</f>
        <v>76.099999999999994</v>
      </c>
      <c r="M83" s="79">
        <f>(M80*4+M81*3+M82*3)/10</f>
        <v>74.84</v>
      </c>
      <c r="N83" s="79">
        <f>(N80*4+N81*3+N82*3)/10</f>
        <v>78.12</v>
      </c>
      <c r="O83" s="79">
        <f>AVERAGE(O75:O76)</f>
        <v>76.5</v>
      </c>
      <c r="P83" s="79">
        <f>AVERAGE(P75:P76)</f>
        <v>79</v>
      </c>
      <c r="Q83" s="79">
        <f>AVERAGE(Q75:Q76)</f>
        <v>83.5</v>
      </c>
      <c r="R83" s="79">
        <f>(R80*4+R81*3+R82*3)/10</f>
        <v>75.455555555555563</v>
      </c>
      <c r="S83" s="79">
        <f>(S80*4+S81*3+S82*3)/10</f>
        <v>76.166666666666671</v>
      </c>
      <c r="T83" s="79">
        <f>T81</f>
        <v>77</v>
      </c>
      <c r="U83" s="79">
        <f t="shared" ref="U83" si="14">(U80*4+U81*3+U82*3)/10</f>
        <v>73.533333333333331</v>
      </c>
      <c r="V83" s="80">
        <f>AVERAGE(E83:U83)</f>
        <v>78.136209150326806</v>
      </c>
      <c r="X83" s="278">
        <v>12</v>
      </c>
    </row>
    <row r="84" spans="1:24" ht="15.6" thickTop="1" thickBot="1">
      <c r="A84" s="268">
        <v>9</v>
      </c>
      <c r="B84" s="270" t="s">
        <v>488</v>
      </c>
      <c r="C84" s="273" t="s">
        <v>489</v>
      </c>
      <c r="D84" s="52" t="s">
        <v>294</v>
      </c>
      <c r="E84" s="53">
        <f>tkr!$E$13</f>
        <v>85</v>
      </c>
      <c r="F84" s="53">
        <f>tkr!$K$13</f>
        <v>74</v>
      </c>
      <c r="G84" s="53">
        <f>tkr!$Q$13</f>
        <v>80</v>
      </c>
      <c r="H84" s="53">
        <f>tkr!$W$13</f>
        <v>83</v>
      </c>
      <c r="I84" s="53">
        <f>tkr!$AA$13</f>
        <v>80</v>
      </c>
      <c r="J84" s="53">
        <f>tkr!$AE$13</f>
        <v>93</v>
      </c>
      <c r="K84" s="54">
        <f>tkr!$AG$13</f>
        <v>75</v>
      </c>
      <c r="L84" s="55"/>
      <c r="M84" s="53">
        <f>tkr!$AM$13</f>
        <v>77</v>
      </c>
      <c r="N84" s="53">
        <f>tkr!$AS$13</f>
        <v>79</v>
      </c>
      <c r="O84" s="53">
        <f>tkr!$AY$13</f>
        <v>78</v>
      </c>
      <c r="P84" s="54">
        <f>tkr!$BA$13</f>
        <v>86</v>
      </c>
      <c r="Q84" s="54">
        <f>tkr!$BC$13</f>
        <v>83</v>
      </c>
      <c r="R84" s="55"/>
      <c r="S84" s="55"/>
      <c r="T84" s="55"/>
      <c r="U84" s="55"/>
      <c r="V84" s="56"/>
      <c r="X84" s="278">
        <v>13</v>
      </c>
    </row>
    <row r="85" spans="1:24" ht="15" thickBot="1">
      <c r="A85" s="268">
        <v>9</v>
      </c>
      <c r="B85" s="271"/>
      <c r="C85" s="274"/>
      <c r="D85" s="52" t="s">
        <v>295</v>
      </c>
      <c r="E85" s="53">
        <f>tkr!$F$13</f>
        <v>84</v>
      </c>
      <c r="F85" s="53">
        <f>tkr!$L$13</f>
        <v>81</v>
      </c>
      <c r="G85" s="53">
        <f>tkr!$R$13</f>
        <v>84</v>
      </c>
      <c r="H85" s="53">
        <f>tkr!$X$13</f>
        <v>85</v>
      </c>
      <c r="I85" s="53">
        <f>tkr!$AB$13</f>
        <v>82</v>
      </c>
      <c r="J85" s="53">
        <f>tkr!$AF$13</f>
        <v>84</v>
      </c>
      <c r="K85" s="54">
        <f>tkr!$AH$13</f>
        <v>77</v>
      </c>
      <c r="L85" s="55"/>
      <c r="M85" s="53">
        <f>tkr!$AN$13</f>
        <v>79</v>
      </c>
      <c r="N85" s="53">
        <f>tkr!$AT$13</f>
        <v>80</v>
      </c>
      <c r="O85" s="53">
        <f>tkr!$AZ$13</f>
        <v>80</v>
      </c>
      <c r="P85" s="54">
        <f>tkr!$BB$13</f>
        <v>83</v>
      </c>
      <c r="Q85" s="54">
        <f>tkr!$BD$13</f>
        <v>86</v>
      </c>
      <c r="R85" s="55"/>
      <c r="S85" s="55"/>
      <c r="T85" s="55"/>
      <c r="U85" s="55"/>
      <c r="V85" s="58"/>
      <c r="X85" s="278">
        <v>13</v>
      </c>
    </row>
    <row r="86" spans="1:24" ht="15" thickBot="1">
      <c r="A86" s="268">
        <v>9</v>
      </c>
      <c r="B86" s="271"/>
      <c r="C86" s="274"/>
      <c r="D86" s="52" t="s">
        <v>296</v>
      </c>
      <c r="E86" s="53">
        <f>tkr!$G$13</f>
        <v>91</v>
      </c>
      <c r="F86" s="53">
        <f>tkr!$M$13</f>
        <v>90</v>
      </c>
      <c r="G86" s="53">
        <f>tkr!$S$13</f>
        <v>80</v>
      </c>
      <c r="H86" s="53">
        <f>tkr!$Y$13</f>
        <v>84</v>
      </c>
      <c r="I86" s="53">
        <f>tkr!$AC$13</f>
        <v>85</v>
      </c>
      <c r="J86" s="59"/>
      <c r="K86" s="54">
        <f>tkr!$AI$13</f>
        <v>71</v>
      </c>
      <c r="L86" s="55"/>
      <c r="M86" s="53">
        <f>tkr!$AO$13</f>
        <v>80</v>
      </c>
      <c r="N86" s="53">
        <f>tkr!$AU$13</f>
        <v>80</v>
      </c>
      <c r="O86" s="59"/>
      <c r="P86" s="55"/>
      <c r="Q86" s="55"/>
      <c r="R86" s="54">
        <f>tkr!$BQ$13</f>
        <v>84.666666666666671</v>
      </c>
      <c r="S86" s="54">
        <f>tkr!$BU$13</f>
        <v>82</v>
      </c>
      <c r="T86" s="55"/>
      <c r="U86" s="54">
        <f>tkr!$BZ$13</f>
        <v>72</v>
      </c>
      <c r="V86" s="58"/>
      <c r="X86" s="278">
        <v>13</v>
      </c>
    </row>
    <row r="87" spans="1:24" ht="15" thickBot="1">
      <c r="A87" s="268">
        <v>9</v>
      </c>
      <c r="B87" s="271"/>
      <c r="C87" s="274"/>
      <c r="D87" s="62" t="s">
        <v>297</v>
      </c>
      <c r="E87" s="53">
        <f>tkr!$H$13</f>
        <v>82</v>
      </c>
      <c r="F87" s="53">
        <f>tkr!$N$13</f>
        <v>86</v>
      </c>
      <c r="G87" s="53">
        <f>tkr!$T$13</f>
        <v>88</v>
      </c>
      <c r="H87" s="53">
        <f>tkr!$Z$13</f>
        <v>85</v>
      </c>
      <c r="I87" s="53">
        <f>tkr!$AD$13</f>
        <v>87</v>
      </c>
      <c r="J87" s="59"/>
      <c r="K87" s="54">
        <f>tkr!$AJ$13</f>
        <v>80</v>
      </c>
      <c r="L87" s="55"/>
      <c r="M87" s="53">
        <f>tkr!$AP$13</f>
        <v>80</v>
      </c>
      <c r="N87" s="53">
        <f>tkr!$AV$13</f>
        <v>81</v>
      </c>
      <c r="O87" s="59"/>
      <c r="P87" s="55"/>
      <c r="Q87" s="55"/>
      <c r="R87" s="54">
        <f>tkr!$BR$13</f>
        <v>82.666666666666671</v>
      </c>
      <c r="S87" s="54">
        <f>tkr!$BV$13</f>
        <v>83</v>
      </c>
      <c r="T87" s="63"/>
      <c r="U87" s="54">
        <f>tkr!$CA$13</f>
        <v>78</v>
      </c>
      <c r="V87" s="58"/>
      <c r="X87" s="278">
        <v>13</v>
      </c>
    </row>
    <row r="88" spans="1:24">
      <c r="A88" s="268">
        <v>9</v>
      </c>
      <c r="B88" s="271"/>
      <c r="C88" s="274"/>
      <c r="D88" s="62" t="s">
        <v>298</v>
      </c>
      <c r="E88" s="53">
        <f>tkr!$I$13</f>
        <v>89</v>
      </c>
      <c r="F88" s="53">
        <f>tkr!$O$13</f>
        <v>90</v>
      </c>
      <c r="G88" s="53">
        <f>tkr!$U$13</f>
        <v>84</v>
      </c>
      <c r="H88" s="65"/>
      <c r="I88" s="65"/>
      <c r="J88" s="59"/>
      <c r="K88" s="59"/>
      <c r="L88" s="53">
        <f>tkr!$AK$13</f>
        <v>80</v>
      </c>
      <c r="M88" s="53">
        <f>tkr!$AQ$13</f>
        <v>80</v>
      </c>
      <c r="N88" s="53">
        <f>tkr!$AW$13</f>
        <v>80</v>
      </c>
      <c r="O88" s="59"/>
      <c r="P88" s="55"/>
      <c r="Q88" s="55"/>
      <c r="R88" s="54">
        <f>tkr!$BS$13</f>
        <v>83</v>
      </c>
      <c r="S88" s="54">
        <f>tkr!$BW$13</f>
        <v>80</v>
      </c>
      <c r="T88" s="54"/>
      <c r="U88" s="54">
        <f>tkr!$CB$13</f>
        <v>75</v>
      </c>
      <c r="V88" s="58"/>
      <c r="X88" s="278">
        <v>13</v>
      </c>
    </row>
    <row r="89" spans="1:24">
      <c r="A89" s="268">
        <v>9</v>
      </c>
      <c r="B89" s="271"/>
      <c r="C89" s="274"/>
      <c r="D89" s="66" t="s">
        <v>299</v>
      </c>
      <c r="E89" s="67">
        <f>AVERAGE(E84:E88)</f>
        <v>86.2</v>
      </c>
      <c r="F89" s="67">
        <f>AVERAGE(F84:F88)</f>
        <v>84.2</v>
      </c>
      <c r="G89" s="67">
        <f>AVERAGE(G84:G88)</f>
        <v>83.2</v>
      </c>
      <c r="H89" s="68"/>
      <c r="I89" s="68"/>
      <c r="J89" s="69"/>
      <c r="K89" s="69"/>
      <c r="L89" s="67">
        <f>AVERAGE(L84:L88)</f>
        <v>80</v>
      </c>
      <c r="M89" s="67">
        <f>AVERAGE(M84:M88)</f>
        <v>79.2</v>
      </c>
      <c r="N89" s="67">
        <f>AVERAGE(N84:N88)</f>
        <v>80</v>
      </c>
      <c r="O89" s="69"/>
      <c r="P89" s="63"/>
      <c r="Q89" s="63"/>
      <c r="R89" s="84">
        <f>AVERAGE(R86:R88)</f>
        <v>83.444444444444443</v>
      </c>
      <c r="S89" s="84">
        <f>AVERAGE(S86:S88)</f>
        <v>81.666666666666671</v>
      </c>
      <c r="T89" s="63"/>
      <c r="U89" s="84">
        <f>AVERAGE(U84:U88)</f>
        <v>75</v>
      </c>
      <c r="V89" s="58"/>
      <c r="X89" s="278">
        <v>13</v>
      </c>
    </row>
    <row r="90" spans="1:24">
      <c r="A90" s="268">
        <v>9</v>
      </c>
      <c r="B90" s="271"/>
      <c r="C90" s="274"/>
      <c r="D90" s="70" t="s">
        <v>300</v>
      </c>
      <c r="E90" s="71">
        <f>tkr!$J$13</f>
        <v>95</v>
      </c>
      <c r="F90" s="71">
        <f>tkr!$P$13</f>
        <v>95</v>
      </c>
      <c r="G90" s="71">
        <f>tkr!$V$13</f>
        <v>89</v>
      </c>
      <c r="H90" s="72"/>
      <c r="I90" s="72"/>
      <c r="J90" s="73"/>
      <c r="K90" s="73"/>
      <c r="L90" s="71">
        <f>tkr!$AL$13</f>
        <v>89</v>
      </c>
      <c r="M90" s="71">
        <f>tkr!$AR$13</f>
        <v>95</v>
      </c>
      <c r="N90" s="71">
        <f>tkr!$AX$13</f>
        <v>95</v>
      </c>
      <c r="O90" s="73"/>
      <c r="P90" s="74"/>
      <c r="Q90" s="74"/>
      <c r="R90" s="85">
        <f>tkr!$BT$13</f>
        <v>95</v>
      </c>
      <c r="S90" s="85">
        <f>tkr!$BX$13</f>
        <v>95</v>
      </c>
      <c r="T90" s="85">
        <f>tkr!$BY$13</f>
        <v>94</v>
      </c>
      <c r="U90" s="75">
        <f>tkr!$CC$13</f>
        <v>95</v>
      </c>
      <c r="V90" s="58"/>
      <c r="X90" s="278">
        <v>13</v>
      </c>
    </row>
    <row r="91" spans="1:24">
      <c r="A91" s="268">
        <v>9</v>
      </c>
      <c r="B91" s="271"/>
      <c r="C91" s="274"/>
      <c r="D91" s="76" t="s">
        <v>301</v>
      </c>
      <c r="E91" s="77">
        <f>tkr!$CD$13</f>
        <v>87</v>
      </c>
      <c r="F91" s="77">
        <f>tkr!$CE$13</f>
        <v>95</v>
      </c>
      <c r="G91" s="77">
        <f>tkr!$CF$13</f>
        <v>80</v>
      </c>
      <c r="H91" s="72"/>
      <c r="I91" s="72"/>
      <c r="J91" s="73"/>
      <c r="K91" s="73"/>
      <c r="L91" s="77">
        <f>tkr!$CG$13</f>
        <v>70</v>
      </c>
      <c r="M91" s="77">
        <f>tkr!$CH$13</f>
        <v>81</v>
      </c>
      <c r="N91" s="77">
        <f>tkr!$CI$13</f>
        <v>80</v>
      </c>
      <c r="O91" s="73"/>
      <c r="P91" s="74"/>
      <c r="Q91" s="74"/>
      <c r="R91" s="86">
        <f>tkr!$CL$13</f>
        <v>82</v>
      </c>
      <c r="S91" s="86">
        <f>tkr!$CK$13</f>
        <v>81</v>
      </c>
      <c r="T91" s="74"/>
      <c r="U91" s="86">
        <f>tkr!$CJ$13</f>
        <v>85</v>
      </c>
      <c r="V91" s="58"/>
      <c r="X91" s="278">
        <v>13</v>
      </c>
    </row>
    <row r="92" spans="1:24" ht="15" thickBot="1">
      <c r="A92" s="269">
        <v>9</v>
      </c>
      <c r="B92" s="272"/>
      <c r="C92" s="275"/>
      <c r="D92" s="78" t="s">
        <v>302</v>
      </c>
      <c r="E92" s="79">
        <f>(E89*4+E90*3+E91*3)/10</f>
        <v>89.08</v>
      </c>
      <c r="F92" s="79">
        <f t="shared" ref="F92:G92" si="15">(F89*4+F90*3+F91*3)/10</f>
        <v>90.679999999999993</v>
      </c>
      <c r="G92" s="79">
        <f t="shared" si="15"/>
        <v>83.97999999999999</v>
      </c>
      <c r="H92" s="79">
        <f>AVERAGE(H84:H87)</f>
        <v>84.25</v>
      </c>
      <c r="I92" s="79">
        <f>AVERAGE(I84:I87)</f>
        <v>83.5</v>
      </c>
      <c r="J92" s="79">
        <f>AVERAGE(J84:J85)</f>
        <v>88.5</v>
      </c>
      <c r="K92" s="79">
        <f>AVERAGE(K84:K87)</f>
        <v>75.75</v>
      </c>
      <c r="L92" s="79">
        <f>(L89*4+L90*3+L91*3)/10</f>
        <v>79.7</v>
      </c>
      <c r="M92" s="79">
        <f>(M89*4+M90*3+M91*3)/10</f>
        <v>84.47999999999999</v>
      </c>
      <c r="N92" s="79">
        <f>(N89*4+N90*3+N91*3)/10</f>
        <v>84.5</v>
      </c>
      <c r="O92" s="79">
        <f>AVERAGE(O84:O85)</f>
        <v>79</v>
      </c>
      <c r="P92" s="79">
        <f>AVERAGE(P84:P85)</f>
        <v>84.5</v>
      </c>
      <c r="Q92" s="79">
        <f>AVERAGE(Q84:Q85)</f>
        <v>84.5</v>
      </c>
      <c r="R92" s="79">
        <f>(R89*4+R90*3+R91*3)/10</f>
        <v>86.477777777777789</v>
      </c>
      <c r="S92" s="79">
        <f>(S89*4+S90*3+S91*3)/10</f>
        <v>85.466666666666669</v>
      </c>
      <c r="T92" s="79">
        <f>T90</f>
        <v>94</v>
      </c>
      <c r="U92" s="79">
        <f t="shared" ref="U92" si="16">(U89*4+U90*3+U91*3)/10</f>
        <v>84</v>
      </c>
      <c r="V92" s="80">
        <f>AVERAGE(E92:U92)</f>
        <v>84.844967320261446</v>
      </c>
      <c r="X92" s="278">
        <v>13</v>
      </c>
    </row>
    <row r="93" spans="1:24" ht="15.6" thickTop="1" thickBot="1">
      <c r="A93" s="268">
        <v>10</v>
      </c>
      <c r="B93" s="270" t="s">
        <v>490</v>
      </c>
      <c r="C93" s="273" t="s">
        <v>491</v>
      </c>
      <c r="D93" s="52" t="s">
        <v>294</v>
      </c>
      <c r="E93" s="53">
        <f>tkr!$E$14</f>
        <v>88</v>
      </c>
      <c r="F93" s="53">
        <f>tkr!$K$14</f>
        <v>75</v>
      </c>
      <c r="G93" s="53">
        <f>tkr!$Q$14</f>
        <v>80</v>
      </c>
      <c r="H93" s="53">
        <f>tkr!$W$14</f>
        <v>83</v>
      </c>
      <c r="I93" s="53">
        <f>tkr!$AA$14</f>
        <v>82</v>
      </c>
      <c r="J93" s="53">
        <f>tkr!$AE$14</f>
        <v>95</v>
      </c>
      <c r="K93" s="54">
        <f>tkr!$AG$14</f>
        <v>84</v>
      </c>
      <c r="L93" s="55"/>
      <c r="M93" s="53">
        <f>tkr!$AM$14</f>
        <v>73</v>
      </c>
      <c r="N93" s="53">
        <f>tkr!$AS$14</f>
        <v>78</v>
      </c>
      <c r="O93" s="53">
        <f>tkr!$AY$14</f>
        <v>74</v>
      </c>
      <c r="P93" s="54">
        <f>tkr!$BA$14</f>
        <v>81</v>
      </c>
      <c r="Q93" s="54">
        <f>tkr!$BC$14</f>
        <v>81</v>
      </c>
      <c r="R93" s="55"/>
      <c r="S93" s="55"/>
      <c r="T93" s="55"/>
      <c r="U93" s="55"/>
      <c r="V93" s="56"/>
      <c r="X93" s="278">
        <v>14</v>
      </c>
    </row>
    <row r="94" spans="1:24" ht="15" thickBot="1">
      <c r="A94" s="268">
        <v>10</v>
      </c>
      <c r="B94" s="271"/>
      <c r="C94" s="274"/>
      <c r="D94" s="52" t="s">
        <v>295</v>
      </c>
      <c r="E94" s="53">
        <f>tkr!$F$14</f>
        <v>89</v>
      </c>
      <c r="F94" s="53">
        <f>tkr!$L$14</f>
        <v>80</v>
      </c>
      <c r="G94" s="53">
        <f>tkr!$R$14</f>
        <v>82</v>
      </c>
      <c r="H94" s="53">
        <f>tkr!$X$14</f>
        <v>83</v>
      </c>
      <c r="I94" s="53">
        <f>tkr!$AB$14</f>
        <v>80</v>
      </c>
      <c r="J94" s="53">
        <f>tkr!$AF$14</f>
        <v>85</v>
      </c>
      <c r="K94" s="54">
        <f>tkr!$AH$14</f>
        <v>73</v>
      </c>
      <c r="L94" s="55"/>
      <c r="M94" s="53">
        <f>tkr!$AN$14</f>
        <v>74</v>
      </c>
      <c r="N94" s="53">
        <f>tkr!$AT$14</f>
        <v>77</v>
      </c>
      <c r="O94" s="53">
        <f>tkr!$AZ$14</f>
        <v>78</v>
      </c>
      <c r="P94" s="54">
        <f>tkr!$BB$14</f>
        <v>82</v>
      </c>
      <c r="Q94" s="54">
        <f>tkr!$BD$14</f>
        <v>82</v>
      </c>
      <c r="R94" s="55"/>
      <c r="S94" s="55"/>
      <c r="T94" s="55"/>
      <c r="U94" s="55"/>
      <c r="V94" s="58"/>
      <c r="X94" s="278">
        <v>14</v>
      </c>
    </row>
    <row r="95" spans="1:24" ht="15" thickBot="1">
      <c r="A95" s="268">
        <v>10</v>
      </c>
      <c r="B95" s="271"/>
      <c r="C95" s="274"/>
      <c r="D95" s="52" t="s">
        <v>296</v>
      </c>
      <c r="E95" s="53">
        <f>tkr!$G$14</f>
        <v>90</v>
      </c>
      <c r="F95" s="53">
        <f>tkr!$M$14</f>
        <v>95</v>
      </c>
      <c r="G95" s="53">
        <f>tkr!$S$14</f>
        <v>75</v>
      </c>
      <c r="H95" s="53">
        <f>tkr!$Y$14</f>
        <v>83</v>
      </c>
      <c r="I95" s="53">
        <f>tkr!$AC$14</f>
        <v>82</v>
      </c>
      <c r="J95" s="59"/>
      <c r="K95" s="54">
        <f>tkr!$AI$14</f>
        <v>73</v>
      </c>
      <c r="L95" s="55"/>
      <c r="M95" s="53">
        <f>tkr!$AO$14</f>
        <v>73</v>
      </c>
      <c r="N95" s="53">
        <f>tkr!$AU$14</f>
        <v>80</v>
      </c>
      <c r="O95" s="59"/>
      <c r="P95" s="55"/>
      <c r="Q95" s="55"/>
      <c r="R95" s="54">
        <f>tkr!$BQ$14</f>
        <v>83.333333333333329</v>
      </c>
      <c r="S95" s="54">
        <f>tkr!$BU$14</f>
        <v>81</v>
      </c>
      <c r="T95" s="55"/>
      <c r="U95" s="54">
        <f>tkr!$BZ$14</f>
        <v>76</v>
      </c>
      <c r="V95" s="58"/>
      <c r="X95" s="278">
        <v>14</v>
      </c>
    </row>
    <row r="96" spans="1:24" ht="15" thickBot="1">
      <c r="A96" s="268">
        <v>10</v>
      </c>
      <c r="B96" s="271"/>
      <c r="C96" s="274"/>
      <c r="D96" s="62" t="s">
        <v>297</v>
      </c>
      <c r="E96" s="53">
        <f>tkr!$H$14</f>
        <v>82</v>
      </c>
      <c r="F96" s="53">
        <f>tkr!$N$14</f>
        <v>89</v>
      </c>
      <c r="G96" s="53">
        <f>tkr!$T$14</f>
        <v>88</v>
      </c>
      <c r="H96" s="53">
        <f>tkr!$Z$14</f>
        <v>86</v>
      </c>
      <c r="I96" s="53">
        <f>tkr!$AD$14</f>
        <v>85</v>
      </c>
      <c r="J96" s="59"/>
      <c r="K96" s="54">
        <f>tkr!$AJ$14</f>
        <v>82</v>
      </c>
      <c r="L96" s="55"/>
      <c r="M96" s="53">
        <f>tkr!$AP$14</f>
        <v>78</v>
      </c>
      <c r="N96" s="53">
        <f>tkr!$AV$14</f>
        <v>78</v>
      </c>
      <c r="O96" s="59"/>
      <c r="P96" s="55"/>
      <c r="Q96" s="55"/>
      <c r="R96" s="54">
        <f>tkr!$BR$14</f>
        <v>82.333333333333329</v>
      </c>
      <c r="S96" s="54">
        <f>tkr!$BV$14</f>
        <v>82</v>
      </c>
      <c r="T96" s="63"/>
      <c r="U96" s="54">
        <f>tkr!$CA$14</f>
        <v>83</v>
      </c>
      <c r="V96" s="58"/>
      <c r="X96" s="278">
        <v>14</v>
      </c>
    </row>
    <row r="97" spans="1:24">
      <c r="A97" s="268">
        <v>10</v>
      </c>
      <c r="B97" s="271"/>
      <c r="C97" s="274"/>
      <c r="D97" s="62" t="s">
        <v>298</v>
      </c>
      <c r="E97" s="53">
        <f>tkr!$I$14</f>
        <v>90</v>
      </c>
      <c r="F97" s="53">
        <f>tkr!$O$14</f>
        <v>91</v>
      </c>
      <c r="G97" s="53">
        <f>tkr!$U$14</f>
        <v>75</v>
      </c>
      <c r="H97" s="65"/>
      <c r="I97" s="65"/>
      <c r="J97" s="59"/>
      <c r="K97" s="59"/>
      <c r="L97" s="53">
        <f>tkr!$AK$14</f>
        <v>83</v>
      </c>
      <c r="M97" s="53">
        <f>tkr!$AQ$14</f>
        <v>80</v>
      </c>
      <c r="N97" s="53">
        <f>tkr!$AW$14</f>
        <v>83</v>
      </c>
      <c r="O97" s="59"/>
      <c r="P97" s="55"/>
      <c r="Q97" s="55"/>
      <c r="R97" s="54">
        <f>tkr!$BS$14</f>
        <v>78.333333333333329</v>
      </c>
      <c r="S97" s="54">
        <f>tkr!$BW$14</f>
        <v>83</v>
      </c>
      <c r="T97" s="54"/>
      <c r="U97" s="54">
        <f>tkr!$CB$14</f>
        <v>78</v>
      </c>
      <c r="V97" s="58"/>
      <c r="X97" s="278">
        <v>14</v>
      </c>
    </row>
    <row r="98" spans="1:24">
      <c r="A98" s="268">
        <v>10</v>
      </c>
      <c r="B98" s="271"/>
      <c r="C98" s="274"/>
      <c r="D98" s="66" t="s">
        <v>299</v>
      </c>
      <c r="E98" s="67">
        <f>AVERAGE(E93:E97)</f>
        <v>87.8</v>
      </c>
      <c r="F98" s="67">
        <f>AVERAGE(F93:F97)</f>
        <v>86</v>
      </c>
      <c r="G98" s="67">
        <f>AVERAGE(G93:G97)</f>
        <v>80</v>
      </c>
      <c r="H98" s="68"/>
      <c r="I98" s="68"/>
      <c r="J98" s="69"/>
      <c r="K98" s="69"/>
      <c r="L98" s="67">
        <f>AVERAGE(L93:L97)</f>
        <v>83</v>
      </c>
      <c r="M98" s="67">
        <f>AVERAGE(M93:M97)</f>
        <v>75.599999999999994</v>
      </c>
      <c r="N98" s="67">
        <f>AVERAGE(N93:N97)</f>
        <v>79.2</v>
      </c>
      <c r="O98" s="69"/>
      <c r="P98" s="63"/>
      <c r="Q98" s="63"/>
      <c r="R98" s="84">
        <f>AVERAGE(R95:R97)</f>
        <v>81.333333333333329</v>
      </c>
      <c r="S98" s="84">
        <f>AVERAGE(S95:S97)</f>
        <v>82</v>
      </c>
      <c r="T98" s="63"/>
      <c r="U98" s="84">
        <f>AVERAGE(U93:U97)</f>
        <v>79</v>
      </c>
      <c r="V98" s="58"/>
      <c r="X98" s="278">
        <v>14</v>
      </c>
    </row>
    <row r="99" spans="1:24">
      <c r="A99" s="268">
        <v>10</v>
      </c>
      <c r="B99" s="271"/>
      <c r="C99" s="274"/>
      <c r="D99" s="70" t="s">
        <v>300</v>
      </c>
      <c r="E99" s="71">
        <f>tkr!$J$14</f>
        <v>87</v>
      </c>
      <c r="F99" s="71">
        <f>tkr!$P$14</f>
        <v>85</v>
      </c>
      <c r="G99" s="71">
        <f>tkr!$V$14</f>
        <v>83</v>
      </c>
      <c r="H99" s="72"/>
      <c r="I99" s="72"/>
      <c r="J99" s="73"/>
      <c r="K99" s="73"/>
      <c r="L99" s="71">
        <f>tkr!$AL$14</f>
        <v>83</v>
      </c>
      <c r="M99" s="71">
        <f>tkr!$AR$14</f>
        <v>85</v>
      </c>
      <c r="N99" s="71">
        <f>tkr!$AX$14</f>
        <v>85</v>
      </c>
      <c r="O99" s="73"/>
      <c r="P99" s="74"/>
      <c r="Q99" s="74"/>
      <c r="R99" s="85">
        <f>tkr!$BT$14</f>
        <v>80</v>
      </c>
      <c r="S99" s="85">
        <f>tkr!$BX$14</f>
        <v>80</v>
      </c>
      <c r="T99" s="85">
        <f>tkr!$BY$14</f>
        <v>84</v>
      </c>
      <c r="U99" s="75">
        <f>tkr!$CC$14</f>
        <v>85</v>
      </c>
      <c r="V99" s="58"/>
      <c r="X99" s="278">
        <v>14</v>
      </c>
    </row>
    <row r="100" spans="1:24">
      <c r="A100" s="268">
        <v>10</v>
      </c>
      <c r="B100" s="271"/>
      <c r="C100" s="274"/>
      <c r="D100" s="76" t="s">
        <v>301</v>
      </c>
      <c r="E100" s="77">
        <f>tkr!$CD$14</f>
        <v>90</v>
      </c>
      <c r="F100" s="77">
        <f>tkr!$CE$14</f>
        <v>90</v>
      </c>
      <c r="G100" s="77">
        <f>tkr!$CF$14</f>
        <v>82</v>
      </c>
      <c r="H100" s="72"/>
      <c r="I100" s="72"/>
      <c r="J100" s="73"/>
      <c r="K100" s="73"/>
      <c r="L100" s="77">
        <f>tkr!$CG$14</f>
        <v>97</v>
      </c>
      <c r="M100" s="77">
        <f>tkr!$CH$14</f>
        <v>80</v>
      </c>
      <c r="N100" s="77">
        <f>tkr!$CI$14</f>
        <v>83</v>
      </c>
      <c r="O100" s="73"/>
      <c r="P100" s="74"/>
      <c r="Q100" s="74"/>
      <c r="R100" s="86">
        <f>tkr!$CL$14</f>
        <v>85</v>
      </c>
      <c r="S100" s="86">
        <f>tkr!$CK$14</f>
        <v>80</v>
      </c>
      <c r="T100" s="74"/>
      <c r="U100" s="86">
        <f>tkr!$CJ$14</f>
        <v>77</v>
      </c>
      <c r="V100" s="58"/>
      <c r="X100" s="278">
        <v>14</v>
      </c>
    </row>
    <row r="101" spans="1:24" ht="15" thickBot="1">
      <c r="A101" s="269">
        <v>10</v>
      </c>
      <c r="B101" s="272"/>
      <c r="C101" s="275"/>
      <c r="D101" s="78" t="s">
        <v>302</v>
      </c>
      <c r="E101" s="79">
        <f>(E98*4+E99*3+E100*3)/10</f>
        <v>88.22</v>
      </c>
      <c r="F101" s="79">
        <f t="shared" ref="F101:G101" si="17">(F98*4+F99*3+F100*3)/10</f>
        <v>86.9</v>
      </c>
      <c r="G101" s="79">
        <f t="shared" si="17"/>
        <v>81.5</v>
      </c>
      <c r="H101" s="79">
        <f>AVERAGE(H93:H96)</f>
        <v>83.75</v>
      </c>
      <c r="I101" s="79">
        <f>AVERAGE(I93:I96)</f>
        <v>82.25</v>
      </c>
      <c r="J101" s="79">
        <f>AVERAGE(J93:J94)</f>
        <v>90</v>
      </c>
      <c r="K101" s="79">
        <f>AVERAGE(K93:K96)</f>
        <v>78</v>
      </c>
      <c r="L101" s="79">
        <f>(L98*4+L99*3+L100*3)/10</f>
        <v>87.2</v>
      </c>
      <c r="M101" s="79">
        <f>(M98*4+M99*3+M100*3)/10</f>
        <v>79.739999999999995</v>
      </c>
      <c r="N101" s="79">
        <f>(N98*4+N99*3+N100*3)/10</f>
        <v>82.08</v>
      </c>
      <c r="O101" s="79">
        <f>AVERAGE(O93:O94)</f>
        <v>76</v>
      </c>
      <c r="P101" s="79">
        <f>AVERAGE(P93:P94)</f>
        <v>81.5</v>
      </c>
      <c r="Q101" s="79">
        <f>AVERAGE(Q93:Q94)</f>
        <v>81.5</v>
      </c>
      <c r="R101" s="79">
        <f>(R98*4+R99*3+R100*3)/10</f>
        <v>82.033333333333331</v>
      </c>
      <c r="S101" s="79">
        <f>(S98*4+S99*3+S100*3)/10</f>
        <v>80.8</v>
      </c>
      <c r="T101" s="79">
        <f>T99</f>
        <v>84</v>
      </c>
      <c r="U101" s="79">
        <f t="shared" ref="U101" si="18">(U98*4+U99*3+U100*3)/10</f>
        <v>80.2</v>
      </c>
      <c r="V101" s="80">
        <f>AVERAGE(E101:U101)</f>
        <v>82.686666666666667</v>
      </c>
      <c r="X101" s="278">
        <v>14</v>
      </c>
    </row>
    <row r="102" spans="1:24" ht="18" customHeight="1" thickTop="1" thickBot="1">
      <c r="A102" s="268">
        <v>11</v>
      </c>
      <c r="B102" s="270" t="s">
        <v>492</v>
      </c>
      <c r="C102" s="273" t="s">
        <v>493</v>
      </c>
      <c r="D102" s="52" t="s">
        <v>294</v>
      </c>
      <c r="E102" s="53">
        <f>tkr!$E$15</f>
        <v>85</v>
      </c>
      <c r="F102" s="53">
        <f>tkr!$K$15</f>
        <v>82</v>
      </c>
      <c r="G102" s="53">
        <f>tkr!$Q$15</f>
        <v>80</v>
      </c>
      <c r="H102" s="53">
        <f>tkr!$W$15</f>
        <v>82</v>
      </c>
      <c r="I102" s="53">
        <f>tkr!$AA$15</f>
        <v>81</v>
      </c>
      <c r="J102" s="53">
        <f>tkr!$AE$15</f>
        <v>94</v>
      </c>
      <c r="K102" s="54">
        <f>tkr!$AG$15</f>
        <v>75</v>
      </c>
      <c r="L102" s="55"/>
      <c r="M102" s="53">
        <f>tkr!$AM$15</f>
        <v>74</v>
      </c>
      <c r="N102" s="53">
        <f>tkr!$AS$15</f>
        <v>79</v>
      </c>
      <c r="O102" s="53">
        <f>tkr!$AY$15</f>
        <v>78</v>
      </c>
      <c r="P102" s="54">
        <f>tkr!$BA$15</f>
        <v>78</v>
      </c>
      <c r="Q102" s="54">
        <f>tkr!$BC$15</f>
        <v>80</v>
      </c>
      <c r="R102" s="55"/>
      <c r="S102" s="55"/>
      <c r="T102" s="55"/>
      <c r="U102" s="55"/>
      <c r="V102" s="56"/>
      <c r="X102" s="278">
        <v>15</v>
      </c>
    </row>
    <row r="103" spans="1:24" ht="15" thickBot="1">
      <c r="A103" s="268">
        <v>11</v>
      </c>
      <c r="B103" s="271"/>
      <c r="C103" s="274"/>
      <c r="D103" s="52" t="s">
        <v>295</v>
      </c>
      <c r="E103" s="53">
        <f>tkr!$F$15</f>
        <v>86</v>
      </c>
      <c r="F103" s="53">
        <f>tkr!$L$15</f>
        <v>79</v>
      </c>
      <c r="G103" s="53">
        <f>tkr!$R$15</f>
        <v>86</v>
      </c>
      <c r="H103" s="53">
        <f>tkr!$X$15</f>
        <v>83</v>
      </c>
      <c r="I103" s="53">
        <f>tkr!$AB$15</f>
        <v>80</v>
      </c>
      <c r="J103" s="53">
        <f>tkr!$AF$15</f>
        <v>85</v>
      </c>
      <c r="K103" s="54">
        <f>tkr!$AH$15</f>
        <v>73</v>
      </c>
      <c r="L103" s="55"/>
      <c r="M103" s="53">
        <f>tkr!$AN$15</f>
        <v>75</v>
      </c>
      <c r="N103" s="53">
        <f>tkr!$AT$15</f>
        <v>77</v>
      </c>
      <c r="O103" s="53">
        <f>tkr!$AZ$15</f>
        <v>78</v>
      </c>
      <c r="P103" s="54">
        <f>tkr!$BB$15</f>
        <v>79</v>
      </c>
      <c r="Q103" s="54">
        <f>tkr!$BD$15</f>
        <v>80</v>
      </c>
      <c r="R103" s="55"/>
      <c r="S103" s="55"/>
      <c r="T103" s="55"/>
      <c r="U103" s="55"/>
      <c r="V103" s="58"/>
      <c r="X103" s="278">
        <v>15</v>
      </c>
    </row>
    <row r="104" spans="1:24" ht="15" thickBot="1">
      <c r="A104" s="268">
        <v>11</v>
      </c>
      <c r="B104" s="271"/>
      <c r="C104" s="274"/>
      <c r="D104" s="52" t="s">
        <v>296</v>
      </c>
      <c r="E104" s="53">
        <f>tkr!$G$15</f>
        <v>90</v>
      </c>
      <c r="F104" s="53">
        <f>tkr!$M$15</f>
        <v>77</v>
      </c>
      <c r="G104" s="53">
        <f>tkr!$S$15</f>
        <v>79</v>
      </c>
      <c r="H104" s="53">
        <f>tkr!$Y$15</f>
        <v>83</v>
      </c>
      <c r="I104" s="53">
        <f>tkr!$AC$15</f>
        <v>82</v>
      </c>
      <c r="J104" s="59"/>
      <c r="K104" s="54">
        <f>tkr!$AI$15</f>
        <v>71</v>
      </c>
      <c r="L104" s="55"/>
      <c r="M104" s="53">
        <f>tkr!$AO$15</f>
        <v>80</v>
      </c>
      <c r="N104" s="53">
        <f>tkr!$AU$15</f>
        <v>73</v>
      </c>
      <c r="O104" s="59"/>
      <c r="P104" s="55"/>
      <c r="Q104" s="55"/>
      <c r="R104" s="54">
        <f>tkr!$BQ$15</f>
        <v>76</v>
      </c>
      <c r="S104" s="54">
        <f>tkr!$BU$15</f>
        <v>80</v>
      </c>
      <c r="T104" s="55"/>
      <c r="U104" s="54">
        <f>tkr!$BZ$15</f>
        <v>72</v>
      </c>
      <c r="V104" s="58"/>
      <c r="X104" s="278">
        <v>15</v>
      </c>
    </row>
    <row r="105" spans="1:24" ht="15" thickBot="1">
      <c r="A105" s="268">
        <v>11</v>
      </c>
      <c r="B105" s="271"/>
      <c r="C105" s="274"/>
      <c r="D105" s="62" t="s">
        <v>297</v>
      </c>
      <c r="E105" s="53">
        <f>tkr!$H$15</f>
        <v>85</v>
      </c>
      <c r="F105" s="53">
        <f>tkr!$N$15</f>
        <v>82</v>
      </c>
      <c r="G105" s="53">
        <f>tkr!$T$15</f>
        <v>82</v>
      </c>
      <c r="H105" s="53">
        <f>tkr!$Z$15</f>
        <v>85</v>
      </c>
      <c r="I105" s="53">
        <f>tkr!$AD$15</f>
        <v>84</v>
      </c>
      <c r="J105" s="59"/>
      <c r="K105" s="54">
        <f>tkr!$AJ$15</f>
        <v>80</v>
      </c>
      <c r="L105" s="55"/>
      <c r="M105" s="53">
        <f>tkr!$AP$15</f>
        <v>79</v>
      </c>
      <c r="N105" s="53">
        <f>tkr!$AV$15</f>
        <v>74</v>
      </c>
      <c r="O105" s="59"/>
      <c r="P105" s="55"/>
      <c r="Q105" s="55"/>
      <c r="R105" s="54">
        <f>tkr!$BR$15</f>
        <v>81.333333333333329</v>
      </c>
      <c r="S105" s="54">
        <f>tkr!$BV$15</f>
        <v>82</v>
      </c>
      <c r="T105" s="63"/>
      <c r="U105" s="54">
        <f>tkr!$CA$15</f>
        <v>92</v>
      </c>
      <c r="V105" s="58"/>
      <c r="X105" s="278">
        <v>15</v>
      </c>
    </row>
    <row r="106" spans="1:24">
      <c r="A106" s="268">
        <v>11</v>
      </c>
      <c r="B106" s="271"/>
      <c r="C106" s="274"/>
      <c r="D106" s="62" t="s">
        <v>298</v>
      </c>
      <c r="E106" s="53">
        <f>tkr!$I$15</f>
        <v>90</v>
      </c>
      <c r="F106" s="53">
        <f>tkr!$O$15</f>
        <v>88</v>
      </c>
      <c r="G106" s="53">
        <f>tkr!$U$15</f>
        <v>70</v>
      </c>
      <c r="H106" s="65"/>
      <c r="I106" s="65"/>
      <c r="J106" s="59"/>
      <c r="K106" s="59"/>
      <c r="L106" s="53">
        <f>tkr!$AK$15</f>
        <v>80</v>
      </c>
      <c r="M106" s="53">
        <f>tkr!$AQ$15</f>
        <v>80</v>
      </c>
      <c r="N106" s="53">
        <f>tkr!$AW$15</f>
        <v>75</v>
      </c>
      <c r="O106" s="59"/>
      <c r="P106" s="55"/>
      <c r="Q106" s="55"/>
      <c r="R106" s="54">
        <f>tkr!$BS$15</f>
        <v>82.666666666666671</v>
      </c>
      <c r="S106" s="54">
        <f>tkr!$BW$15</f>
        <v>80</v>
      </c>
      <c r="T106" s="54"/>
      <c r="U106" s="54">
        <f>tkr!$CB$15</f>
        <v>75</v>
      </c>
      <c r="V106" s="58"/>
      <c r="X106" s="278">
        <v>15</v>
      </c>
    </row>
    <row r="107" spans="1:24">
      <c r="A107" s="268">
        <v>11</v>
      </c>
      <c r="B107" s="271"/>
      <c r="C107" s="274"/>
      <c r="D107" s="66" t="s">
        <v>299</v>
      </c>
      <c r="E107" s="67">
        <f>AVERAGE(E102:E106)</f>
        <v>87.2</v>
      </c>
      <c r="F107" s="67">
        <f>AVERAGE(F102:F106)</f>
        <v>81.599999999999994</v>
      </c>
      <c r="G107" s="67">
        <f>AVERAGE(G102:G106)</f>
        <v>79.400000000000006</v>
      </c>
      <c r="H107" s="68"/>
      <c r="I107" s="68"/>
      <c r="J107" s="69"/>
      <c r="K107" s="69"/>
      <c r="L107" s="67">
        <f>AVERAGE(L102:L106)</f>
        <v>80</v>
      </c>
      <c r="M107" s="67">
        <f>AVERAGE(M102:M106)</f>
        <v>77.599999999999994</v>
      </c>
      <c r="N107" s="67">
        <f>AVERAGE(N102:N106)</f>
        <v>75.599999999999994</v>
      </c>
      <c r="O107" s="69"/>
      <c r="P107" s="63"/>
      <c r="Q107" s="63"/>
      <c r="R107" s="84">
        <f>AVERAGE(R104:R106)</f>
        <v>80</v>
      </c>
      <c r="S107" s="84">
        <f>AVERAGE(S104:S106)</f>
        <v>80.666666666666671</v>
      </c>
      <c r="T107" s="63"/>
      <c r="U107" s="84">
        <f>AVERAGE(U102:U106)</f>
        <v>79.666666666666671</v>
      </c>
      <c r="V107" s="58"/>
      <c r="X107" s="278">
        <v>15</v>
      </c>
    </row>
    <row r="108" spans="1:24">
      <c r="A108" s="268">
        <v>11</v>
      </c>
      <c r="B108" s="271"/>
      <c r="C108" s="274"/>
      <c r="D108" s="70" t="s">
        <v>300</v>
      </c>
      <c r="E108" s="71">
        <f>tkr!$J$15</f>
        <v>79</v>
      </c>
      <c r="F108" s="71">
        <f>tkr!$P$15</f>
        <v>78</v>
      </c>
      <c r="G108" s="71">
        <f>tkr!$V$15</f>
        <v>76</v>
      </c>
      <c r="H108" s="72"/>
      <c r="I108" s="72"/>
      <c r="J108" s="73"/>
      <c r="K108" s="73"/>
      <c r="L108" s="71">
        <f>tkr!$AL$15</f>
        <v>76</v>
      </c>
      <c r="M108" s="71">
        <f>tkr!$AR$15</f>
        <v>77</v>
      </c>
      <c r="N108" s="71">
        <f>tkr!$AX$15</f>
        <v>77</v>
      </c>
      <c r="O108" s="73"/>
      <c r="P108" s="74"/>
      <c r="Q108" s="74"/>
      <c r="R108" s="85">
        <f>tkr!$BT$15</f>
        <v>79</v>
      </c>
      <c r="S108" s="85">
        <f>tkr!$BX$15</f>
        <v>79</v>
      </c>
      <c r="T108" s="85">
        <f>tkr!$BY$15</f>
        <v>78</v>
      </c>
      <c r="U108" s="75">
        <f>tkr!$CC$15</f>
        <v>77</v>
      </c>
      <c r="V108" s="58"/>
      <c r="X108" s="278">
        <v>15</v>
      </c>
    </row>
    <row r="109" spans="1:24">
      <c r="A109" s="268">
        <v>11</v>
      </c>
      <c r="B109" s="271"/>
      <c r="C109" s="274"/>
      <c r="D109" s="76" t="s">
        <v>301</v>
      </c>
      <c r="E109" s="77">
        <f>tkr!$CD$15</f>
        <v>88</v>
      </c>
      <c r="F109" s="77">
        <f>tkr!$CE$15</f>
        <v>80</v>
      </c>
      <c r="G109" s="77">
        <f>tkr!$CF$15</f>
        <v>75</v>
      </c>
      <c r="H109" s="72"/>
      <c r="I109" s="72"/>
      <c r="J109" s="73"/>
      <c r="K109" s="73"/>
      <c r="L109" s="77">
        <f>tkr!$CG$15</f>
        <v>95</v>
      </c>
      <c r="M109" s="77">
        <f>tkr!$CH$15</f>
        <v>79</v>
      </c>
      <c r="N109" s="77">
        <f>tkr!$CI$15</f>
        <v>80</v>
      </c>
      <c r="O109" s="73"/>
      <c r="P109" s="74"/>
      <c r="Q109" s="74"/>
      <c r="R109" s="86">
        <f>tkr!$CL$15</f>
        <v>92</v>
      </c>
      <c r="S109" s="86">
        <f>tkr!$CK$15</f>
        <v>82</v>
      </c>
      <c r="T109" s="74"/>
      <c r="U109" s="86">
        <f>tkr!$CJ$15</f>
        <v>78</v>
      </c>
      <c r="V109" s="58"/>
      <c r="X109" s="278">
        <v>15</v>
      </c>
    </row>
    <row r="110" spans="1:24" ht="15" thickBot="1">
      <c r="A110" s="269">
        <v>11</v>
      </c>
      <c r="B110" s="272"/>
      <c r="C110" s="275"/>
      <c r="D110" s="78" t="s">
        <v>302</v>
      </c>
      <c r="E110" s="79">
        <f>(E107*4+E108*3+E109*3)/10</f>
        <v>84.97999999999999</v>
      </c>
      <c r="F110" s="79">
        <f t="shared" ref="F110:G110" si="19">(F107*4+F108*3+F109*3)/10</f>
        <v>80.039999999999992</v>
      </c>
      <c r="G110" s="79">
        <f t="shared" si="19"/>
        <v>77.06</v>
      </c>
      <c r="H110" s="79">
        <f>AVERAGE(H102:H105)</f>
        <v>83.25</v>
      </c>
      <c r="I110" s="79">
        <f>AVERAGE(I102:I105)</f>
        <v>81.75</v>
      </c>
      <c r="J110" s="79">
        <f>AVERAGE(J102:J103)</f>
        <v>89.5</v>
      </c>
      <c r="K110" s="79">
        <f>AVERAGE(K102:K105)</f>
        <v>74.75</v>
      </c>
      <c r="L110" s="79">
        <f>(L107*4+L108*3+L109*3)/10</f>
        <v>83.3</v>
      </c>
      <c r="M110" s="79">
        <f>(M107*4+M108*3+M109*3)/10</f>
        <v>77.84</v>
      </c>
      <c r="N110" s="79">
        <f>(N107*4+N108*3+N109*3)/10</f>
        <v>77.34</v>
      </c>
      <c r="O110" s="79">
        <f>AVERAGE(O102:O103)</f>
        <v>78</v>
      </c>
      <c r="P110" s="79">
        <f>AVERAGE(P102:P103)</f>
        <v>78.5</v>
      </c>
      <c r="Q110" s="79">
        <f>AVERAGE(Q102:Q103)</f>
        <v>80</v>
      </c>
      <c r="R110" s="79">
        <f>(R107*4+R108*3+R109*3)/10</f>
        <v>83.3</v>
      </c>
      <c r="S110" s="79">
        <f>(S107*4+S108*3+S109*3)/10</f>
        <v>80.566666666666677</v>
      </c>
      <c r="T110" s="79">
        <f>T108</f>
        <v>78</v>
      </c>
      <c r="U110" s="79">
        <f t="shared" ref="U110" si="20">(U107*4+U108*3+U109*3)/10</f>
        <v>78.366666666666674</v>
      </c>
      <c r="V110" s="80">
        <f>AVERAGE(E110:U110)</f>
        <v>80.384901960784305</v>
      </c>
      <c r="X110" s="278">
        <v>15</v>
      </c>
    </row>
    <row r="111" spans="1:24" ht="15.6" thickTop="1" thickBot="1">
      <c r="A111" s="268">
        <v>12</v>
      </c>
      <c r="B111" s="270" t="s">
        <v>494</v>
      </c>
      <c r="C111" s="273" t="s">
        <v>495</v>
      </c>
      <c r="D111" s="52" t="s">
        <v>294</v>
      </c>
      <c r="E111" s="53">
        <f>tkr!$E$16</f>
        <v>88</v>
      </c>
      <c r="F111" s="53">
        <f>tkr!$K$16</f>
        <v>75</v>
      </c>
      <c r="G111" s="53">
        <f>tkr!$Q$16</f>
        <v>80</v>
      </c>
      <c r="H111" s="53">
        <f>tkr!$W$16</f>
        <v>86</v>
      </c>
      <c r="I111" s="53">
        <f>tkr!$AA$16</f>
        <v>80</v>
      </c>
      <c r="J111" s="53">
        <f>tkr!$AE$16</f>
        <v>97</v>
      </c>
      <c r="K111" s="54">
        <f>tkr!$AG$16</f>
        <v>82</v>
      </c>
      <c r="L111" s="55"/>
      <c r="M111" s="53">
        <f>tkr!$AM$16</f>
        <v>79</v>
      </c>
      <c r="N111" s="53">
        <f>tkr!$AS$16</f>
        <v>77</v>
      </c>
      <c r="O111" s="53">
        <f>tkr!$AY$16</f>
        <v>79</v>
      </c>
      <c r="P111" s="54">
        <f>tkr!$BA$16</f>
        <v>84</v>
      </c>
      <c r="Q111" s="54">
        <f>tkr!$BC$16</f>
        <v>80</v>
      </c>
      <c r="R111" s="55"/>
      <c r="S111" s="55"/>
      <c r="T111" s="55"/>
      <c r="U111" s="55"/>
      <c r="V111" s="56"/>
      <c r="X111" s="278">
        <v>16</v>
      </c>
    </row>
    <row r="112" spans="1:24" ht="15" thickBot="1">
      <c r="A112" s="268">
        <v>12</v>
      </c>
      <c r="B112" s="271"/>
      <c r="C112" s="274"/>
      <c r="D112" s="52" t="s">
        <v>295</v>
      </c>
      <c r="E112" s="53">
        <f>tkr!$F$16</f>
        <v>87</v>
      </c>
      <c r="F112" s="53">
        <f>tkr!$L$16</f>
        <v>81</v>
      </c>
      <c r="G112" s="53">
        <f>tkr!$R$16</f>
        <v>87</v>
      </c>
      <c r="H112" s="53">
        <f>tkr!$X$16</f>
        <v>86</v>
      </c>
      <c r="I112" s="53">
        <f>tkr!$AB$16</f>
        <v>83</v>
      </c>
      <c r="J112" s="53">
        <f>tkr!$AF$16</f>
        <v>86</v>
      </c>
      <c r="K112" s="54">
        <f>tkr!$AH$16</f>
        <v>81</v>
      </c>
      <c r="L112" s="55"/>
      <c r="M112" s="53">
        <f>tkr!$AN$16</f>
        <v>79</v>
      </c>
      <c r="N112" s="53">
        <f>tkr!$AT$16</f>
        <v>80</v>
      </c>
      <c r="O112" s="53">
        <f>tkr!$AZ$16</f>
        <v>83</v>
      </c>
      <c r="P112" s="54">
        <f>tkr!$BB$16</f>
        <v>82</v>
      </c>
      <c r="Q112" s="54">
        <f>tkr!$BD$16</f>
        <v>85</v>
      </c>
      <c r="R112" s="55"/>
      <c r="S112" s="55"/>
      <c r="T112" s="55"/>
      <c r="U112" s="55"/>
      <c r="V112" s="58"/>
      <c r="X112" s="278">
        <v>16</v>
      </c>
    </row>
    <row r="113" spans="1:24" ht="15" thickBot="1">
      <c r="A113" s="268">
        <v>12</v>
      </c>
      <c r="B113" s="271"/>
      <c r="C113" s="274"/>
      <c r="D113" s="52" t="s">
        <v>296</v>
      </c>
      <c r="E113" s="53">
        <f>tkr!$G$16</f>
        <v>90</v>
      </c>
      <c r="F113" s="53">
        <f>tkr!$M$16</f>
        <v>89</v>
      </c>
      <c r="G113" s="53">
        <f>tkr!$S$16</f>
        <v>84</v>
      </c>
      <c r="H113" s="53">
        <f>tkr!$Y$16</f>
        <v>86</v>
      </c>
      <c r="I113" s="53">
        <f>tkr!$AC$16</f>
        <v>85</v>
      </c>
      <c r="J113" s="59"/>
      <c r="K113" s="54">
        <f>tkr!$AI$16</f>
        <v>72</v>
      </c>
      <c r="L113" s="55"/>
      <c r="M113" s="53">
        <f>tkr!$AO$16</f>
        <v>83</v>
      </c>
      <c r="N113" s="53">
        <f>tkr!$AU$16</f>
        <v>80</v>
      </c>
      <c r="O113" s="59"/>
      <c r="P113" s="55"/>
      <c r="Q113" s="55"/>
      <c r="R113" s="54">
        <f>tkr!$BQ$16</f>
        <v>82</v>
      </c>
      <c r="S113" s="54">
        <f>tkr!$BU$16</f>
        <v>81</v>
      </c>
      <c r="T113" s="55"/>
      <c r="U113" s="54">
        <f>tkr!$BZ$16</f>
        <v>71</v>
      </c>
      <c r="V113" s="58"/>
      <c r="X113" s="278">
        <v>16</v>
      </c>
    </row>
    <row r="114" spans="1:24" ht="15" thickBot="1">
      <c r="A114" s="268">
        <v>12</v>
      </c>
      <c r="B114" s="271"/>
      <c r="C114" s="274"/>
      <c r="D114" s="62" t="s">
        <v>297</v>
      </c>
      <c r="E114" s="53">
        <f>tkr!$H$16</f>
        <v>85</v>
      </c>
      <c r="F114" s="53">
        <f>tkr!$N$16</f>
        <v>89</v>
      </c>
      <c r="G114" s="53">
        <f>tkr!$T$16</f>
        <v>86</v>
      </c>
      <c r="H114" s="53">
        <f>tkr!$Z$16</f>
        <v>87</v>
      </c>
      <c r="I114" s="53">
        <f>tkr!$AD$16</f>
        <v>86</v>
      </c>
      <c r="J114" s="59"/>
      <c r="K114" s="54">
        <f>tkr!$AJ$16</f>
        <v>83</v>
      </c>
      <c r="L114" s="55"/>
      <c r="M114" s="53">
        <f>tkr!$AP$16</f>
        <v>82</v>
      </c>
      <c r="N114" s="53">
        <f>tkr!$AV$16</f>
        <v>80</v>
      </c>
      <c r="O114" s="59"/>
      <c r="P114" s="55"/>
      <c r="Q114" s="55"/>
      <c r="R114" s="54">
        <f>tkr!$BR$16</f>
        <v>80.666666666666671</v>
      </c>
      <c r="S114" s="54">
        <f>tkr!$BV$16</f>
        <v>82</v>
      </c>
      <c r="T114" s="63"/>
      <c r="U114" s="54">
        <f>tkr!$CA$16</f>
        <v>85</v>
      </c>
      <c r="V114" s="58"/>
      <c r="X114" s="278">
        <v>16</v>
      </c>
    </row>
    <row r="115" spans="1:24">
      <c r="A115" s="268">
        <v>12</v>
      </c>
      <c r="B115" s="271"/>
      <c r="C115" s="274"/>
      <c r="D115" s="62" t="s">
        <v>298</v>
      </c>
      <c r="E115" s="53">
        <f>tkr!$I$16</f>
        <v>91</v>
      </c>
      <c r="F115" s="53">
        <f>tkr!$O$16</f>
        <v>92</v>
      </c>
      <c r="G115" s="53">
        <f>tkr!$U$16</f>
        <v>81</v>
      </c>
      <c r="H115" s="65"/>
      <c r="I115" s="65"/>
      <c r="J115" s="59"/>
      <c r="K115" s="59"/>
      <c r="L115" s="53">
        <f>tkr!$AK$16</f>
        <v>83</v>
      </c>
      <c r="M115" s="53">
        <f>tkr!$AQ$16</f>
        <v>82</v>
      </c>
      <c r="N115" s="53">
        <f>tkr!$AW$16</f>
        <v>80</v>
      </c>
      <c r="O115" s="59"/>
      <c r="P115" s="55"/>
      <c r="Q115" s="55"/>
      <c r="R115" s="54">
        <f>tkr!$BS$16</f>
        <v>83.666666666666671</v>
      </c>
      <c r="S115" s="54">
        <f>tkr!$BW$16</f>
        <v>83</v>
      </c>
      <c r="T115" s="54"/>
      <c r="U115" s="54">
        <f>tkr!$CB$16</f>
        <v>76</v>
      </c>
      <c r="V115" s="58"/>
      <c r="X115" s="278">
        <v>16</v>
      </c>
    </row>
    <row r="116" spans="1:24">
      <c r="A116" s="268">
        <v>12</v>
      </c>
      <c r="B116" s="271"/>
      <c r="C116" s="274"/>
      <c r="D116" s="66" t="s">
        <v>299</v>
      </c>
      <c r="E116" s="67">
        <f>AVERAGE(E111:E115)</f>
        <v>88.2</v>
      </c>
      <c r="F116" s="67">
        <f>AVERAGE(F111:F115)</f>
        <v>85.2</v>
      </c>
      <c r="G116" s="67">
        <f>AVERAGE(G111:G115)</f>
        <v>83.6</v>
      </c>
      <c r="H116" s="68"/>
      <c r="I116" s="68"/>
      <c r="J116" s="69"/>
      <c r="K116" s="69"/>
      <c r="L116" s="67">
        <f>AVERAGE(L111:L115)</f>
        <v>83</v>
      </c>
      <c r="M116" s="67">
        <f>AVERAGE(M111:M115)</f>
        <v>81</v>
      </c>
      <c r="N116" s="67">
        <f>AVERAGE(N111:N115)</f>
        <v>79.400000000000006</v>
      </c>
      <c r="O116" s="69"/>
      <c r="P116" s="63"/>
      <c r="Q116" s="63"/>
      <c r="R116" s="84">
        <f>AVERAGE(R113:R115)</f>
        <v>82.111111111111128</v>
      </c>
      <c r="S116" s="84">
        <f>AVERAGE(S113:S115)</f>
        <v>82</v>
      </c>
      <c r="T116" s="63"/>
      <c r="U116" s="84">
        <f>AVERAGE(U111:U115)</f>
        <v>77.333333333333329</v>
      </c>
      <c r="V116" s="58"/>
      <c r="X116" s="278">
        <v>16</v>
      </c>
    </row>
    <row r="117" spans="1:24">
      <c r="A117" s="268">
        <v>12</v>
      </c>
      <c r="B117" s="271"/>
      <c r="C117" s="274"/>
      <c r="D117" s="70" t="s">
        <v>300</v>
      </c>
      <c r="E117" s="71">
        <f>tkr!$J$16</f>
        <v>78</v>
      </c>
      <c r="F117" s="71">
        <f>tkr!$P$16</f>
        <v>78</v>
      </c>
      <c r="G117" s="71">
        <f>tkr!$V$16</f>
        <v>77</v>
      </c>
      <c r="H117" s="72"/>
      <c r="I117" s="72"/>
      <c r="J117" s="73"/>
      <c r="K117" s="73"/>
      <c r="L117" s="71">
        <f>tkr!$AL$16</f>
        <v>77</v>
      </c>
      <c r="M117" s="71">
        <f>tkr!$AR$16</f>
        <v>77</v>
      </c>
      <c r="N117" s="71">
        <f>tkr!$AX$16</f>
        <v>77</v>
      </c>
      <c r="O117" s="73"/>
      <c r="P117" s="74"/>
      <c r="Q117" s="74"/>
      <c r="R117" s="85">
        <f>tkr!$BT$16</f>
        <v>77</v>
      </c>
      <c r="S117" s="85">
        <f>tkr!$BX$16</f>
        <v>77</v>
      </c>
      <c r="T117" s="85">
        <f>tkr!$BY$16</f>
        <v>77</v>
      </c>
      <c r="U117" s="75">
        <f>tkr!$CC$16</f>
        <v>77</v>
      </c>
      <c r="V117" s="58"/>
      <c r="X117" s="278">
        <v>16</v>
      </c>
    </row>
    <row r="118" spans="1:24">
      <c r="A118" s="268">
        <v>12</v>
      </c>
      <c r="B118" s="271"/>
      <c r="C118" s="274"/>
      <c r="D118" s="76" t="s">
        <v>301</v>
      </c>
      <c r="E118" s="77">
        <f>tkr!$CD$16</f>
        <v>90</v>
      </c>
      <c r="F118" s="77">
        <f>tkr!$CE$16</f>
        <v>80</v>
      </c>
      <c r="G118" s="77">
        <f>tkr!$CF$16</f>
        <v>80</v>
      </c>
      <c r="H118" s="72"/>
      <c r="I118" s="72"/>
      <c r="J118" s="73"/>
      <c r="K118" s="73"/>
      <c r="L118" s="77">
        <f>tkr!$CG$16</f>
        <v>80</v>
      </c>
      <c r="M118" s="77">
        <f>tkr!$CH$16</f>
        <v>83</v>
      </c>
      <c r="N118" s="77">
        <f>tkr!$CI$16</f>
        <v>80</v>
      </c>
      <c r="O118" s="73"/>
      <c r="P118" s="74"/>
      <c r="Q118" s="74"/>
      <c r="R118" s="86">
        <f>tkr!$CL$16</f>
        <v>82</v>
      </c>
      <c r="S118" s="86">
        <f>tkr!$CK$16</f>
        <v>85</v>
      </c>
      <c r="T118" s="74"/>
      <c r="U118" s="86">
        <f>tkr!$CJ$16</f>
        <v>79</v>
      </c>
      <c r="V118" s="58"/>
      <c r="X118" s="278">
        <v>16</v>
      </c>
    </row>
    <row r="119" spans="1:24" ht="15" thickBot="1">
      <c r="A119" s="269">
        <v>12</v>
      </c>
      <c r="B119" s="272"/>
      <c r="C119" s="275"/>
      <c r="D119" s="78" t="s">
        <v>302</v>
      </c>
      <c r="E119" s="79">
        <f>(E116*4+E117*3+E118*3)/10</f>
        <v>85.679999999999993</v>
      </c>
      <c r="F119" s="79">
        <f t="shared" ref="F119:G119" si="21">(F116*4+F117*3+F118*3)/10</f>
        <v>81.47999999999999</v>
      </c>
      <c r="G119" s="79">
        <f t="shared" si="21"/>
        <v>80.539999999999992</v>
      </c>
      <c r="H119" s="79">
        <f>AVERAGE(H111:H114)</f>
        <v>86.25</v>
      </c>
      <c r="I119" s="79">
        <f>AVERAGE(I111:I114)</f>
        <v>83.5</v>
      </c>
      <c r="J119" s="79">
        <f>AVERAGE(J111:J112)</f>
        <v>91.5</v>
      </c>
      <c r="K119" s="79">
        <f>AVERAGE(K111:K114)</f>
        <v>79.5</v>
      </c>
      <c r="L119" s="79">
        <f>(L116*4+L117*3+L118*3)/10</f>
        <v>80.3</v>
      </c>
      <c r="M119" s="79">
        <f>(M116*4+M117*3+M118*3)/10</f>
        <v>80.400000000000006</v>
      </c>
      <c r="N119" s="79">
        <f>(N116*4+N117*3+N118*3)/10</f>
        <v>78.86</v>
      </c>
      <c r="O119" s="79">
        <f>AVERAGE(O111:O112)</f>
        <v>81</v>
      </c>
      <c r="P119" s="79">
        <f>AVERAGE(P111:P112)</f>
        <v>83</v>
      </c>
      <c r="Q119" s="79">
        <f>AVERAGE(Q111:Q112)</f>
        <v>82.5</v>
      </c>
      <c r="R119" s="79">
        <f>(R116*4+R117*3+R118*3)/10</f>
        <v>80.544444444444451</v>
      </c>
      <c r="S119" s="79">
        <f>(S116*4+S117*3+S118*3)/10</f>
        <v>81.400000000000006</v>
      </c>
      <c r="T119" s="79">
        <f>T117</f>
        <v>77</v>
      </c>
      <c r="U119" s="79">
        <f t="shared" ref="U119" si="22">(U116*4+U117*3+U118*3)/10</f>
        <v>77.73333333333332</v>
      </c>
      <c r="V119" s="80">
        <f>AVERAGE(E119:U119)</f>
        <v>81.834575163398682</v>
      </c>
      <c r="X119" s="278">
        <v>16</v>
      </c>
    </row>
    <row r="120" spans="1:24" ht="15.6" thickTop="1" thickBot="1">
      <c r="A120" s="268">
        <v>13</v>
      </c>
      <c r="B120" s="270" t="s">
        <v>496</v>
      </c>
      <c r="C120" s="273" t="s">
        <v>497</v>
      </c>
      <c r="D120" s="52" t="s">
        <v>294</v>
      </c>
      <c r="E120" s="53">
        <f>tkr!$E$17</f>
        <v>90</v>
      </c>
      <c r="F120" s="53">
        <f>tkr!$K$17</f>
        <v>75</v>
      </c>
      <c r="G120" s="53">
        <f>tkr!$Q$17</f>
        <v>82</v>
      </c>
      <c r="H120" s="53">
        <f>tkr!$W$17</f>
        <v>86</v>
      </c>
      <c r="I120" s="53">
        <f>tkr!$AA$17</f>
        <v>81</v>
      </c>
      <c r="J120" s="53">
        <f>tkr!$AE$17</f>
        <v>94</v>
      </c>
      <c r="K120" s="54">
        <f>tkr!$AG$17</f>
        <v>77</v>
      </c>
      <c r="L120" s="55"/>
      <c r="M120" s="53">
        <f>tkr!$AM$17</f>
        <v>76</v>
      </c>
      <c r="N120" s="53">
        <f>tkr!$AS$17</f>
        <v>75</v>
      </c>
      <c r="O120" s="53">
        <f>tkr!$AY$17</f>
        <v>76</v>
      </c>
      <c r="P120" s="54">
        <f>tkr!$BA$17</f>
        <v>82</v>
      </c>
      <c r="Q120" s="54">
        <f>tkr!$BC$17</f>
        <v>80</v>
      </c>
      <c r="R120" s="55"/>
      <c r="S120" s="55"/>
      <c r="T120" s="55"/>
      <c r="U120" s="55"/>
      <c r="V120" s="56"/>
      <c r="X120" s="278">
        <v>17</v>
      </c>
    </row>
    <row r="121" spans="1:24" ht="15" thickBot="1">
      <c r="A121" s="268">
        <v>13</v>
      </c>
      <c r="B121" s="271"/>
      <c r="C121" s="274"/>
      <c r="D121" s="52" t="s">
        <v>295</v>
      </c>
      <c r="E121" s="53">
        <f>tkr!$F$17</f>
        <v>88</v>
      </c>
      <c r="F121" s="53">
        <f>tkr!$L$17</f>
        <v>80</v>
      </c>
      <c r="G121" s="53">
        <f>tkr!$R$17</f>
        <v>70</v>
      </c>
      <c r="H121" s="53">
        <f>tkr!$X$17</f>
        <v>85</v>
      </c>
      <c r="I121" s="53">
        <f>tkr!$AB$17</f>
        <v>80</v>
      </c>
      <c r="J121" s="53">
        <f>tkr!$AF$17</f>
        <v>87</v>
      </c>
      <c r="K121" s="54">
        <f>tkr!$AH$17</f>
        <v>75</v>
      </c>
      <c r="L121" s="55"/>
      <c r="M121" s="53">
        <f>tkr!$AN$17</f>
        <v>75</v>
      </c>
      <c r="N121" s="53">
        <f>tkr!$AT$17</f>
        <v>80</v>
      </c>
      <c r="O121" s="53">
        <f>tkr!$AZ$17</f>
        <v>79</v>
      </c>
      <c r="P121" s="54">
        <f>tkr!$BB$17</f>
        <v>80</v>
      </c>
      <c r="Q121" s="54">
        <f>tkr!$BD$17</f>
        <v>80</v>
      </c>
      <c r="R121" s="55"/>
      <c r="S121" s="55"/>
      <c r="T121" s="55"/>
      <c r="U121" s="55"/>
      <c r="V121" s="58"/>
      <c r="X121" s="278">
        <v>17</v>
      </c>
    </row>
    <row r="122" spans="1:24" ht="15" thickBot="1">
      <c r="A122" s="268">
        <v>13</v>
      </c>
      <c r="B122" s="271"/>
      <c r="C122" s="274"/>
      <c r="D122" s="52" t="s">
        <v>296</v>
      </c>
      <c r="E122" s="53">
        <f>tkr!$G$17</f>
        <v>88</v>
      </c>
      <c r="F122" s="53">
        <f>tkr!$M$17</f>
        <v>70</v>
      </c>
      <c r="G122" s="53">
        <f>tkr!$S$17</f>
        <v>78</v>
      </c>
      <c r="H122" s="53">
        <f>tkr!$Y$17</f>
        <v>84</v>
      </c>
      <c r="I122" s="53">
        <f>tkr!$AC$17</f>
        <v>84</v>
      </c>
      <c r="J122" s="59"/>
      <c r="K122" s="54">
        <f>tkr!$AI$17</f>
        <v>71</v>
      </c>
      <c r="L122" s="55"/>
      <c r="M122" s="53">
        <f>tkr!$AO$17</f>
        <v>73</v>
      </c>
      <c r="N122" s="53">
        <f>tkr!$AU$17</f>
        <v>78</v>
      </c>
      <c r="O122" s="59"/>
      <c r="P122" s="55"/>
      <c r="Q122" s="55"/>
      <c r="R122" s="54">
        <f>tkr!$BQ$17</f>
        <v>81</v>
      </c>
      <c r="S122" s="54">
        <f>tkr!$BU$17</f>
        <v>80</v>
      </c>
      <c r="T122" s="55"/>
      <c r="U122" s="54">
        <f>tkr!$BZ$17</f>
        <v>71</v>
      </c>
      <c r="V122" s="58"/>
      <c r="X122" s="278">
        <v>17</v>
      </c>
    </row>
    <row r="123" spans="1:24" ht="15" thickBot="1">
      <c r="A123" s="268">
        <v>13</v>
      </c>
      <c r="B123" s="271"/>
      <c r="C123" s="274"/>
      <c r="D123" s="62" t="s">
        <v>297</v>
      </c>
      <c r="E123" s="53">
        <f>tkr!$H$17</f>
        <v>82</v>
      </c>
      <c r="F123" s="53">
        <f>tkr!$N$17</f>
        <v>76</v>
      </c>
      <c r="G123" s="53">
        <f>tkr!$T$17</f>
        <v>80</v>
      </c>
      <c r="H123" s="53">
        <f>tkr!$Z$17</f>
        <v>86</v>
      </c>
      <c r="I123" s="53">
        <f>tkr!$AD$17</f>
        <v>84</v>
      </c>
      <c r="J123" s="59"/>
      <c r="K123" s="54">
        <f>tkr!$AJ$17</f>
        <v>81</v>
      </c>
      <c r="L123" s="55"/>
      <c r="M123" s="53">
        <f>tkr!$AP$17</f>
        <v>75</v>
      </c>
      <c r="N123" s="53">
        <f>tkr!$AV$17</f>
        <v>78</v>
      </c>
      <c r="O123" s="59"/>
      <c r="P123" s="55"/>
      <c r="Q123" s="55"/>
      <c r="R123" s="54">
        <f>tkr!$BR$17</f>
        <v>82.666666666666671</v>
      </c>
      <c r="S123" s="54">
        <f>tkr!$BV$17</f>
        <v>82</v>
      </c>
      <c r="T123" s="63"/>
      <c r="U123" s="54">
        <f>tkr!$CA$17</f>
        <v>76</v>
      </c>
      <c r="V123" s="58"/>
      <c r="X123" s="278">
        <v>17</v>
      </c>
    </row>
    <row r="124" spans="1:24">
      <c r="A124" s="268">
        <v>13</v>
      </c>
      <c r="B124" s="271"/>
      <c r="C124" s="274"/>
      <c r="D124" s="62" t="s">
        <v>298</v>
      </c>
      <c r="E124" s="53">
        <f>tkr!$I$17</f>
        <v>91</v>
      </c>
      <c r="F124" s="53">
        <f>tkr!$O$17</f>
        <v>80</v>
      </c>
      <c r="G124" s="53">
        <f>tkr!$U$17</f>
        <v>80</v>
      </c>
      <c r="H124" s="65"/>
      <c r="I124" s="65"/>
      <c r="J124" s="59"/>
      <c r="K124" s="59"/>
      <c r="L124" s="53">
        <f>tkr!$AK$17</f>
        <v>80</v>
      </c>
      <c r="M124" s="53">
        <f>tkr!$AQ$17</f>
        <v>79</v>
      </c>
      <c r="N124" s="53">
        <f>tkr!$AW$17</f>
        <v>78</v>
      </c>
      <c r="O124" s="59"/>
      <c r="P124" s="55"/>
      <c r="Q124" s="55"/>
      <c r="R124" s="54">
        <f>tkr!$BS$17</f>
        <v>85</v>
      </c>
      <c r="S124" s="54">
        <f>tkr!$BW$17</f>
        <v>80</v>
      </c>
      <c r="T124" s="54"/>
      <c r="U124" s="54">
        <f>tkr!$CB$17</f>
        <v>73</v>
      </c>
      <c r="V124" s="58"/>
      <c r="X124" s="278">
        <v>17</v>
      </c>
    </row>
    <row r="125" spans="1:24">
      <c r="A125" s="268">
        <v>13</v>
      </c>
      <c r="B125" s="271"/>
      <c r="C125" s="274"/>
      <c r="D125" s="66" t="s">
        <v>299</v>
      </c>
      <c r="E125" s="67">
        <f>AVERAGE(E120:E124)</f>
        <v>87.8</v>
      </c>
      <c r="F125" s="67">
        <f>AVERAGE(F120:F124)</f>
        <v>76.2</v>
      </c>
      <c r="G125" s="67">
        <f>AVERAGE(G120:G124)</f>
        <v>78</v>
      </c>
      <c r="H125" s="68"/>
      <c r="I125" s="68"/>
      <c r="J125" s="69"/>
      <c r="K125" s="69"/>
      <c r="L125" s="67">
        <f>AVERAGE(L120:L124)</f>
        <v>80</v>
      </c>
      <c r="M125" s="67">
        <f>AVERAGE(M120:M124)</f>
        <v>75.599999999999994</v>
      </c>
      <c r="N125" s="67">
        <f>AVERAGE(N120:N124)</f>
        <v>77.8</v>
      </c>
      <c r="O125" s="69"/>
      <c r="P125" s="63"/>
      <c r="Q125" s="63"/>
      <c r="R125" s="84">
        <f>AVERAGE(R122:R124)</f>
        <v>82.8888888888889</v>
      </c>
      <c r="S125" s="84">
        <f>AVERAGE(S122:S124)</f>
        <v>80.666666666666671</v>
      </c>
      <c r="T125" s="63"/>
      <c r="U125" s="84">
        <f>AVERAGE(U120:U124)</f>
        <v>73.333333333333329</v>
      </c>
      <c r="V125" s="58"/>
      <c r="X125" s="278">
        <v>17</v>
      </c>
    </row>
    <row r="126" spans="1:24">
      <c r="A126" s="268">
        <v>13</v>
      </c>
      <c r="B126" s="271"/>
      <c r="C126" s="274"/>
      <c r="D126" s="70" t="s">
        <v>300</v>
      </c>
      <c r="E126" s="71">
        <f>tkr!$J$17</f>
        <v>85</v>
      </c>
      <c r="F126" s="71">
        <f>tkr!$P$17</f>
        <v>85</v>
      </c>
      <c r="G126" s="71">
        <f>tkr!$V$17</f>
        <v>84</v>
      </c>
      <c r="H126" s="72"/>
      <c r="I126" s="72"/>
      <c r="J126" s="73"/>
      <c r="K126" s="73"/>
      <c r="L126" s="71">
        <f>tkr!$AL$17</f>
        <v>84</v>
      </c>
      <c r="M126" s="71">
        <f>tkr!$AR$17</f>
        <v>85</v>
      </c>
      <c r="N126" s="71">
        <f>tkr!$AX$17</f>
        <v>85</v>
      </c>
      <c r="O126" s="73"/>
      <c r="P126" s="74"/>
      <c r="Q126" s="74"/>
      <c r="R126" s="85">
        <f>tkr!$BT$17</f>
        <v>85</v>
      </c>
      <c r="S126" s="85">
        <f>tkr!$BX$17</f>
        <v>85</v>
      </c>
      <c r="T126" s="85">
        <f>tkr!$BY$17</f>
        <v>85</v>
      </c>
      <c r="U126" s="75">
        <f>tkr!$CC$17</f>
        <v>85</v>
      </c>
      <c r="V126" s="58"/>
      <c r="X126" s="278">
        <v>17</v>
      </c>
    </row>
    <row r="127" spans="1:24">
      <c r="A127" s="268">
        <v>13</v>
      </c>
      <c r="B127" s="271"/>
      <c r="C127" s="274"/>
      <c r="D127" s="76" t="s">
        <v>301</v>
      </c>
      <c r="E127" s="77">
        <f>tkr!$CD$17</f>
        <v>84</v>
      </c>
      <c r="F127" s="77">
        <f>tkr!$CE$17</f>
        <v>80</v>
      </c>
      <c r="G127" s="77">
        <f>tkr!$CF$17</f>
        <v>78</v>
      </c>
      <c r="H127" s="72"/>
      <c r="I127" s="72"/>
      <c r="J127" s="73"/>
      <c r="K127" s="73"/>
      <c r="L127" s="77">
        <f>tkr!$CG$17</f>
        <v>70</v>
      </c>
      <c r="M127" s="77">
        <f>tkr!$CH$17</f>
        <v>79</v>
      </c>
      <c r="N127" s="77">
        <f>tkr!$CI$17</f>
        <v>80</v>
      </c>
      <c r="O127" s="73"/>
      <c r="P127" s="74"/>
      <c r="Q127" s="74"/>
      <c r="R127" s="86">
        <f>tkr!$CL$17</f>
        <v>70</v>
      </c>
      <c r="S127" s="86">
        <f>tkr!$CK$17</f>
        <v>80</v>
      </c>
      <c r="T127" s="74"/>
      <c r="U127" s="86">
        <f>tkr!$CJ$17</f>
        <v>78</v>
      </c>
      <c r="V127" s="58"/>
      <c r="X127" s="278">
        <v>17</v>
      </c>
    </row>
    <row r="128" spans="1:24" ht="15" thickBot="1">
      <c r="A128" s="269">
        <v>13</v>
      </c>
      <c r="B128" s="272"/>
      <c r="C128" s="275"/>
      <c r="D128" s="78" t="s">
        <v>302</v>
      </c>
      <c r="E128" s="79">
        <f>(E125*4+E126*3+E127*3)/10</f>
        <v>85.820000000000007</v>
      </c>
      <c r="F128" s="79">
        <f t="shared" ref="F128:G128" si="23">(F125*4+F126*3+F127*3)/10</f>
        <v>79.97999999999999</v>
      </c>
      <c r="G128" s="79">
        <f t="shared" si="23"/>
        <v>79.8</v>
      </c>
      <c r="H128" s="79">
        <f>AVERAGE(H120:H123)</f>
        <v>85.25</v>
      </c>
      <c r="I128" s="79">
        <f>AVERAGE(I120:I123)</f>
        <v>82.25</v>
      </c>
      <c r="J128" s="79">
        <f>AVERAGE(J120:J121)</f>
        <v>90.5</v>
      </c>
      <c r="K128" s="79">
        <f>AVERAGE(K120:K123)</f>
        <v>76</v>
      </c>
      <c r="L128" s="79">
        <f>(L125*4+L126*3+L127*3)/10</f>
        <v>78.2</v>
      </c>
      <c r="M128" s="79">
        <f>(M125*4+M126*3+M127*3)/10</f>
        <v>79.44</v>
      </c>
      <c r="N128" s="79">
        <f>(N125*4+N126*3+N127*3)/10</f>
        <v>80.62</v>
      </c>
      <c r="O128" s="79">
        <f>AVERAGE(O120:O121)</f>
        <v>77.5</v>
      </c>
      <c r="P128" s="79">
        <f>AVERAGE(P120:P121)</f>
        <v>81</v>
      </c>
      <c r="Q128" s="79">
        <f>AVERAGE(Q120:Q121)</f>
        <v>80</v>
      </c>
      <c r="R128" s="79">
        <f>(R125*4+R126*3+R127*3)/10</f>
        <v>79.655555555555566</v>
      </c>
      <c r="S128" s="79">
        <f>(S125*4+S126*3+S127*3)/10</f>
        <v>81.76666666666668</v>
      </c>
      <c r="T128" s="79">
        <f>T126</f>
        <v>85</v>
      </c>
      <c r="U128" s="79">
        <f t="shared" ref="U128" si="24">(U125*4+U126*3+U127*3)/10</f>
        <v>78.23333333333332</v>
      </c>
      <c r="V128" s="80">
        <f>AVERAGE(E128:U128)</f>
        <v>81.2362091503268</v>
      </c>
      <c r="X128" s="278">
        <v>17</v>
      </c>
    </row>
    <row r="129" spans="1:24" ht="15.6" thickTop="1" thickBot="1">
      <c r="A129" s="268">
        <v>14</v>
      </c>
      <c r="B129" s="270" t="s">
        <v>498</v>
      </c>
      <c r="C129" s="273" t="s">
        <v>499</v>
      </c>
      <c r="D129" s="52" t="s">
        <v>294</v>
      </c>
      <c r="E129" s="53">
        <f>tkr!$E$18</f>
        <v>90</v>
      </c>
      <c r="F129" s="53">
        <f>tkr!$K$18</f>
        <v>87</v>
      </c>
      <c r="G129" s="53">
        <f>tkr!$Q$18</f>
        <v>79</v>
      </c>
      <c r="H129" s="53">
        <f>tkr!$W$18</f>
        <v>83</v>
      </c>
      <c r="I129" s="53">
        <f>tkr!$AA$18</f>
        <v>80</v>
      </c>
      <c r="J129" s="53">
        <f>tkr!$AE$18</f>
        <v>95</v>
      </c>
      <c r="K129" s="54">
        <f>tkr!$AG$18</f>
        <v>80</v>
      </c>
      <c r="L129" s="55"/>
      <c r="M129" s="53">
        <f>tkr!$AM$18</f>
        <v>77</v>
      </c>
      <c r="N129" s="53">
        <f>tkr!$AS$18</f>
        <v>76</v>
      </c>
      <c r="O129" s="53">
        <f>tkr!$AY$18</f>
        <v>75</v>
      </c>
      <c r="P129" s="54">
        <f>tkr!$BA$18</f>
        <v>84</v>
      </c>
      <c r="Q129" s="54">
        <f>tkr!$BC$18</f>
        <v>80</v>
      </c>
      <c r="R129" s="55"/>
      <c r="S129" s="55"/>
      <c r="T129" s="55"/>
      <c r="U129" s="55"/>
      <c r="V129" s="56"/>
      <c r="X129" s="278">
        <v>18</v>
      </c>
    </row>
    <row r="130" spans="1:24" ht="15" thickBot="1">
      <c r="A130" s="268">
        <v>14</v>
      </c>
      <c r="B130" s="271"/>
      <c r="C130" s="274"/>
      <c r="D130" s="52" t="s">
        <v>295</v>
      </c>
      <c r="E130" s="53">
        <f>tkr!$F$18</f>
        <v>86</v>
      </c>
      <c r="F130" s="53">
        <f>tkr!$L$18</f>
        <v>86</v>
      </c>
      <c r="G130" s="53">
        <f>tkr!$R$18</f>
        <v>84</v>
      </c>
      <c r="H130" s="53">
        <f>tkr!$X$18</f>
        <v>84</v>
      </c>
      <c r="I130" s="53">
        <f>tkr!$AB$18</f>
        <v>80</v>
      </c>
      <c r="J130" s="53">
        <f>tkr!$AF$18</f>
        <v>84</v>
      </c>
      <c r="K130" s="54">
        <f>tkr!$AH$18</f>
        <v>76</v>
      </c>
      <c r="L130" s="55"/>
      <c r="M130" s="53">
        <f>tkr!$AN$18</f>
        <v>79</v>
      </c>
      <c r="N130" s="53">
        <f>tkr!$AT$18</f>
        <v>80</v>
      </c>
      <c r="O130" s="53">
        <f>tkr!$AZ$18</f>
        <v>79</v>
      </c>
      <c r="P130" s="54">
        <f>tkr!$BB$18</f>
        <v>83</v>
      </c>
      <c r="Q130" s="54">
        <f>tkr!$BD$18</f>
        <v>84</v>
      </c>
      <c r="R130" s="55"/>
      <c r="S130" s="55"/>
      <c r="T130" s="55"/>
      <c r="U130" s="55"/>
      <c r="V130" s="58"/>
      <c r="X130" s="278">
        <v>18</v>
      </c>
    </row>
    <row r="131" spans="1:24" ht="15" thickBot="1">
      <c r="A131" s="268">
        <v>14</v>
      </c>
      <c r="B131" s="271"/>
      <c r="C131" s="274"/>
      <c r="D131" s="52" t="s">
        <v>296</v>
      </c>
      <c r="E131" s="53">
        <f>tkr!$G$18</f>
        <v>92</v>
      </c>
      <c r="F131" s="53">
        <f>tkr!$M$18</f>
        <v>93</v>
      </c>
      <c r="G131" s="53">
        <f>tkr!$S$18</f>
        <v>86</v>
      </c>
      <c r="H131" s="53">
        <f>tkr!$Y$18</f>
        <v>84</v>
      </c>
      <c r="I131" s="53">
        <f>tkr!$AC$18</f>
        <v>86</v>
      </c>
      <c r="J131" s="59"/>
      <c r="K131" s="54">
        <f>tkr!$AI$18</f>
        <v>74</v>
      </c>
      <c r="L131" s="55"/>
      <c r="M131" s="53">
        <f>tkr!$AO$18</f>
        <v>80</v>
      </c>
      <c r="N131" s="53">
        <f>tkr!$AU$18</f>
        <v>80</v>
      </c>
      <c r="O131" s="59"/>
      <c r="P131" s="55"/>
      <c r="Q131" s="55"/>
      <c r="R131" s="54">
        <f>tkr!$BQ$18</f>
        <v>85</v>
      </c>
      <c r="S131" s="54">
        <f>tkr!$BU$18</f>
        <v>81</v>
      </c>
      <c r="T131" s="55"/>
      <c r="U131" s="54">
        <f>tkr!$BZ$18</f>
        <v>70</v>
      </c>
      <c r="V131" s="58"/>
      <c r="X131" s="278">
        <v>18</v>
      </c>
    </row>
    <row r="132" spans="1:24" ht="15" thickBot="1">
      <c r="A132" s="268">
        <v>14</v>
      </c>
      <c r="B132" s="271"/>
      <c r="C132" s="274"/>
      <c r="D132" s="62" t="s">
        <v>297</v>
      </c>
      <c r="E132" s="53">
        <f>tkr!$H$18</f>
        <v>84</v>
      </c>
      <c r="F132" s="53">
        <f>tkr!$N$18</f>
        <v>91</v>
      </c>
      <c r="G132" s="53">
        <f>tkr!$T$18</f>
        <v>87</v>
      </c>
      <c r="H132" s="53">
        <f>tkr!$Z$18</f>
        <v>86</v>
      </c>
      <c r="I132" s="53">
        <f>tkr!$AD$18</f>
        <v>87</v>
      </c>
      <c r="J132" s="59"/>
      <c r="K132" s="54">
        <f>tkr!$AJ$18</f>
        <v>80</v>
      </c>
      <c r="L132" s="55"/>
      <c r="M132" s="53">
        <f>tkr!$AP$18</f>
        <v>86</v>
      </c>
      <c r="N132" s="53">
        <f>tkr!$AV$18</f>
        <v>80</v>
      </c>
      <c r="O132" s="59"/>
      <c r="P132" s="55"/>
      <c r="Q132" s="55"/>
      <c r="R132" s="54">
        <f>tkr!$BR$18</f>
        <v>84.666666666666671</v>
      </c>
      <c r="S132" s="54">
        <f>tkr!$BV$18</f>
        <v>82</v>
      </c>
      <c r="T132" s="63"/>
      <c r="U132" s="54">
        <f>tkr!$CA$18</f>
        <v>82</v>
      </c>
      <c r="V132" s="58"/>
      <c r="X132" s="278">
        <v>18</v>
      </c>
    </row>
    <row r="133" spans="1:24">
      <c r="A133" s="268">
        <v>14</v>
      </c>
      <c r="B133" s="271"/>
      <c r="C133" s="274"/>
      <c r="D133" s="62" t="s">
        <v>298</v>
      </c>
      <c r="E133" s="53">
        <f>tkr!$I$18</f>
        <v>88</v>
      </c>
      <c r="F133" s="53">
        <f>tkr!$O$18</f>
        <v>93</v>
      </c>
      <c r="G133" s="53">
        <f>tkr!$U$18</f>
        <v>86</v>
      </c>
      <c r="H133" s="65"/>
      <c r="I133" s="65"/>
      <c r="J133" s="59"/>
      <c r="K133" s="59"/>
      <c r="L133" s="53">
        <f>tkr!$AK$18</f>
        <v>81</v>
      </c>
      <c r="M133" s="53">
        <f>tkr!$AQ$18</f>
        <v>82</v>
      </c>
      <c r="N133" s="53">
        <f>tkr!$AW$18</f>
        <v>80</v>
      </c>
      <c r="O133" s="59"/>
      <c r="P133" s="55"/>
      <c r="Q133" s="55"/>
      <c r="R133" s="54">
        <f>tkr!$BS$18</f>
        <v>78.666666666666671</v>
      </c>
      <c r="S133" s="54">
        <f>tkr!$BW$18</f>
        <v>81</v>
      </c>
      <c r="T133" s="54"/>
      <c r="U133" s="54">
        <f>tkr!$CB$18</f>
        <v>77</v>
      </c>
      <c r="V133" s="58"/>
      <c r="X133" s="278">
        <v>18</v>
      </c>
    </row>
    <row r="134" spans="1:24">
      <c r="A134" s="268">
        <v>14</v>
      </c>
      <c r="B134" s="271"/>
      <c r="C134" s="274"/>
      <c r="D134" s="66" t="s">
        <v>299</v>
      </c>
      <c r="E134" s="67">
        <f>AVERAGE(E129:E133)</f>
        <v>88</v>
      </c>
      <c r="F134" s="67">
        <f>AVERAGE(F129:F133)</f>
        <v>90</v>
      </c>
      <c r="G134" s="67">
        <f>AVERAGE(G129:G133)</f>
        <v>84.4</v>
      </c>
      <c r="H134" s="68"/>
      <c r="I134" s="68"/>
      <c r="J134" s="69"/>
      <c r="K134" s="69"/>
      <c r="L134" s="67">
        <f>AVERAGE(L129:L133)</f>
        <v>81</v>
      </c>
      <c r="M134" s="67">
        <f>AVERAGE(M129:M133)</f>
        <v>80.8</v>
      </c>
      <c r="N134" s="67">
        <f>AVERAGE(N129:N133)</f>
        <v>79.2</v>
      </c>
      <c r="O134" s="69"/>
      <c r="P134" s="63"/>
      <c r="Q134" s="63"/>
      <c r="R134" s="84">
        <f>AVERAGE(R131:R133)</f>
        <v>82.777777777777786</v>
      </c>
      <c r="S134" s="84">
        <f>AVERAGE(S131:S133)</f>
        <v>81.333333333333329</v>
      </c>
      <c r="T134" s="63"/>
      <c r="U134" s="84">
        <f>AVERAGE(U129:U133)</f>
        <v>76.333333333333329</v>
      </c>
      <c r="V134" s="58"/>
      <c r="X134" s="278">
        <v>18</v>
      </c>
    </row>
    <row r="135" spans="1:24">
      <c r="A135" s="268">
        <v>14</v>
      </c>
      <c r="B135" s="271"/>
      <c r="C135" s="274"/>
      <c r="D135" s="70" t="s">
        <v>300</v>
      </c>
      <c r="E135" s="71">
        <f>tkr!$J$18</f>
        <v>87</v>
      </c>
      <c r="F135" s="71">
        <f>tkr!$P$18</f>
        <v>89</v>
      </c>
      <c r="G135" s="71">
        <f>tkr!$V$18</f>
        <v>85</v>
      </c>
      <c r="H135" s="72"/>
      <c r="I135" s="72"/>
      <c r="J135" s="73"/>
      <c r="K135" s="73"/>
      <c r="L135" s="71">
        <f>tkr!$AL$18</f>
        <v>85</v>
      </c>
      <c r="M135" s="71">
        <f>tkr!$AR$18</f>
        <v>87</v>
      </c>
      <c r="N135" s="71">
        <f>tkr!$AX$18</f>
        <v>87</v>
      </c>
      <c r="O135" s="73"/>
      <c r="P135" s="74"/>
      <c r="Q135" s="74"/>
      <c r="R135" s="85">
        <f>tkr!$BT$18</f>
        <v>94</v>
      </c>
      <c r="S135" s="85">
        <f>tkr!$BX$18</f>
        <v>94</v>
      </c>
      <c r="T135" s="85">
        <f>tkr!$BY$18</f>
        <v>88</v>
      </c>
      <c r="U135" s="75">
        <f>tkr!$CC$18</f>
        <v>87</v>
      </c>
      <c r="V135" s="58"/>
      <c r="X135" s="278">
        <v>18</v>
      </c>
    </row>
    <row r="136" spans="1:24">
      <c r="A136" s="268">
        <v>14</v>
      </c>
      <c r="B136" s="271"/>
      <c r="C136" s="274"/>
      <c r="D136" s="76" t="s">
        <v>301</v>
      </c>
      <c r="E136" s="77">
        <f>tkr!$CD$18</f>
        <v>88</v>
      </c>
      <c r="F136" s="77">
        <f>tkr!$CE$18</f>
        <v>95</v>
      </c>
      <c r="G136" s="77">
        <f>tkr!$CF$18</f>
        <v>88</v>
      </c>
      <c r="H136" s="72"/>
      <c r="I136" s="72"/>
      <c r="J136" s="73"/>
      <c r="K136" s="73"/>
      <c r="L136" s="77">
        <f>tkr!$CG$18</f>
        <v>82</v>
      </c>
      <c r="M136" s="77">
        <f>tkr!$CH$18</f>
        <v>83</v>
      </c>
      <c r="N136" s="77">
        <f>tkr!$CI$18</f>
        <v>85</v>
      </c>
      <c r="O136" s="73"/>
      <c r="P136" s="74"/>
      <c r="Q136" s="74"/>
      <c r="R136" s="86">
        <f>tkr!$CL$18</f>
        <v>70</v>
      </c>
      <c r="S136" s="86">
        <f>tkr!$CK$18</f>
        <v>80</v>
      </c>
      <c r="T136" s="74"/>
      <c r="U136" s="86">
        <f>tkr!$CJ$18</f>
        <v>80</v>
      </c>
      <c r="V136" s="58"/>
      <c r="X136" s="278">
        <v>18</v>
      </c>
    </row>
    <row r="137" spans="1:24" ht="15" thickBot="1">
      <c r="A137" s="269">
        <v>14</v>
      </c>
      <c r="B137" s="272"/>
      <c r="C137" s="275"/>
      <c r="D137" s="78" t="s">
        <v>302</v>
      </c>
      <c r="E137" s="79">
        <f>(E134*4+E135*3+E136*3)/10</f>
        <v>87.7</v>
      </c>
      <c r="F137" s="79">
        <f t="shared" ref="F137:G137" si="25">(F134*4+F135*3+F136*3)/10</f>
        <v>91.2</v>
      </c>
      <c r="G137" s="79">
        <f t="shared" si="25"/>
        <v>85.66</v>
      </c>
      <c r="H137" s="79">
        <f>AVERAGE(H129:H132)</f>
        <v>84.25</v>
      </c>
      <c r="I137" s="79">
        <f>AVERAGE(I129:I132)</f>
        <v>83.25</v>
      </c>
      <c r="J137" s="79">
        <f>AVERAGE(J129:J130)</f>
        <v>89.5</v>
      </c>
      <c r="K137" s="79">
        <f>AVERAGE(K129:K132)</f>
        <v>77.5</v>
      </c>
      <c r="L137" s="79">
        <f>(L134*4+L135*3+L136*3)/10</f>
        <v>82.5</v>
      </c>
      <c r="M137" s="79">
        <f>(M134*4+M135*3+M136*3)/10</f>
        <v>83.320000000000007</v>
      </c>
      <c r="N137" s="79">
        <f>(N134*4+N135*3+N136*3)/10</f>
        <v>83.28</v>
      </c>
      <c r="O137" s="79">
        <f>AVERAGE(O129:O130)</f>
        <v>77</v>
      </c>
      <c r="P137" s="79">
        <f>AVERAGE(P129:P130)</f>
        <v>83.5</v>
      </c>
      <c r="Q137" s="79">
        <f>AVERAGE(Q129:Q130)</f>
        <v>82</v>
      </c>
      <c r="R137" s="79">
        <f>(R134*4+R135*3+R136*3)/10</f>
        <v>82.311111111111103</v>
      </c>
      <c r="S137" s="79">
        <f>(S134*4+S135*3+S136*3)/10</f>
        <v>84.73333333333332</v>
      </c>
      <c r="T137" s="79">
        <f>T135</f>
        <v>88</v>
      </c>
      <c r="U137" s="79">
        <f t="shared" ref="U137" si="26">(U134*4+U135*3+U136*3)/10</f>
        <v>80.633333333333326</v>
      </c>
      <c r="V137" s="80">
        <f>AVERAGE(E137:U137)</f>
        <v>83.902222222222221</v>
      </c>
      <c r="X137" s="278">
        <v>18</v>
      </c>
    </row>
    <row r="138" spans="1:24" ht="15.6" thickTop="1" thickBot="1">
      <c r="A138" s="268">
        <v>15</v>
      </c>
      <c r="B138" s="270" t="s">
        <v>500</v>
      </c>
      <c r="C138" s="273" t="s">
        <v>501</v>
      </c>
      <c r="D138" s="52" t="s">
        <v>294</v>
      </c>
      <c r="E138" s="53">
        <f>tkr!$E$19</f>
        <v>85</v>
      </c>
      <c r="F138" s="53">
        <f>tkr!$K$19</f>
        <v>77</v>
      </c>
      <c r="G138" s="53">
        <f>tkr!$Q$19</f>
        <v>78</v>
      </c>
      <c r="H138" s="53">
        <f>tkr!$W$19</f>
        <v>82</v>
      </c>
      <c r="I138" s="53">
        <f>tkr!$AA$19</f>
        <v>82</v>
      </c>
      <c r="J138" s="53">
        <f>tkr!$AE$19</f>
        <v>95</v>
      </c>
      <c r="K138" s="54">
        <f>tkr!$AG$19</f>
        <v>77</v>
      </c>
      <c r="L138" s="55"/>
      <c r="M138" s="53">
        <f>tkr!$AM$19</f>
        <v>75</v>
      </c>
      <c r="N138" s="53">
        <f>tkr!$AS$19</f>
        <v>78</v>
      </c>
      <c r="O138" s="53">
        <f>tkr!$AY$19</f>
        <v>75</v>
      </c>
      <c r="P138" s="54">
        <f>tkr!$BA$19</f>
        <v>78</v>
      </c>
      <c r="Q138" s="54">
        <f>tkr!$BC$19</f>
        <v>80</v>
      </c>
      <c r="R138" s="55"/>
      <c r="S138" s="55"/>
      <c r="T138" s="55"/>
      <c r="U138" s="55"/>
      <c r="V138" s="56"/>
      <c r="X138" s="278">
        <v>19</v>
      </c>
    </row>
    <row r="139" spans="1:24" ht="15" thickBot="1">
      <c r="A139" s="268">
        <v>15</v>
      </c>
      <c r="B139" s="271"/>
      <c r="C139" s="274"/>
      <c r="D139" s="52" t="s">
        <v>295</v>
      </c>
      <c r="E139" s="53">
        <f>tkr!$F$19</f>
        <v>78</v>
      </c>
      <c r="F139" s="53">
        <f>tkr!$L$19</f>
        <v>78</v>
      </c>
      <c r="G139" s="53">
        <f>tkr!$R$19</f>
        <v>70</v>
      </c>
      <c r="H139" s="53">
        <f>tkr!$X$19</f>
        <v>84</v>
      </c>
      <c r="I139" s="53">
        <f>tkr!$AB$19</f>
        <v>80</v>
      </c>
      <c r="J139" s="53">
        <f>tkr!$AF$19</f>
        <v>84</v>
      </c>
      <c r="K139" s="54">
        <f>tkr!$AH$19</f>
        <v>73</v>
      </c>
      <c r="L139" s="55"/>
      <c r="M139" s="53">
        <f>tkr!$AN$19</f>
        <v>76</v>
      </c>
      <c r="N139" s="53">
        <f>tkr!$AT$19</f>
        <v>79</v>
      </c>
      <c r="O139" s="53">
        <f>tkr!$AZ$19</f>
        <v>80</v>
      </c>
      <c r="P139" s="54">
        <f>tkr!$BB$19</f>
        <v>78</v>
      </c>
      <c r="Q139" s="54">
        <f>tkr!$BD$19</f>
        <v>82</v>
      </c>
      <c r="R139" s="55"/>
      <c r="S139" s="55"/>
      <c r="T139" s="55"/>
      <c r="U139" s="55"/>
      <c r="V139" s="58"/>
      <c r="X139" s="278">
        <v>19</v>
      </c>
    </row>
    <row r="140" spans="1:24" ht="15" thickBot="1">
      <c r="A140" s="268">
        <v>15</v>
      </c>
      <c r="B140" s="271"/>
      <c r="C140" s="274"/>
      <c r="D140" s="52" t="s">
        <v>296</v>
      </c>
      <c r="E140" s="53">
        <f>tkr!$G$19</f>
        <v>88</v>
      </c>
      <c r="F140" s="53">
        <f>tkr!$M$19</f>
        <v>80</v>
      </c>
      <c r="G140" s="53">
        <f>tkr!$S$19</f>
        <v>72</v>
      </c>
      <c r="H140" s="53">
        <f>tkr!$Y$19</f>
        <v>83</v>
      </c>
      <c r="I140" s="53">
        <f>tkr!$AC$19</f>
        <v>77</v>
      </c>
      <c r="J140" s="59"/>
      <c r="K140" s="54">
        <f>tkr!$AI$19</f>
        <v>72</v>
      </c>
      <c r="L140" s="55"/>
      <c r="M140" s="53">
        <f>tkr!$AO$19</f>
        <v>72</v>
      </c>
      <c r="N140" s="53">
        <f>tkr!$AU$19</f>
        <v>78</v>
      </c>
      <c r="O140" s="59"/>
      <c r="P140" s="55"/>
      <c r="Q140" s="55"/>
      <c r="R140" s="54">
        <f>tkr!$BQ$19</f>
        <v>83.666666666666671</v>
      </c>
      <c r="S140" s="54">
        <f>tkr!$BU$19</f>
        <v>81</v>
      </c>
      <c r="T140" s="55"/>
      <c r="U140" s="54">
        <f>tkr!$BZ$19</f>
        <v>71</v>
      </c>
      <c r="V140" s="58"/>
      <c r="X140" s="278">
        <v>19</v>
      </c>
    </row>
    <row r="141" spans="1:24" ht="15" thickBot="1">
      <c r="A141" s="268">
        <v>15</v>
      </c>
      <c r="B141" s="271"/>
      <c r="C141" s="274"/>
      <c r="D141" s="62" t="s">
        <v>297</v>
      </c>
      <c r="E141" s="53">
        <f>tkr!$H$19</f>
        <v>81</v>
      </c>
      <c r="F141" s="53">
        <f>tkr!$N$19</f>
        <v>84</v>
      </c>
      <c r="G141" s="53">
        <f>tkr!$T$19</f>
        <v>73</v>
      </c>
      <c r="H141" s="53">
        <f>tkr!$Z$19</f>
        <v>86</v>
      </c>
      <c r="I141" s="53">
        <f>tkr!$AD$19</f>
        <v>82</v>
      </c>
      <c r="J141" s="59"/>
      <c r="K141" s="54">
        <f>tkr!$AJ$19</f>
        <v>82</v>
      </c>
      <c r="L141" s="55"/>
      <c r="M141" s="53">
        <f>tkr!$AP$19</f>
        <v>77</v>
      </c>
      <c r="N141" s="53">
        <f>tkr!$AV$19</f>
        <v>78</v>
      </c>
      <c r="O141" s="59"/>
      <c r="P141" s="55"/>
      <c r="Q141" s="55"/>
      <c r="R141" s="54">
        <f>tkr!$BR$19</f>
        <v>82.666666666666671</v>
      </c>
      <c r="S141" s="54">
        <f>tkr!$BV$19</f>
        <v>82</v>
      </c>
      <c r="T141" s="63"/>
      <c r="U141" s="54">
        <f>tkr!$CA$19</f>
        <v>75</v>
      </c>
      <c r="V141" s="58"/>
      <c r="X141" s="278">
        <v>19</v>
      </c>
    </row>
    <row r="142" spans="1:24">
      <c r="A142" s="268">
        <v>15</v>
      </c>
      <c r="B142" s="271"/>
      <c r="C142" s="274"/>
      <c r="D142" s="62" t="s">
        <v>298</v>
      </c>
      <c r="E142" s="53">
        <f>tkr!$I$19</f>
        <v>83</v>
      </c>
      <c r="F142" s="53">
        <f>tkr!$O$19</f>
        <v>84</v>
      </c>
      <c r="G142" s="53">
        <f>tkr!$U$19</f>
        <v>71</v>
      </c>
      <c r="H142" s="65"/>
      <c r="I142" s="65"/>
      <c r="J142" s="59"/>
      <c r="K142" s="59"/>
      <c r="L142" s="53">
        <f>tkr!$AK$19</f>
        <v>80</v>
      </c>
      <c r="M142" s="53">
        <f>tkr!$AQ$19</f>
        <v>78</v>
      </c>
      <c r="N142" s="53">
        <f>tkr!$AW$19</f>
        <v>78</v>
      </c>
      <c r="O142" s="59"/>
      <c r="P142" s="55"/>
      <c r="Q142" s="55"/>
      <c r="R142" s="54">
        <f>tkr!$BS$19</f>
        <v>78</v>
      </c>
      <c r="S142" s="54">
        <f>tkr!$BW$19</f>
        <v>80</v>
      </c>
      <c r="T142" s="54"/>
      <c r="U142" s="54">
        <f>tkr!$CB$19</f>
        <v>74</v>
      </c>
      <c r="V142" s="58"/>
      <c r="X142" s="278">
        <v>19</v>
      </c>
    </row>
    <row r="143" spans="1:24">
      <c r="A143" s="268">
        <v>15</v>
      </c>
      <c r="B143" s="271"/>
      <c r="C143" s="274"/>
      <c r="D143" s="66" t="s">
        <v>299</v>
      </c>
      <c r="E143" s="67">
        <f>AVERAGE(E138:E142)</f>
        <v>83</v>
      </c>
      <c r="F143" s="67">
        <f>AVERAGE(F138:F142)</f>
        <v>80.599999999999994</v>
      </c>
      <c r="G143" s="67">
        <f>AVERAGE(G138:G142)</f>
        <v>72.8</v>
      </c>
      <c r="H143" s="68"/>
      <c r="I143" s="68"/>
      <c r="J143" s="69"/>
      <c r="K143" s="69"/>
      <c r="L143" s="67">
        <f>AVERAGE(L138:L142)</f>
        <v>80</v>
      </c>
      <c r="M143" s="67">
        <f>AVERAGE(M138:M142)</f>
        <v>75.599999999999994</v>
      </c>
      <c r="N143" s="67">
        <f>AVERAGE(N138:N142)</f>
        <v>78.2</v>
      </c>
      <c r="O143" s="69"/>
      <c r="P143" s="63"/>
      <c r="Q143" s="63"/>
      <c r="R143" s="84">
        <f>AVERAGE(R140:R142)</f>
        <v>81.444444444444443</v>
      </c>
      <c r="S143" s="84">
        <f>AVERAGE(S140:S142)</f>
        <v>81</v>
      </c>
      <c r="T143" s="63"/>
      <c r="U143" s="84">
        <f>AVERAGE(U138:U142)</f>
        <v>73.333333333333329</v>
      </c>
      <c r="V143" s="58"/>
      <c r="X143" s="278">
        <v>19</v>
      </c>
    </row>
    <row r="144" spans="1:24">
      <c r="A144" s="268">
        <v>15</v>
      </c>
      <c r="B144" s="271"/>
      <c r="C144" s="274"/>
      <c r="D144" s="70" t="s">
        <v>300</v>
      </c>
      <c r="E144" s="71">
        <f>tkr!$J$19</f>
        <v>79</v>
      </c>
      <c r="F144" s="71">
        <f>tkr!$P$19</f>
        <v>78</v>
      </c>
      <c r="G144" s="71">
        <f>tkr!$V$19</f>
        <v>78</v>
      </c>
      <c r="H144" s="72"/>
      <c r="I144" s="72"/>
      <c r="J144" s="73"/>
      <c r="K144" s="73"/>
      <c r="L144" s="71">
        <f>tkr!$AL$19</f>
        <v>78</v>
      </c>
      <c r="M144" s="71">
        <f>tkr!$AR$19</f>
        <v>80</v>
      </c>
      <c r="N144" s="71">
        <f>tkr!$AX$19</f>
        <v>80</v>
      </c>
      <c r="O144" s="73"/>
      <c r="P144" s="74"/>
      <c r="Q144" s="74"/>
      <c r="R144" s="85">
        <f>tkr!$BT$19</f>
        <v>79</v>
      </c>
      <c r="S144" s="85">
        <f>tkr!$BX$19</f>
        <v>79</v>
      </c>
      <c r="T144" s="85">
        <f>tkr!$BY$19</f>
        <v>79</v>
      </c>
      <c r="U144" s="75">
        <f>tkr!$CC$19</f>
        <v>80</v>
      </c>
      <c r="V144" s="58"/>
      <c r="X144" s="278">
        <v>19</v>
      </c>
    </row>
    <row r="145" spans="1:24">
      <c r="A145" s="268">
        <v>15</v>
      </c>
      <c r="B145" s="271"/>
      <c r="C145" s="274"/>
      <c r="D145" s="76" t="s">
        <v>301</v>
      </c>
      <c r="E145" s="77">
        <f>tkr!$CD$19</f>
        <v>82</v>
      </c>
      <c r="F145" s="77">
        <f>tkr!$CE$19</f>
        <v>80</v>
      </c>
      <c r="G145" s="77">
        <f>tkr!$CF$19</f>
        <v>76</v>
      </c>
      <c r="H145" s="72"/>
      <c r="I145" s="72"/>
      <c r="J145" s="73"/>
      <c r="K145" s="73"/>
      <c r="L145" s="77">
        <f>tkr!$CG$19</f>
        <v>80</v>
      </c>
      <c r="M145" s="77">
        <f>tkr!$CH$19</f>
        <v>78</v>
      </c>
      <c r="N145" s="77">
        <f>tkr!$CI$19</f>
        <v>80</v>
      </c>
      <c r="O145" s="73"/>
      <c r="P145" s="74"/>
      <c r="Q145" s="74"/>
      <c r="R145" s="86">
        <f>tkr!$CL$19</f>
        <v>95</v>
      </c>
      <c r="S145" s="86">
        <f>tkr!$CK$19</f>
        <v>81</v>
      </c>
      <c r="T145" s="74"/>
      <c r="U145" s="86">
        <f>tkr!$CJ$19</f>
        <v>78</v>
      </c>
      <c r="V145" s="58"/>
      <c r="X145" s="278">
        <v>19</v>
      </c>
    </row>
    <row r="146" spans="1:24" ht="15" thickBot="1">
      <c r="A146" s="269">
        <v>15</v>
      </c>
      <c r="B146" s="272"/>
      <c r="C146" s="275"/>
      <c r="D146" s="78" t="s">
        <v>302</v>
      </c>
      <c r="E146" s="79">
        <f>(E143*4+E144*3+E145*3)/10</f>
        <v>81.5</v>
      </c>
      <c r="F146" s="79">
        <f t="shared" ref="F146:G146" si="27">(F143*4+F144*3+F145*3)/10</f>
        <v>79.64</v>
      </c>
      <c r="G146" s="79">
        <f t="shared" si="27"/>
        <v>75.320000000000007</v>
      </c>
      <c r="H146" s="79">
        <f>AVERAGE(H138:H141)</f>
        <v>83.75</v>
      </c>
      <c r="I146" s="79">
        <f>AVERAGE(I138:I141)</f>
        <v>80.25</v>
      </c>
      <c r="J146" s="79">
        <f>AVERAGE(J138:J139)</f>
        <v>89.5</v>
      </c>
      <c r="K146" s="79">
        <f>AVERAGE(K138:K141)</f>
        <v>76</v>
      </c>
      <c r="L146" s="79">
        <f>(L143*4+L144*3+L145*3)/10</f>
        <v>79.400000000000006</v>
      </c>
      <c r="M146" s="79">
        <f>(M143*4+M144*3+M145*3)/10</f>
        <v>77.64</v>
      </c>
      <c r="N146" s="79">
        <f>(N143*4+N144*3+N145*3)/10</f>
        <v>79.28</v>
      </c>
      <c r="O146" s="79">
        <f>AVERAGE(O138:O139)</f>
        <v>77.5</v>
      </c>
      <c r="P146" s="79">
        <f>AVERAGE(P138:P139)</f>
        <v>78</v>
      </c>
      <c r="Q146" s="79">
        <f>AVERAGE(Q138:Q139)</f>
        <v>81</v>
      </c>
      <c r="R146" s="79">
        <f>(R143*4+R144*3+R145*3)/10</f>
        <v>84.777777777777786</v>
      </c>
      <c r="S146" s="79">
        <f>(S143*4+S144*3+S145*3)/10</f>
        <v>80.400000000000006</v>
      </c>
      <c r="T146" s="79">
        <f>T144</f>
        <v>79</v>
      </c>
      <c r="U146" s="79">
        <f t="shared" ref="U146" si="28">(U143*4+U144*3+U145*3)/10</f>
        <v>76.73333333333332</v>
      </c>
      <c r="V146" s="80">
        <f>AVERAGE(E146:U146)</f>
        <v>79.981830065359489</v>
      </c>
      <c r="X146" s="278">
        <v>19</v>
      </c>
    </row>
    <row r="147" spans="1:24" ht="18" customHeight="1" thickTop="1" thickBot="1">
      <c r="A147" s="268">
        <v>16</v>
      </c>
      <c r="B147" s="270" t="s">
        <v>502</v>
      </c>
      <c r="C147" s="273" t="s">
        <v>503</v>
      </c>
      <c r="D147" s="52" t="s">
        <v>294</v>
      </c>
      <c r="E147" s="53">
        <f>tkr!$E$20</f>
        <v>88</v>
      </c>
      <c r="F147" s="53">
        <f>tkr!$K$20</f>
        <v>91</v>
      </c>
      <c r="G147" s="53">
        <f>tkr!$Q$20</f>
        <v>80</v>
      </c>
      <c r="H147" s="53">
        <f>tkr!$W$20</f>
        <v>82</v>
      </c>
      <c r="I147" s="53">
        <f>tkr!$AA$20</f>
        <v>82</v>
      </c>
      <c r="J147" s="53">
        <f>tkr!$AE$20</f>
        <v>94</v>
      </c>
      <c r="K147" s="54">
        <f>tkr!$AG$20</f>
        <v>79</v>
      </c>
      <c r="L147" s="55"/>
      <c r="M147" s="53">
        <f>tkr!$AM$20</f>
        <v>79</v>
      </c>
      <c r="N147" s="53">
        <f>tkr!$AS$20</f>
        <v>77</v>
      </c>
      <c r="O147" s="53">
        <f>tkr!$AY$20</f>
        <v>78</v>
      </c>
      <c r="P147" s="54">
        <f>tkr!$BA$20</f>
        <v>78</v>
      </c>
      <c r="Q147" s="54">
        <f>tkr!$BC$20</f>
        <v>80</v>
      </c>
      <c r="R147" s="55"/>
      <c r="S147" s="55"/>
      <c r="T147" s="55"/>
      <c r="U147" s="55"/>
      <c r="V147" s="56"/>
      <c r="X147" s="278">
        <v>20</v>
      </c>
    </row>
    <row r="148" spans="1:24" ht="15" thickBot="1">
      <c r="A148" s="268">
        <v>16</v>
      </c>
      <c r="B148" s="271"/>
      <c r="C148" s="274"/>
      <c r="D148" s="52" t="s">
        <v>295</v>
      </c>
      <c r="E148" s="53">
        <f>tkr!$F$20</f>
        <v>87</v>
      </c>
      <c r="F148" s="53">
        <f>tkr!$L$20</f>
        <v>80</v>
      </c>
      <c r="G148" s="53">
        <f>tkr!$R$20</f>
        <v>86</v>
      </c>
      <c r="H148" s="53">
        <f>tkr!$X$20</f>
        <v>85</v>
      </c>
      <c r="I148" s="53">
        <f>tkr!$AB$20</f>
        <v>80</v>
      </c>
      <c r="J148" s="53">
        <f>tkr!$AF$20</f>
        <v>85</v>
      </c>
      <c r="K148" s="54">
        <f>tkr!$AH$20</f>
        <v>73</v>
      </c>
      <c r="L148" s="55"/>
      <c r="M148" s="53">
        <f>tkr!$AN$20</f>
        <v>78</v>
      </c>
      <c r="N148" s="53">
        <f>tkr!$AT$20</f>
        <v>78</v>
      </c>
      <c r="O148" s="53">
        <f>tkr!$AZ$20</f>
        <v>79</v>
      </c>
      <c r="P148" s="54">
        <f>tkr!$BB$20</f>
        <v>80</v>
      </c>
      <c r="Q148" s="54">
        <f>tkr!$BD$20</f>
        <v>84</v>
      </c>
      <c r="R148" s="55"/>
      <c r="S148" s="55"/>
      <c r="T148" s="55"/>
      <c r="U148" s="55"/>
      <c r="V148" s="58"/>
      <c r="X148" s="278">
        <v>20</v>
      </c>
    </row>
    <row r="149" spans="1:24" ht="15" thickBot="1">
      <c r="A149" s="268">
        <v>16</v>
      </c>
      <c r="B149" s="271"/>
      <c r="C149" s="274"/>
      <c r="D149" s="52" t="s">
        <v>296</v>
      </c>
      <c r="E149" s="53">
        <f>tkr!$G$20</f>
        <v>92</v>
      </c>
      <c r="F149" s="53">
        <f>tkr!$M$20</f>
        <v>70</v>
      </c>
      <c r="G149" s="53">
        <f>tkr!$S$20</f>
        <v>78</v>
      </c>
      <c r="H149" s="53">
        <f>tkr!$Y$20</f>
        <v>83</v>
      </c>
      <c r="I149" s="53">
        <f>tkr!$AC$20</f>
        <v>85</v>
      </c>
      <c r="J149" s="59"/>
      <c r="K149" s="54">
        <f>tkr!$AI$20</f>
        <v>71</v>
      </c>
      <c r="L149" s="55"/>
      <c r="M149" s="53">
        <f>tkr!$AO$20</f>
        <v>80</v>
      </c>
      <c r="N149" s="53">
        <f>tkr!$AU$20</f>
        <v>78</v>
      </c>
      <c r="O149" s="59"/>
      <c r="P149" s="55"/>
      <c r="Q149" s="55"/>
      <c r="R149" s="54">
        <f>tkr!$BQ$20</f>
        <v>83.666666666666671</v>
      </c>
      <c r="S149" s="54">
        <f>tkr!$BU$20</f>
        <v>81</v>
      </c>
      <c r="T149" s="55"/>
      <c r="U149" s="54">
        <f>tkr!$BZ$20</f>
        <v>71</v>
      </c>
      <c r="V149" s="58"/>
      <c r="X149" s="278">
        <v>20</v>
      </c>
    </row>
    <row r="150" spans="1:24" ht="15" thickBot="1">
      <c r="A150" s="268">
        <v>16</v>
      </c>
      <c r="B150" s="271"/>
      <c r="C150" s="274"/>
      <c r="D150" s="62" t="s">
        <v>297</v>
      </c>
      <c r="E150" s="53">
        <f>tkr!$H$20</f>
        <v>84</v>
      </c>
      <c r="F150" s="53">
        <f>tkr!$N$20</f>
        <v>93</v>
      </c>
      <c r="G150" s="53">
        <f>tkr!$T$20</f>
        <v>76</v>
      </c>
      <c r="H150" s="53">
        <f>tkr!$Z$20</f>
        <v>85</v>
      </c>
      <c r="I150" s="53">
        <f>tkr!$AD$20</f>
        <v>86</v>
      </c>
      <c r="J150" s="59"/>
      <c r="K150" s="54">
        <f>tkr!$AJ$20</f>
        <v>80</v>
      </c>
      <c r="L150" s="55"/>
      <c r="M150" s="53">
        <f>tkr!$AP$20</f>
        <v>84</v>
      </c>
      <c r="N150" s="53">
        <f>tkr!$AV$20</f>
        <v>80</v>
      </c>
      <c r="O150" s="59"/>
      <c r="P150" s="55"/>
      <c r="Q150" s="55"/>
      <c r="R150" s="54">
        <f>tkr!$BR$20</f>
        <v>82.666666666666671</v>
      </c>
      <c r="S150" s="54">
        <f>tkr!$BV$20</f>
        <v>82</v>
      </c>
      <c r="T150" s="63"/>
      <c r="U150" s="54">
        <f>tkr!$CA$20</f>
        <v>80</v>
      </c>
      <c r="V150" s="58"/>
      <c r="X150" s="278">
        <v>20</v>
      </c>
    </row>
    <row r="151" spans="1:24">
      <c r="A151" s="268">
        <v>16</v>
      </c>
      <c r="B151" s="271"/>
      <c r="C151" s="274"/>
      <c r="D151" s="62" t="s">
        <v>298</v>
      </c>
      <c r="E151" s="53">
        <f>tkr!$I$20</f>
        <v>90</v>
      </c>
      <c r="F151" s="53">
        <f>tkr!$O$20</f>
        <v>95</v>
      </c>
      <c r="G151" s="53">
        <f>tkr!$U$20</f>
        <v>81</v>
      </c>
      <c r="H151" s="65"/>
      <c r="I151" s="65"/>
      <c r="J151" s="59"/>
      <c r="K151" s="59"/>
      <c r="L151" s="53">
        <f>tkr!$AK$20</f>
        <v>82</v>
      </c>
      <c r="M151" s="53">
        <f>tkr!$AQ$20</f>
        <v>82</v>
      </c>
      <c r="N151" s="53">
        <f>tkr!$AW$20</f>
        <v>78</v>
      </c>
      <c r="O151" s="59"/>
      <c r="P151" s="55"/>
      <c r="Q151" s="55"/>
      <c r="R151" s="54">
        <f>tkr!$BS$20</f>
        <v>80.666666666666671</v>
      </c>
      <c r="S151" s="54">
        <f>tkr!$BW$20</f>
        <v>82</v>
      </c>
      <c r="T151" s="54"/>
      <c r="U151" s="54">
        <f>tkr!$CB$20</f>
        <v>78</v>
      </c>
      <c r="V151" s="58"/>
      <c r="X151" s="278">
        <v>20</v>
      </c>
    </row>
    <row r="152" spans="1:24">
      <c r="A152" s="268">
        <v>16</v>
      </c>
      <c r="B152" s="271"/>
      <c r="C152" s="274"/>
      <c r="D152" s="66" t="s">
        <v>299</v>
      </c>
      <c r="E152" s="67">
        <f>AVERAGE(E147:E151)</f>
        <v>88.2</v>
      </c>
      <c r="F152" s="67">
        <f>AVERAGE(F147:F151)</f>
        <v>85.8</v>
      </c>
      <c r="G152" s="67">
        <f>AVERAGE(G147:G151)</f>
        <v>80.2</v>
      </c>
      <c r="H152" s="68"/>
      <c r="I152" s="68"/>
      <c r="J152" s="69"/>
      <c r="K152" s="69"/>
      <c r="L152" s="67">
        <f>AVERAGE(L147:L151)</f>
        <v>82</v>
      </c>
      <c r="M152" s="67">
        <f>AVERAGE(M147:M151)</f>
        <v>80.599999999999994</v>
      </c>
      <c r="N152" s="67">
        <f>AVERAGE(N147:N151)</f>
        <v>78.2</v>
      </c>
      <c r="O152" s="69"/>
      <c r="P152" s="63"/>
      <c r="Q152" s="63"/>
      <c r="R152" s="84">
        <f>AVERAGE(R149:R151)</f>
        <v>82.333333333333329</v>
      </c>
      <c r="S152" s="84">
        <f>AVERAGE(S149:S151)</f>
        <v>81.666666666666671</v>
      </c>
      <c r="T152" s="63"/>
      <c r="U152" s="84">
        <f>AVERAGE(U147:U151)</f>
        <v>76.333333333333329</v>
      </c>
      <c r="V152" s="58"/>
      <c r="X152" s="278">
        <v>20</v>
      </c>
    </row>
    <row r="153" spans="1:24">
      <c r="A153" s="268">
        <v>16</v>
      </c>
      <c r="B153" s="271"/>
      <c r="C153" s="274"/>
      <c r="D153" s="70" t="s">
        <v>300</v>
      </c>
      <c r="E153" s="71">
        <f>tkr!$J$20</f>
        <v>77</v>
      </c>
      <c r="F153" s="71">
        <f>tkr!$P$20</f>
        <v>79</v>
      </c>
      <c r="G153" s="71">
        <f>tkr!$V$20</f>
        <v>77</v>
      </c>
      <c r="H153" s="72"/>
      <c r="I153" s="72"/>
      <c r="J153" s="73"/>
      <c r="K153" s="73"/>
      <c r="L153" s="71">
        <f>tkr!$AL$20</f>
        <v>77</v>
      </c>
      <c r="M153" s="71">
        <f>tkr!$AR$20</f>
        <v>82</v>
      </c>
      <c r="N153" s="71">
        <f>tkr!$AX$20</f>
        <v>82</v>
      </c>
      <c r="O153" s="73"/>
      <c r="P153" s="74"/>
      <c r="Q153" s="74"/>
      <c r="R153" s="85">
        <f>tkr!$BT$20</f>
        <v>75</v>
      </c>
      <c r="S153" s="85">
        <f>tkr!$BX$20</f>
        <v>75</v>
      </c>
      <c r="T153" s="85">
        <f>tkr!$BY$20</f>
        <v>78</v>
      </c>
      <c r="U153" s="75">
        <f>tkr!$CC$20</f>
        <v>82</v>
      </c>
      <c r="V153" s="58"/>
      <c r="X153" s="278">
        <v>20</v>
      </c>
    </row>
    <row r="154" spans="1:24">
      <c r="A154" s="268">
        <v>16</v>
      </c>
      <c r="B154" s="271"/>
      <c r="C154" s="274"/>
      <c r="D154" s="76" t="s">
        <v>301</v>
      </c>
      <c r="E154" s="77">
        <f>tkr!$CD$20</f>
        <v>87</v>
      </c>
      <c r="F154" s="77">
        <f>tkr!$CE$20</f>
        <v>85</v>
      </c>
      <c r="G154" s="77">
        <f>tkr!$CF$20</f>
        <v>88</v>
      </c>
      <c r="H154" s="72"/>
      <c r="I154" s="72"/>
      <c r="J154" s="73"/>
      <c r="K154" s="73"/>
      <c r="L154" s="77">
        <f>tkr!$CG$20</f>
        <v>92</v>
      </c>
      <c r="M154" s="77">
        <f>tkr!$CH$20</f>
        <v>82</v>
      </c>
      <c r="N154" s="77">
        <f>tkr!$CI$20</f>
        <v>80</v>
      </c>
      <c r="O154" s="73"/>
      <c r="P154" s="74"/>
      <c r="Q154" s="74"/>
      <c r="R154" s="86">
        <f>tkr!$CL$20</f>
        <v>77</v>
      </c>
      <c r="S154" s="86">
        <f>tkr!$CK$20</f>
        <v>82</v>
      </c>
      <c r="T154" s="74"/>
      <c r="U154" s="86">
        <f>tkr!$CJ$20</f>
        <v>79</v>
      </c>
      <c r="V154" s="58"/>
      <c r="X154" s="278">
        <v>20</v>
      </c>
    </row>
    <row r="155" spans="1:24" ht="15" thickBot="1">
      <c r="A155" s="269">
        <v>16</v>
      </c>
      <c r="B155" s="272"/>
      <c r="C155" s="275"/>
      <c r="D155" s="78" t="s">
        <v>302</v>
      </c>
      <c r="E155" s="79">
        <f>(E152*4+E153*3+E154*3)/10</f>
        <v>84.47999999999999</v>
      </c>
      <c r="F155" s="79">
        <f t="shared" ref="F155:G155" si="29">(F152*4+F153*3+F154*3)/10</f>
        <v>83.52000000000001</v>
      </c>
      <c r="G155" s="79">
        <f t="shared" si="29"/>
        <v>81.58</v>
      </c>
      <c r="H155" s="79">
        <f>AVERAGE(H147:H150)</f>
        <v>83.75</v>
      </c>
      <c r="I155" s="79">
        <f>AVERAGE(I147:I150)</f>
        <v>83.25</v>
      </c>
      <c r="J155" s="79">
        <f>AVERAGE(J147:J148)</f>
        <v>89.5</v>
      </c>
      <c r="K155" s="79">
        <f>AVERAGE(K147:K150)</f>
        <v>75.75</v>
      </c>
      <c r="L155" s="79">
        <f>(L152*4+L153*3+L154*3)/10</f>
        <v>83.5</v>
      </c>
      <c r="M155" s="79">
        <f>(M152*4+M153*3+M154*3)/10</f>
        <v>81.44</v>
      </c>
      <c r="N155" s="79">
        <f>(N152*4+N153*3+N154*3)/10</f>
        <v>79.88</v>
      </c>
      <c r="O155" s="79">
        <f>AVERAGE(O147:O148)</f>
        <v>78.5</v>
      </c>
      <c r="P155" s="79">
        <f>AVERAGE(P147:P148)</f>
        <v>79</v>
      </c>
      <c r="Q155" s="79">
        <f>AVERAGE(Q147:Q148)</f>
        <v>82</v>
      </c>
      <c r="R155" s="79">
        <f>(R152*4+R153*3+R154*3)/10</f>
        <v>78.533333333333331</v>
      </c>
      <c r="S155" s="79">
        <f>(S152*4+S153*3+S154*3)/10</f>
        <v>79.76666666666668</v>
      </c>
      <c r="T155" s="79">
        <f>T153</f>
        <v>78</v>
      </c>
      <c r="U155" s="79">
        <f t="shared" ref="U155" si="30">(U152*4+U153*3+U154*3)/10</f>
        <v>78.833333333333329</v>
      </c>
      <c r="V155" s="80">
        <f>AVERAGE(E155:U155)</f>
        <v>81.251960784313724</v>
      </c>
      <c r="X155" s="278">
        <v>20</v>
      </c>
    </row>
    <row r="156" spans="1:24" ht="15.6" thickTop="1" thickBot="1">
      <c r="A156" s="268">
        <v>17</v>
      </c>
      <c r="B156" s="270" t="s">
        <v>504</v>
      </c>
      <c r="C156" s="273" t="s">
        <v>505</v>
      </c>
      <c r="D156" s="52" t="s">
        <v>294</v>
      </c>
      <c r="E156" s="53">
        <f>tkr!$E$21</f>
        <v>92</v>
      </c>
      <c r="F156" s="53">
        <f>tkr!$K$21</f>
        <v>84</v>
      </c>
      <c r="G156" s="53">
        <f>tkr!$Q$21</f>
        <v>85</v>
      </c>
      <c r="H156" s="53">
        <f>tkr!$W$21</f>
        <v>83</v>
      </c>
      <c r="I156" s="53">
        <f>tkr!$AA$21</f>
        <v>80</v>
      </c>
      <c r="J156" s="53">
        <f>tkr!$AE$21</f>
        <v>95</v>
      </c>
      <c r="K156" s="54">
        <f>tkr!$AG$21</f>
        <v>79</v>
      </c>
      <c r="L156" s="55"/>
      <c r="M156" s="53">
        <f>tkr!$AM$21</f>
        <v>81</v>
      </c>
      <c r="N156" s="53">
        <f>tkr!$AS$21</f>
        <v>77</v>
      </c>
      <c r="O156" s="53">
        <f>tkr!$AY$21</f>
        <v>75</v>
      </c>
      <c r="P156" s="54">
        <f>tkr!$BA$21</f>
        <v>86</v>
      </c>
      <c r="Q156" s="54">
        <f>tkr!$BC$21</f>
        <v>80</v>
      </c>
      <c r="R156" s="55"/>
      <c r="S156" s="55"/>
      <c r="T156" s="55"/>
      <c r="U156" s="55"/>
      <c r="V156" s="56"/>
      <c r="X156" s="278">
        <v>21</v>
      </c>
    </row>
    <row r="157" spans="1:24" ht="15" thickBot="1">
      <c r="A157" s="268">
        <v>17</v>
      </c>
      <c r="B157" s="271"/>
      <c r="C157" s="274"/>
      <c r="D157" s="52" t="s">
        <v>295</v>
      </c>
      <c r="E157" s="53">
        <f>tkr!$F$21</f>
        <v>91</v>
      </c>
      <c r="F157" s="53">
        <f>tkr!$L$21</f>
        <v>84</v>
      </c>
      <c r="G157" s="53">
        <f>tkr!$R$21</f>
        <v>93</v>
      </c>
      <c r="H157" s="53">
        <f>tkr!$X$21</f>
        <v>85</v>
      </c>
      <c r="I157" s="53">
        <f>tkr!$AB$21</f>
        <v>82</v>
      </c>
      <c r="J157" s="53">
        <f>tkr!$AF$21</f>
        <v>85</v>
      </c>
      <c r="K157" s="54">
        <f>tkr!$AH$21</f>
        <v>76</v>
      </c>
      <c r="L157" s="55"/>
      <c r="M157" s="53">
        <f>tkr!$AN$21</f>
        <v>82</v>
      </c>
      <c r="N157" s="53">
        <f>tkr!$AT$21</f>
        <v>80</v>
      </c>
      <c r="O157" s="53">
        <f>tkr!$AZ$21</f>
        <v>81</v>
      </c>
      <c r="P157" s="54">
        <f>tkr!$BB$21</f>
        <v>85</v>
      </c>
      <c r="Q157" s="54">
        <f>tkr!$BD$21</f>
        <v>85</v>
      </c>
      <c r="R157" s="55"/>
      <c r="S157" s="55"/>
      <c r="T157" s="55"/>
      <c r="U157" s="55"/>
      <c r="V157" s="58"/>
      <c r="X157" s="278">
        <v>21</v>
      </c>
    </row>
    <row r="158" spans="1:24" ht="15" thickBot="1">
      <c r="A158" s="268">
        <v>17</v>
      </c>
      <c r="B158" s="271"/>
      <c r="C158" s="274"/>
      <c r="D158" s="52" t="s">
        <v>296</v>
      </c>
      <c r="E158" s="53">
        <f>tkr!$G$21</f>
        <v>93</v>
      </c>
      <c r="F158" s="53">
        <f>tkr!$M$21</f>
        <v>93</v>
      </c>
      <c r="G158" s="53">
        <f>tkr!$S$21</f>
        <v>87</v>
      </c>
      <c r="H158" s="53">
        <f>tkr!$Y$21</f>
        <v>84</v>
      </c>
      <c r="I158" s="53">
        <f>tkr!$AC$21</f>
        <v>85</v>
      </c>
      <c r="J158" s="59"/>
      <c r="K158" s="54">
        <f>tkr!$AI$21</f>
        <v>71</v>
      </c>
      <c r="L158" s="55"/>
      <c r="M158" s="53">
        <f>tkr!$AO$21</f>
        <v>81</v>
      </c>
      <c r="N158" s="53">
        <f>tkr!$AU$21</f>
        <v>80</v>
      </c>
      <c r="O158" s="59"/>
      <c r="P158" s="55"/>
      <c r="Q158" s="55"/>
      <c r="R158" s="54">
        <f>tkr!$BQ$21</f>
        <v>84.666666666666671</v>
      </c>
      <c r="S158" s="54">
        <f>tkr!$BU$21</f>
        <v>81</v>
      </c>
      <c r="T158" s="55"/>
      <c r="U158" s="54">
        <f>tkr!$BZ$21</f>
        <v>70</v>
      </c>
      <c r="V158" s="58"/>
      <c r="X158" s="278">
        <v>21</v>
      </c>
    </row>
    <row r="159" spans="1:24" ht="15" thickBot="1">
      <c r="A159" s="268">
        <v>17</v>
      </c>
      <c r="B159" s="271"/>
      <c r="C159" s="274"/>
      <c r="D159" s="62" t="s">
        <v>297</v>
      </c>
      <c r="E159" s="53">
        <f>tkr!$H$21</f>
        <v>85</v>
      </c>
      <c r="F159" s="53">
        <f>tkr!$N$21</f>
        <v>89</v>
      </c>
      <c r="G159" s="53">
        <f>tkr!$T$21</f>
        <v>89</v>
      </c>
      <c r="H159" s="53">
        <f>tkr!$Z$21</f>
        <v>86</v>
      </c>
      <c r="I159" s="53">
        <f>tkr!$AD$21</f>
        <v>86</v>
      </c>
      <c r="J159" s="59"/>
      <c r="K159" s="54">
        <f>tkr!$AJ$21</f>
        <v>81</v>
      </c>
      <c r="L159" s="55"/>
      <c r="M159" s="53">
        <f>tkr!$AP$21</f>
        <v>86</v>
      </c>
      <c r="N159" s="53">
        <f>tkr!$AV$21</f>
        <v>80</v>
      </c>
      <c r="O159" s="59"/>
      <c r="P159" s="55"/>
      <c r="Q159" s="55"/>
      <c r="R159" s="54">
        <f>tkr!$BR$21</f>
        <v>84.333333333333329</v>
      </c>
      <c r="S159" s="54">
        <f>tkr!$BV$21</f>
        <v>82</v>
      </c>
      <c r="T159" s="63"/>
      <c r="U159" s="54">
        <f>tkr!$CA$21</f>
        <v>89</v>
      </c>
      <c r="V159" s="58"/>
      <c r="X159" s="278">
        <v>21</v>
      </c>
    </row>
    <row r="160" spans="1:24">
      <c r="A160" s="268">
        <v>17</v>
      </c>
      <c r="B160" s="271"/>
      <c r="C160" s="274"/>
      <c r="D160" s="62" t="s">
        <v>298</v>
      </c>
      <c r="E160" s="53">
        <f>tkr!$I$21</f>
        <v>89</v>
      </c>
      <c r="F160" s="53">
        <f>tkr!$O$21</f>
        <v>94</v>
      </c>
      <c r="G160" s="53">
        <f>tkr!$U$21</f>
        <v>81</v>
      </c>
      <c r="H160" s="65"/>
      <c r="I160" s="65"/>
      <c r="J160" s="59"/>
      <c r="K160" s="59"/>
      <c r="L160" s="53">
        <f>tkr!$AK$21</f>
        <v>88</v>
      </c>
      <c r="M160" s="53">
        <f>tkr!$AQ$21</f>
        <v>86</v>
      </c>
      <c r="N160" s="53">
        <f>tkr!$AW$21</f>
        <v>80</v>
      </c>
      <c r="O160" s="59"/>
      <c r="P160" s="55"/>
      <c r="Q160" s="55"/>
      <c r="R160" s="54">
        <f>tkr!$BS$21</f>
        <v>80.666666666666671</v>
      </c>
      <c r="S160" s="54">
        <f>tkr!$BW$21</f>
        <v>88</v>
      </c>
      <c r="T160" s="54"/>
      <c r="U160" s="54">
        <f>tkr!$CB$21</f>
        <v>73</v>
      </c>
      <c r="V160" s="58"/>
      <c r="X160" s="278">
        <v>21</v>
      </c>
    </row>
    <row r="161" spans="1:24">
      <c r="A161" s="268">
        <v>17</v>
      </c>
      <c r="B161" s="271"/>
      <c r="C161" s="274"/>
      <c r="D161" s="66" t="s">
        <v>299</v>
      </c>
      <c r="E161" s="67">
        <f>AVERAGE(E156:E160)</f>
        <v>90</v>
      </c>
      <c r="F161" s="67">
        <f>AVERAGE(F156:F160)</f>
        <v>88.8</v>
      </c>
      <c r="G161" s="67">
        <f>AVERAGE(G156:G160)</f>
        <v>87</v>
      </c>
      <c r="H161" s="68"/>
      <c r="I161" s="68"/>
      <c r="J161" s="69"/>
      <c r="K161" s="69"/>
      <c r="L161" s="67">
        <f>AVERAGE(L156:L160)</f>
        <v>88</v>
      </c>
      <c r="M161" s="67">
        <f>AVERAGE(M156:M160)</f>
        <v>83.2</v>
      </c>
      <c r="N161" s="67">
        <f>AVERAGE(N156:N160)</f>
        <v>79.400000000000006</v>
      </c>
      <c r="O161" s="69"/>
      <c r="P161" s="63"/>
      <c r="Q161" s="63"/>
      <c r="R161" s="84">
        <f>AVERAGE(R158:R160)</f>
        <v>83.222222222222229</v>
      </c>
      <c r="S161" s="84">
        <f>AVERAGE(S158:S160)</f>
        <v>83.666666666666671</v>
      </c>
      <c r="T161" s="63"/>
      <c r="U161" s="84">
        <f>AVERAGE(U156:U160)</f>
        <v>77.333333333333329</v>
      </c>
      <c r="V161" s="58"/>
      <c r="X161" s="278">
        <v>21</v>
      </c>
    </row>
    <row r="162" spans="1:24">
      <c r="A162" s="268">
        <v>17</v>
      </c>
      <c r="B162" s="271"/>
      <c r="C162" s="274"/>
      <c r="D162" s="70" t="s">
        <v>300</v>
      </c>
      <c r="E162" s="71">
        <f>tkr!$J$21</f>
        <v>80</v>
      </c>
      <c r="F162" s="71">
        <f>tkr!$P$21</f>
        <v>84</v>
      </c>
      <c r="G162" s="71">
        <f>tkr!$V$21</f>
        <v>79</v>
      </c>
      <c r="H162" s="72"/>
      <c r="I162" s="72"/>
      <c r="J162" s="73"/>
      <c r="K162" s="73"/>
      <c r="L162" s="71">
        <f>tkr!$AL$21</f>
        <v>79</v>
      </c>
      <c r="M162" s="71">
        <f>tkr!$AR$21</f>
        <v>85</v>
      </c>
      <c r="N162" s="71">
        <f>tkr!$AX$21</f>
        <v>85</v>
      </c>
      <c r="O162" s="73"/>
      <c r="P162" s="74"/>
      <c r="Q162" s="74"/>
      <c r="R162" s="85">
        <f>tkr!$BT$21</f>
        <v>87</v>
      </c>
      <c r="S162" s="85">
        <f>tkr!$BX$21</f>
        <v>87</v>
      </c>
      <c r="T162" s="85">
        <f>tkr!$BY$21</f>
        <v>83</v>
      </c>
      <c r="U162" s="75">
        <f>tkr!$CC$21</f>
        <v>85</v>
      </c>
      <c r="V162" s="58"/>
      <c r="X162" s="278">
        <v>21</v>
      </c>
    </row>
    <row r="163" spans="1:24">
      <c r="A163" s="268">
        <v>17</v>
      </c>
      <c r="B163" s="271"/>
      <c r="C163" s="274"/>
      <c r="D163" s="76" t="s">
        <v>301</v>
      </c>
      <c r="E163" s="77">
        <f>tkr!$CD$21</f>
        <v>90</v>
      </c>
      <c r="F163" s="77">
        <f>tkr!$CE$21</f>
        <v>85</v>
      </c>
      <c r="G163" s="77">
        <f>tkr!$CF$21</f>
        <v>85</v>
      </c>
      <c r="H163" s="72"/>
      <c r="I163" s="72"/>
      <c r="J163" s="73"/>
      <c r="K163" s="73"/>
      <c r="L163" s="77">
        <f>tkr!$CG$21</f>
        <v>70</v>
      </c>
      <c r="M163" s="77">
        <f>tkr!$CH$21</f>
        <v>87</v>
      </c>
      <c r="N163" s="77">
        <f>tkr!$CI$21</f>
        <v>80</v>
      </c>
      <c r="O163" s="73"/>
      <c r="P163" s="74"/>
      <c r="Q163" s="74"/>
      <c r="R163" s="86">
        <f>tkr!$CL$21</f>
        <v>70</v>
      </c>
      <c r="S163" s="86">
        <f>tkr!$CK$21</f>
        <v>84</v>
      </c>
      <c r="T163" s="74"/>
      <c r="U163" s="86">
        <f>tkr!$CJ$21</f>
        <v>85</v>
      </c>
      <c r="V163" s="58"/>
      <c r="X163" s="278">
        <v>21</v>
      </c>
    </row>
    <row r="164" spans="1:24" ht="15" thickBot="1">
      <c r="A164" s="269">
        <v>17</v>
      </c>
      <c r="B164" s="272"/>
      <c r="C164" s="275"/>
      <c r="D164" s="78" t="s">
        <v>302</v>
      </c>
      <c r="E164" s="79">
        <f>(E161*4+E162*3+E163*3)/10</f>
        <v>87</v>
      </c>
      <c r="F164" s="79">
        <f t="shared" ref="F164:G164" si="31">(F161*4+F162*3+F163*3)/10</f>
        <v>86.22</v>
      </c>
      <c r="G164" s="79">
        <f t="shared" si="31"/>
        <v>84</v>
      </c>
      <c r="H164" s="79">
        <f>AVERAGE(H156:H159)</f>
        <v>84.5</v>
      </c>
      <c r="I164" s="79">
        <f>AVERAGE(I156:I159)</f>
        <v>83.25</v>
      </c>
      <c r="J164" s="79">
        <f>AVERAGE(J156:J157)</f>
        <v>90</v>
      </c>
      <c r="K164" s="79">
        <f>AVERAGE(K156:K159)</f>
        <v>76.75</v>
      </c>
      <c r="L164" s="79">
        <f>(L161*4+L162*3+L163*3)/10</f>
        <v>79.900000000000006</v>
      </c>
      <c r="M164" s="79">
        <f>(M161*4+M162*3+M163*3)/10</f>
        <v>84.88</v>
      </c>
      <c r="N164" s="79">
        <f>(N161*4+N162*3+N163*3)/10</f>
        <v>81.260000000000005</v>
      </c>
      <c r="O164" s="79">
        <f>AVERAGE(O156:O157)</f>
        <v>78</v>
      </c>
      <c r="P164" s="79">
        <f>AVERAGE(P156:P157)</f>
        <v>85.5</v>
      </c>
      <c r="Q164" s="79">
        <f>AVERAGE(Q156:Q157)</f>
        <v>82.5</v>
      </c>
      <c r="R164" s="79">
        <f>(R161*4+R162*3+R163*3)/10</f>
        <v>80.388888888888886</v>
      </c>
      <c r="S164" s="79">
        <f>(S161*4+S162*3+S163*3)/10</f>
        <v>84.76666666666668</v>
      </c>
      <c r="T164" s="79">
        <f>T162</f>
        <v>83</v>
      </c>
      <c r="U164" s="79">
        <f t="shared" ref="U164" si="32">(U161*4+U162*3+U163*3)/10</f>
        <v>81.933333333333323</v>
      </c>
      <c r="V164" s="80">
        <f>AVERAGE(E164:U164)</f>
        <v>83.167581699346414</v>
      </c>
      <c r="X164" s="278">
        <v>21</v>
      </c>
    </row>
    <row r="165" spans="1:24" ht="15.6" thickTop="1" thickBot="1">
      <c r="A165" s="268">
        <v>18</v>
      </c>
      <c r="B165" s="270" t="s">
        <v>506</v>
      </c>
      <c r="C165" s="273" t="s">
        <v>507</v>
      </c>
      <c r="D165" s="52" t="s">
        <v>294</v>
      </c>
      <c r="E165" s="53">
        <f>tkr!$E$22</f>
        <v>87</v>
      </c>
      <c r="F165" s="53">
        <f>tkr!$K$22</f>
        <v>92</v>
      </c>
      <c r="G165" s="53">
        <f>tkr!$Q$22</f>
        <v>80</v>
      </c>
      <c r="H165" s="53">
        <f>tkr!$W$22</f>
        <v>82</v>
      </c>
      <c r="I165" s="53">
        <f>tkr!$AA$22</f>
        <v>80</v>
      </c>
      <c r="J165" s="53">
        <f>tkr!$AE$22</f>
        <v>94</v>
      </c>
      <c r="K165" s="54">
        <f>tkr!$AG$22</f>
        <v>78</v>
      </c>
      <c r="L165" s="55"/>
      <c r="M165" s="53">
        <f>tkr!$AM$22</f>
        <v>75</v>
      </c>
      <c r="N165" s="53">
        <f>tkr!$AS$22</f>
        <v>76</v>
      </c>
      <c r="O165" s="53">
        <f>tkr!$AY$22</f>
        <v>74</v>
      </c>
      <c r="P165" s="54">
        <f>tkr!$BA$22</f>
        <v>79</v>
      </c>
      <c r="Q165" s="54">
        <f>tkr!$BC$22</f>
        <v>80</v>
      </c>
      <c r="R165" s="55"/>
      <c r="S165" s="55"/>
      <c r="T165" s="55"/>
      <c r="U165" s="55"/>
      <c r="V165" s="56"/>
      <c r="X165" s="278">
        <v>22</v>
      </c>
    </row>
    <row r="166" spans="1:24" ht="15" thickBot="1">
      <c r="A166" s="268">
        <v>18</v>
      </c>
      <c r="B166" s="271"/>
      <c r="C166" s="274"/>
      <c r="D166" s="52" t="s">
        <v>295</v>
      </c>
      <c r="E166" s="53">
        <f>tkr!$F$22</f>
        <v>76</v>
      </c>
      <c r="F166" s="53">
        <f>tkr!$L$22</f>
        <v>79</v>
      </c>
      <c r="G166" s="53">
        <f>tkr!$R$22</f>
        <v>85</v>
      </c>
      <c r="H166" s="53">
        <f>tkr!$X$22</f>
        <v>83</v>
      </c>
      <c r="I166" s="53">
        <f>tkr!$AB$22</f>
        <v>82</v>
      </c>
      <c r="J166" s="53">
        <f>tkr!$AF$22</f>
        <v>83</v>
      </c>
      <c r="K166" s="54">
        <f>tkr!$AH$22</f>
        <v>70</v>
      </c>
      <c r="L166" s="55"/>
      <c r="M166" s="53">
        <f>tkr!$AN$22</f>
        <v>74</v>
      </c>
      <c r="N166" s="53">
        <f>tkr!$AT$22</f>
        <v>77</v>
      </c>
      <c r="O166" s="53">
        <f>tkr!$AZ$22</f>
        <v>78</v>
      </c>
      <c r="P166" s="54">
        <f>tkr!$BB$22</f>
        <v>80</v>
      </c>
      <c r="Q166" s="54">
        <f>tkr!$BD$22</f>
        <v>78</v>
      </c>
      <c r="R166" s="55"/>
      <c r="S166" s="55"/>
      <c r="T166" s="55"/>
      <c r="U166" s="55"/>
      <c r="V166" s="58"/>
      <c r="X166" s="278">
        <v>22</v>
      </c>
    </row>
    <row r="167" spans="1:24" ht="15" thickBot="1">
      <c r="A167" s="268">
        <v>18</v>
      </c>
      <c r="B167" s="271"/>
      <c r="C167" s="274"/>
      <c r="D167" s="52" t="s">
        <v>296</v>
      </c>
      <c r="E167" s="53">
        <f>tkr!$G$22</f>
        <v>88</v>
      </c>
      <c r="F167" s="53">
        <f>tkr!$M$22</f>
        <v>89</v>
      </c>
      <c r="G167" s="53">
        <f>tkr!$S$22</f>
        <v>73</v>
      </c>
      <c r="H167" s="53">
        <f>tkr!$Y$22</f>
        <v>83</v>
      </c>
      <c r="I167" s="53">
        <f>tkr!$AC$22</f>
        <v>77</v>
      </c>
      <c r="J167" s="59"/>
      <c r="K167" s="54">
        <f>tkr!$AI$22</f>
        <v>74</v>
      </c>
      <c r="L167" s="55"/>
      <c r="M167" s="53">
        <f>tkr!$AO$22</f>
        <v>72</v>
      </c>
      <c r="N167" s="53">
        <f>tkr!$AU$22</f>
        <v>80</v>
      </c>
      <c r="O167" s="59"/>
      <c r="P167" s="55"/>
      <c r="Q167" s="55"/>
      <c r="R167" s="54">
        <f>tkr!$BQ$22</f>
        <v>71.666666666666671</v>
      </c>
      <c r="S167" s="54">
        <f>tkr!$BU$22</f>
        <v>77</v>
      </c>
      <c r="T167" s="55"/>
      <c r="U167" s="54">
        <f>tkr!$BZ$22</f>
        <v>71</v>
      </c>
      <c r="V167" s="58"/>
      <c r="X167" s="278">
        <v>22</v>
      </c>
    </row>
    <row r="168" spans="1:24" ht="15" thickBot="1">
      <c r="A168" s="268">
        <v>18</v>
      </c>
      <c r="B168" s="271"/>
      <c r="C168" s="274"/>
      <c r="D168" s="62" t="s">
        <v>297</v>
      </c>
      <c r="E168" s="53">
        <f>tkr!$H$22</f>
        <v>82</v>
      </c>
      <c r="F168" s="53">
        <f>tkr!$N$22</f>
        <v>85</v>
      </c>
      <c r="G168" s="53">
        <f>tkr!$T$22</f>
        <v>80</v>
      </c>
      <c r="H168" s="53">
        <f>tkr!$Z$22</f>
        <v>84</v>
      </c>
      <c r="I168" s="53">
        <f>tkr!$AD$22</f>
        <v>80</v>
      </c>
      <c r="J168" s="59"/>
      <c r="K168" s="54">
        <f>tkr!$AJ$22</f>
        <v>83</v>
      </c>
      <c r="L168" s="55"/>
      <c r="M168" s="53">
        <f>tkr!$AP$22</f>
        <v>79</v>
      </c>
      <c r="N168" s="53">
        <f>tkr!$AV$22</f>
        <v>78</v>
      </c>
      <c r="O168" s="59"/>
      <c r="P168" s="55"/>
      <c r="Q168" s="55"/>
      <c r="R168" s="54">
        <f>tkr!$BR$22</f>
        <v>75</v>
      </c>
      <c r="S168" s="54">
        <f>tkr!$BV$22</f>
        <v>79</v>
      </c>
      <c r="T168" s="63"/>
      <c r="U168" s="54">
        <f>tkr!$CA$22</f>
        <v>76</v>
      </c>
      <c r="V168" s="58"/>
      <c r="X168" s="278">
        <v>22</v>
      </c>
    </row>
    <row r="169" spans="1:24">
      <c r="A169" s="268">
        <v>18</v>
      </c>
      <c r="B169" s="271"/>
      <c r="C169" s="274"/>
      <c r="D169" s="62" t="s">
        <v>298</v>
      </c>
      <c r="E169" s="53">
        <f>tkr!$I$22</f>
        <v>84</v>
      </c>
      <c r="F169" s="53">
        <f>tkr!$O$22</f>
        <v>86</v>
      </c>
      <c r="G169" s="53">
        <f>tkr!$U$22</f>
        <v>75</v>
      </c>
      <c r="H169" s="65"/>
      <c r="I169" s="65"/>
      <c r="J169" s="59"/>
      <c r="K169" s="59"/>
      <c r="L169" s="53">
        <f>tkr!$AK$22</f>
        <v>80</v>
      </c>
      <c r="M169" s="53">
        <f>tkr!$AQ$22</f>
        <v>76</v>
      </c>
      <c r="N169" s="53">
        <f>tkr!$AW$22</f>
        <v>80</v>
      </c>
      <c r="O169" s="59"/>
      <c r="P169" s="55"/>
      <c r="Q169" s="55"/>
      <c r="R169" s="54">
        <f>tkr!$BS$22</f>
        <v>79.333333333333329</v>
      </c>
      <c r="S169" s="54">
        <f>tkr!$BW$22</f>
        <v>80</v>
      </c>
      <c r="T169" s="54"/>
      <c r="U169" s="54">
        <f>tkr!$CB$22</f>
        <v>76</v>
      </c>
      <c r="V169" s="58"/>
      <c r="X169" s="278">
        <v>22</v>
      </c>
    </row>
    <row r="170" spans="1:24">
      <c r="A170" s="268">
        <v>18</v>
      </c>
      <c r="B170" s="271"/>
      <c r="C170" s="274"/>
      <c r="D170" s="66" t="s">
        <v>299</v>
      </c>
      <c r="E170" s="67">
        <f>AVERAGE(E165:E169)</f>
        <v>83.4</v>
      </c>
      <c r="F170" s="67">
        <f>AVERAGE(F165:F169)</f>
        <v>86.2</v>
      </c>
      <c r="G170" s="67">
        <f>AVERAGE(G165:G169)</f>
        <v>78.599999999999994</v>
      </c>
      <c r="H170" s="68"/>
      <c r="I170" s="68"/>
      <c r="J170" s="69"/>
      <c r="K170" s="69"/>
      <c r="L170" s="67">
        <f>AVERAGE(L165:L169)</f>
        <v>80</v>
      </c>
      <c r="M170" s="67">
        <f>AVERAGE(M165:M169)</f>
        <v>75.2</v>
      </c>
      <c r="N170" s="67">
        <f>AVERAGE(N165:N169)</f>
        <v>78.2</v>
      </c>
      <c r="O170" s="69"/>
      <c r="P170" s="63"/>
      <c r="Q170" s="63"/>
      <c r="R170" s="84">
        <f>AVERAGE(R167:R169)</f>
        <v>75.333333333333329</v>
      </c>
      <c r="S170" s="84">
        <f>AVERAGE(S167:S169)</f>
        <v>78.666666666666671</v>
      </c>
      <c r="T170" s="63"/>
      <c r="U170" s="84">
        <f>AVERAGE(U165:U169)</f>
        <v>74.333333333333329</v>
      </c>
      <c r="V170" s="58"/>
      <c r="X170" s="278">
        <v>22</v>
      </c>
    </row>
    <row r="171" spans="1:24">
      <c r="A171" s="268">
        <v>18</v>
      </c>
      <c r="B171" s="271"/>
      <c r="C171" s="274"/>
      <c r="D171" s="70" t="s">
        <v>300</v>
      </c>
      <c r="E171" s="71">
        <f>tkr!$J$22</f>
        <v>78</v>
      </c>
      <c r="F171" s="71">
        <f>tkr!$P$22</f>
        <v>77</v>
      </c>
      <c r="G171" s="71">
        <f>tkr!$V$22</f>
        <v>78</v>
      </c>
      <c r="H171" s="72"/>
      <c r="I171" s="72"/>
      <c r="J171" s="73"/>
      <c r="K171" s="73"/>
      <c r="L171" s="71">
        <f>tkr!$AL$22</f>
        <v>78</v>
      </c>
      <c r="M171" s="71">
        <f>tkr!$AR$22</f>
        <v>80</v>
      </c>
      <c r="N171" s="71">
        <f>tkr!$AX$22</f>
        <v>80</v>
      </c>
      <c r="O171" s="73"/>
      <c r="P171" s="74"/>
      <c r="Q171" s="74"/>
      <c r="R171" s="85">
        <f>tkr!$BT$22</f>
        <v>78</v>
      </c>
      <c r="S171" s="85">
        <f>tkr!$BX$22</f>
        <v>78</v>
      </c>
      <c r="T171" s="85">
        <f>tkr!$BY$22</f>
        <v>78</v>
      </c>
      <c r="U171" s="75">
        <f>tkr!$CC$22</f>
        <v>80</v>
      </c>
      <c r="V171" s="58"/>
      <c r="X171" s="278">
        <v>22</v>
      </c>
    </row>
    <row r="172" spans="1:24">
      <c r="A172" s="268">
        <v>18</v>
      </c>
      <c r="B172" s="271"/>
      <c r="C172" s="274"/>
      <c r="D172" s="76" t="s">
        <v>301</v>
      </c>
      <c r="E172" s="77">
        <f>tkr!$CD$22</f>
        <v>80</v>
      </c>
      <c r="F172" s="77">
        <f>tkr!$CE$22</f>
        <v>85</v>
      </c>
      <c r="G172" s="77">
        <f>tkr!$CF$22</f>
        <v>78</v>
      </c>
      <c r="H172" s="72"/>
      <c r="I172" s="72"/>
      <c r="J172" s="73"/>
      <c r="K172" s="73"/>
      <c r="L172" s="77">
        <f>tkr!$CG$22</f>
        <v>87</v>
      </c>
      <c r="M172" s="77">
        <f>tkr!$CH$22</f>
        <v>76</v>
      </c>
      <c r="N172" s="77">
        <f>tkr!$CI$22</f>
        <v>79</v>
      </c>
      <c r="O172" s="73"/>
      <c r="P172" s="74"/>
      <c r="Q172" s="74"/>
      <c r="R172" s="86">
        <f>tkr!$CL$22</f>
        <v>70</v>
      </c>
      <c r="S172" s="86">
        <f>tkr!$CK$22</f>
        <v>84</v>
      </c>
      <c r="T172" s="74"/>
      <c r="U172" s="86">
        <f>tkr!$CJ$22</f>
        <v>76</v>
      </c>
      <c r="V172" s="58"/>
      <c r="X172" s="278">
        <v>22</v>
      </c>
    </row>
    <row r="173" spans="1:24" ht="15" thickBot="1">
      <c r="A173" s="269">
        <v>18</v>
      </c>
      <c r="B173" s="272"/>
      <c r="C173" s="275"/>
      <c r="D173" s="78" t="s">
        <v>302</v>
      </c>
      <c r="E173" s="79">
        <f>(E170*4+E171*3+E172*3)/10</f>
        <v>80.760000000000005</v>
      </c>
      <c r="F173" s="79">
        <f t="shared" ref="F173:G173" si="33">(F170*4+F171*3+F172*3)/10</f>
        <v>83.08</v>
      </c>
      <c r="G173" s="79">
        <f t="shared" si="33"/>
        <v>78.239999999999995</v>
      </c>
      <c r="H173" s="79">
        <f>AVERAGE(H165:H168)</f>
        <v>83</v>
      </c>
      <c r="I173" s="79">
        <f>AVERAGE(I165:I168)</f>
        <v>79.75</v>
      </c>
      <c r="J173" s="79">
        <f>AVERAGE(J165:J166)</f>
        <v>88.5</v>
      </c>
      <c r="K173" s="79">
        <f>AVERAGE(K165:K168)</f>
        <v>76.25</v>
      </c>
      <c r="L173" s="79">
        <f>(L170*4+L171*3+L172*3)/10</f>
        <v>81.5</v>
      </c>
      <c r="M173" s="79">
        <f>(M170*4+M171*3+M172*3)/10</f>
        <v>76.88</v>
      </c>
      <c r="N173" s="79">
        <f>(N170*4+N171*3+N172*3)/10</f>
        <v>78.97999999999999</v>
      </c>
      <c r="O173" s="79">
        <f>AVERAGE(O165:O166)</f>
        <v>76</v>
      </c>
      <c r="P173" s="79">
        <f>AVERAGE(P165:P166)</f>
        <v>79.5</v>
      </c>
      <c r="Q173" s="79">
        <f>AVERAGE(Q165:Q166)</f>
        <v>79</v>
      </c>
      <c r="R173" s="79">
        <f>(R170*4+R171*3+R172*3)/10</f>
        <v>74.533333333333331</v>
      </c>
      <c r="S173" s="79">
        <f>(S170*4+S171*3+S172*3)/10</f>
        <v>80.066666666666677</v>
      </c>
      <c r="T173" s="79">
        <f>T171</f>
        <v>78</v>
      </c>
      <c r="U173" s="79">
        <f t="shared" ref="U173" si="34">(U170*4+U171*3+U172*3)/10</f>
        <v>76.533333333333331</v>
      </c>
      <c r="V173" s="80">
        <f>AVERAGE(E173:U173)</f>
        <v>79.445490196078424</v>
      </c>
      <c r="X173" s="278">
        <v>22</v>
      </c>
    </row>
    <row r="174" spans="1:24" ht="15.6" thickTop="1" thickBot="1">
      <c r="A174" s="268">
        <v>19</v>
      </c>
      <c r="B174" s="270" t="s">
        <v>508</v>
      </c>
      <c r="C174" s="273" t="s">
        <v>509</v>
      </c>
      <c r="D174" s="52" t="s">
        <v>294</v>
      </c>
      <c r="E174" s="53">
        <f>tkr!$E$23</f>
        <v>93</v>
      </c>
      <c r="F174" s="53">
        <f>tkr!$K$23</f>
        <v>84</v>
      </c>
      <c r="G174" s="53">
        <f>tkr!$Q$23</f>
        <v>89</v>
      </c>
      <c r="H174" s="53">
        <f>tkr!$W$23</f>
        <v>83</v>
      </c>
      <c r="I174" s="53">
        <f>tkr!$AA$23</f>
        <v>84</v>
      </c>
      <c r="J174" s="53">
        <f>tkr!$AE$23</f>
        <v>96</v>
      </c>
      <c r="K174" s="54">
        <f>tkr!$AG$23</f>
        <v>80</v>
      </c>
      <c r="L174" s="55"/>
      <c r="M174" s="53">
        <f>tkr!$AM$23</f>
        <v>86</v>
      </c>
      <c r="N174" s="53">
        <f>tkr!$AS$23</f>
        <v>80</v>
      </c>
      <c r="O174" s="53">
        <f>tkr!$AY$23</f>
        <v>79</v>
      </c>
      <c r="P174" s="54">
        <f>tkr!$BA$23</f>
        <v>87</v>
      </c>
      <c r="Q174" s="54">
        <f>tkr!$BC$23</f>
        <v>81</v>
      </c>
      <c r="R174" s="55"/>
      <c r="S174" s="55"/>
      <c r="T174" s="55"/>
      <c r="U174" s="55"/>
      <c r="V174" s="56"/>
      <c r="X174" s="278">
        <v>23</v>
      </c>
    </row>
    <row r="175" spans="1:24" ht="15" thickBot="1">
      <c r="A175" s="268">
        <v>19</v>
      </c>
      <c r="B175" s="271"/>
      <c r="C175" s="274"/>
      <c r="D175" s="52" t="s">
        <v>295</v>
      </c>
      <c r="E175" s="53">
        <f>tkr!$F$23</f>
        <v>94</v>
      </c>
      <c r="F175" s="53">
        <f>tkr!$L$23</f>
        <v>94</v>
      </c>
      <c r="G175" s="53">
        <f>tkr!$R$23</f>
        <v>92</v>
      </c>
      <c r="H175" s="53">
        <f>tkr!$X$23</f>
        <v>85</v>
      </c>
      <c r="I175" s="53">
        <f>tkr!$AB$23</f>
        <v>85</v>
      </c>
      <c r="J175" s="53">
        <f>tkr!$AF$23</f>
        <v>86</v>
      </c>
      <c r="K175" s="54">
        <f>tkr!$AH$23</f>
        <v>80</v>
      </c>
      <c r="L175" s="55"/>
      <c r="M175" s="53">
        <f>tkr!$AN$23</f>
        <v>89</v>
      </c>
      <c r="N175" s="53">
        <f>tkr!$AT$23</f>
        <v>84</v>
      </c>
      <c r="O175" s="53">
        <f>tkr!$AZ$23</f>
        <v>80</v>
      </c>
      <c r="P175" s="54">
        <f>tkr!$BB$23</f>
        <v>94</v>
      </c>
      <c r="Q175" s="54">
        <f>tkr!$BD$23</f>
        <v>80</v>
      </c>
      <c r="R175" s="55"/>
      <c r="S175" s="55"/>
      <c r="T175" s="55"/>
      <c r="U175" s="55"/>
      <c r="V175" s="58"/>
      <c r="X175" s="278">
        <v>23</v>
      </c>
    </row>
    <row r="176" spans="1:24" ht="15" thickBot="1">
      <c r="A176" s="268">
        <v>19</v>
      </c>
      <c r="B176" s="271"/>
      <c r="C176" s="274"/>
      <c r="D176" s="52" t="s">
        <v>296</v>
      </c>
      <c r="E176" s="53">
        <f>tkr!$G$23</f>
        <v>93</v>
      </c>
      <c r="F176" s="53">
        <f>tkr!$M$23</f>
        <v>95</v>
      </c>
      <c r="G176" s="53">
        <f>tkr!$S$23</f>
        <v>95</v>
      </c>
      <c r="H176" s="53">
        <f>tkr!$Y$23</f>
        <v>84</v>
      </c>
      <c r="I176" s="53">
        <f>tkr!$AC$23</f>
        <v>86</v>
      </c>
      <c r="J176" s="59"/>
      <c r="K176" s="54">
        <f>tkr!$AI$23</f>
        <v>76</v>
      </c>
      <c r="L176" s="55"/>
      <c r="M176" s="53">
        <f>tkr!$AO$23</f>
        <v>95</v>
      </c>
      <c r="N176" s="53">
        <f>tkr!$AU$23</f>
        <v>85</v>
      </c>
      <c r="O176" s="59"/>
      <c r="P176" s="55"/>
      <c r="Q176" s="55"/>
      <c r="R176" s="54">
        <f>tkr!$BQ$23</f>
        <v>86</v>
      </c>
      <c r="S176" s="54">
        <f>tkr!$BU$23</f>
        <v>81</v>
      </c>
      <c r="T176" s="55"/>
      <c r="U176" s="54">
        <f>tkr!$BZ$23</f>
        <v>82</v>
      </c>
      <c r="V176" s="58"/>
      <c r="X176" s="278">
        <v>23</v>
      </c>
    </row>
    <row r="177" spans="1:24" ht="15" thickBot="1">
      <c r="A177" s="268">
        <v>19</v>
      </c>
      <c r="B177" s="271"/>
      <c r="C177" s="274"/>
      <c r="D177" s="62" t="s">
        <v>297</v>
      </c>
      <c r="E177" s="53">
        <f>tkr!$H$23</f>
        <v>88</v>
      </c>
      <c r="F177" s="53">
        <f>tkr!$N$23</f>
        <v>93</v>
      </c>
      <c r="G177" s="53">
        <f>tkr!$T$23</f>
        <v>93</v>
      </c>
      <c r="H177" s="53">
        <f>tkr!$Z$23</f>
        <v>86</v>
      </c>
      <c r="I177" s="53">
        <f>tkr!$AD$23</f>
        <v>87</v>
      </c>
      <c r="J177" s="59"/>
      <c r="K177" s="54">
        <f>tkr!$AJ$23</f>
        <v>83</v>
      </c>
      <c r="L177" s="55"/>
      <c r="M177" s="53">
        <f>tkr!$AP$23</f>
        <v>94</v>
      </c>
      <c r="N177" s="53">
        <f>tkr!$AV$23</f>
        <v>87</v>
      </c>
      <c r="O177" s="59"/>
      <c r="P177" s="55"/>
      <c r="Q177" s="55"/>
      <c r="R177" s="54">
        <f>tkr!$BR$23</f>
        <v>84.666666666666671</v>
      </c>
      <c r="S177" s="54">
        <f>tkr!$BV$23</f>
        <v>82</v>
      </c>
      <c r="T177" s="63"/>
      <c r="U177" s="54">
        <f>tkr!$CA$23</f>
        <v>95</v>
      </c>
      <c r="V177" s="58"/>
      <c r="X177" s="278">
        <v>23</v>
      </c>
    </row>
    <row r="178" spans="1:24">
      <c r="A178" s="268">
        <v>19</v>
      </c>
      <c r="B178" s="271"/>
      <c r="C178" s="274"/>
      <c r="D178" s="62" t="s">
        <v>298</v>
      </c>
      <c r="E178" s="53">
        <f>tkr!$I$23</f>
        <v>92</v>
      </c>
      <c r="F178" s="53">
        <f>tkr!$O$23</f>
        <v>95</v>
      </c>
      <c r="G178" s="53">
        <f>tkr!$U$23</f>
        <v>84</v>
      </c>
      <c r="H178" s="65"/>
      <c r="I178" s="65"/>
      <c r="J178" s="59"/>
      <c r="K178" s="59"/>
      <c r="L178" s="53">
        <f>tkr!$AK$23</f>
        <v>89</v>
      </c>
      <c r="M178" s="53">
        <f>tkr!$AQ$23</f>
        <v>89</v>
      </c>
      <c r="N178" s="53">
        <f>tkr!$AW$23</f>
        <v>87</v>
      </c>
      <c r="O178" s="59"/>
      <c r="P178" s="55"/>
      <c r="Q178" s="55"/>
      <c r="R178" s="54">
        <f>tkr!$BS$23</f>
        <v>85.666666666666671</v>
      </c>
      <c r="S178" s="54">
        <f>tkr!$BW$23</f>
        <v>89</v>
      </c>
      <c r="T178" s="54"/>
      <c r="U178" s="54">
        <f>tkr!$CB$23</f>
        <v>85</v>
      </c>
      <c r="V178" s="58"/>
      <c r="X178" s="278">
        <v>23</v>
      </c>
    </row>
    <row r="179" spans="1:24">
      <c r="A179" s="268">
        <v>19</v>
      </c>
      <c r="B179" s="271"/>
      <c r="C179" s="274"/>
      <c r="D179" s="66" t="s">
        <v>299</v>
      </c>
      <c r="E179" s="67">
        <f>AVERAGE(E174:E178)</f>
        <v>92</v>
      </c>
      <c r="F179" s="67">
        <f>AVERAGE(F174:F178)</f>
        <v>92.2</v>
      </c>
      <c r="G179" s="67">
        <f>AVERAGE(G174:G178)</f>
        <v>90.6</v>
      </c>
      <c r="H179" s="68"/>
      <c r="I179" s="68"/>
      <c r="J179" s="69"/>
      <c r="K179" s="69"/>
      <c r="L179" s="67">
        <f>AVERAGE(L174:L178)</f>
        <v>89</v>
      </c>
      <c r="M179" s="67">
        <f>AVERAGE(M174:M178)</f>
        <v>90.6</v>
      </c>
      <c r="N179" s="67">
        <f>AVERAGE(N174:N178)</f>
        <v>84.6</v>
      </c>
      <c r="O179" s="69"/>
      <c r="P179" s="63"/>
      <c r="Q179" s="63"/>
      <c r="R179" s="84">
        <f>AVERAGE(R176:R178)</f>
        <v>85.444444444444457</v>
      </c>
      <c r="S179" s="84">
        <f>AVERAGE(S176:S178)</f>
        <v>84</v>
      </c>
      <c r="T179" s="63"/>
      <c r="U179" s="84">
        <f>AVERAGE(U174:U178)</f>
        <v>87.333333333333329</v>
      </c>
      <c r="V179" s="58"/>
      <c r="X179" s="278">
        <v>23</v>
      </c>
    </row>
    <row r="180" spans="1:24">
      <c r="A180" s="268">
        <v>19</v>
      </c>
      <c r="B180" s="271"/>
      <c r="C180" s="274"/>
      <c r="D180" s="70" t="s">
        <v>300</v>
      </c>
      <c r="E180" s="71">
        <f>tkr!$J$23</f>
        <v>92</v>
      </c>
      <c r="F180" s="71">
        <f>tkr!$P$23</f>
        <v>95</v>
      </c>
      <c r="G180" s="71">
        <f>tkr!$V$23</f>
        <v>89</v>
      </c>
      <c r="H180" s="72"/>
      <c r="I180" s="72"/>
      <c r="J180" s="73"/>
      <c r="K180" s="73"/>
      <c r="L180" s="71">
        <f>tkr!$AL$23</f>
        <v>89</v>
      </c>
      <c r="M180" s="71">
        <f>tkr!$AR$23</f>
        <v>92</v>
      </c>
      <c r="N180" s="71">
        <f>tkr!$AX$23</f>
        <v>92</v>
      </c>
      <c r="O180" s="73"/>
      <c r="P180" s="74"/>
      <c r="Q180" s="74"/>
      <c r="R180" s="85">
        <f>tkr!$BT$23</f>
        <v>94</v>
      </c>
      <c r="S180" s="85">
        <f>tkr!$BX$23</f>
        <v>94</v>
      </c>
      <c r="T180" s="85">
        <f>tkr!$BY$23</f>
        <v>92</v>
      </c>
      <c r="U180" s="75">
        <f>tkr!$CC$23</f>
        <v>92</v>
      </c>
      <c r="V180" s="58"/>
      <c r="X180" s="278">
        <v>23</v>
      </c>
    </row>
    <row r="181" spans="1:24">
      <c r="A181" s="268">
        <v>19</v>
      </c>
      <c r="B181" s="271"/>
      <c r="C181" s="274"/>
      <c r="D181" s="76" t="s">
        <v>301</v>
      </c>
      <c r="E181" s="77">
        <f>tkr!$CD$23</f>
        <v>91</v>
      </c>
      <c r="F181" s="77">
        <f>tkr!$CE$23</f>
        <v>95</v>
      </c>
      <c r="G181" s="77">
        <f>tkr!$CF$23</f>
        <v>90</v>
      </c>
      <c r="H181" s="72"/>
      <c r="I181" s="72"/>
      <c r="J181" s="73"/>
      <c r="K181" s="73"/>
      <c r="L181" s="77">
        <f>tkr!$CG$23</f>
        <v>95</v>
      </c>
      <c r="M181" s="77">
        <f>tkr!$CH$23</f>
        <v>90</v>
      </c>
      <c r="N181" s="77">
        <f>tkr!$CI$23</f>
        <v>87</v>
      </c>
      <c r="O181" s="73"/>
      <c r="P181" s="74"/>
      <c r="Q181" s="74"/>
      <c r="R181" s="86">
        <f>tkr!$CL$23</f>
        <v>95</v>
      </c>
      <c r="S181" s="86">
        <f>tkr!$CK$23</f>
        <v>86</v>
      </c>
      <c r="T181" s="74"/>
      <c r="U181" s="86">
        <f>tkr!$CJ$23</f>
        <v>87</v>
      </c>
      <c r="V181" s="58"/>
      <c r="X181" s="278">
        <v>23</v>
      </c>
    </row>
    <row r="182" spans="1:24" ht="15" thickBot="1">
      <c r="A182" s="269">
        <v>19</v>
      </c>
      <c r="B182" s="272"/>
      <c r="C182" s="275"/>
      <c r="D182" s="78" t="s">
        <v>302</v>
      </c>
      <c r="E182" s="79">
        <f>(E179*4+E180*3+E181*3)/10</f>
        <v>91.7</v>
      </c>
      <c r="F182" s="79">
        <f t="shared" ref="F182:G182" si="35">(F179*4+F180*3+F181*3)/10</f>
        <v>93.88</v>
      </c>
      <c r="G182" s="79">
        <f t="shared" si="35"/>
        <v>89.94</v>
      </c>
      <c r="H182" s="79">
        <f>AVERAGE(H174:H177)</f>
        <v>84.5</v>
      </c>
      <c r="I182" s="79">
        <f>AVERAGE(I174:I177)</f>
        <v>85.5</v>
      </c>
      <c r="J182" s="79">
        <f>AVERAGE(J174:J175)</f>
        <v>91</v>
      </c>
      <c r="K182" s="79">
        <f>AVERAGE(K174:K177)</f>
        <v>79.75</v>
      </c>
      <c r="L182" s="79">
        <f>(L179*4+L180*3+L181*3)/10</f>
        <v>90.8</v>
      </c>
      <c r="M182" s="79">
        <f>(M179*4+M180*3+M181*3)/10</f>
        <v>90.84</v>
      </c>
      <c r="N182" s="79">
        <f>(N179*4+N180*3+N181*3)/10</f>
        <v>87.539999999999992</v>
      </c>
      <c r="O182" s="79">
        <f>AVERAGE(O174:O175)</f>
        <v>79.5</v>
      </c>
      <c r="P182" s="79">
        <f>AVERAGE(P174:P175)</f>
        <v>90.5</v>
      </c>
      <c r="Q182" s="79">
        <f>AVERAGE(Q174:Q175)</f>
        <v>80.5</v>
      </c>
      <c r="R182" s="79">
        <f>(R179*4+R180*3+R181*3)/10</f>
        <v>90.87777777777778</v>
      </c>
      <c r="S182" s="79">
        <f>(S179*4+S180*3+S181*3)/10</f>
        <v>87.6</v>
      </c>
      <c r="T182" s="79">
        <f>T180</f>
        <v>92</v>
      </c>
      <c r="U182" s="79">
        <f t="shared" ref="U182" si="36">(U179*4+U180*3+U181*3)/10</f>
        <v>88.633333333333326</v>
      </c>
      <c r="V182" s="80">
        <f>AVERAGE(E182:U182)</f>
        <v>87.94477124183004</v>
      </c>
      <c r="X182" s="278">
        <v>23</v>
      </c>
    </row>
    <row r="183" spans="1:24" ht="15.6" thickTop="1" thickBot="1">
      <c r="A183" s="268">
        <v>20</v>
      </c>
      <c r="B183" s="270" t="s">
        <v>510</v>
      </c>
      <c r="C183" s="273" t="s">
        <v>511</v>
      </c>
      <c r="D183" s="52" t="s">
        <v>294</v>
      </c>
      <c r="E183" s="53">
        <f>tkr!$E$24</f>
        <v>87</v>
      </c>
      <c r="F183" s="53">
        <f>tkr!$K$24</f>
        <v>84</v>
      </c>
      <c r="G183" s="53">
        <f>tkr!$Q$24</f>
        <v>86</v>
      </c>
      <c r="H183" s="53">
        <f>tkr!$W$24</f>
        <v>82</v>
      </c>
      <c r="I183" s="53">
        <f>tkr!$AA$24</f>
        <v>78</v>
      </c>
      <c r="J183" s="53">
        <f>tkr!$AE$24</f>
        <v>96</v>
      </c>
      <c r="K183" s="54">
        <f>tkr!$AG$24</f>
        <v>89</v>
      </c>
      <c r="L183" s="55"/>
      <c r="M183" s="53">
        <f>tkr!$AM$24</f>
        <v>74</v>
      </c>
      <c r="N183" s="53">
        <f>tkr!$AS$24</f>
        <v>76</v>
      </c>
      <c r="O183" s="53">
        <f>tkr!$AY$24</f>
        <v>75</v>
      </c>
      <c r="P183" s="54">
        <f>tkr!$BA$24</f>
        <v>80</v>
      </c>
      <c r="Q183" s="54">
        <f>tkr!$BC$24</f>
        <v>80</v>
      </c>
      <c r="R183" s="55"/>
      <c r="S183" s="55"/>
      <c r="T183" s="55"/>
      <c r="U183" s="55"/>
      <c r="V183" s="56"/>
      <c r="X183" s="278">
        <v>24</v>
      </c>
    </row>
    <row r="184" spans="1:24" ht="15" thickBot="1">
      <c r="A184" s="268">
        <v>20</v>
      </c>
      <c r="B184" s="271"/>
      <c r="C184" s="274"/>
      <c r="D184" s="52" t="s">
        <v>295</v>
      </c>
      <c r="E184" s="53">
        <f>tkr!$F$24</f>
        <v>87</v>
      </c>
      <c r="F184" s="53">
        <f>tkr!$L$24</f>
        <v>80</v>
      </c>
      <c r="G184" s="53">
        <f>tkr!$R$24</f>
        <v>85</v>
      </c>
      <c r="H184" s="53">
        <f>tkr!$X$24</f>
        <v>84</v>
      </c>
      <c r="I184" s="53">
        <f>tkr!$AB$24</f>
        <v>80</v>
      </c>
      <c r="J184" s="53">
        <f>tkr!$AF$24</f>
        <v>84</v>
      </c>
      <c r="K184" s="54">
        <f>tkr!$AH$24</f>
        <v>70</v>
      </c>
      <c r="L184" s="55"/>
      <c r="M184" s="53">
        <f>tkr!$AN$24</f>
        <v>75</v>
      </c>
      <c r="N184" s="53">
        <f>tkr!$AT$24</f>
        <v>77</v>
      </c>
      <c r="O184" s="53">
        <f>tkr!$AZ$24</f>
        <v>78</v>
      </c>
      <c r="P184" s="54">
        <f>tkr!$BB$24</f>
        <v>80</v>
      </c>
      <c r="Q184" s="54">
        <f>tkr!$BD$24</f>
        <v>80</v>
      </c>
      <c r="R184" s="55"/>
      <c r="S184" s="55"/>
      <c r="T184" s="55"/>
      <c r="U184" s="55"/>
      <c r="V184" s="58"/>
      <c r="X184" s="278">
        <v>24</v>
      </c>
    </row>
    <row r="185" spans="1:24" ht="15" thickBot="1">
      <c r="A185" s="268">
        <v>20</v>
      </c>
      <c r="B185" s="271"/>
      <c r="C185" s="274"/>
      <c r="D185" s="52" t="s">
        <v>296</v>
      </c>
      <c r="E185" s="53">
        <f>tkr!$G$24</f>
        <v>90</v>
      </c>
      <c r="F185" s="53">
        <f>tkr!$M$24</f>
        <v>90</v>
      </c>
      <c r="G185" s="53">
        <f>tkr!$S$24</f>
        <v>73</v>
      </c>
      <c r="H185" s="53">
        <f>tkr!$Y$24</f>
        <v>83</v>
      </c>
      <c r="I185" s="53">
        <f>tkr!$AC$24</f>
        <v>85</v>
      </c>
      <c r="J185" s="59"/>
      <c r="K185" s="54">
        <f>tkr!$AI$24</f>
        <v>70</v>
      </c>
      <c r="L185" s="55"/>
      <c r="M185" s="53">
        <f>tkr!$AO$24</f>
        <v>78</v>
      </c>
      <c r="N185" s="53">
        <f>tkr!$AU$24</f>
        <v>78</v>
      </c>
      <c r="O185" s="59"/>
      <c r="P185" s="55"/>
      <c r="Q185" s="55"/>
      <c r="R185" s="54">
        <f>tkr!$BQ$24</f>
        <v>79.666666666666671</v>
      </c>
      <c r="S185" s="54">
        <f>tkr!$BU$24</f>
        <v>80</v>
      </c>
      <c r="T185" s="55"/>
      <c r="U185" s="54">
        <f>tkr!$BZ$24</f>
        <v>71</v>
      </c>
      <c r="V185" s="58"/>
      <c r="X185" s="278">
        <v>24</v>
      </c>
    </row>
    <row r="186" spans="1:24" ht="15" thickBot="1">
      <c r="A186" s="268">
        <v>20</v>
      </c>
      <c r="B186" s="271"/>
      <c r="C186" s="274"/>
      <c r="D186" s="62" t="s">
        <v>297</v>
      </c>
      <c r="E186" s="53">
        <f>tkr!$H$24</f>
        <v>82</v>
      </c>
      <c r="F186" s="53">
        <f>tkr!$N$24</f>
        <v>82</v>
      </c>
      <c r="G186" s="53">
        <f>tkr!$T$24</f>
        <v>78</v>
      </c>
      <c r="H186" s="53">
        <f>tkr!$Z$24</f>
        <v>84</v>
      </c>
      <c r="I186" s="53">
        <f>tkr!$AD$24</f>
        <v>80</v>
      </c>
      <c r="J186" s="59"/>
      <c r="K186" s="54">
        <f>tkr!$AJ$24</f>
        <v>79</v>
      </c>
      <c r="L186" s="55"/>
      <c r="M186" s="53">
        <f>tkr!$AP$24</f>
        <v>77</v>
      </c>
      <c r="N186" s="53">
        <f>tkr!$AV$24</f>
        <v>74</v>
      </c>
      <c r="O186" s="59"/>
      <c r="P186" s="55"/>
      <c r="Q186" s="55"/>
      <c r="R186" s="54">
        <f>tkr!$BR$24</f>
        <v>75.333333333333329</v>
      </c>
      <c r="S186" s="54">
        <f>tkr!$BV$24</f>
        <v>81</v>
      </c>
      <c r="T186" s="63"/>
      <c r="U186" s="54">
        <f>tkr!$CA$24</f>
        <v>77</v>
      </c>
      <c r="V186" s="58"/>
      <c r="X186" s="278">
        <v>24</v>
      </c>
    </row>
    <row r="187" spans="1:24">
      <c r="A187" s="268">
        <v>20</v>
      </c>
      <c r="B187" s="271"/>
      <c r="C187" s="274"/>
      <c r="D187" s="62" t="s">
        <v>298</v>
      </c>
      <c r="E187" s="53">
        <f>tkr!$I$24</f>
        <v>88</v>
      </c>
      <c r="F187" s="53">
        <f>tkr!$O$24</f>
        <v>88</v>
      </c>
      <c r="G187" s="53">
        <f>tkr!$U$24</f>
        <v>75</v>
      </c>
      <c r="H187" s="65"/>
      <c r="I187" s="65"/>
      <c r="J187" s="59"/>
      <c r="K187" s="59"/>
      <c r="L187" s="53">
        <f>tkr!$AK$24</f>
        <v>82</v>
      </c>
      <c r="M187" s="53">
        <f>tkr!$AQ$24</f>
        <v>78</v>
      </c>
      <c r="N187" s="53">
        <f>tkr!$AW$24</f>
        <v>78</v>
      </c>
      <c r="O187" s="59"/>
      <c r="P187" s="55"/>
      <c r="Q187" s="55"/>
      <c r="R187" s="54">
        <f>tkr!$BS$24</f>
        <v>80.333333333333329</v>
      </c>
      <c r="S187" s="54">
        <f>tkr!$BW$24</f>
        <v>82</v>
      </c>
      <c r="T187" s="54"/>
      <c r="U187" s="54">
        <f>tkr!$CB$24</f>
        <v>73</v>
      </c>
      <c r="V187" s="58"/>
      <c r="X187" s="278">
        <v>24</v>
      </c>
    </row>
    <row r="188" spans="1:24">
      <c r="A188" s="268">
        <v>20</v>
      </c>
      <c r="B188" s="271"/>
      <c r="C188" s="274"/>
      <c r="D188" s="66" t="s">
        <v>299</v>
      </c>
      <c r="E188" s="67">
        <f>AVERAGE(E183:E187)</f>
        <v>86.8</v>
      </c>
      <c r="F188" s="67">
        <f>AVERAGE(F183:F187)</f>
        <v>84.8</v>
      </c>
      <c r="G188" s="67">
        <f>AVERAGE(G183:G187)</f>
        <v>79.400000000000006</v>
      </c>
      <c r="H188" s="68"/>
      <c r="I188" s="68"/>
      <c r="J188" s="69"/>
      <c r="K188" s="69"/>
      <c r="L188" s="67">
        <f>AVERAGE(L183:L187)</f>
        <v>82</v>
      </c>
      <c r="M188" s="67">
        <f>AVERAGE(M183:M187)</f>
        <v>76.400000000000006</v>
      </c>
      <c r="N188" s="67">
        <f>AVERAGE(N183:N187)</f>
        <v>76.599999999999994</v>
      </c>
      <c r="O188" s="69"/>
      <c r="P188" s="63"/>
      <c r="Q188" s="63"/>
      <c r="R188" s="84">
        <f>AVERAGE(R185:R187)</f>
        <v>78.444444444444443</v>
      </c>
      <c r="S188" s="84">
        <f>AVERAGE(S185:S187)</f>
        <v>81</v>
      </c>
      <c r="T188" s="63"/>
      <c r="U188" s="84">
        <f>AVERAGE(U183:U187)</f>
        <v>73.666666666666671</v>
      </c>
      <c r="V188" s="58"/>
      <c r="X188" s="278">
        <v>24</v>
      </c>
    </row>
    <row r="189" spans="1:24">
      <c r="A189" s="268">
        <v>20</v>
      </c>
      <c r="B189" s="271"/>
      <c r="C189" s="274"/>
      <c r="D189" s="70" t="s">
        <v>300</v>
      </c>
      <c r="E189" s="71">
        <f>tkr!$J$24</f>
        <v>84</v>
      </c>
      <c r="F189" s="71">
        <f>tkr!$P$24</f>
        <v>79</v>
      </c>
      <c r="G189" s="71">
        <f>tkr!$V$24</f>
        <v>80</v>
      </c>
      <c r="H189" s="72"/>
      <c r="I189" s="72"/>
      <c r="J189" s="73"/>
      <c r="K189" s="73"/>
      <c r="L189" s="71">
        <f>tkr!$AL$24</f>
        <v>80</v>
      </c>
      <c r="M189" s="71">
        <f>tkr!$AR$24</f>
        <v>79</v>
      </c>
      <c r="N189" s="71">
        <f>tkr!$AX$24</f>
        <v>79</v>
      </c>
      <c r="O189" s="73"/>
      <c r="P189" s="74"/>
      <c r="Q189" s="74"/>
      <c r="R189" s="85">
        <f>tkr!$BT$24</f>
        <v>83</v>
      </c>
      <c r="S189" s="85">
        <f>tkr!$BX$24</f>
        <v>83</v>
      </c>
      <c r="T189" s="85">
        <f>tkr!$BY$24</f>
        <v>81</v>
      </c>
      <c r="U189" s="75">
        <f>tkr!$CC$24</f>
        <v>79</v>
      </c>
      <c r="V189" s="58"/>
      <c r="X189" s="278">
        <v>24</v>
      </c>
    </row>
    <row r="190" spans="1:24">
      <c r="A190" s="268">
        <v>20</v>
      </c>
      <c r="B190" s="271"/>
      <c r="C190" s="274"/>
      <c r="D190" s="76" t="s">
        <v>301</v>
      </c>
      <c r="E190" s="77">
        <f>tkr!$CD$24</f>
        <v>81</v>
      </c>
      <c r="F190" s="77">
        <f>tkr!$CE$24</f>
        <v>80</v>
      </c>
      <c r="G190" s="77">
        <f>tkr!$CF$24</f>
        <v>75</v>
      </c>
      <c r="H190" s="72"/>
      <c r="I190" s="72"/>
      <c r="J190" s="73"/>
      <c r="K190" s="73"/>
      <c r="L190" s="77">
        <f>tkr!$CG$24</f>
        <v>70</v>
      </c>
      <c r="M190" s="77">
        <f>tkr!$CH$24</f>
        <v>79</v>
      </c>
      <c r="N190" s="77">
        <f>tkr!$CI$24</f>
        <v>82</v>
      </c>
      <c r="O190" s="73"/>
      <c r="P190" s="74"/>
      <c r="Q190" s="74"/>
      <c r="R190" s="86">
        <f>tkr!$CL$24</f>
        <v>72</v>
      </c>
      <c r="S190" s="86">
        <f>tkr!$CK$24</f>
        <v>80</v>
      </c>
      <c r="T190" s="74"/>
      <c r="U190" s="86">
        <f>tkr!$CJ$24</f>
        <v>76</v>
      </c>
      <c r="V190" s="58"/>
      <c r="X190" s="278">
        <v>24</v>
      </c>
    </row>
    <row r="191" spans="1:24" ht="15" thickBot="1">
      <c r="A191" s="269">
        <v>20</v>
      </c>
      <c r="B191" s="272"/>
      <c r="C191" s="275"/>
      <c r="D191" s="78" t="s">
        <v>302</v>
      </c>
      <c r="E191" s="79">
        <f>(E188*4+E189*3+E190*3)/10</f>
        <v>84.22</v>
      </c>
      <c r="F191" s="79">
        <f t="shared" ref="F191:G191" si="37">(F188*4+F189*3+F190*3)/10</f>
        <v>81.62</v>
      </c>
      <c r="G191" s="79">
        <f t="shared" si="37"/>
        <v>78.260000000000005</v>
      </c>
      <c r="H191" s="79">
        <f>AVERAGE(H183:H186)</f>
        <v>83.25</v>
      </c>
      <c r="I191" s="79">
        <f>AVERAGE(I183:I186)</f>
        <v>80.75</v>
      </c>
      <c r="J191" s="79">
        <f>AVERAGE(J183:J184)</f>
        <v>90</v>
      </c>
      <c r="K191" s="79">
        <f>AVERAGE(K183:K186)</f>
        <v>77</v>
      </c>
      <c r="L191" s="79">
        <f>(L188*4+L189*3+L190*3)/10</f>
        <v>77.8</v>
      </c>
      <c r="M191" s="79">
        <f>(M188*4+M189*3+M190*3)/10</f>
        <v>77.960000000000008</v>
      </c>
      <c r="N191" s="79">
        <f>(N188*4+N189*3+N190*3)/10</f>
        <v>78.94</v>
      </c>
      <c r="O191" s="79">
        <f>AVERAGE(O183:O184)</f>
        <v>76.5</v>
      </c>
      <c r="P191" s="79">
        <f>AVERAGE(P183:P184)</f>
        <v>80</v>
      </c>
      <c r="Q191" s="79">
        <f>AVERAGE(Q183:Q184)</f>
        <v>80</v>
      </c>
      <c r="R191" s="79">
        <f>(R188*4+R189*3+R190*3)/10</f>
        <v>77.87777777777778</v>
      </c>
      <c r="S191" s="79">
        <f>(S188*4+S189*3+S190*3)/10</f>
        <v>81.3</v>
      </c>
      <c r="T191" s="79">
        <f>T189</f>
        <v>81</v>
      </c>
      <c r="U191" s="79">
        <f t="shared" ref="U191" si="38">(U188*4+U189*3+U190*3)/10</f>
        <v>75.966666666666669</v>
      </c>
      <c r="V191" s="80">
        <f>AVERAGE(E191:U191)</f>
        <v>80.143790849673195</v>
      </c>
      <c r="X191" s="278">
        <v>24</v>
      </c>
    </row>
    <row r="192" spans="1:24" ht="18" customHeight="1" thickTop="1" thickBot="1">
      <c r="A192" s="268">
        <v>21</v>
      </c>
      <c r="B192" s="270" t="s">
        <v>512</v>
      </c>
      <c r="C192" s="273" t="s">
        <v>513</v>
      </c>
      <c r="D192" s="52" t="s">
        <v>294</v>
      </c>
      <c r="E192" s="53">
        <f>tkr!$E$25</f>
        <v>80</v>
      </c>
      <c r="F192" s="53">
        <f>tkr!$K$25</f>
        <v>80</v>
      </c>
      <c r="G192" s="53">
        <f>tkr!$Q$25</f>
        <v>80</v>
      </c>
      <c r="H192" s="53">
        <f>tkr!$W$25</f>
        <v>83</v>
      </c>
      <c r="I192" s="53">
        <f>tkr!$AA$25</f>
        <v>73</v>
      </c>
      <c r="J192" s="53">
        <f>tkr!$AE$25</f>
        <v>92</v>
      </c>
      <c r="K192" s="54">
        <f>tkr!$AG$25</f>
        <v>75</v>
      </c>
      <c r="L192" s="55"/>
      <c r="M192" s="53">
        <f>tkr!$AM$25</f>
        <v>76</v>
      </c>
      <c r="N192" s="53">
        <f>tkr!$AS$25</f>
        <v>71</v>
      </c>
      <c r="O192" s="53">
        <f>tkr!$AY$25</f>
        <v>77</v>
      </c>
      <c r="P192" s="54">
        <f>tkr!$BA$25</f>
        <v>73</v>
      </c>
      <c r="Q192" s="54">
        <f>tkr!$BC$25</f>
        <v>80</v>
      </c>
      <c r="R192" s="55"/>
      <c r="S192" s="55"/>
      <c r="T192" s="55"/>
      <c r="U192" s="55"/>
      <c r="V192" s="56"/>
      <c r="X192" s="278">
        <v>25</v>
      </c>
    </row>
    <row r="193" spans="1:24" ht="15" thickBot="1">
      <c r="A193" s="268">
        <v>21</v>
      </c>
      <c r="B193" s="271"/>
      <c r="C193" s="274"/>
      <c r="D193" s="52" t="s">
        <v>295</v>
      </c>
      <c r="E193" s="53">
        <f>tkr!$F$25</f>
        <v>84</v>
      </c>
      <c r="F193" s="53">
        <f>tkr!$L$25</f>
        <v>81</v>
      </c>
      <c r="G193" s="53">
        <f>tkr!$R$25</f>
        <v>82</v>
      </c>
      <c r="H193" s="53">
        <f>tkr!$X$25</f>
        <v>83</v>
      </c>
      <c r="I193" s="53">
        <f>tkr!$AB$25</f>
        <v>80</v>
      </c>
      <c r="J193" s="53">
        <f>tkr!$AF$25</f>
        <v>81</v>
      </c>
      <c r="K193" s="54">
        <f>tkr!$AH$25</f>
        <v>73</v>
      </c>
      <c r="L193" s="55"/>
      <c r="M193" s="53">
        <f>tkr!$AN$25</f>
        <v>77</v>
      </c>
      <c r="N193" s="53">
        <f>tkr!$AT$25</f>
        <v>70</v>
      </c>
      <c r="O193" s="53">
        <f>tkr!$AZ$25</f>
        <v>75</v>
      </c>
      <c r="P193" s="54">
        <f>tkr!$BB$25</f>
        <v>75</v>
      </c>
      <c r="Q193" s="54">
        <f>tkr!$BD$25</f>
        <v>79</v>
      </c>
      <c r="R193" s="55"/>
      <c r="S193" s="55"/>
      <c r="T193" s="55"/>
      <c r="U193" s="55"/>
      <c r="V193" s="58"/>
      <c r="X193" s="278">
        <v>25</v>
      </c>
    </row>
    <row r="194" spans="1:24" ht="15" thickBot="1">
      <c r="A194" s="268">
        <v>21</v>
      </c>
      <c r="B194" s="271"/>
      <c r="C194" s="274"/>
      <c r="D194" s="52" t="s">
        <v>296</v>
      </c>
      <c r="E194" s="53">
        <f>tkr!$G$25</f>
        <v>88</v>
      </c>
      <c r="F194" s="53">
        <f>tkr!$M$25</f>
        <v>88</v>
      </c>
      <c r="G194" s="53">
        <f>tkr!$S$25</f>
        <v>74</v>
      </c>
      <c r="H194" s="53">
        <f>tkr!$Y$25</f>
        <v>84</v>
      </c>
      <c r="I194" s="53">
        <f>tkr!$AC$25</f>
        <v>83</v>
      </c>
      <c r="J194" s="59"/>
      <c r="K194" s="54">
        <f>tkr!$AI$25</f>
        <v>70</v>
      </c>
      <c r="L194" s="55"/>
      <c r="M194" s="53">
        <f>tkr!$AO$25</f>
        <v>75</v>
      </c>
      <c r="N194" s="53">
        <f>tkr!$AU$25</f>
        <v>77</v>
      </c>
      <c r="O194" s="59"/>
      <c r="P194" s="55"/>
      <c r="Q194" s="55"/>
      <c r="R194" s="54">
        <f>tkr!$BQ$25</f>
        <v>80</v>
      </c>
      <c r="S194" s="54">
        <f>tkr!$BU$25</f>
        <v>77</v>
      </c>
      <c r="T194" s="55"/>
      <c r="U194" s="54">
        <f>tkr!$BZ$25</f>
        <v>76</v>
      </c>
      <c r="V194" s="58"/>
      <c r="X194" s="278">
        <v>25</v>
      </c>
    </row>
    <row r="195" spans="1:24" ht="15" thickBot="1">
      <c r="A195" s="268">
        <v>21</v>
      </c>
      <c r="B195" s="271"/>
      <c r="C195" s="274"/>
      <c r="D195" s="62" t="s">
        <v>297</v>
      </c>
      <c r="E195" s="53">
        <f>tkr!$H$25</f>
        <v>85</v>
      </c>
      <c r="F195" s="53">
        <f>tkr!$N$25</f>
        <v>86</v>
      </c>
      <c r="G195" s="53">
        <f>tkr!$T$25</f>
        <v>76</v>
      </c>
      <c r="H195" s="53">
        <f>tkr!$Z$25</f>
        <v>84</v>
      </c>
      <c r="I195" s="53">
        <f>tkr!$AD$25</f>
        <v>84</v>
      </c>
      <c r="J195" s="59"/>
      <c r="K195" s="54">
        <f>tkr!$AJ$25</f>
        <v>81</v>
      </c>
      <c r="L195" s="55"/>
      <c r="M195" s="53">
        <f>tkr!$AP$25</f>
        <v>82</v>
      </c>
      <c r="N195" s="53">
        <f>tkr!$AV$25</f>
        <v>80</v>
      </c>
      <c r="O195" s="59"/>
      <c r="P195" s="55"/>
      <c r="Q195" s="55"/>
      <c r="R195" s="54">
        <f>tkr!$BR$25</f>
        <v>81.666666666666671</v>
      </c>
      <c r="S195" s="54">
        <f>tkr!$BV$25</f>
        <v>82</v>
      </c>
      <c r="T195" s="63"/>
      <c r="U195" s="54">
        <f>tkr!$CA$25</f>
        <v>89</v>
      </c>
      <c r="V195" s="58"/>
      <c r="X195" s="278">
        <v>25</v>
      </c>
    </row>
    <row r="196" spans="1:24">
      <c r="A196" s="268">
        <v>21</v>
      </c>
      <c r="B196" s="271"/>
      <c r="C196" s="274"/>
      <c r="D196" s="62" t="s">
        <v>298</v>
      </c>
      <c r="E196" s="53">
        <f>tkr!$I$25</f>
        <v>90</v>
      </c>
      <c r="F196" s="53">
        <f>tkr!$O$25</f>
        <v>90</v>
      </c>
      <c r="G196" s="53">
        <f>tkr!$U$25</f>
        <v>82</v>
      </c>
      <c r="H196" s="65"/>
      <c r="I196" s="65"/>
      <c r="J196" s="59"/>
      <c r="K196" s="59"/>
      <c r="L196" s="53">
        <f>tkr!$AK$25</f>
        <v>85</v>
      </c>
      <c r="M196" s="53">
        <f>tkr!$AQ$25</f>
        <v>83</v>
      </c>
      <c r="N196" s="53">
        <f>tkr!$AW$25</f>
        <v>77</v>
      </c>
      <c r="O196" s="59"/>
      <c r="P196" s="55"/>
      <c r="Q196" s="55"/>
      <c r="R196" s="54">
        <f>tkr!$BS$25</f>
        <v>79</v>
      </c>
      <c r="S196" s="54">
        <f>tkr!$BW$25</f>
        <v>85</v>
      </c>
      <c r="T196" s="54"/>
      <c r="U196" s="54">
        <f>tkr!$CB$25</f>
        <v>76</v>
      </c>
      <c r="V196" s="58"/>
      <c r="X196" s="278">
        <v>25</v>
      </c>
    </row>
    <row r="197" spans="1:24">
      <c r="A197" s="268">
        <v>21</v>
      </c>
      <c r="B197" s="271"/>
      <c r="C197" s="274"/>
      <c r="D197" s="66" t="s">
        <v>299</v>
      </c>
      <c r="E197" s="67">
        <f>AVERAGE(E192:E196)</f>
        <v>85.4</v>
      </c>
      <c r="F197" s="67">
        <f>AVERAGE(F192:F196)</f>
        <v>85</v>
      </c>
      <c r="G197" s="67">
        <f>AVERAGE(G192:G196)</f>
        <v>78.8</v>
      </c>
      <c r="H197" s="68"/>
      <c r="I197" s="68"/>
      <c r="J197" s="69"/>
      <c r="K197" s="69"/>
      <c r="L197" s="67">
        <f>AVERAGE(L192:L196)</f>
        <v>85</v>
      </c>
      <c r="M197" s="67">
        <f>AVERAGE(M192:M196)</f>
        <v>78.599999999999994</v>
      </c>
      <c r="N197" s="67">
        <f>AVERAGE(N192:N196)</f>
        <v>75</v>
      </c>
      <c r="O197" s="69"/>
      <c r="P197" s="63"/>
      <c r="Q197" s="63"/>
      <c r="R197" s="84">
        <f>AVERAGE(R194:R196)</f>
        <v>80.222222222222229</v>
      </c>
      <c r="S197" s="84">
        <f>AVERAGE(S194:S196)</f>
        <v>81.333333333333329</v>
      </c>
      <c r="T197" s="63"/>
      <c r="U197" s="84">
        <f>AVERAGE(U192:U196)</f>
        <v>80.333333333333329</v>
      </c>
      <c r="V197" s="58"/>
      <c r="X197" s="278">
        <v>25</v>
      </c>
    </row>
    <row r="198" spans="1:24">
      <c r="A198" s="268">
        <v>21</v>
      </c>
      <c r="B198" s="271"/>
      <c r="C198" s="274"/>
      <c r="D198" s="70" t="s">
        <v>300</v>
      </c>
      <c r="E198" s="71">
        <f>tkr!$J$25</f>
        <v>80</v>
      </c>
      <c r="F198" s="71">
        <f>tkr!$P$25</f>
        <v>80</v>
      </c>
      <c r="G198" s="71">
        <f>tkr!$V$25</f>
        <v>80</v>
      </c>
      <c r="H198" s="72"/>
      <c r="I198" s="72"/>
      <c r="J198" s="73"/>
      <c r="K198" s="73"/>
      <c r="L198" s="71">
        <f>tkr!$AL$25</f>
        <v>80</v>
      </c>
      <c r="M198" s="71">
        <f>tkr!$AR$25</f>
        <v>82</v>
      </c>
      <c r="N198" s="71">
        <f>tkr!$AX$25</f>
        <v>82</v>
      </c>
      <c r="O198" s="73"/>
      <c r="P198" s="74"/>
      <c r="Q198" s="74"/>
      <c r="R198" s="85">
        <f>tkr!$BT$25</f>
        <v>84</v>
      </c>
      <c r="S198" s="85">
        <f>tkr!$BX$25</f>
        <v>84</v>
      </c>
      <c r="T198" s="85">
        <f>tkr!$BY$25</f>
        <v>81</v>
      </c>
      <c r="U198" s="75">
        <f>tkr!$CC$25</f>
        <v>82</v>
      </c>
      <c r="V198" s="58"/>
      <c r="X198" s="278">
        <v>25</v>
      </c>
    </row>
    <row r="199" spans="1:24">
      <c r="A199" s="268">
        <v>21</v>
      </c>
      <c r="B199" s="271"/>
      <c r="C199" s="274"/>
      <c r="D199" s="76" t="s">
        <v>301</v>
      </c>
      <c r="E199" s="77">
        <f>tkr!$CD$25</f>
        <v>88</v>
      </c>
      <c r="F199" s="77">
        <f>tkr!$CE$25</f>
        <v>88</v>
      </c>
      <c r="G199" s="77">
        <f>tkr!$CF$25</f>
        <v>80</v>
      </c>
      <c r="H199" s="72"/>
      <c r="I199" s="72"/>
      <c r="J199" s="73"/>
      <c r="K199" s="73"/>
      <c r="L199" s="77">
        <f>tkr!$CG$25</f>
        <v>90</v>
      </c>
      <c r="M199" s="77">
        <f>tkr!$CH$25</f>
        <v>84</v>
      </c>
      <c r="N199" s="77">
        <f>tkr!$CI$25</f>
        <v>80</v>
      </c>
      <c r="O199" s="73"/>
      <c r="P199" s="74"/>
      <c r="Q199" s="74"/>
      <c r="R199" s="86">
        <f>tkr!$CL$25</f>
        <v>77</v>
      </c>
      <c r="S199" s="86">
        <f>tkr!$CK$25</f>
        <v>80</v>
      </c>
      <c r="T199" s="74"/>
      <c r="U199" s="86">
        <f>tkr!$CJ$25</f>
        <v>77</v>
      </c>
      <c r="V199" s="58"/>
      <c r="X199" s="278">
        <v>25</v>
      </c>
    </row>
    <row r="200" spans="1:24" ht="15" thickBot="1">
      <c r="A200" s="269">
        <v>21</v>
      </c>
      <c r="B200" s="272"/>
      <c r="C200" s="275"/>
      <c r="D200" s="78" t="s">
        <v>302</v>
      </c>
      <c r="E200" s="79">
        <f>(E197*4+E198*3+E199*3)/10</f>
        <v>84.56</v>
      </c>
      <c r="F200" s="79">
        <f t="shared" ref="F200:G200" si="39">(F197*4+F198*3+F199*3)/10</f>
        <v>84.4</v>
      </c>
      <c r="G200" s="79">
        <f t="shared" si="39"/>
        <v>79.52000000000001</v>
      </c>
      <c r="H200" s="79">
        <f>AVERAGE(H192:H195)</f>
        <v>83.5</v>
      </c>
      <c r="I200" s="79">
        <f>AVERAGE(I192:I195)</f>
        <v>80</v>
      </c>
      <c r="J200" s="79">
        <f>AVERAGE(J192:J193)</f>
        <v>86.5</v>
      </c>
      <c r="K200" s="79">
        <f>AVERAGE(K192:K195)</f>
        <v>74.75</v>
      </c>
      <c r="L200" s="79">
        <f>(L197*4+L198*3+L199*3)/10</f>
        <v>85</v>
      </c>
      <c r="M200" s="79">
        <f>(M197*4+M198*3+M199*3)/10</f>
        <v>81.239999999999995</v>
      </c>
      <c r="N200" s="79">
        <f>(N197*4+N198*3+N199*3)/10</f>
        <v>78.599999999999994</v>
      </c>
      <c r="O200" s="79">
        <f>AVERAGE(O192:O193)</f>
        <v>76</v>
      </c>
      <c r="P200" s="79">
        <f>AVERAGE(P192:P193)</f>
        <v>74</v>
      </c>
      <c r="Q200" s="79">
        <f>AVERAGE(Q192:Q193)</f>
        <v>79.5</v>
      </c>
      <c r="R200" s="79">
        <f>(R197*4+R198*3+R199*3)/10</f>
        <v>80.388888888888886</v>
      </c>
      <c r="S200" s="79">
        <f>(S197*4+S198*3+S199*3)/10</f>
        <v>81.73333333333332</v>
      </c>
      <c r="T200" s="79">
        <f>T198</f>
        <v>81</v>
      </c>
      <c r="U200" s="79">
        <f t="shared" ref="U200" si="40">(U197*4+U198*3+U199*3)/10</f>
        <v>79.833333333333329</v>
      </c>
      <c r="V200" s="80">
        <f>AVERAGE(E200:U200)</f>
        <v>80.619150326797396</v>
      </c>
      <c r="X200" s="278">
        <v>25</v>
      </c>
    </row>
    <row r="201" spans="1:24" ht="15.6" thickTop="1" thickBot="1">
      <c r="A201" s="268">
        <v>22</v>
      </c>
      <c r="B201" s="270" t="s">
        <v>514</v>
      </c>
      <c r="C201" s="273" t="s">
        <v>515</v>
      </c>
      <c r="D201" s="52" t="s">
        <v>294</v>
      </c>
      <c r="E201" s="53">
        <f>tkr!$E$26</f>
        <v>81</v>
      </c>
      <c r="F201" s="53">
        <f>tkr!$K$26</f>
        <v>70</v>
      </c>
      <c r="G201" s="53">
        <f>tkr!$Q$26</f>
        <v>78</v>
      </c>
      <c r="H201" s="53">
        <f>tkr!$W$26</f>
        <v>84</v>
      </c>
      <c r="I201" s="53">
        <f>tkr!$AA$26</f>
        <v>70</v>
      </c>
      <c r="J201" s="53">
        <f>tkr!$AE$26</f>
        <v>92</v>
      </c>
      <c r="K201" s="54">
        <f>tkr!$AG$26</f>
        <v>75</v>
      </c>
      <c r="L201" s="55"/>
      <c r="M201" s="53">
        <f>tkr!$AM$26</f>
        <v>72</v>
      </c>
      <c r="N201" s="53">
        <f>tkr!$AS$26</f>
        <v>70</v>
      </c>
      <c r="O201" s="53">
        <f>tkr!$AY$26</f>
        <v>74</v>
      </c>
      <c r="P201" s="54">
        <f>tkr!$BA$26</f>
        <v>70</v>
      </c>
      <c r="Q201" s="54">
        <f>tkr!$BC$26</f>
        <v>80</v>
      </c>
      <c r="R201" s="55"/>
      <c r="S201" s="55"/>
      <c r="T201" s="55"/>
      <c r="U201" s="55"/>
      <c r="V201" s="56"/>
      <c r="X201" s="278">
        <v>26</v>
      </c>
    </row>
    <row r="202" spans="1:24" ht="15" thickBot="1">
      <c r="A202" s="268">
        <v>22</v>
      </c>
      <c r="B202" s="271"/>
      <c r="C202" s="274"/>
      <c r="D202" s="52" t="s">
        <v>295</v>
      </c>
      <c r="E202" s="53">
        <f>tkr!$F$26</f>
        <v>80</v>
      </c>
      <c r="F202" s="53">
        <f>tkr!$L$26</f>
        <v>78</v>
      </c>
      <c r="G202" s="53">
        <f>tkr!$R$26</f>
        <v>70</v>
      </c>
      <c r="H202" s="53">
        <f>tkr!$X$26</f>
        <v>84</v>
      </c>
      <c r="I202" s="53">
        <f>tkr!$AB$26</f>
        <v>70</v>
      </c>
      <c r="J202" s="53">
        <f>tkr!$AF$26</f>
        <v>74</v>
      </c>
      <c r="K202" s="54">
        <f>tkr!$AH$26</f>
        <v>70</v>
      </c>
      <c r="L202" s="55"/>
      <c r="M202" s="53">
        <f>tkr!$AN$26</f>
        <v>71</v>
      </c>
      <c r="N202" s="53">
        <f>tkr!$AT$26</f>
        <v>70</v>
      </c>
      <c r="O202" s="53">
        <f>tkr!$AZ$26</f>
        <v>75</v>
      </c>
      <c r="P202" s="54">
        <f>tkr!$BB$26</f>
        <v>72</v>
      </c>
      <c r="Q202" s="54">
        <f>tkr!$BD$26</f>
        <v>79</v>
      </c>
      <c r="R202" s="55"/>
      <c r="S202" s="55"/>
      <c r="T202" s="55"/>
      <c r="U202" s="55"/>
      <c r="V202" s="58"/>
      <c r="X202" s="278">
        <v>26</v>
      </c>
    </row>
    <row r="203" spans="1:24" ht="15" thickBot="1">
      <c r="A203" s="268">
        <v>22</v>
      </c>
      <c r="B203" s="271"/>
      <c r="C203" s="274"/>
      <c r="D203" s="52" t="s">
        <v>296</v>
      </c>
      <c r="E203" s="53">
        <f>tkr!$G$26</f>
        <v>85</v>
      </c>
      <c r="F203" s="53">
        <f>tkr!$M$26</f>
        <v>87</v>
      </c>
      <c r="G203" s="53">
        <f>tkr!$S$26</f>
        <v>80</v>
      </c>
      <c r="H203" s="53">
        <f>tkr!$Y$26</f>
        <v>84</v>
      </c>
      <c r="I203" s="53">
        <f>tkr!$AC$26</f>
        <v>77</v>
      </c>
      <c r="J203" s="59"/>
      <c r="K203" s="54">
        <f>tkr!$AI$26</f>
        <v>70</v>
      </c>
      <c r="L203" s="55"/>
      <c r="M203" s="53">
        <f>tkr!$AO$26</f>
        <v>75</v>
      </c>
      <c r="N203" s="53">
        <f>tkr!$AU$26</f>
        <v>74</v>
      </c>
      <c r="O203" s="59"/>
      <c r="P203" s="55"/>
      <c r="Q203" s="55"/>
      <c r="R203" s="54">
        <f>tkr!$BQ$26</f>
        <v>71.666666666666671</v>
      </c>
      <c r="S203" s="54">
        <f>tkr!$BU$26</f>
        <v>77</v>
      </c>
      <c r="T203" s="55"/>
      <c r="U203" s="54">
        <f>tkr!$BZ$26</f>
        <v>70</v>
      </c>
      <c r="V203" s="58"/>
      <c r="X203" s="278">
        <v>26</v>
      </c>
    </row>
    <row r="204" spans="1:24" ht="15" thickBot="1">
      <c r="A204" s="268">
        <v>22</v>
      </c>
      <c r="B204" s="271"/>
      <c r="C204" s="274"/>
      <c r="D204" s="62" t="s">
        <v>297</v>
      </c>
      <c r="E204" s="53">
        <f>tkr!$H$26</f>
        <v>83</v>
      </c>
      <c r="F204" s="53">
        <f>tkr!$N$26</f>
        <v>93</v>
      </c>
      <c r="G204" s="53">
        <f>tkr!$T$26</f>
        <v>84</v>
      </c>
      <c r="H204" s="53">
        <f>tkr!$Z$26</f>
        <v>86</v>
      </c>
      <c r="I204" s="53">
        <f>tkr!$AD$26</f>
        <v>80</v>
      </c>
      <c r="J204" s="59"/>
      <c r="K204" s="54">
        <f>tkr!$AJ$26</f>
        <v>80</v>
      </c>
      <c r="L204" s="55"/>
      <c r="M204" s="53">
        <f>tkr!$AP$26</f>
        <v>76</v>
      </c>
      <c r="N204" s="53">
        <f>tkr!$AV$26</f>
        <v>80</v>
      </c>
      <c r="O204" s="59"/>
      <c r="P204" s="55"/>
      <c r="Q204" s="55"/>
      <c r="R204" s="54">
        <f>tkr!$BR$26</f>
        <v>73</v>
      </c>
      <c r="S204" s="54">
        <f>tkr!$BV$26</f>
        <v>82</v>
      </c>
      <c r="T204" s="63"/>
      <c r="U204" s="54">
        <f>tkr!$CA$26</f>
        <v>75</v>
      </c>
      <c r="V204" s="58"/>
      <c r="X204" s="278">
        <v>26</v>
      </c>
    </row>
    <row r="205" spans="1:24">
      <c r="A205" s="268">
        <v>22</v>
      </c>
      <c r="B205" s="271"/>
      <c r="C205" s="274"/>
      <c r="D205" s="62" t="s">
        <v>298</v>
      </c>
      <c r="E205" s="53">
        <f>tkr!$I$26</f>
        <v>79</v>
      </c>
      <c r="F205" s="53">
        <f>tkr!$O$26</f>
        <v>93</v>
      </c>
      <c r="G205" s="53">
        <f>tkr!$U$26</f>
        <v>78</v>
      </c>
      <c r="H205" s="65"/>
      <c r="I205" s="65"/>
      <c r="J205" s="59"/>
      <c r="K205" s="59"/>
      <c r="L205" s="53">
        <f>tkr!$AK$26</f>
        <v>80</v>
      </c>
      <c r="M205" s="53">
        <f>tkr!$AQ$26</f>
        <v>78</v>
      </c>
      <c r="N205" s="53">
        <f>tkr!$AW$26</f>
        <v>73</v>
      </c>
      <c r="O205" s="59"/>
      <c r="P205" s="55"/>
      <c r="Q205" s="55"/>
      <c r="R205" s="54">
        <f>tkr!$BS$26</f>
        <v>75.333333333333329</v>
      </c>
      <c r="S205" s="54">
        <f>tkr!$BW$26</f>
        <v>80</v>
      </c>
      <c r="T205" s="54"/>
      <c r="U205" s="54">
        <f>tkr!$CB$26</f>
        <v>70</v>
      </c>
      <c r="V205" s="58"/>
      <c r="X205" s="278">
        <v>26</v>
      </c>
    </row>
    <row r="206" spans="1:24">
      <c r="A206" s="268">
        <v>22</v>
      </c>
      <c r="B206" s="271"/>
      <c r="C206" s="274"/>
      <c r="D206" s="66" t="s">
        <v>299</v>
      </c>
      <c r="E206" s="67">
        <f>AVERAGE(E201:E205)</f>
        <v>81.599999999999994</v>
      </c>
      <c r="F206" s="67">
        <f>AVERAGE(F201:F205)</f>
        <v>84.2</v>
      </c>
      <c r="G206" s="67">
        <f>AVERAGE(G201:G205)</f>
        <v>78</v>
      </c>
      <c r="H206" s="68"/>
      <c r="I206" s="68"/>
      <c r="J206" s="69"/>
      <c r="K206" s="69"/>
      <c r="L206" s="67">
        <f>AVERAGE(L201:L205)</f>
        <v>80</v>
      </c>
      <c r="M206" s="67">
        <f>AVERAGE(M201:M205)</f>
        <v>74.400000000000006</v>
      </c>
      <c r="N206" s="67">
        <f>AVERAGE(N201:N205)</f>
        <v>73.400000000000006</v>
      </c>
      <c r="O206" s="69"/>
      <c r="P206" s="63"/>
      <c r="Q206" s="63"/>
      <c r="R206" s="84">
        <f>AVERAGE(R203:R205)</f>
        <v>73.333333333333329</v>
      </c>
      <c r="S206" s="84">
        <f>AVERAGE(S203:S205)</f>
        <v>79.666666666666671</v>
      </c>
      <c r="T206" s="63"/>
      <c r="U206" s="84">
        <f>AVERAGE(U201:U205)</f>
        <v>71.666666666666671</v>
      </c>
      <c r="V206" s="58"/>
      <c r="X206" s="278">
        <v>26</v>
      </c>
    </row>
    <row r="207" spans="1:24">
      <c r="A207" s="268">
        <v>22</v>
      </c>
      <c r="B207" s="271"/>
      <c r="C207" s="274"/>
      <c r="D207" s="70" t="s">
        <v>300</v>
      </c>
      <c r="E207" s="71">
        <f>tkr!$J$26</f>
        <v>80</v>
      </c>
      <c r="F207" s="71">
        <f>tkr!$P$26</f>
        <v>80</v>
      </c>
      <c r="G207" s="71">
        <f>tkr!$V$26</f>
        <v>80</v>
      </c>
      <c r="H207" s="72"/>
      <c r="I207" s="72"/>
      <c r="J207" s="73"/>
      <c r="K207" s="73"/>
      <c r="L207" s="71">
        <f>tkr!$AL$26</f>
        <v>80</v>
      </c>
      <c r="M207" s="71">
        <f>tkr!$AR$26</f>
        <v>78</v>
      </c>
      <c r="N207" s="71">
        <f>tkr!$AX$26</f>
        <v>78</v>
      </c>
      <c r="O207" s="73"/>
      <c r="P207" s="74"/>
      <c r="Q207" s="74"/>
      <c r="R207" s="85">
        <f>tkr!$BT$26</f>
        <v>80</v>
      </c>
      <c r="S207" s="85">
        <f>tkr!$BX$26</f>
        <v>80</v>
      </c>
      <c r="T207" s="85">
        <f>tkr!$BY$26</f>
        <v>80</v>
      </c>
      <c r="U207" s="75">
        <f>tkr!$CC$26</f>
        <v>78</v>
      </c>
      <c r="V207" s="58"/>
      <c r="X207" s="278">
        <v>26</v>
      </c>
    </row>
    <row r="208" spans="1:24">
      <c r="A208" s="268">
        <v>22</v>
      </c>
      <c r="B208" s="271"/>
      <c r="C208" s="274"/>
      <c r="D208" s="76" t="s">
        <v>301</v>
      </c>
      <c r="E208" s="77">
        <f>tkr!$CD$26</f>
        <v>81</v>
      </c>
      <c r="F208" s="77">
        <f>tkr!$CE$26</f>
        <v>85</v>
      </c>
      <c r="G208" s="77">
        <f>tkr!$CF$26</f>
        <v>70</v>
      </c>
      <c r="H208" s="72"/>
      <c r="I208" s="72"/>
      <c r="J208" s="73"/>
      <c r="K208" s="73"/>
      <c r="L208" s="77">
        <f>tkr!$CG$26</f>
        <v>70</v>
      </c>
      <c r="M208" s="77">
        <f>tkr!$CH$26</f>
        <v>79</v>
      </c>
      <c r="N208" s="77">
        <f>tkr!$CI$26</f>
        <v>80</v>
      </c>
      <c r="O208" s="73"/>
      <c r="P208" s="74"/>
      <c r="Q208" s="74"/>
      <c r="R208" s="86">
        <f>tkr!$CL$26</f>
        <v>70</v>
      </c>
      <c r="S208" s="86">
        <f>tkr!$CK$26</f>
        <v>70</v>
      </c>
      <c r="T208" s="74"/>
      <c r="U208" s="86">
        <f>tkr!$CJ$26</f>
        <v>76</v>
      </c>
      <c r="V208" s="58"/>
      <c r="X208" s="278">
        <v>26</v>
      </c>
    </row>
    <row r="209" spans="1:24" ht="15" thickBot="1">
      <c r="A209" s="269">
        <v>22</v>
      </c>
      <c r="B209" s="272"/>
      <c r="C209" s="275"/>
      <c r="D209" s="78" t="s">
        <v>302</v>
      </c>
      <c r="E209" s="79">
        <f>(E206*4+E207*3+E208*3)/10</f>
        <v>80.94</v>
      </c>
      <c r="F209" s="79">
        <f t="shared" ref="F209:G209" si="41">(F206*4+F207*3+F208*3)/10</f>
        <v>83.179999999999993</v>
      </c>
      <c r="G209" s="79">
        <f t="shared" si="41"/>
        <v>76.2</v>
      </c>
      <c r="H209" s="79">
        <f>AVERAGE(H201:H204)</f>
        <v>84.5</v>
      </c>
      <c r="I209" s="79">
        <f>AVERAGE(I201:I204)</f>
        <v>74.25</v>
      </c>
      <c r="J209" s="79">
        <f>AVERAGE(J201:J202)</f>
        <v>83</v>
      </c>
      <c r="K209" s="79">
        <f>AVERAGE(K201:K204)</f>
        <v>73.75</v>
      </c>
      <c r="L209" s="79">
        <f>(L206*4+L207*3+L208*3)/10</f>
        <v>77</v>
      </c>
      <c r="M209" s="79">
        <f>(M206*4+M207*3+M208*3)/10</f>
        <v>76.86</v>
      </c>
      <c r="N209" s="79">
        <f>(N206*4+N207*3+N208*3)/10</f>
        <v>76.760000000000005</v>
      </c>
      <c r="O209" s="79">
        <f>AVERAGE(O201:O202)</f>
        <v>74.5</v>
      </c>
      <c r="P209" s="79">
        <f>AVERAGE(P201:P202)</f>
        <v>71</v>
      </c>
      <c r="Q209" s="79">
        <f>AVERAGE(Q201:Q202)</f>
        <v>79.5</v>
      </c>
      <c r="R209" s="79">
        <f>(R206*4+R207*3+R208*3)/10</f>
        <v>74.333333333333329</v>
      </c>
      <c r="S209" s="79">
        <f>(S206*4+S207*3+S208*3)/10</f>
        <v>76.866666666666674</v>
      </c>
      <c r="T209" s="79">
        <f>T207</f>
        <v>80</v>
      </c>
      <c r="U209" s="79">
        <f t="shared" ref="U209" si="42">(U206*4+U207*3+U208*3)/10</f>
        <v>74.866666666666674</v>
      </c>
      <c r="V209" s="80">
        <f>AVERAGE(E209:U209)</f>
        <v>77.500392156862745</v>
      </c>
      <c r="X209" s="278">
        <v>26</v>
      </c>
    </row>
    <row r="210" spans="1:24" ht="15.6" thickTop="1" thickBot="1">
      <c r="A210" s="268">
        <v>23</v>
      </c>
      <c r="B210" s="270" t="s">
        <v>516</v>
      </c>
      <c r="C210" s="273" t="s">
        <v>517</v>
      </c>
      <c r="D210" s="52" t="s">
        <v>294</v>
      </c>
      <c r="E210" s="53">
        <f>tkr!$E$27</f>
        <v>90</v>
      </c>
      <c r="F210" s="53">
        <f>tkr!$K$27</f>
        <v>80</v>
      </c>
      <c r="G210" s="53">
        <f>tkr!$Q$27</f>
        <v>89</v>
      </c>
      <c r="H210" s="53">
        <f>tkr!$W$27</f>
        <v>83</v>
      </c>
      <c r="I210" s="53">
        <f>tkr!$AA$27</f>
        <v>80</v>
      </c>
      <c r="J210" s="53">
        <f>tkr!$AE$27</f>
        <v>92</v>
      </c>
      <c r="K210" s="54">
        <f>tkr!$AG$27</f>
        <v>76</v>
      </c>
      <c r="L210" s="55"/>
      <c r="M210" s="53">
        <f>tkr!$AM$27</f>
        <v>78</v>
      </c>
      <c r="N210" s="53">
        <f>tkr!$AS$27</f>
        <v>79</v>
      </c>
      <c r="O210" s="53">
        <f>tkr!$AY$27</f>
        <v>76</v>
      </c>
      <c r="P210" s="54">
        <f>tkr!$BA$27</f>
        <v>78</v>
      </c>
      <c r="Q210" s="54">
        <f>tkr!$BC$27</f>
        <v>80</v>
      </c>
      <c r="R210" s="55"/>
      <c r="S210" s="55"/>
      <c r="T210" s="55"/>
      <c r="U210" s="55"/>
      <c r="V210" s="56"/>
      <c r="X210" s="278">
        <v>27</v>
      </c>
    </row>
    <row r="211" spans="1:24" ht="15" thickBot="1">
      <c r="A211" s="268">
        <v>23</v>
      </c>
      <c r="B211" s="271"/>
      <c r="C211" s="274"/>
      <c r="D211" s="52" t="s">
        <v>295</v>
      </c>
      <c r="E211" s="53">
        <f>tkr!$F$27</f>
        <v>87</v>
      </c>
      <c r="F211" s="53">
        <f>tkr!$L$27</f>
        <v>82</v>
      </c>
      <c r="G211" s="53">
        <f>tkr!$R$27</f>
        <v>83</v>
      </c>
      <c r="H211" s="53">
        <f>tkr!$X$27</f>
        <v>85</v>
      </c>
      <c r="I211" s="53">
        <f>tkr!$AB$27</f>
        <v>80</v>
      </c>
      <c r="J211" s="53">
        <f>tkr!$AF$27</f>
        <v>83</v>
      </c>
      <c r="K211" s="54">
        <f>tkr!$AH$27</f>
        <v>75</v>
      </c>
      <c r="L211" s="55"/>
      <c r="M211" s="53">
        <f>tkr!$AN$27</f>
        <v>79</v>
      </c>
      <c r="N211" s="53">
        <f>tkr!$AT$27</f>
        <v>77</v>
      </c>
      <c r="O211" s="53">
        <f>tkr!$AZ$27</f>
        <v>80</v>
      </c>
      <c r="P211" s="54">
        <f>tkr!$BB$27</f>
        <v>83</v>
      </c>
      <c r="Q211" s="54">
        <f>tkr!$BD$27</f>
        <v>83</v>
      </c>
      <c r="R211" s="55"/>
      <c r="S211" s="55"/>
      <c r="T211" s="55"/>
      <c r="U211" s="55"/>
      <c r="V211" s="58"/>
      <c r="X211" s="278">
        <v>27</v>
      </c>
    </row>
    <row r="212" spans="1:24" ht="15" thickBot="1">
      <c r="A212" s="268">
        <v>23</v>
      </c>
      <c r="B212" s="271"/>
      <c r="C212" s="274"/>
      <c r="D212" s="52" t="s">
        <v>296</v>
      </c>
      <c r="E212" s="53">
        <f>tkr!$G$27</f>
        <v>92</v>
      </c>
      <c r="F212" s="53">
        <f>tkr!$M$27</f>
        <v>92</v>
      </c>
      <c r="G212" s="53">
        <f>tkr!$S$27</f>
        <v>83</v>
      </c>
      <c r="H212" s="53">
        <f>tkr!$Y$27</f>
        <v>84</v>
      </c>
      <c r="I212" s="53">
        <f>tkr!$AC$27</f>
        <v>83</v>
      </c>
      <c r="J212" s="59"/>
      <c r="K212" s="54">
        <f>tkr!$AI$27</f>
        <v>70</v>
      </c>
      <c r="L212" s="55"/>
      <c r="M212" s="53">
        <f>tkr!$AO$27</f>
        <v>77</v>
      </c>
      <c r="N212" s="53">
        <f>tkr!$AU$27</f>
        <v>77</v>
      </c>
      <c r="O212" s="59"/>
      <c r="P212" s="55"/>
      <c r="Q212" s="55"/>
      <c r="R212" s="54">
        <f>tkr!$BQ$27</f>
        <v>78.666666666666671</v>
      </c>
      <c r="S212" s="54">
        <f>tkr!$BU$27</f>
        <v>77</v>
      </c>
      <c r="T212" s="55"/>
      <c r="U212" s="54">
        <f>tkr!$BZ$27</f>
        <v>71</v>
      </c>
      <c r="V212" s="58"/>
      <c r="X212" s="278">
        <v>27</v>
      </c>
    </row>
    <row r="213" spans="1:24" ht="15" thickBot="1">
      <c r="A213" s="268">
        <v>23</v>
      </c>
      <c r="B213" s="271"/>
      <c r="C213" s="274"/>
      <c r="D213" s="62" t="s">
        <v>297</v>
      </c>
      <c r="E213" s="53">
        <f>tkr!$H$27</f>
        <v>87</v>
      </c>
      <c r="F213" s="53">
        <f>tkr!$N$27</f>
        <v>94</v>
      </c>
      <c r="G213" s="53">
        <f>tkr!$T$27</f>
        <v>87</v>
      </c>
      <c r="H213" s="53">
        <f>tkr!$Z$27</f>
        <v>87</v>
      </c>
      <c r="I213" s="53">
        <f>tkr!$AD$27</f>
        <v>84</v>
      </c>
      <c r="J213" s="59"/>
      <c r="K213" s="54">
        <f>tkr!$AJ$27</f>
        <v>81</v>
      </c>
      <c r="L213" s="55"/>
      <c r="M213" s="53">
        <f>tkr!$AP$27</f>
        <v>84</v>
      </c>
      <c r="N213" s="53">
        <f>tkr!$AV$27</f>
        <v>83</v>
      </c>
      <c r="O213" s="59"/>
      <c r="P213" s="55"/>
      <c r="Q213" s="55"/>
      <c r="R213" s="54">
        <f>tkr!$BR$27</f>
        <v>82</v>
      </c>
      <c r="S213" s="54">
        <f>tkr!$BV$27</f>
        <v>82</v>
      </c>
      <c r="T213" s="63"/>
      <c r="U213" s="54">
        <f>tkr!$CA$27</f>
        <v>85</v>
      </c>
      <c r="V213" s="58"/>
      <c r="X213" s="278">
        <v>27</v>
      </c>
    </row>
    <row r="214" spans="1:24">
      <c r="A214" s="268">
        <v>23</v>
      </c>
      <c r="B214" s="271"/>
      <c r="C214" s="274"/>
      <c r="D214" s="62" t="s">
        <v>298</v>
      </c>
      <c r="E214" s="53">
        <f>tkr!$I$27</f>
        <v>92</v>
      </c>
      <c r="F214" s="53">
        <f>tkr!$O$27</f>
        <v>95</v>
      </c>
      <c r="G214" s="53">
        <f>tkr!$U$27</f>
        <v>84</v>
      </c>
      <c r="H214" s="65"/>
      <c r="I214" s="65"/>
      <c r="J214" s="59"/>
      <c r="K214" s="59"/>
      <c r="L214" s="53">
        <f>tkr!$AK$27</f>
        <v>89</v>
      </c>
      <c r="M214" s="53">
        <f>tkr!$AQ$27</f>
        <v>86</v>
      </c>
      <c r="N214" s="53">
        <f>tkr!$AW$27</f>
        <v>83</v>
      </c>
      <c r="O214" s="59"/>
      <c r="P214" s="55"/>
      <c r="Q214" s="55"/>
      <c r="R214" s="54">
        <f>tkr!$BS$27</f>
        <v>85.666666666666671</v>
      </c>
      <c r="S214" s="54">
        <f>tkr!$BW$27</f>
        <v>89</v>
      </c>
      <c r="T214" s="54"/>
      <c r="U214" s="54">
        <f>tkr!$CB$27</f>
        <v>79</v>
      </c>
      <c r="V214" s="58"/>
      <c r="X214" s="278">
        <v>27</v>
      </c>
    </row>
    <row r="215" spans="1:24">
      <c r="A215" s="268">
        <v>23</v>
      </c>
      <c r="B215" s="271"/>
      <c r="C215" s="274"/>
      <c r="D215" s="66" t="s">
        <v>299</v>
      </c>
      <c r="E215" s="67">
        <f>AVERAGE(E210:E214)</f>
        <v>89.6</v>
      </c>
      <c r="F215" s="67">
        <f>AVERAGE(F210:F214)</f>
        <v>88.6</v>
      </c>
      <c r="G215" s="67">
        <f>AVERAGE(G210:G214)</f>
        <v>85.2</v>
      </c>
      <c r="H215" s="68"/>
      <c r="I215" s="68"/>
      <c r="J215" s="69"/>
      <c r="K215" s="69"/>
      <c r="L215" s="67">
        <f>AVERAGE(L210:L214)</f>
        <v>89</v>
      </c>
      <c r="M215" s="67">
        <f>AVERAGE(M210:M214)</f>
        <v>80.8</v>
      </c>
      <c r="N215" s="67">
        <f>AVERAGE(N210:N214)</f>
        <v>79.8</v>
      </c>
      <c r="O215" s="69"/>
      <c r="P215" s="63"/>
      <c r="Q215" s="63"/>
      <c r="R215" s="84">
        <f>AVERAGE(R212:R214)</f>
        <v>82.111111111111128</v>
      </c>
      <c r="S215" s="84">
        <f>AVERAGE(S212:S214)</f>
        <v>82.666666666666671</v>
      </c>
      <c r="T215" s="63"/>
      <c r="U215" s="84">
        <f>AVERAGE(U210:U214)</f>
        <v>78.333333333333329</v>
      </c>
      <c r="V215" s="58"/>
      <c r="X215" s="278">
        <v>27</v>
      </c>
    </row>
    <row r="216" spans="1:24">
      <c r="A216" s="268">
        <v>23</v>
      </c>
      <c r="B216" s="271"/>
      <c r="C216" s="274"/>
      <c r="D216" s="70" t="s">
        <v>300</v>
      </c>
      <c r="E216" s="71">
        <f>tkr!$J$27</f>
        <v>81</v>
      </c>
      <c r="F216" s="71">
        <f>tkr!$P$27</f>
        <v>78</v>
      </c>
      <c r="G216" s="71">
        <f>tkr!$V$27</f>
        <v>79</v>
      </c>
      <c r="H216" s="72"/>
      <c r="I216" s="72"/>
      <c r="J216" s="73"/>
      <c r="K216" s="73"/>
      <c r="L216" s="71">
        <f>tkr!$AL$27</f>
        <v>79</v>
      </c>
      <c r="M216" s="71">
        <f>tkr!$AR$27</f>
        <v>77</v>
      </c>
      <c r="N216" s="71">
        <f>tkr!$AX$27</f>
        <v>77</v>
      </c>
      <c r="O216" s="73"/>
      <c r="P216" s="74"/>
      <c r="Q216" s="74"/>
      <c r="R216" s="85">
        <f>tkr!$BT$27</f>
        <v>79</v>
      </c>
      <c r="S216" s="85">
        <f>tkr!$BX$27</f>
        <v>79</v>
      </c>
      <c r="T216" s="85">
        <f>tkr!$BY$27</f>
        <v>79</v>
      </c>
      <c r="U216" s="75">
        <f>tkr!$CC$27</f>
        <v>77</v>
      </c>
      <c r="V216" s="58"/>
      <c r="X216" s="278">
        <v>27</v>
      </c>
    </row>
    <row r="217" spans="1:24">
      <c r="A217" s="268">
        <v>23</v>
      </c>
      <c r="B217" s="271"/>
      <c r="C217" s="274"/>
      <c r="D217" s="76" t="s">
        <v>301</v>
      </c>
      <c r="E217" s="77">
        <f>tkr!$CD$27</f>
        <v>86</v>
      </c>
      <c r="F217" s="77">
        <f>tkr!$CE$27</f>
        <v>95</v>
      </c>
      <c r="G217" s="77">
        <f>tkr!$CF$27</f>
        <v>85</v>
      </c>
      <c r="H217" s="72"/>
      <c r="I217" s="72"/>
      <c r="J217" s="73"/>
      <c r="K217" s="73"/>
      <c r="L217" s="77">
        <f>tkr!$CG$27</f>
        <v>77</v>
      </c>
      <c r="M217" s="77">
        <f>tkr!$CH$27</f>
        <v>87</v>
      </c>
      <c r="N217" s="77">
        <f>tkr!$CI$27</f>
        <v>83</v>
      </c>
      <c r="O217" s="73"/>
      <c r="P217" s="74"/>
      <c r="Q217" s="74"/>
      <c r="R217" s="86">
        <f>tkr!$CL$27</f>
        <v>70</v>
      </c>
      <c r="S217" s="86">
        <f>tkr!$CK$27</f>
        <v>85</v>
      </c>
      <c r="T217" s="74"/>
      <c r="U217" s="86">
        <f>tkr!$CJ$27</f>
        <v>81</v>
      </c>
      <c r="V217" s="58"/>
      <c r="X217" s="278">
        <v>27</v>
      </c>
    </row>
    <row r="218" spans="1:24" ht="15" thickBot="1">
      <c r="A218" s="269">
        <v>23</v>
      </c>
      <c r="B218" s="272"/>
      <c r="C218" s="275"/>
      <c r="D218" s="78" t="s">
        <v>302</v>
      </c>
      <c r="E218" s="79">
        <f>(E215*4+E216*3+E217*3)/10</f>
        <v>85.94</v>
      </c>
      <c r="F218" s="79">
        <f t="shared" ref="F218:G218" si="43">(F215*4+F216*3+F217*3)/10</f>
        <v>87.34</v>
      </c>
      <c r="G218" s="79">
        <f t="shared" si="43"/>
        <v>83.28</v>
      </c>
      <c r="H218" s="79">
        <f>AVERAGE(H210:H213)</f>
        <v>84.75</v>
      </c>
      <c r="I218" s="79">
        <f>AVERAGE(I210:I213)</f>
        <v>81.75</v>
      </c>
      <c r="J218" s="79">
        <f>AVERAGE(J210:J211)</f>
        <v>87.5</v>
      </c>
      <c r="K218" s="79">
        <f>AVERAGE(K210:K213)</f>
        <v>75.5</v>
      </c>
      <c r="L218" s="79">
        <f>(L215*4+L216*3+L217*3)/10</f>
        <v>82.4</v>
      </c>
      <c r="M218" s="79">
        <f>(M215*4+M216*3+M217*3)/10</f>
        <v>81.52000000000001</v>
      </c>
      <c r="N218" s="79">
        <f>(N215*4+N216*3+N217*3)/10</f>
        <v>79.92</v>
      </c>
      <c r="O218" s="79">
        <f>AVERAGE(O210:O211)</f>
        <v>78</v>
      </c>
      <c r="P218" s="79">
        <f>AVERAGE(P210:P211)</f>
        <v>80.5</v>
      </c>
      <c r="Q218" s="79">
        <f>AVERAGE(Q210:Q211)</f>
        <v>81.5</v>
      </c>
      <c r="R218" s="79">
        <f>(R215*4+R216*3+R217*3)/10</f>
        <v>77.544444444444451</v>
      </c>
      <c r="S218" s="79">
        <f>(S215*4+S216*3+S217*3)/10</f>
        <v>82.26666666666668</v>
      </c>
      <c r="T218" s="79">
        <f>T216</f>
        <v>79</v>
      </c>
      <c r="U218" s="79">
        <f t="shared" ref="U218" si="44">(U215*4+U216*3+U217*3)/10</f>
        <v>78.73333333333332</v>
      </c>
      <c r="V218" s="80">
        <f>AVERAGE(E218:U218)</f>
        <v>81.614379084967311</v>
      </c>
      <c r="X218" s="278">
        <v>27</v>
      </c>
    </row>
    <row r="219" spans="1:24" ht="15.6" thickTop="1" thickBot="1">
      <c r="A219" s="268">
        <v>24</v>
      </c>
      <c r="B219" s="270" t="s">
        <v>518</v>
      </c>
      <c r="C219" s="273" t="s">
        <v>519</v>
      </c>
      <c r="D219" s="52" t="s">
        <v>294</v>
      </c>
      <c r="E219" s="53">
        <f>tkr!$E$28</f>
        <v>86</v>
      </c>
      <c r="F219" s="53">
        <f>tkr!$K$28</f>
        <v>80</v>
      </c>
      <c r="G219" s="53">
        <f>tkr!$Q$28</f>
        <v>92</v>
      </c>
      <c r="H219" s="53">
        <f>tkr!$W$28</f>
        <v>83</v>
      </c>
      <c r="I219" s="53">
        <f>tkr!$AA$28</f>
        <v>81</v>
      </c>
      <c r="J219" s="53">
        <f>tkr!$AE$28</f>
        <v>93</v>
      </c>
      <c r="K219" s="54">
        <f>tkr!$AG$28</f>
        <v>83</v>
      </c>
      <c r="L219" s="55"/>
      <c r="M219" s="53">
        <f>tkr!$AM$28</f>
        <v>77</v>
      </c>
      <c r="N219" s="53">
        <f>tkr!$AS$28</f>
        <v>85</v>
      </c>
      <c r="O219" s="53">
        <f>tkr!$AY$28</f>
        <v>76</v>
      </c>
      <c r="P219" s="54">
        <f>tkr!$BA$28</f>
        <v>82</v>
      </c>
      <c r="Q219" s="54">
        <f>tkr!$BC$28</f>
        <v>81</v>
      </c>
      <c r="R219" s="55"/>
      <c r="S219" s="55"/>
      <c r="T219" s="55"/>
      <c r="U219" s="55"/>
      <c r="V219" s="56"/>
      <c r="X219" s="278">
        <v>28</v>
      </c>
    </row>
    <row r="220" spans="1:24" ht="15" thickBot="1">
      <c r="A220" s="268">
        <v>24</v>
      </c>
      <c r="B220" s="271"/>
      <c r="C220" s="274"/>
      <c r="D220" s="52" t="s">
        <v>295</v>
      </c>
      <c r="E220" s="53">
        <f>tkr!$F$28</f>
        <v>89</v>
      </c>
      <c r="F220" s="53">
        <f>tkr!$L$28</f>
        <v>80</v>
      </c>
      <c r="G220" s="53">
        <f>tkr!$R$28</f>
        <v>87</v>
      </c>
      <c r="H220" s="53">
        <f>tkr!$X$28</f>
        <v>83</v>
      </c>
      <c r="I220" s="53">
        <f>tkr!$AB$28</f>
        <v>80</v>
      </c>
      <c r="J220" s="53">
        <f>tkr!$AF$28</f>
        <v>80</v>
      </c>
      <c r="K220" s="54">
        <f>tkr!$AH$28</f>
        <v>79</v>
      </c>
      <c r="L220" s="55"/>
      <c r="M220" s="53">
        <f>tkr!$AN$28</f>
        <v>77</v>
      </c>
      <c r="N220" s="53">
        <f>tkr!$AT$28</f>
        <v>83</v>
      </c>
      <c r="O220" s="53">
        <f>tkr!$AZ$28</f>
        <v>80</v>
      </c>
      <c r="P220" s="54">
        <f>tkr!$BB$28</f>
        <v>83</v>
      </c>
      <c r="Q220" s="54">
        <f>tkr!$BD$28</f>
        <v>83</v>
      </c>
      <c r="R220" s="55"/>
      <c r="S220" s="55"/>
      <c r="T220" s="55"/>
      <c r="U220" s="55"/>
      <c r="V220" s="58"/>
      <c r="X220" s="278">
        <v>28</v>
      </c>
    </row>
    <row r="221" spans="1:24" ht="15" thickBot="1">
      <c r="A221" s="268">
        <v>24</v>
      </c>
      <c r="B221" s="271"/>
      <c r="C221" s="274"/>
      <c r="D221" s="52" t="s">
        <v>296</v>
      </c>
      <c r="E221" s="53">
        <f>tkr!$G$28</f>
        <v>89</v>
      </c>
      <c r="F221" s="53">
        <f>tkr!$M$28</f>
        <v>89</v>
      </c>
      <c r="G221" s="53">
        <f>tkr!$S$28</f>
        <v>85</v>
      </c>
      <c r="H221" s="53">
        <f>tkr!$Y$28</f>
        <v>83</v>
      </c>
      <c r="I221" s="53">
        <f>tkr!$AC$28</f>
        <v>85</v>
      </c>
      <c r="J221" s="59"/>
      <c r="K221" s="54">
        <f>tkr!$AI$28</f>
        <v>71</v>
      </c>
      <c r="L221" s="55"/>
      <c r="M221" s="53">
        <f>tkr!$AO$28</f>
        <v>84</v>
      </c>
      <c r="N221" s="53">
        <f>tkr!$AU$28</f>
        <v>83</v>
      </c>
      <c r="O221" s="59"/>
      <c r="P221" s="55"/>
      <c r="Q221" s="55"/>
      <c r="R221" s="54">
        <f>tkr!$BQ$28</f>
        <v>83</v>
      </c>
      <c r="S221" s="54">
        <f>tkr!$BU$28</f>
        <v>81</v>
      </c>
      <c r="T221" s="55"/>
      <c r="U221" s="54">
        <f>tkr!$BZ$28</f>
        <v>83</v>
      </c>
      <c r="V221" s="58"/>
      <c r="X221" s="278">
        <v>28</v>
      </c>
    </row>
    <row r="222" spans="1:24" ht="15" thickBot="1">
      <c r="A222" s="268">
        <v>24</v>
      </c>
      <c r="B222" s="271"/>
      <c r="C222" s="274"/>
      <c r="D222" s="62" t="s">
        <v>297</v>
      </c>
      <c r="E222" s="53">
        <f>tkr!$H$28</f>
        <v>85</v>
      </c>
      <c r="F222" s="53">
        <f>tkr!$N$28</f>
        <v>89</v>
      </c>
      <c r="G222" s="53">
        <f>tkr!$T$28</f>
        <v>81</v>
      </c>
      <c r="H222" s="53">
        <f>tkr!$Z$28</f>
        <v>85</v>
      </c>
      <c r="I222" s="53">
        <f>tkr!$AD$28</f>
        <v>86</v>
      </c>
      <c r="J222" s="59"/>
      <c r="K222" s="54">
        <f>tkr!$AJ$28</f>
        <v>84</v>
      </c>
      <c r="L222" s="55"/>
      <c r="M222" s="53">
        <f>tkr!$AP$28</f>
        <v>83</v>
      </c>
      <c r="N222" s="53">
        <f>tkr!$AV$28</f>
        <v>84</v>
      </c>
      <c r="O222" s="59"/>
      <c r="P222" s="55"/>
      <c r="Q222" s="55"/>
      <c r="R222" s="54">
        <f>tkr!$BR$28</f>
        <v>83.666666666666671</v>
      </c>
      <c r="S222" s="54">
        <f>tkr!$BV$28</f>
        <v>82</v>
      </c>
      <c r="T222" s="63"/>
      <c r="U222" s="54">
        <f>tkr!$CA$28</f>
        <v>94</v>
      </c>
      <c r="V222" s="58"/>
      <c r="X222" s="278">
        <v>28</v>
      </c>
    </row>
    <row r="223" spans="1:24">
      <c r="A223" s="268">
        <v>24</v>
      </c>
      <c r="B223" s="271"/>
      <c r="C223" s="274"/>
      <c r="D223" s="62" t="s">
        <v>298</v>
      </c>
      <c r="E223" s="53">
        <f>tkr!$I$28</f>
        <v>87</v>
      </c>
      <c r="F223" s="53">
        <f>tkr!$O$28</f>
        <v>92</v>
      </c>
      <c r="G223" s="53">
        <f>tkr!$U$28</f>
        <v>75</v>
      </c>
      <c r="H223" s="65"/>
      <c r="I223" s="65"/>
      <c r="J223" s="59"/>
      <c r="K223" s="59"/>
      <c r="L223" s="53">
        <f>tkr!$AK$28</f>
        <v>85</v>
      </c>
      <c r="M223" s="53">
        <f>tkr!$AQ$28</f>
        <v>83</v>
      </c>
      <c r="N223" s="53">
        <f>tkr!$AW$28</f>
        <v>83</v>
      </c>
      <c r="O223" s="59"/>
      <c r="P223" s="55"/>
      <c r="Q223" s="55"/>
      <c r="R223" s="54">
        <f>tkr!$BS$28</f>
        <v>78.666666666666671</v>
      </c>
      <c r="S223" s="54">
        <f>tkr!$BW$28</f>
        <v>85</v>
      </c>
      <c r="T223" s="54"/>
      <c r="U223" s="54">
        <f>tkr!$CB$28</f>
        <v>75</v>
      </c>
      <c r="V223" s="58"/>
      <c r="X223" s="278">
        <v>28</v>
      </c>
    </row>
    <row r="224" spans="1:24">
      <c r="A224" s="268">
        <v>24</v>
      </c>
      <c r="B224" s="271"/>
      <c r="C224" s="274"/>
      <c r="D224" s="66" t="s">
        <v>299</v>
      </c>
      <c r="E224" s="67">
        <f>AVERAGE(E219:E223)</f>
        <v>87.2</v>
      </c>
      <c r="F224" s="67">
        <f>AVERAGE(F219:F223)</f>
        <v>86</v>
      </c>
      <c r="G224" s="67">
        <f>AVERAGE(G219:G223)</f>
        <v>84</v>
      </c>
      <c r="H224" s="68"/>
      <c r="I224" s="68"/>
      <c r="J224" s="69"/>
      <c r="K224" s="69"/>
      <c r="L224" s="67">
        <f>AVERAGE(L219:L223)</f>
        <v>85</v>
      </c>
      <c r="M224" s="67">
        <f>AVERAGE(M219:M223)</f>
        <v>80.8</v>
      </c>
      <c r="N224" s="67">
        <f>AVERAGE(N219:N223)</f>
        <v>83.6</v>
      </c>
      <c r="O224" s="69"/>
      <c r="P224" s="63"/>
      <c r="Q224" s="63"/>
      <c r="R224" s="84">
        <f>AVERAGE(R221:R223)</f>
        <v>81.777777777777786</v>
      </c>
      <c r="S224" s="84">
        <f>AVERAGE(S221:S223)</f>
        <v>82.666666666666671</v>
      </c>
      <c r="T224" s="63"/>
      <c r="U224" s="84">
        <f>AVERAGE(U219:U223)</f>
        <v>84</v>
      </c>
      <c r="V224" s="58"/>
      <c r="X224" s="278">
        <v>28</v>
      </c>
    </row>
    <row r="225" spans="1:24">
      <c r="A225" s="268">
        <v>24</v>
      </c>
      <c r="B225" s="271"/>
      <c r="C225" s="274"/>
      <c r="D225" s="70" t="s">
        <v>300</v>
      </c>
      <c r="E225" s="71">
        <f>tkr!$J$28</f>
        <v>85</v>
      </c>
      <c r="F225" s="71">
        <f>tkr!$P$28</f>
        <v>90</v>
      </c>
      <c r="G225" s="71">
        <f>tkr!$V$28</f>
        <v>78</v>
      </c>
      <c r="H225" s="72"/>
      <c r="I225" s="72"/>
      <c r="J225" s="73"/>
      <c r="K225" s="73"/>
      <c r="L225" s="71">
        <f>tkr!$AL$28</f>
        <v>78</v>
      </c>
      <c r="M225" s="71">
        <f>tkr!$AR$28</f>
        <v>85</v>
      </c>
      <c r="N225" s="71">
        <f>tkr!$AX$28</f>
        <v>85</v>
      </c>
      <c r="O225" s="73"/>
      <c r="P225" s="74"/>
      <c r="Q225" s="74"/>
      <c r="R225" s="85">
        <f>tkr!$BT$28</f>
        <v>80</v>
      </c>
      <c r="S225" s="85">
        <f>tkr!$BX$28</f>
        <v>80</v>
      </c>
      <c r="T225" s="85">
        <f>tkr!$BY$28</f>
        <v>84</v>
      </c>
      <c r="U225" s="75">
        <f>tkr!$CC$28</f>
        <v>85</v>
      </c>
      <c r="V225" s="58"/>
      <c r="X225" s="278">
        <v>28</v>
      </c>
    </row>
    <row r="226" spans="1:24">
      <c r="A226" s="268">
        <v>24</v>
      </c>
      <c r="B226" s="271"/>
      <c r="C226" s="274"/>
      <c r="D226" s="76" t="s">
        <v>301</v>
      </c>
      <c r="E226" s="77">
        <f>tkr!$CD$5</f>
        <v>90</v>
      </c>
      <c r="F226" s="77">
        <f>tkr!$CE$5</f>
        <v>95</v>
      </c>
      <c r="G226" s="77">
        <f>tkr!$CF$5</f>
        <v>88</v>
      </c>
      <c r="H226" s="72"/>
      <c r="I226" s="72"/>
      <c r="J226" s="73"/>
      <c r="K226" s="73"/>
      <c r="L226" s="77">
        <f>tkr!$CG$5</f>
        <v>97</v>
      </c>
      <c r="M226" s="77">
        <f>tkr!$CH$5</f>
        <v>81</v>
      </c>
      <c r="N226" s="77">
        <f>tkr!$CI$5</f>
        <v>88</v>
      </c>
      <c r="O226" s="73"/>
      <c r="P226" s="74"/>
      <c r="Q226" s="74"/>
      <c r="R226" s="86">
        <f>tkr!$CL$5</f>
        <v>75</v>
      </c>
      <c r="S226" s="86">
        <f>tkr!$CK$5</f>
        <v>85.9</v>
      </c>
      <c r="T226" s="74"/>
      <c r="U226" s="86">
        <f>tkr!$CJ$5</f>
        <v>87</v>
      </c>
      <c r="V226" s="58"/>
      <c r="X226" s="278">
        <v>28</v>
      </c>
    </row>
    <row r="227" spans="1:24" ht="15" thickBot="1">
      <c r="A227" s="269">
        <v>24</v>
      </c>
      <c r="B227" s="272"/>
      <c r="C227" s="275"/>
      <c r="D227" s="78" t="s">
        <v>302</v>
      </c>
      <c r="E227" s="79">
        <f>(E224*4+E225*3+E226*3)/10</f>
        <v>87.38</v>
      </c>
      <c r="F227" s="79">
        <f t="shared" ref="F227:G227" si="45">(F224*4+F225*3+F226*3)/10</f>
        <v>89.9</v>
      </c>
      <c r="G227" s="79">
        <f t="shared" si="45"/>
        <v>83.4</v>
      </c>
      <c r="H227" s="79">
        <f>AVERAGE(H219:H222)</f>
        <v>83.5</v>
      </c>
      <c r="I227" s="79">
        <f>AVERAGE(I219:I222)</f>
        <v>83</v>
      </c>
      <c r="J227" s="79">
        <f>AVERAGE(J219:J220)</f>
        <v>86.5</v>
      </c>
      <c r="K227" s="79">
        <f>AVERAGE(K219:K222)</f>
        <v>79.25</v>
      </c>
      <c r="L227" s="79">
        <f>(L224*4+L225*3+L226*3)/10</f>
        <v>86.5</v>
      </c>
      <c r="M227" s="79">
        <f>(M224*4+M225*3+M226*3)/10</f>
        <v>82.12</v>
      </c>
      <c r="N227" s="79">
        <f>(N224*4+N225*3+N226*3)/10</f>
        <v>85.34</v>
      </c>
      <c r="O227" s="79">
        <f>AVERAGE(O219:O220)</f>
        <v>78</v>
      </c>
      <c r="P227" s="79">
        <f>AVERAGE(P219:P220)</f>
        <v>82.5</v>
      </c>
      <c r="Q227" s="79">
        <f>AVERAGE(Q219:Q220)</f>
        <v>82</v>
      </c>
      <c r="R227" s="79">
        <f>(R224*4+R225*3+R226*3)/10</f>
        <v>79.211111111111109</v>
      </c>
      <c r="S227" s="79">
        <f>(S224*4+S225*3+S226*3)/10</f>
        <v>82.836666666666673</v>
      </c>
      <c r="T227" s="79">
        <f>T225</f>
        <v>84</v>
      </c>
      <c r="U227" s="79">
        <f t="shared" ref="U227" si="46">(U224*4+U225*3+U226*3)/10</f>
        <v>85.2</v>
      </c>
      <c r="V227" s="80">
        <f>AVERAGE(E227:U227)</f>
        <v>83.566928104575155</v>
      </c>
      <c r="X227" s="278">
        <v>28</v>
      </c>
    </row>
    <row r="228" spans="1:24" ht="15.6" thickTop="1" thickBot="1">
      <c r="A228" s="268">
        <v>25</v>
      </c>
      <c r="B228" s="270" t="s">
        <v>520</v>
      </c>
      <c r="C228" s="273" t="s">
        <v>521</v>
      </c>
      <c r="D228" s="52" t="s">
        <v>294</v>
      </c>
      <c r="E228" s="53">
        <f>tkr!$E$29</f>
        <v>88</v>
      </c>
      <c r="F228" s="53">
        <f>tkr!$K$29</f>
        <v>85</v>
      </c>
      <c r="G228" s="53">
        <f>tkr!$Q$29</f>
        <v>91</v>
      </c>
      <c r="H228" s="53">
        <f>tkr!$W$29</f>
        <v>84</v>
      </c>
      <c r="I228" s="53">
        <f>tkr!$AA$29</f>
        <v>75</v>
      </c>
      <c r="J228" s="53">
        <f>tkr!$AE$29</f>
        <v>94</v>
      </c>
      <c r="K228" s="54">
        <f>tkr!$AG$29</f>
        <v>79</v>
      </c>
      <c r="L228" s="55"/>
      <c r="M228" s="53">
        <f>tkr!$AM$29</f>
        <v>75</v>
      </c>
      <c r="N228" s="53">
        <f>tkr!$AS$29</f>
        <v>72</v>
      </c>
      <c r="O228" s="53">
        <f>tkr!$AY$29</f>
        <v>75</v>
      </c>
      <c r="P228" s="54">
        <f>tkr!$BA$29</f>
        <v>84</v>
      </c>
      <c r="Q228" s="54">
        <f>tkr!$BC$29</f>
        <v>81</v>
      </c>
      <c r="R228" s="55"/>
      <c r="S228" s="55"/>
      <c r="T228" s="55"/>
      <c r="U228" s="55"/>
      <c r="V228" s="56"/>
      <c r="X228" s="278">
        <v>29</v>
      </c>
    </row>
    <row r="229" spans="1:24" ht="15" thickBot="1">
      <c r="A229" s="268">
        <v>25</v>
      </c>
      <c r="B229" s="271"/>
      <c r="C229" s="274"/>
      <c r="D229" s="52" t="s">
        <v>295</v>
      </c>
      <c r="E229" s="53">
        <f>tkr!$F$29</f>
        <v>94</v>
      </c>
      <c r="F229" s="53">
        <f>tkr!$L$29</f>
        <v>80</v>
      </c>
      <c r="G229" s="53">
        <f>tkr!$R$29</f>
        <v>88</v>
      </c>
      <c r="H229" s="53">
        <f>tkr!$X$29</f>
        <v>84</v>
      </c>
      <c r="I229" s="53">
        <f>tkr!$AB$29</f>
        <v>79</v>
      </c>
      <c r="J229" s="53">
        <f>tkr!$AF$29</f>
        <v>83</v>
      </c>
      <c r="K229" s="54">
        <f>tkr!$AH$29</f>
        <v>78</v>
      </c>
      <c r="L229" s="55"/>
      <c r="M229" s="53">
        <f>tkr!$AN$29</f>
        <v>76</v>
      </c>
      <c r="N229" s="53">
        <f>tkr!$AT$29</f>
        <v>78</v>
      </c>
      <c r="O229" s="53">
        <f>tkr!$AZ$29</f>
        <v>79</v>
      </c>
      <c r="P229" s="54">
        <f>tkr!$BB$29</f>
        <v>86</v>
      </c>
      <c r="Q229" s="54">
        <f>tkr!$BD$29</f>
        <v>82</v>
      </c>
      <c r="R229" s="55"/>
      <c r="S229" s="55"/>
      <c r="T229" s="55"/>
      <c r="U229" s="55"/>
      <c r="V229" s="58"/>
      <c r="X229" s="278">
        <v>29</v>
      </c>
    </row>
    <row r="230" spans="1:24" ht="15" thickBot="1">
      <c r="A230" s="268">
        <v>25</v>
      </c>
      <c r="B230" s="271"/>
      <c r="C230" s="274"/>
      <c r="D230" s="52" t="s">
        <v>296</v>
      </c>
      <c r="E230" s="53">
        <f>tkr!$G$29</f>
        <v>89</v>
      </c>
      <c r="F230" s="53">
        <f>tkr!$M$29</f>
        <v>86</v>
      </c>
      <c r="G230" s="53">
        <f>tkr!$S$29</f>
        <v>85</v>
      </c>
      <c r="H230" s="53">
        <f>tkr!$Y$29</f>
        <v>83</v>
      </c>
      <c r="I230" s="53">
        <f>tkr!$AC$29</f>
        <v>81</v>
      </c>
      <c r="J230" s="59"/>
      <c r="K230" s="54">
        <f>tkr!$AI$29</f>
        <v>70</v>
      </c>
      <c r="L230" s="55"/>
      <c r="M230" s="53">
        <f>tkr!$AO$29</f>
        <v>82</v>
      </c>
      <c r="N230" s="53">
        <f>tkr!$AU$29</f>
        <v>80</v>
      </c>
      <c r="O230" s="59"/>
      <c r="P230" s="55"/>
      <c r="Q230" s="55"/>
      <c r="R230" s="54">
        <f>tkr!$BQ$29</f>
        <v>83.666666666666671</v>
      </c>
      <c r="S230" s="54">
        <f>tkr!$BU$29</f>
        <v>81</v>
      </c>
      <c r="T230" s="55"/>
      <c r="U230" s="54">
        <f>tkr!$BZ$29</f>
        <v>71</v>
      </c>
      <c r="V230" s="58"/>
      <c r="X230" s="278">
        <v>29</v>
      </c>
    </row>
    <row r="231" spans="1:24" ht="15" thickBot="1">
      <c r="A231" s="268">
        <v>25</v>
      </c>
      <c r="B231" s="271"/>
      <c r="C231" s="274"/>
      <c r="D231" s="62" t="s">
        <v>297</v>
      </c>
      <c r="E231" s="53">
        <f>tkr!$H$29</f>
        <v>83</v>
      </c>
      <c r="F231" s="53">
        <f>tkr!$N$29</f>
        <v>87</v>
      </c>
      <c r="G231" s="53">
        <f>tkr!$T$29</f>
        <v>81</v>
      </c>
      <c r="H231" s="53">
        <f>tkr!$Z$29</f>
        <v>85</v>
      </c>
      <c r="I231" s="53">
        <f>tkr!$AD$29</f>
        <v>82</v>
      </c>
      <c r="J231" s="59"/>
      <c r="K231" s="54">
        <f>tkr!$AJ$29</f>
        <v>82</v>
      </c>
      <c r="L231" s="55"/>
      <c r="M231" s="53">
        <f>tkr!$AP$29</f>
        <v>80</v>
      </c>
      <c r="N231" s="53">
        <f>tkr!$AV$29</f>
        <v>80</v>
      </c>
      <c r="O231" s="59"/>
      <c r="P231" s="55"/>
      <c r="Q231" s="55"/>
      <c r="R231" s="54">
        <f>tkr!$BR$29</f>
        <v>83.333333333333329</v>
      </c>
      <c r="S231" s="54">
        <f>tkr!$BV$29</f>
        <v>82</v>
      </c>
      <c r="T231" s="63"/>
      <c r="U231" s="54">
        <f>tkr!$CA$29</f>
        <v>87</v>
      </c>
      <c r="V231" s="58"/>
      <c r="X231" s="278">
        <v>29</v>
      </c>
    </row>
    <row r="232" spans="1:24">
      <c r="A232" s="268">
        <v>25</v>
      </c>
      <c r="B232" s="271"/>
      <c r="C232" s="274"/>
      <c r="D232" s="62" t="s">
        <v>298</v>
      </c>
      <c r="E232" s="53">
        <f>tkr!$I$29</f>
        <v>89</v>
      </c>
      <c r="F232" s="53">
        <f>tkr!$O$29</f>
        <v>90</v>
      </c>
      <c r="G232" s="53">
        <f>tkr!$U$29</f>
        <v>79</v>
      </c>
      <c r="H232" s="65"/>
      <c r="I232" s="65"/>
      <c r="J232" s="59"/>
      <c r="K232" s="59"/>
      <c r="L232" s="53">
        <f>tkr!$AK$29</f>
        <v>84</v>
      </c>
      <c r="M232" s="53">
        <f>tkr!$AQ$29</f>
        <v>81</v>
      </c>
      <c r="N232" s="53">
        <f>tkr!$AW$29</f>
        <v>78</v>
      </c>
      <c r="O232" s="59"/>
      <c r="P232" s="55"/>
      <c r="Q232" s="55"/>
      <c r="R232" s="54">
        <f>tkr!$BS$29</f>
        <v>83.666666666666671</v>
      </c>
      <c r="S232" s="54">
        <f>tkr!$BW$29</f>
        <v>84</v>
      </c>
      <c r="T232" s="54"/>
      <c r="U232" s="54">
        <f>tkr!$CB$29</f>
        <v>76</v>
      </c>
      <c r="V232" s="58"/>
      <c r="X232" s="278">
        <v>29</v>
      </c>
    </row>
    <row r="233" spans="1:24">
      <c r="A233" s="268">
        <v>25</v>
      </c>
      <c r="B233" s="271"/>
      <c r="C233" s="274"/>
      <c r="D233" s="66" t="s">
        <v>299</v>
      </c>
      <c r="E233" s="67">
        <f>AVERAGE(E228:E232)</f>
        <v>88.6</v>
      </c>
      <c r="F233" s="67">
        <f>AVERAGE(F228:F232)</f>
        <v>85.6</v>
      </c>
      <c r="G233" s="67">
        <f>AVERAGE(G228:G232)</f>
        <v>84.8</v>
      </c>
      <c r="H233" s="68"/>
      <c r="I233" s="68"/>
      <c r="J233" s="69"/>
      <c r="K233" s="69"/>
      <c r="L233" s="67">
        <f>AVERAGE(L228:L232)</f>
        <v>84</v>
      </c>
      <c r="M233" s="67">
        <f>AVERAGE(M228:M232)</f>
        <v>78.8</v>
      </c>
      <c r="N233" s="67">
        <f>AVERAGE(N228:N232)</f>
        <v>77.599999999999994</v>
      </c>
      <c r="O233" s="69"/>
      <c r="P233" s="63"/>
      <c r="Q233" s="63"/>
      <c r="R233" s="84">
        <f>AVERAGE(R230:R232)</f>
        <v>83.555555555555557</v>
      </c>
      <c r="S233" s="84">
        <f>AVERAGE(S230:S232)</f>
        <v>82.333333333333329</v>
      </c>
      <c r="T233" s="63"/>
      <c r="U233" s="84">
        <f>AVERAGE(U228:U232)</f>
        <v>78</v>
      </c>
      <c r="V233" s="58"/>
      <c r="X233" s="278">
        <v>29</v>
      </c>
    </row>
    <row r="234" spans="1:24">
      <c r="A234" s="268">
        <v>25</v>
      </c>
      <c r="B234" s="271"/>
      <c r="C234" s="274"/>
      <c r="D234" s="70" t="s">
        <v>300</v>
      </c>
      <c r="E234" s="71">
        <f>tkr!$J$29</f>
        <v>82</v>
      </c>
      <c r="F234" s="71">
        <f>tkr!$P$29</f>
        <v>93</v>
      </c>
      <c r="G234" s="71">
        <f>tkr!$V$29</f>
        <v>88</v>
      </c>
      <c r="H234" s="72"/>
      <c r="I234" s="72"/>
      <c r="J234" s="73"/>
      <c r="K234" s="73"/>
      <c r="L234" s="71">
        <f>tkr!$AL$29</f>
        <v>88</v>
      </c>
      <c r="M234" s="71">
        <f>tkr!$AR$29</f>
        <v>83</v>
      </c>
      <c r="N234" s="71">
        <f>tkr!$AX$29</f>
        <v>83</v>
      </c>
      <c r="O234" s="73"/>
      <c r="P234" s="74"/>
      <c r="Q234" s="74"/>
      <c r="R234" s="85">
        <f>tkr!$BT$29</f>
        <v>80</v>
      </c>
      <c r="S234" s="85">
        <f>tkr!$BX$29</f>
        <v>80</v>
      </c>
      <c r="T234" s="85">
        <f>tkr!$BY$29</f>
        <v>85</v>
      </c>
      <c r="U234" s="75">
        <f>tkr!$CC$29</f>
        <v>83</v>
      </c>
      <c r="V234" s="58"/>
      <c r="X234" s="278">
        <v>29</v>
      </c>
    </row>
    <row r="235" spans="1:24">
      <c r="A235" s="268">
        <v>25</v>
      </c>
      <c r="B235" s="271"/>
      <c r="C235" s="274"/>
      <c r="D235" s="76" t="s">
        <v>301</v>
      </c>
      <c r="E235" s="77">
        <f>tkr!$CD$29</f>
        <v>88</v>
      </c>
      <c r="F235" s="77">
        <f>tkr!$CE$29</f>
        <v>95</v>
      </c>
      <c r="G235" s="77">
        <f>tkr!$CF$29</f>
        <v>84</v>
      </c>
      <c r="H235" s="72"/>
      <c r="I235" s="72"/>
      <c r="J235" s="73"/>
      <c r="K235" s="73"/>
      <c r="L235" s="77">
        <f>tkr!$CG$29</f>
        <v>92</v>
      </c>
      <c r="M235" s="77">
        <f>tkr!$CH$29</f>
        <v>82</v>
      </c>
      <c r="N235" s="77">
        <f>tkr!$CI$29</f>
        <v>85</v>
      </c>
      <c r="O235" s="73"/>
      <c r="P235" s="74"/>
      <c r="Q235" s="74"/>
      <c r="R235" s="86">
        <f>tkr!$CL$29</f>
        <v>72</v>
      </c>
      <c r="S235" s="86">
        <f>tkr!$CK$29</f>
        <v>85</v>
      </c>
      <c r="T235" s="74"/>
      <c r="U235" s="86">
        <f>tkr!$CJ$29</f>
        <v>80</v>
      </c>
      <c r="V235" s="58"/>
      <c r="X235" s="278">
        <v>29</v>
      </c>
    </row>
    <row r="236" spans="1:24" ht="15" thickBot="1">
      <c r="A236" s="269">
        <v>25</v>
      </c>
      <c r="B236" s="272"/>
      <c r="C236" s="275"/>
      <c r="D236" s="78" t="s">
        <v>302</v>
      </c>
      <c r="E236" s="79">
        <f>(E233*4+E234*3+E235*3)/10</f>
        <v>86.44</v>
      </c>
      <c r="F236" s="79">
        <f t="shared" ref="F236:G236" si="47">(F233*4+F234*3+F235*3)/10</f>
        <v>90.64</v>
      </c>
      <c r="G236" s="79">
        <f t="shared" si="47"/>
        <v>85.52000000000001</v>
      </c>
      <c r="H236" s="79">
        <f>AVERAGE(H228:H231)</f>
        <v>84</v>
      </c>
      <c r="I236" s="79">
        <f>AVERAGE(I228:I231)</f>
        <v>79.25</v>
      </c>
      <c r="J236" s="79">
        <f>AVERAGE(J228:J229)</f>
        <v>88.5</v>
      </c>
      <c r="K236" s="79">
        <f>AVERAGE(K228:K231)</f>
        <v>77.25</v>
      </c>
      <c r="L236" s="79">
        <f>(L233*4+L234*3+L235*3)/10</f>
        <v>87.6</v>
      </c>
      <c r="M236" s="79">
        <f>(M233*4+M234*3+M235*3)/10</f>
        <v>81.02000000000001</v>
      </c>
      <c r="N236" s="79">
        <f>(N233*4+N234*3+N235*3)/10</f>
        <v>81.44</v>
      </c>
      <c r="O236" s="79">
        <f>AVERAGE(O228:O229)</f>
        <v>77</v>
      </c>
      <c r="P236" s="79">
        <f>AVERAGE(P228:P229)</f>
        <v>85</v>
      </c>
      <c r="Q236" s="79">
        <f>AVERAGE(Q228:Q229)</f>
        <v>81.5</v>
      </c>
      <c r="R236" s="79">
        <f>(R233*4+R234*3+R235*3)/10</f>
        <v>79.022222222222211</v>
      </c>
      <c r="S236" s="79">
        <f>(S233*4+S234*3+S235*3)/10</f>
        <v>82.433333333333323</v>
      </c>
      <c r="T236" s="79">
        <f>T234</f>
        <v>85</v>
      </c>
      <c r="U236" s="79">
        <f t="shared" ref="U236" si="48">(U233*4+U234*3+U235*3)/10</f>
        <v>80.099999999999994</v>
      </c>
      <c r="V236" s="80">
        <f>AVERAGE(E236:U236)</f>
        <v>83.042091503267969</v>
      </c>
      <c r="X236" s="278">
        <v>29</v>
      </c>
    </row>
    <row r="237" spans="1:24" ht="18" customHeight="1" thickTop="1" thickBot="1">
      <c r="A237" s="268">
        <v>26</v>
      </c>
      <c r="B237" s="270" t="s">
        <v>522</v>
      </c>
      <c r="C237" s="273" t="s">
        <v>523</v>
      </c>
      <c r="D237" s="52" t="s">
        <v>294</v>
      </c>
      <c r="E237" s="53">
        <f>tkr!$E$30</f>
        <v>82</v>
      </c>
      <c r="F237" s="53">
        <f>tkr!$K$30</f>
        <v>87</v>
      </c>
      <c r="G237" s="53">
        <f>tkr!$Q$30</f>
        <v>87</v>
      </c>
      <c r="H237" s="53">
        <f>tkr!$W$30</f>
        <v>83</v>
      </c>
      <c r="I237" s="53">
        <f>tkr!$AA$30</f>
        <v>75</v>
      </c>
      <c r="J237" s="53">
        <f>tkr!$AE$30</f>
        <v>93</v>
      </c>
      <c r="K237" s="54">
        <f>tkr!$AG$30</f>
        <v>80</v>
      </c>
      <c r="L237" s="55"/>
      <c r="M237" s="53">
        <f>tkr!$AM$30</f>
        <v>74</v>
      </c>
      <c r="N237" s="53">
        <f>tkr!$AS$30</f>
        <v>70</v>
      </c>
      <c r="O237" s="53">
        <f>tkr!$AY$30</f>
        <v>77</v>
      </c>
      <c r="P237" s="54">
        <f>tkr!$BA$30</f>
        <v>83</v>
      </c>
      <c r="Q237" s="54">
        <f>tkr!$BC$30</f>
        <v>81</v>
      </c>
      <c r="R237" s="55"/>
      <c r="S237" s="55"/>
      <c r="T237" s="55"/>
      <c r="U237" s="55"/>
      <c r="V237" s="56"/>
      <c r="X237" s="288">
        <v>30</v>
      </c>
    </row>
    <row r="238" spans="1:24" ht="15" thickBot="1">
      <c r="A238" s="268">
        <v>26</v>
      </c>
      <c r="B238" s="271"/>
      <c r="C238" s="274"/>
      <c r="D238" s="52" t="s">
        <v>295</v>
      </c>
      <c r="E238" s="53">
        <f>tkr!$F$30</f>
        <v>88</v>
      </c>
      <c r="F238" s="53">
        <f>tkr!$L$30</f>
        <v>78</v>
      </c>
      <c r="G238" s="53">
        <f>tkr!$R$30</f>
        <v>70</v>
      </c>
      <c r="H238" s="53">
        <f>tkr!$X$30</f>
        <v>84</v>
      </c>
      <c r="I238" s="53">
        <f>tkr!$AB$30</f>
        <v>80</v>
      </c>
      <c r="J238" s="53">
        <f>tkr!$AF$30</f>
        <v>81</v>
      </c>
      <c r="K238" s="54">
        <f>tkr!$AH$30</f>
        <v>73</v>
      </c>
      <c r="L238" s="55"/>
      <c r="M238" s="53">
        <f>tkr!$AN$30</f>
        <v>77</v>
      </c>
      <c r="N238" s="53">
        <f>tkr!$AT$30</f>
        <v>77</v>
      </c>
      <c r="O238" s="53">
        <f>tkr!$AZ$30</f>
        <v>81</v>
      </c>
      <c r="P238" s="54">
        <f>tkr!$BB$30</f>
        <v>78</v>
      </c>
      <c r="Q238" s="54">
        <f>tkr!$BD$30</f>
        <v>81</v>
      </c>
      <c r="R238" s="55"/>
      <c r="S238" s="55"/>
      <c r="T238" s="55"/>
      <c r="U238" s="55"/>
      <c r="V238" s="58"/>
      <c r="X238" s="288">
        <v>30</v>
      </c>
    </row>
    <row r="239" spans="1:24" ht="15" thickBot="1">
      <c r="A239" s="268">
        <v>26</v>
      </c>
      <c r="B239" s="271"/>
      <c r="C239" s="274"/>
      <c r="D239" s="52" t="s">
        <v>296</v>
      </c>
      <c r="E239" s="53">
        <f>tkr!$G$30</f>
        <v>90</v>
      </c>
      <c r="F239" s="53">
        <f>tkr!$M$30</f>
        <v>90</v>
      </c>
      <c r="G239" s="53">
        <f>tkr!$S$30</f>
        <v>81</v>
      </c>
      <c r="H239" s="53">
        <f>tkr!$Y$30</f>
        <v>84</v>
      </c>
      <c r="I239" s="53">
        <f>tkr!$AC$30</f>
        <v>85</v>
      </c>
      <c r="J239" s="59"/>
      <c r="K239" s="54">
        <f>tkr!$AI$30</f>
        <v>70</v>
      </c>
      <c r="L239" s="55"/>
      <c r="M239" s="53">
        <f>tkr!$AO$30</f>
        <v>81</v>
      </c>
      <c r="N239" s="53">
        <f>tkr!$AU$30</f>
        <v>78</v>
      </c>
      <c r="O239" s="59"/>
      <c r="P239" s="55"/>
      <c r="Q239" s="55"/>
      <c r="R239" s="54">
        <f>tkr!$BQ$30</f>
        <v>84</v>
      </c>
      <c r="S239" s="54">
        <f>tkr!$BU$30</f>
        <v>80</v>
      </c>
      <c r="T239" s="55"/>
      <c r="U239" s="54">
        <f>tkr!$BZ$30</f>
        <v>76</v>
      </c>
      <c r="V239" s="58"/>
      <c r="X239" s="288">
        <v>30</v>
      </c>
    </row>
    <row r="240" spans="1:24" ht="15" thickBot="1">
      <c r="A240" s="268">
        <v>26</v>
      </c>
      <c r="B240" s="271"/>
      <c r="C240" s="274"/>
      <c r="D240" s="62" t="s">
        <v>297</v>
      </c>
      <c r="E240" s="53">
        <f>tkr!$H$30</f>
        <v>85</v>
      </c>
      <c r="F240" s="53">
        <f>tkr!$N$30</f>
        <v>82</v>
      </c>
      <c r="G240" s="53">
        <f>tkr!$T$30</f>
        <v>81</v>
      </c>
      <c r="H240" s="53">
        <f>tkr!$Z$30</f>
        <v>86</v>
      </c>
      <c r="I240" s="53">
        <f>tkr!$AD$30</f>
        <v>86</v>
      </c>
      <c r="J240" s="59"/>
      <c r="K240" s="54">
        <f>tkr!$AJ$30</f>
        <v>81</v>
      </c>
      <c r="L240" s="55"/>
      <c r="M240" s="53">
        <f>tkr!$AP$30</f>
        <v>83</v>
      </c>
      <c r="N240" s="53">
        <f>tkr!$AV$30</f>
        <v>78</v>
      </c>
      <c r="O240" s="59"/>
      <c r="P240" s="55"/>
      <c r="Q240" s="55"/>
      <c r="R240" s="54">
        <f>tkr!$BR$30</f>
        <v>83.333333333333329</v>
      </c>
      <c r="S240" s="54">
        <f>tkr!$BV$30</f>
        <v>82</v>
      </c>
      <c r="T240" s="63"/>
      <c r="U240" s="54">
        <f>tkr!$CA$30</f>
        <v>87</v>
      </c>
      <c r="V240" s="58"/>
      <c r="X240" s="288">
        <v>30</v>
      </c>
    </row>
    <row r="241" spans="1:24">
      <c r="A241" s="268">
        <v>26</v>
      </c>
      <c r="B241" s="271"/>
      <c r="C241" s="274"/>
      <c r="D241" s="62" t="s">
        <v>298</v>
      </c>
      <c r="E241" s="53">
        <f>tkr!$I$30</f>
        <v>92</v>
      </c>
      <c r="F241" s="53">
        <f>tkr!$O$30</f>
        <v>88</v>
      </c>
      <c r="G241" s="53">
        <f>tkr!$U$30</f>
        <v>75</v>
      </c>
      <c r="H241" s="65"/>
      <c r="I241" s="65"/>
      <c r="J241" s="59"/>
      <c r="K241" s="59"/>
      <c r="L241" s="53">
        <f>tkr!$AK$30</f>
        <v>84</v>
      </c>
      <c r="M241" s="53">
        <f>tkr!$AQ$30</f>
        <v>81</v>
      </c>
      <c r="N241" s="53">
        <f>tkr!$AW$30</f>
        <v>78</v>
      </c>
      <c r="O241" s="59"/>
      <c r="P241" s="55"/>
      <c r="Q241" s="55"/>
      <c r="R241" s="54">
        <f>tkr!$BS$30</f>
        <v>83.666666666666671</v>
      </c>
      <c r="S241" s="54">
        <f>tkr!$BW$30</f>
        <v>84</v>
      </c>
      <c r="T241" s="54"/>
      <c r="U241" s="54">
        <f>tkr!$CB$30</f>
        <v>73</v>
      </c>
      <c r="V241" s="58"/>
      <c r="X241" s="288">
        <v>30</v>
      </c>
    </row>
    <row r="242" spans="1:24">
      <c r="A242" s="268">
        <v>26</v>
      </c>
      <c r="B242" s="271"/>
      <c r="C242" s="274"/>
      <c r="D242" s="66" t="s">
        <v>299</v>
      </c>
      <c r="E242" s="67">
        <f>AVERAGE(E237:E241)</f>
        <v>87.4</v>
      </c>
      <c r="F242" s="67">
        <f>AVERAGE(F237:F241)</f>
        <v>85</v>
      </c>
      <c r="G242" s="67">
        <f>AVERAGE(G237:G241)</f>
        <v>78.8</v>
      </c>
      <c r="H242" s="68"/>
      <c r="I242" s="68"/>
      <c r="J242" s="69"/>
      <c r="K242" s="69"/>
      <c r="L242" s="67">
        <f>AVERAGE(L237:L241)</f>
        <v>84</v>
      </c>
      <c r="M242" s="67">
        <f>AVERAGE(M237:M241)</f>
        <v>79.2</v>
      </c>
      <c r="N242" s="67">
        <f>AVERAGE(N237:N241)</f>
        <v>76.2</v>
      </c>
      <c r="O242" s="69"/>
      <c r="P242" s="63"/>
      <c r="Q242" s="63"/>
      <c r="R242" s="84">
        <f>AVERAGE(R239:R241)</f>
        <v>83.666666666666671</v>
      </c>
      <c r="S242" s="84">
        <f>AVERAGE(S239:S241)</f>
        <v>82</v>
      </c>
      <c r="T242" s="63"/>
      <c r="U242" s="84">
        <f>AVERAGE(U237:U241)</f>
        <v>78.666666666666671</v>
      </c>
      <c r="V242" s="58"/>
      <c r="X242" s="288">
        <v>30</v>
      </c>
    </row>
    <row r="243" spans="1:24">
      <c r="A243" s="268">
        <v>26</v>
      </c>
      <c r="B243" s="271"/>
      <c r="C243" s="274"/>
      <c r="D243" s="70" t="s">
        <v>300</v>
      </c>
      <c r="E243" s="71">
        <f>tkr!$J$30</f>
        <v>85</v>
      </c>
      <c r="F243" s="71">
        <f>tkr!$P$30</f>
        <v>85</v>
      </c>
      <c r="G243" s="71">
        <f>tkr!$V$30</f>
        <v>82</v>
      </c>
      <c r="H243" s="72"/>
      <c r="I243" s="72"/>
      <c r="J243" s="73"/>
      <c r="K243" s="73"/>
      <c r="L243" s="71">
        <f>tkr!$AL$30</f>
        <v>82</v>
      </c>
      <c r="M243" s="71">
        <f>tkr!$AR$30</f>
        <v>85</v>
      </c>
      <c r="N243" s="71">
        <f>tkr!$AX$30</f>
        <v>85</v>
      </c>
      <c r="O243" s="73"/>
      <c r="P243" s="74"/>
      <c r="Q243" s="74"/>
      <c r="R243" s="85">
        <f>tkr!$BT$30</f>
        <v>85</v>
      </c>
      <c r="S243" s="85">
        <f>tkr!$BX$30</f>
        <v>85</v>
      </c>
      <c r="T243" s="85">
        <f>tkr!$BY$30</f>
        <v>84</v>
      </c>
      <c r="U243" s="75">
        <f>tkr!$CC$30</f>
        <v>85</v>
      </c>
      <c r="V243" s="58"/>
      <c r="X243" s="288">
        <v>30</v>
      </c>
    </row>
    <row r="244" spans="1:24">
      <c r="A244" s="268">
        <v>26</v>
      </c>
      <c r="B244" s="271"/>
      <c r="C244" s="274"/>
      <c r="D244" s="76" t="s">
        <v>301</v>
      </c>
      <c r="E244" s="77">
        <f>tkr!$CD$30</f>
        <v>86</v>
      </c>
      <c r="F244" s="77">
        <f>tkr!$CE$30</f>
        <v>88</v>
      </c>
      <c r="G244" s="77">
        <f>tkr!$CF$30</f>
        <v>80</v>
      </c>
      <c r="H244" s="72"/>
      <c r="I244" s="72"/>
      <c r="J244" s="73"/>
      <c r="K244" s="73"/>
      <c r="L244" s="77">
        <f>tkr!$CG$30</f>
        <v>70</v>
      </c>
      <c r="M244" s="77">
        <f>tkr!$CH$30</f>
        <v>82</v>
      </c>
      <c r="N244" s="77">
        <f>tkr!$CI$30</f>
        <v>85</v>
      </c>
      <c r="O244" s="73"/>
      <c r="P244" s="74"/>
      <c r="Q244" s="74"/>
      <c r="R244" s="86">
        <f>tkr!$CL$30</f>
        <v>70</v>
      </c>
      <c r="S244" s="86">
        <f>tkr!$CK$30</f>
        <v>82</v>
      </c>
      <c r="T244" s="74"/>
      <c r="U244" s="86">
        <f>tkr!$CJ$30</f>
        <v>85</v>
      </c>
      <c r="V244" s="58"/>
      <c r="X244" s="288">
        <v>30</v>
      </c>
    </row>
    <row r="245" spans="1:24" ht="15" thickBot="1">
      <c r="A245" s="269">
        <v>26</v>
      </c>
      <c r="B245" s="272"/>
      <c r="C245" s="275"/>
      <c r="D245" s="78" t="s">
        <v>302</v>
      </c>
      <c r="E245" s="79">
        <f>(E242*4+E243*3+E244*3)/10</f>
        <v>86.26</v>
      </c>
      <c r="F245" s="79">
        <f t="shared" ref="F245:G245" si="49">(F242*4+F243*3+F244*3)/10</f>
        <v>85.9</v>
      </c>
      <c r="G245" s="79">
        <f t="shared" si="49"/>
        <v>80.12</v>
      </c>
      <c r="H245" s="79">
        <f>AVERAGE(H237:H240)</f>
        <v>84.25</v>
      </c>
      <c r="I245" s="79">
        <f>AVERAGE(I237:I240)</f>
        <v>81.5</v>
      </c>
      <c r="J245" s="79">
        <f>AVERAGE(J237:J238)</f>
        <v>87</v>
      </c>
      <c r="K245" s="79">
        <f>AVERAGE(K237:K240)</f>
        <v>76</v>
      </c>
      <c r="L245" s="79">
        <f>(L242*4+L243*3+L244*3)/10</f>
        <v>79.2</v>
      </c>
      <c r="M245" s="79">
        <f>(M242*4+M243*3+M244*3)/10</f>
        <v>81.78</v>
      </c>
      <c r="N245" s="79">
        <f>(N242*4+N243*3+N244*3)/10</f>
        <v>81.47999999999999</v>
      </c>
      <c r="O245" s="79">
        <f>AVERAGE(O237:O238)</f>
        <v>79</v>
      </c>
      <c r="P245" s="79">
        <f>AVERAGE(P237:P238)</f>
        <v>80.5</v>
      </c>
      <c r="Q245" s="79">
        <f>AVERAGE(Q237:Q238)</f>
        <v>81</v>
      </c>
      <c r="R245" s="79">
        <f>(R242*4+R243*3+R244*3)/10</f>
        <v>79.966666666666669</v>
      </c>
      <c r="S245" s="79">
        <f>(S242*4+S243*3+S244*3)/10</f>
        <v>82.9</v>
      </c>
      <c r="T245" s="79">
        <f>T243</f>
        <v>84</v>
      </c>
      <c r="U245" s="79">
        <f t="shared" ref="U245" si="50">(U242*4+U243*3+U244*3)/10</f>
        <v>82.466666666666669</v>
      </c>
      <c r="V245" s="80">
        <f>AVERAGE(E245:U245)</f>
        <v>81.96019607843138</v>
      </c>
      <c r="X245" s="288">
        <v>30</v>
      </c>
    </row>
    <row r="246" spans="1:24" ht="15.6" thickTop="1" thickBot="1">
      <c r="A246" s="268">
        <v>27</v>
      </c>
      <c r="B246" s="270" t="s">
        <v>524</v>
      </c>
      <c r="C246" s="273" t="s">
        <v>525</v>
      </c>
      <c r="D246" s="52" t="s">
        <v>294</v>
      </c>
      <c r="E246" s="53">
        <f>tkr!$E$31</f>
        <v>81</v>
      </c>
      <c r="F246" s="53">
        <f>tkr!$K$31</f>
        <v>70</v>
      </c>
      <c r="G246" s="53">
        <f>tkr!$Q$31</f>
        <v>79</v>
      </c>
      <c r="H246" s="53">
        <f>tkr!$W$31</f>
        <v>83</v>
      </c>
      <c r="I246" s="53">
        <f>tkr!$AA$31</f>
        <v>71</v>
      </c>
      <c r="J246" s="53">
        <f>tkr!$AE$31</f>
        <v>91</v>
      </c>
      <c r="K246" s="54">
        <f>tkr!$AG$31</f>
        <v>75</v>
      </c>
      <c r="L246" s="55"/>
      <c r="M246" s="53">
        <f>tkr!$AM$31</f>
        <v>72</v>
      </c>
      <c r="N246" s="53">
        <f>tkr!$AS$31</f>
        <v>71</v>
      </c>
      <c r="O246" s="53">
        <f>tkr!$AY$31</f>
        <v>76</v>
      </c>
      <c r="P246" s="54">
        <f>tkr!$BA$31</f>
        <v>70</v>
      </c>
      <c r="Q246" s="54">
        <f>tkr!$BC$31</f>
        <v>80</v>
      </c>
      <c r="R246" s="55"/>
      <c r="S246" s="55"/>
      <c r="T246" s="55"/>
      <c r="U246" s="55"/>
      <c r="V246" s="56"/>
      <c r="X246" s="278">
        <v>31</v>
      </c>
    </row>
    <row r="247" spans="1:24" ht="15" thickBot="1">
      <c r="A247" s="268">
        <v>27</v>
      </c>
      <c r="B247" s="271"/>
      <c r="C247" s="274"/>
      <c r="D247" s="52" t="s">
        <v>295</v>
      </c>
      <c r="E247" s="53">
        <f>tkr!$F$31</f>
        <v>84</v>
      </c>
      <c r="F247" s="53">
        <f>tkr!$L$31</f>
        <v>74</v>
      </c>
      <c r="G247" s="53">
        <f>tkr!$R$31</f>
        <v>79</v>
      </c>
      <c r="H247" s="53">
        <f>tkr!$X$31</f>
        <v>84</v>
      </c>
      <c r="I247" s="53">
        <f>tkr!$AB$31</f>
        <v>74</v>
      </c>
      <c r="J247" s="53">
        <f>tkr!$AF$31</f>
        <v>78</v>
      </c>
      <c r="K247" s="54">
        <f>tkr!$AH$31</f>
        <v>70</v>
      </c>
      <c r="L247" s="55"/>
      <c r="M247" s="53">
        <f>tkr!$AN$31</f>
        <v>71</v>
      </c>
      <c r="N247" s="53">
        <f>tkr!$AT$31</f>
        <v>70</v>
      </c>
      <c r="O247" s="53">
        <f>tkr!$AZ$31</f>
        <v>78</v>
      </c>
      <c r="P247" s="54">
        <f>tkr!$BB$31</f>
        <v>75</v>
      </c>
      <c r="Q247" s="54">
        <f>tkr!$BD$31</f>
        <v>80</v>
      </c>
      <c r="R247" s="55"/>
      <c r="S247" s="55"/>
      <c r="T247" s="55"/>
      <c r="U247" s="55"/>
      <c r="V247" s="58"/>
      <c r="X247" s="278">
        <v>31</v>
      </c>
    </row>
    <row r="248" spans="1:24" ht="15" thickBot="1">
      <c r="A248" s="268">
        <v>27</v>
      </c>
      <c r="B248" s="271"/>
      <c r="C248" s="274"/>
      <c r="D248" s="52" t="s">
        <v>296</v>
      </c>
      <c r="E248" s="53">
        <f>tkr!$G$31</f>
        <v>89</v>
      </c>
      <c r="F248" s="53">
        <f>tkr!$M$31</f>
        <v>92</v>
      </c>
      <c r="G248" s="53">
        <f>tkr!$S$31</f>
        <v>70</v>
      </c>
      <c r="H248" s="53">
        <f>tkr!$Y$31</f>
        <v>84</v>
      </c>
      <c r="I248" s="53">
        <f>tkr!$AC$31</f>
        <v>80</v>
      </c>
      <c r="J248" s="59"/>
      <c r="K248" s="54">
        <f>tkr!$AI$31</f>
        <v>70</v>
      </c>
      <c r="L248" s="55"/>
      <c r="M248" s="53">
        <f>tkr!$AO$31</f>
        <v>73</v>
      </c>
      <c r="N248" s="53">
        <f>tkr!$AU$31</f>
        <v>74</v>
      </c>
      <c r="O248" s="59"/>
      <c r="P248" s="55"/>
      <c r="Q248" s="55"/>
      <c r="R248" s="54">
        <f>tkr!$BQ$31</f>
        <v>84</v>
      </c>
      <c r="S248" s="54">
        <f>tkr!$BU$31</f>
        <v>77</v>
      </c>
      <c r="T248" s="55"/>
      <c r="U248" s="54">
        <f>tkr!$BZ$31</f>
        <v>70</v>
      </c>
      <c r="V248" s="58"/>
      <c r="X248" s="278">
        <v>31</v>
      </c>
    </row>
    <row r="249" spans="1:24" ht="15" thickBot="1">
      <c r="A249" s="268">
        <v>27</v>
      </c>
      <c r="B249" s="271"/>
      <c r="C249" s="274"/>
      <c r="D249" s="62" t="s">
        <v>297</v>
      </c>
      <c r="E249" s="53">
        <f>tkr!$H$31</f>
        <v>82</v>
      </c>
      <c r="F249" s="53">
        <f>tkr!$N$31</f>
        <v>83</v>
      </c>
      <c r="G249" s="53">
        <f>tkr!$T$31</f>
        <v>79</v>
      </c>
      <c r="H249" s="53">
        <f>tkr!$Z$31</f>
        <v>84</v>
      </c>
      <c r="I249" s="53">
        <f>tkr!$AD$31</f>
        <v>82</v>
      </c>
      <c r="J249" s="59"/>
      <c r="K249" s="54">
        <f>tkr!$AJ$31</f>
        <v>81</v>
      </c>
      <c r="L249" s="55"/>
      <c r="M249" s="53">
        <f>tkr!$AP$31</f>
        <v>79</v>
      </c>
      <c r="N249" s="53">
        <f>tkr!$AV$31</f>
        <v>80</v>
      </c>
      <c r="O249" s="59"/>
      <c r="P249" s="55"/>
      <c r="Q249" s="55"/>
      <c r="R249" s="54">
        <f>tkr!$BR$31</f>
        <v>83.333333333333329</v>
      </c>
      <c r="S249" s="54">
        <f>tkr!$BV$31</f>
        <v>82</v>
      </c>
      <c r="T249" s="63"/>
      <c r="U249" s="54">
        <f>tkr!$CA$31</f>
        <v>78</v>
      </c>
      <c r="V249" s="58"/>
      <c r="X249" s="278">
        <v>31</v>
      </c>
    </row>
    <row r="250" spans="1:24">
      <c r="A250" s="268">
        <v>27</v>
      </c>
      <c r="B250" s="271"/>
      <c r="C250" s="274"/>
      <c r="D250" s="62" t="s">
        <v>298</v>
      </c>
      <c r="E250" s="53">
        <f>tkr!$I$31</f>
        <v>89</v>
      </c>
      <c r="F250" s="53">
        <f>tkr!$O$31</f>
        <v>85</v>
      </c>
      <c r="G250" s="53">
        <f>tkr!$U$31</f>
        <v>76</v>
      </c>
      <c r="H250" s="65"/>
      <c r="I250" s="65"/>
      <c r="J250" s="59"/>
      <c r="K250" s="59"/>
      <c r="L250" s="53">
        <f>tkr!$AK$31</f>
        <v>80</v>
      </c>
      <c r="M250" s="53">
        <f>tkr!$AQ$31</f>
        <v>75</v>
      </c>
      <c r="N250" s="53">
        <f>tkr!$AW$31</f>
        <v>72</v>
      </c>
      <c r="O250" s="59"/>
      <c r="P250" s="55"/>
      <c r="Q250" s="55"/>
      <c r="R250" s="54">
        <f>tkr!$BS$31</f>
        <v>83.666666666666671</v>
      </c>
      <c r="S250" s="54">
        <f>tkr!$BW$31</f>
        <v>80</v>
      </c>
      <c r="T250" s="54"/>
      <c r="U250" s="54">
        <f>tkr!$CB$31</f>
        <v>74</v>
      </c>
      <c r="V250" s="58"/>
      <c r="X250" s="278">
        <v>31</v>
      </c>
    </row>
    <row r="251" spans="1:24">
      <c r="A251" s="268">
        <v>27</v>
      </c>
      <c r="B251" s="271"/>
      <c r="C251" s="274"/>
      <c r="D251" s="66" t="s">
        <v>299</v>
      </c>
      <c r="E251" s="67">
        <f>AVERAGE(E246:E250)</f>
        <v>85</v>
      </c>
      <c r="F251" s="67">
        <f>AVERAGE(F246:F250)</f>
        <v>80.8</v>
      </c>
      <c r="G251" s="67">
        <f>AVERAGE(G246:G250)</f>
        <v>76.599999999999994</v>
      </c>
      <c r="H251" s="68"/>
      <c r="I251" s="68"/>
      <c r="J251" s="69"/>
      <c r="K251" s="69"/>
      <c r="L251" s="67">
        <f>AVERAGE(L246:L250)</f>
        <v>80</v>
      </c>
      <c r="M251" s="67">
        <f>AVERAGE(M246:M250)</f>
        <v>74</v>
      </c>
      <c r="N251" s="67">
        <f>AVERAGE(N246:N250)</f>
        <v>73.400000000000006</v>
      </c>
      <c r="O251" s="69"/>
      <c r="P251" s="63"/>
      <c r="Q251" s="63"/>
      <c r="R251" s="84">
        <f>AVERAGE(R248:R250)</f>
        <v>83.666666666666671</v>
      </c>
      <c r="S251" s="84">
        <f>AVERAGE(S248:S250)</f>
        <v>79.666666666666671</v>
      </c>
      <c r="T251" s="63"/>
      <c r="U251" s="84">
        <f>AVERAGE(U246:U250)</f>
        <v>74</v>
      </c>
      <c r="V251" s="58"/>
      <c r="X251" s="278">
        <v>31</v>
      </c>
    </row>
    <row r="252" spans="1:24">
      <c r="A252" s="268">
        <v>27</v>
      </c>
      <c r="B252" s="271"/>
      <c r="C252" s="274"/>
      <c r="D252" s="70" t="s">
        <v>300</v>
      </c>
      <c r="E252" s="71">
        <f>tkr!$J$31</f>
        <v>95</v>
      </c>
      <c r="F252" s="71">
        <f>tkr!$P$31</f>
        <v>90</v>
      </c>
      <c r="G252" s="71">
        <f>tkr!$V$31</f>
        <v>86</v>
      </c>
      <c r="H252" s="72"/>
      <c r="I252" s="72"/>
      <c r="J252" s="73"/>
      <c r="K252" s="73"/>
      <c r="L252" s="71">
        <f>tkr!$AL$31</f>
        <v>86</v>
      </c>
      <c r="M252" s="71">
        <f>tkr!$AR$31</f>
        <v>91</v>
      </c>
      <c r="N252" s="71">
        <f>tkr!$AX$31</f>
        <v>91</v>
      </c>
      <c r="O252" s="73"/>
      <c r="P252" s="74"/>
      <c r="Q252" s="74"/>
      <c r="R252" s="85">
        <f>tkr!$BT$31</f>
        <v>91</v>
      </c>
      <c r="S252" s="85">
        <f>tkr!$BX$31</f>
        <v>91</v>
      </c>
      <c r="T252" s="85">
        <f>tkr!$BY$31</f>
        <v>91</v>
      </c>
      <c r="U252" s="75">
        <f>tkr!$CC$31</f>
        <v>91</v>
      </c>
      <c r="V252" s="58"/>
      <c r="X252" s="278">
        <v>31</v>
      </c>
    </row>
    <row r="253" spans="1:24">
      <c r="A253" s="268">
        <v>27</v>
      </c>
      <c r="B253" s="271"/>
      <c r="C253" s="274"/>
      <c r="D253" s="76" t="s">
        <v>301</v>
      </c>
      <c r="E253" s="77">
        <f>tkr!$CD$31</f>
        <v>83</v>
      </c>
      <c r="F253" s="77">
        <f>tkr!$CE$31</f>
        <v>88</v>
      </c>
      <c r="G253" s="77">
        <f>tkr!$CF$31</f>
        <v>76</v>
      </c>
      <c r="H253" s="72"/>
      <c r="I253" s="72"/>
      <c r="J253" s="73"/>
      <c r="K253" s="73"/>
      <c r="L253" s="77">
        <f>tkr!$CG$31</f>
        <v>87</v>
      </c>
      <c r="M253" s="77">
        <f>tkr!$CH$31</f>
        <v>76</v>
      </c>
      <c r="N253" s="77">
        <f>tkr!$CI$31</f>
        <v>80</v>
      </c>
      <c r="O253" s="73"/>
      <c r="P253" s="74"/>
      <c r="Q253" s="74"/>
      <c r="R253" s="86">
        <f>tkr!$CL$31</f>
        <v>72</v>
      </c>
      <c r="S253" s="86">
        <f>tkr!$CK$31</f>
        <v>80</v>
      </c>
      <c r="T253" s="74"/>
      <c r="U253" s="86">
        <f>tkr!$CJ$31</f>
        <v>75</v>
      </c>
      <c r="V253" s="58"/>
      <c r="X253" s="278">
        <v>31</v>
      </c>
    </row>
    <row r="254" spans="1:24" ht="15" thickBot="1">
      <c r="A254" s="269">
        <v>27</v>
      </c>
      <c r="B254" s="272"/>
      <c r="C254" s="275"/>
      <c r="D254" s="78" t="s">
        <v>302</v>
      </c>
      <c r="E254" s="79">
        <f>(E251*4+E252*3+E253*3)/10</f>
        <v>87.4</v>
      </c>
      <c r="F254" s="79">
        <f t="shared" ref="F254:G254" si="51">(F251*4+F252*3+F253*3)/10</f>
        <v>85.72</v>
      </c>
      <c r="G254" s="79">
        <f t="shared" si="51"/>
        <v>79.239999999999995</v>
      </c>
      <c r="H254" s="79">
        <f>AVERAGE(H246:H249)</f>
        <v>83.75</v>
      </c>
      <c r="I254" s="79">
        <f>AVERAGE(I246:I249)</f>
        <v>76.75</v>
      </c>
      <c r="J254" s="79">
        <f>AVERAGE(J246:J247)</f>
        <v>84.5</v>
      </c>
      <c r="K254" s="79">
        <f>AVERAGE(K246:K249)</f>
        <v>74</v>
      </c>
      <c r="L254" s="79">
        <f>(L251*4+L252*3+L253*3)/10</f>
        <v>83.9</v>
      </c>
      <c r="M254" s="79">
        <f>(M251*4+M252*3+M253*3)/10</f>
        <v>79.7</v>
      </c>
      <c r="N254" s="79">
        <f>(N251*4+N252*3+N253*3)/10</f>
        <v>80.66</v>
      </c>
      <c r="O254" s="79">
        <f>AVERAGE(O246:O247)</f>
        <v>77</v>
      </c>
      <c r="P254" s="79">
        <f>AVERAGE(P246:P247)</f>
        <v>72.5</v>
      </c>
      <c r="Q254" s="79">
        <f>AVERAGE(Q246:Q247)</f>
        <v>80</v>
      </c>
      <c r="R254" s="79">
        <f>(R251*4+R252*3+R253*3)/10</f>
        <v>82.366666666666674</v>
      </c>
      <c r="S254" s="79">
        <f>(S251*4+S252*3+S253*3)/10</f>
        <v>83.166666666666671</v>
      </c>
      <c r="T254" s="79">
        <f>T252</f>
        <v>91</v>
      </c>
      <c r="U254" s="79">
        <f t="shared" ref="U254" si="52">(U251*4+U252*3+U253*3)/10</f>
        <v>79.400000000000006</v>
      </c>
      <c r="V254" s="80">
        <f>AVERAGE(E254:U254)</f>
        <v>81.23843137254903</v>
      </c>
      <c r="X254" s="278">
        <v>31</v>
      </c>
    </row>
    <row r="255" spans="1:24" ht="15.6" thickTop="1" thickBot="1">
      <c r="A255" s="268">
        <v>28</v>
      </c>
      <c r="B255" s="270" t="s">
        <v>526</v>
      </c>
      <c r="C255" s="273" t="s">
        <v>527</v>
      </c>
      <c r="D255" s="52" t="s">
        <v>294</v>
      </c>
      <c r="E255" s="53">
        <f>tkr!$E$32</f>
        <v>84</v>
      </c>
      <c r="F255" s="53">
        <f>tkr!$K$32</f>
        <v>70</v>
      </c>
      <c r="G255" s="53">
        <f>tkr!$Q$32</f>
        <v>86</v>
      </c>
      <c r="H255" s="53">
        <f>tkr!$W$32</f>
        <v>83</v>
      </c>
      <c r="I255" s="53">
        <f>tkr!$AA$32</f>
        <v>76</v>
      </c>
      <c r="J255" s="53">
        <f>tkr!$AE$32</f>
        <v>91</v>
      </c>
      <c r="K255" s="54">
        <f>tkr!$AG$32</f>
        <v>77</v>
      </c>
      <c r="L255" s="55"/>
      <c r="M255" s="53">
        <f>tkr!$AM$32</f>
        <v>73</v>
      </c>
      <c r="N255" s="53">
        <f>tkr!$AS$32</f>
        <v>77</v>
      </c>
      <c r="O255" s="53">
        <f>tkr!$AY$32</f>
        <v>76</v>
      </c>
      <c r="P255" s="54">
        <f>tkr!$BA$32</f>
        <v>72</v>
      </c>
      <c r="Q255" s="54">
        <f>tkr!$BC$32</f>
        <v>80</v>
      </c>
      <c r="R255" s="55"/>
      <c r="S255" s="55"/>
      <c r="T255" s="55"/>
      <c r="U255" s="55"/>
      <c r="V255" s="56"/>
      <c r="X255" s="278">
        <v>32</v>
      </c>
    </row>
    <row r="256" spans="1:24" ht="15" thickBot="1">
      <c r="A256" s="268">
        <v>28</v>
      </c>
      <c r="B256" s="271"/>
      <c r="C256" s="274"/>
      <c r="D256" s="52" t="s">
        <v>295</v>
      </c>
      <c r="E256" s="53">
        <f>tkr!$F$32</f>
        <v>87</v>
      </c>
      <c r="F256" s="53">
        <f>tkr!$L$32</f>
        <v>74</v>
      </c>
      <c r="G256" s="53">
        <f>tkr!$R$32</f>
        <v>70</v>
      </c>
      <c r="H256" s="53">
        <f>tkr!$X$32</f>
        <v>84</v>
      </c>
      <c r="I256" s="53">
        <f>tkr!$AB$32</f>
        <v>76</v>
      </c>
      <c r="J256" s="53">
        <f>tkr!$AF$32</f>
        <v>72</v>
      </c>
      <c r="K256" s="54">
        <f>tkr!$AH$32</f>
        <v>72</v>
      </c>
      <c r="L256" s="55"/>
      <c r="M256" s="53">
        <f>tkr!$AN$32</f>
        <v>74</v>
      </c>
      <c r="N256" s="53">
        <f>tkr!$AT$32</f>
        <v>73</v>
      </c>
      <c r="O256" s="53">
        <f>tkr!$AZ$32</f>
        <v>75</v>
      </c>
      <c r="P256" s="54">
        <f>tkr!$BB$32</f>
        <v>75</v>
      </c>
      <c r="Q256" s="54">
        <f>tkr!$BD$32</f>
        <v>81</v>
      </c>
      <c r="R256" s="55"/>
      <c r="S256" s="55"/>
      <c r="T256" s="55"/>
      <c r="U256" s="55"/>
      <c r="V256" s="58"/>
      <c r="X256" s="278">
        <v>32</v>
      </c>
    </row>
    <row r="257" spans="1:24" ht="15" thickBot="1">
      <c r="A257" s="268">
        <v>28</v>
      </c>
      <c r="B257" s="271"/>
      <c r="C257" s="274"/>
      <c r="D257" s="52" t="s">
        <v>296</v>
      </c>
      <c r="E257" s="53">
        <f>tkr!$G$32</f>
        <v>88</v>
      </c>
      <c r="F257" s="53">
        <f>tkr!$M$32</f>
        <v>70</v>
      </c>
      <c r="G257" s="53">
        <f>tkr!$S$32</f>
        <v>70</v>
      </c>
      <c r="H257" s="53">
        <f>tkr!$Y$32</f>
        <v>79</v>
      </c>
      <c r="I257" s="53">
        <f>tkr!$AC$32</f>
        <v>70</v>
      </c>
      <c r="J257" s="59"/>
      <c r="K257" s="54">
        <f>tkr!$AI$32</f>
        <v>70</v>
      </c>
      <c r="L257" s="55"/>
      <c r="M257" s="53">
        <f>tkr!$AO$32</f>
        <v>77</v>
      </c>
      <c r="N257" s="53">
        <f>tkr!$AU$32</f>
        <v>74</v>
      </c>
      <c r="O257" s="59"/>
      <c r="P257" s="55"/>
      <c r="Q257" s="55"/>
      <c r="R257" s="54">
        <f>tkr!$BQ$32</f>
        <v>84</v>
      </c>
      <c r="S257" s="54">
        <f>tkr!$BU$32</f>
        <v>77</v>
      </c>
      <c r="T257" s="55"/>
      <c r="U257" s="54">
        <f>tkr!$BZ$32</f>
        <v>71</v>
      </c>
      <c r="V257" s="58"/>
      <c r="X257" s="278">
        <v>32</v>
      </c>
    </row>
    <row r="258" spans="1:24" ht="15" thickBot="1">
      <c r="A258" s="268">
        <v>28</v>
      </c>
      <c r="B258" s="271"/>
      <c r="C258" s="274"/>
      <c r="D258" s="62" t="s">
        <v>297</v>
      </c>
      <c r="E258" s="53">
        <f>tkr!$H$32</f>
        <v>83</v>
      </c>
      <c r="F258" s="53">
        <f>tkr!$N$32</f>
        <v>82</v>
      </c>
      <c r="G258" s="53">
        <f>tkr!$T$32</f>
        <v>71</v>
      </c>
      <c r="H258" s="53">
        <f>tkr!$Z$32</f>
        <v>85</v>
      </c>
      <c r="I258" s="53">
        <f>tkr!$AD$32</f>
        <v>75</v>
      </c>
      <c r="J258" s="59"/>
      <c r="K258" s="54">
        <f>tkr!$AJ$32</f>
        <v>81</v>
      </c>
      <c r="L258" s="55"/>
      <c r="M258" s="53">
        <f>tkr!$AP$32</f>
        <v>80</v>
      </c>
      <c r="N258" s="53">
        <f>tkr!$AV$32</f>
        <v>80</v>
      </c>
      <c r="O258" s="59"/>
      <c r="P258" s="55"/>
      <c r="Q258" s="55"/>
      <c r="R258" s="54">
        <f>tkr!$BR$32</f>
        <v>83.333333333333329</v>
      </c>
      <c r="S258" s="54">
        <f>tkr!$BV$32</f>
        <v>82</v>
      </c>
      <c r="T258" s="63"/>
      <c r="U258" s="54">
        <f>tkr!$CA$32</f>
        <v>85</v>
      </c>
      <c r="V258" s="58"/>
      <c r="X258" s="278">
        <v>32</v>
      </c>
    </row>
    <row r="259" spans="1:24">
      <c r="A259" s="268">
        <v>28</v>
      </c>
      <c r="B259" s="271"/>
      <c r="C259" s="274"/>
      <c r="D259" s="62" t="s">
        <v>298</v>
      </c>
      <c r="E259" s="53">
        <f>tkr!$I$32</f>
        <v>84</v>
      </c>
      <c r="F259" s="53">
        <f>tkr!$O$32</f>
        <v>87</v>
      </c>
      <c r="G259" s="53">
        <f>tkr!$U$32</f>
        <v>85</v>
      </c>
      <c r="H259" s="65"/>
      <c r="I259" s="65"/>
      <c r="J259" s="59"/>
      <c r="K259" s="59"/>
      <c r="L259" s="53">
        <f>tkr!$AK$32</f>
        <v>81</v>
      </c>
      <c r="M259" s="53">
        <f>tkr!$AQ$32</f>
        <v>80</v>
      </c>
      <c r="N259" s="53">
        <f>tkr!$AW$32</f>
        <v>75</v>
      </c>
      <c r="O259" s="59"/>
      <c r="P259" s="55"/>
      <c r="Q259" s="55"/>
      <c r="R259" s="54">
        <f>tkr!$BS$32</f>
        <v>83.666666666666671</v>
      </c>
      <c r="S259" s="54">
        <f>tkr!$BW$32</f>
        <v>81</v>
      </c>
      <c r="T259" s="54"/>
      <c r="U259" s="54">
        <f>tkr!$CB$32</f>
        <v>72</v>
      </c>
      <c r="V259" s="58"/>
      <c r="X259" s="278">
        <v>32</v>
      </c>
    </row>
    <row r="260" spans="1:24">
      <c r="A260" s="268">
        <v>28</v>
      </c>
      <c r="B260" s="271"/>
      <c r="C260" s="274"/>
      <c r="D260" s="66" t="s">
        <v>299</v>
      </c>
      <c r="E260" s="67">
        <f>AVERAGE(E255:E259)</f>
        <v>85.2</v>
      </c>
      <c r="F260" s="67">
        <f>AVERAGE(F255:F259)</f>
        <v>76.599999999999994</v>
      </c>
      <c r="G260" s="67">
        <f>AVERAGE(G255:G259)</f>
        <v>76.400000000000006</v>
      </c>
      <c r="H260" s="68"/>
      <c r="I260" s="68"/>
      <c r="J260" s="69"/>
      <c r="K260" s="69"/>
      <c r="L260" s="67">
        <f>AVERAGE(L255:L259)</f>
        <v>81</v>
      </c>
      <c r="M260" s="67">
        <f>AVERAGE(M255:M259)</f>
        <v>76.8</v>
      </c>
      <c r="N260" s="67">
        <f>AVERAGE(N255:N259)</f>
        <v>75.8</v>
      </c>
      <c r="O260" s="69"/>
      <c r="P260" s="63"/>
      <c r="Q260" s="63"/>
      <c r="R260" s="84">
        <f>AVERAGE(R257:R259)</f>
        <v>83.666666666666671</v>
      </c>
      <c r="S260" s="84">
        <f>AVERAGE(S257:S259)</f>
        <v>80</v>
      </c>
      <c r="T260" s="63"/>
      <c r="U260" s="84">
        <f>AVERAGE(U255:U259)</f>
        <v>76</v>
      </c>
      <c r="V260" s="58"/>
      <c r="X260" s="278">
        <v>32</v>
      </c>
    </row>
    <row r="261" spans="1:24">
      <c r="A261" s="268">
        <v>28</v>
      </c>
      <c r="B261" s="271"/>
      <c r="C261" s="274"/>
      <c r="D261" s="70" t="s">
        <v>300</v>
      </c>
      <c r="E261" s="71">
        <f>tkr!$J$32</f>
        <v>78</v>
      </c>
      <c r="F261" s="71">
        <f>tkr!$P$32</f>
        <v>80</v>
      </c>
      <c r="G261" s="71">
        <f>tkr!$V$32</f>
        <v>78</v>
      </c>
      <c r="H261" s="72"/>
      <c r="I261" s="72"/>
      <c r="J261" s="73"/>
      <c r="K261" s="73"/>
      <c r="L261" s="71">
        <f>tkr!$AL$32</f>
        <v>78</v>
      </c>
      <c r="M261" s="71">
        <f>tkr!$AR$32</f>
        <v>79</v>
      </c>
      <c r="N261" s="71">
        <f>tkr!$AX$32</f>
        <v>79</v>
      </c>
      <c r="O261" s="73"/>
      <c r="P261" s="74"/>
      <c r="Q261" s="74"/>
      <c r="R261" s="85">
        <f>tkr!$BT$32</f>
        <v>79</v>
      </c>
      <c r="S261" s="85">
        <f>tkr!$BX$32</f>
        <v>79</v>
      </c>
      <c r="T261" s="85">
        <f>tkr!$BY$32</f>
        <v>79</v>
      </c>
      <c r="U261" s="75">
        <f>tkr!$CC$32</f>
        <v>79</v>
      </c>
      <c r="V261" s="58"/>
      <c r="X261" s="278">
        <v>32</v>
      </c>
    </row>
    <row r="262" spans="1:24">
      <c r="A262" s="268">
        <v>28</v>
      </c>
      <c r="B262" s="271"/>
      <c r="C262" s="274"/>
      <c r="D262" s="76" t="s">
        <v>301</v>
      </c>
      <c r="E262" s="77">
        <f>tkr!$CD$32</f>
        <v>86</v>
      </c>
      <c r="F262" s="77">
        <f>tkr!$CE$32</f>
        <v>88</v>
      </c>
      <c r="G262" s="77">
        <f>tkr!$CF$32</f>
        <v>82</v>
      </c>
      <c r="H262" s="72"/>
      <c r="I262" s="72"/>
      <c r="J262" s="73"/>
      <c r="K262" s="73"/>
      <c r="L262" s="77">
        <f>tkr!$CG$32</f>
        <v>90</v>
      </c>
      <c r="M262" s="77">
        <f>tkr!$CH$32</f>
        <v>81</v>
      </c>
      <c r="N262" s="77">
        <f>tkr!$CI$32</f>
        <v>80</v>
      </c>
      <c r="O262" s="73"/>
      <c r="P262" s="74"/>
      <c r="Q262" s="74"/>
      <c r="R262" s="86">
        <f>tkr!$CL$32</f>
        <v>70</v>
      </c>
      <c r="S262" s="86">
        <f>tkr!$CK$32</f>
        <v>81</v>
      </c>
      <c r="T262" s="74"/>
      <c r="U262" s="86">
        <f>tkr!$CJ$32</f>
        <v>79</v>
      </c>
      <c r="V262" s="58"/>
      <c r="X262" s="278">
        <v>32</v>
      </c>
    </row>
    <row r="263" spans="1:24" ht="15" thickBot="1">
      <c r="A263" s="269">
        <v>28</v>
      </c>
      <c r="B263" s="272"/>
      <c r="C263" s="275"/>
      <c r="D263" s="78" t="s">
        <v>302</v>
      </c>
      <c r="E263" s="79">
        <f>(E260*4+E261*3+E262*3)/10</f>
        <v>83.28</v>
      </c>
      <c r="F263" s="79">
        <f t="shared" ref="F263:G263" si="53">(F260*4+F261*3+F262*3)/10</f>
        <v>81.039999999999992</v>
      </c>
      <c r="G263" s="79">
        <f t="shared" si="53"/>
        <v>78.56</v>
      </c>
      <c r="H263" s="79">
        <f>AVERAGE(H255:H258)</f>
        <v>82.75</v>
      </c>
      <c r="I263" s="79">
        <f>AVERAGE(I255:I258)</f>
        <v>74.25</v>
      </c>
      <c r="J263" s="79">
        <f>AVERAGE(J255:J256)</f>
        <v>81.5</v>
      </c>
      <c r="K263" s="79">
        <f>AVERAGE(K255:K258)</f>
        <v>75</v>
      </c>
      <c r="L263" s="79">
        <f>(L260*4+L261*3+L262*3)/10</f>
        <v>82.8</v>
      </c>
      <c r="M263" s="79">
        <f>(M260*4+M261*3+M262*3)/10</f>
        <v>78.72</v>
      </c>
      <c r="N263" s="79">
        <f>(N260*4+N261*3+N262*3)/10</f>
        <v>78.02000000000001</v>
      </c>
      <c r="O263" s="79">
        <f>AVERAGE(O255:O256)</f>
        <v>75.5</v>
      </c>
      <c r="P263" s="79">
        <f>AVERAGE(P255:P256)</f>
        <v>73.5</v>
      </c>
      <c r="Q263" s="79">
        <f>AVERAGE(Q255:Q256)</f>
        <v>80.5</v>
      </c>
      <c r="R263" s="79">
        <f>(R260*4+R261*3+R262*3)/10</f>
        <v>78.166666666666671</v>
      </c>
      <c r="S263" s="79">
        <f>(S260*4+S261*3+S262*3)/10</f>
        <v>80</v>
      </c>
      <c r="T263" s="79">
        <f>T261</f>
        <v>79</v>
      </c>
      <c r="U263" s="79">
        <f t="shared" ref="U263" si="54">(U260*4+U261*3+U262*3)/10</f>
        <v>77.8</v>
      </c>
      <c r="V263" s="80">
        <f>AVERAGE(E263:U263)</f>
        <v>78.846274509803933</v>
      </c>
      <c r="X263" s="278">
        <v>32</v>
      </c>
    </row>
    <row r="264" spans="1:24" ht="15.6" thickTop="1" thickBot="1">
      <c r="A264" s="268">
        <v>29</v>
      </c>
      <c r="B264" s="270" t="s">
        <v>528</v>
      </c>
      <c r="C264" s="273" t="s">
        <v>529</v>
      </c>
      <c r="D264" s="52" t="s">
        <v>294</v>
      </c>
      <c r="E264" s="53">
        <f>tkr!$E$33</f>
        <v>91</v>
      </c>
      <c r="F264" s="53">
        <f>tkr!$K$33</f>
        <v>82</v>
      </c>
      <c r="G264" s="53">
        <f>tkr!$Q$33</f>
        <v>90</v>
      </c>
      <c r="H264" s="53">
        <f>tkr!$W$33</f>
        <v>84</v>
      </c>
      <c r="I264" s="53">
        <f>tkr!$AA$33</f>
        <v>86</v>
      </c>
      <c r="J264" s="53">
        <f>tkr!$AE$33</f>
        <v>94</v>
      </c>
      <c r="K264" s="54">
        <f>tkr!$AG$33</f>
        <v>86</v>
      </c>
      <c r="L264" s="55"/>
      <c r="M264" s="53">
        <f>tkr!$AM$33</f>
        <v>87</v>
      </c>
      <c r="N264" s="53">
        <f>tkr!$AS$33</f>
        <v>87</v>
      </c>
      <c r="O264" s="53">
        <f>tkr!$AY$33</f>
        <v>76</v>
      </c>
      <c r="P264" s="54">
        <f>tkr!$BA$33</f>
        <v>91</v>
      </c>
      <c r="Q264" s="54">
        <f>tkr!$BC$33</f>
        <v>84</v>
      </c>
      <c r="R264" s="55"/>
      <c r="S264" s="55"/>
      <c r="T264" s="55"/>
      <c r="U264" s="55"/>
      <c r="V264" s="56"/>
      <c r="X264" s="278">
        <v>33</v>
      </c>
    </row>
    <row r="265" spans="1:24" ht="15" thickBot="1">
      <c r="A265" s="268">
        <v>29</v>
      </c>
      <c r="B265" s="271"/>
      <c r="C265" s="274"/>
      <c r="D265" s="52" t="s">
        <v>295</v>
      </c>
      <c r="E265" s="53">
        <f>tkr!$F$33</f>
        <v>95</v>
      </c>
      <c r="F265" s="53">
        <f>tkr!$L$33</f>
        <v>87</v>
      </c>
      <c r="G265" s="53">
        <f>tkr!$R$33</f>
        <v>88</v>
      </c>
      <c r="H265" s="53">
        <f>tkr!$X$33</f>
        <v>85</v>
      </c>
      <c r="I265" s="53">
        <f>tkr!$AB$33</f>
        <v>85</v>
      </c>
      <c r="J265" s="53">
        <f>tkr!$AF$33</f>
        <v>85</v>
      </c>
      <c r="K265" s="54">
        <f>tkr!$AH$33</f>
        <v>78</v>
      </c>
      <c r="L265" s="55"/>
      <c r="M265" s="53">
        <f>tkr!$AN$33</f>
        <v>88</v>
      </c>
      <c r="N265" s="53">
        <f>tkr!$AT$33</f>
        <v>83</v>
      </c>
      <c r="O265" s="53">
        <f>tkr!$AZ$33</f>
        <v>80</v>
      </c>
      <c r="P265" s="54">
        <f>tkr!$BB$33</f>
        <v>88</v>
      </c>
      <c r="Q265" s="54">
        <f>tkr!$BD$33</f>
        <v>85</v>
      </c>
      <c r="R265" s="55"/>
      <c r="S265" s="55"/>
      <c r="T265" s="55"/>
      <c r="U265" s="55"/>
      <c r="V265" s="58"/>
      <c r="X265" s="278">
        <v>33</v>
      </c>
    </row>
    <row r="266" spans="1:24" ht="15" thickBot="1">
      <c r="A266" s="268">
        <v>29</v>
      </c>
      <c r="B266" s="271"/>
      <c r="C266" s="274"/>
      <c r="D266" s="52" t="s">
        <v>296</v>
      </c>
      <c r="E266" s="53">
        <f>tkr!$G$33</f>
        <v>93</v>
      </c>
      <c r="F266" s="53">
        <f>tkr!$M$33</f>
        <v>91</v>
      </c>
      <c r="G266" s="53">
        <f>tkr!$S$33</f>
        <v>85</v>
      </c>
      <c r="H266" s="53">
        <f>tkr!$Y$33</f>
        <v>84</v>
      </c>
      <c r="I266" s="53">
        <f>tkr!$AC$33</f>
        <v>83</v>
      </c>
      <c r="J266" s="59"/>
      <c r="K266" s="54">
        <f>tkr!$AI$33</f>
        <v>75</v>
      </c>
      <c r="L266" s="55"/>
      <c r="M266" s="53">
        <f>tkr!$AO$33</f>
        <v>95</v>
      </c>
      <c r="N266" s="53">
        <f>tkr!$AU$33</f>
        <v>85</v>
      </c>
      <c r="O266" s="59"/>
      <c r="P266" s="55"/>
      <c r="Q266" s="55"/>
      <c r="R266" s="54">
        <f>tkr!$BQ$33</f>
        <v>84</v>
      </c>
      <c r="S266" s="54">
        <f>tkr!$BU$33</f>
        <v>83</v>
      </c>
      <c r="T266" s="55"/>
      <c r="U266" s="54">
        <f>tkr!$BZ$33</f>
        <v>77</v>
      </c>
      <c r="V266" s="58"/>
      <c r="X266" s="278">
        <v>33</v>
      </c>
    </row>
    <row r="267" spans="1:24" ht="15" thickBot="1">
      <c r="A267" s="268">
        <v>29</v>
      </c>
      <c r="B267" s="271"/>
      <c r="C267" s="274"/>
      <c r="D267" s="62" t="s">
        <v>297</v>
      </c>
      <c r="E267" s="53">
        <f>tkr!$H$33</f>
        <v>88</v>
      </c>
      <c r="F267" s="53">
        <f>tkr!$N$33</f>
        <v>85</v>
      </c>
      <c r="G267" s="53">
        <f>tkr!$T$33</f>
        <v>90</v>
      </c>
      <c r="H267" s="53">
        <f>tkr!$Z$33</f>
        <v>87</v>
      </c>
      <c r="I267" s="53">
        <f>tkr!$AD$33</f>
        <v>86</v>
      </c>
      <c r="J267" s="59"/>
      <c r="K267" s="54">
        <f>tkr!$AJ$33</f>
        <v>82</v>
      </c>
      <c r="L267" s="55"/>
      <c r="M267" s="53">
        <f>tkr!$AP$33</f>
        <v>95</v>
      </c>
      <c r="N267" s="53">
        <f>tkr!$AV$33</f>
        <v>88</v>
      </c>
      <c r="O267" s="59"/>
      <c r="P267" s="55"/>
      <c r="Q267" s="55"/>
      <c r="R267" s="54">
        <f>tkr!$BR$33</f>
        <v>83.333333333333329</v>
      </c>
      <c r="S267" s="54">
        <f>tkr!$BV$33</f>
        <v>84</v>
      </c>
      <c r="T267" s="63"/>
      <c r="U267" s="54">
        <f>tkr!$CA$33</f>
        <v>93</v>
      </c>
      <c r="V267" s="58"/>
      <c r="X267" s="278">
        <v>33</v>
      </c>
    </row>
    <row r="268" spans="1:24">
      <c r="A268" s="268">
        <v>29</v>
      </c>
      <c r="B268" s="271"/>
      <c r="C268" s="274"/>
      <c r="D268" s="62" t="s">
        <v>298</v>
      </c>
      <c r="E268" s="53">
        <f>tkr!$I$33</f>
        <v>91</v>
      </c>
      <c r="F268" s="53">
        <f>tkr!$O$33</f>
        <v>90</v>
      </c>
      <c r="G268" s="53">
        <f>tkr!$U$33</f>
        <v>90</v>
      </c>
      <c r="H268" s="65"/>
      <c r="I268" s="65"/>
      <c r="J268" s="59"/>
      <c r="K268" s="59"/>
      <c r="L268" s="53">
        <f>tkr!$AK$33</f>
        <v>85</v>
      </c>
      <c r="M268" s="53">
        <f>tkr!$AQ$33</f>
        <v>94</v>
      </c>
      <c r="N268" s="53">
        <f>tkr!$AW$33</f>
        <v>84</v>
      </c>
      <c r="O268" s="59"/>
      <c r="P268" s="55"/>
      <c r="Q268" s="55"/>
      <c r="R268" s="54">
        <f>tkr!$BS$33</f>
        <v>83.666666666666671</v>
      </c>
      <c r="S268" s="54">
        <f>tkr!$BW$33</f>
        <v>85</v>
      </c>
      <c r="T268" s="54"/>
      <c r="U268" s="54">
        <f>tkr!$CB$33</f>
        <v>78</v>
      </c>
      <c r="V268" s="58"/>
      <c r="X268" s="278">
        <v>33</v>
      </c>
    </row>
    <row r="269" spans="1:24">
      <c r="A269" s="268">
        <v>29</v>
      </c>
      <c r="B269" s="271"/>
      <c r="C269" s="274"/>
      <c r="D269" s="66" t="s">
        <v>299</v>
      </c>
      <c r="E269" s="67">
        <f>AVERAGE(E264:E268)</f>
        <v>91.6</v>
      </c>
      <c r="F269" s="67">
        <f>AVERAGE(F264:F268)</f>
        <v>87</v>
      </c>
      <c r="G269" s="67">
        <f>AVERAGE(G264:G268)</f>
        <v>88.6</v>
      </c>
      <c r="H269" s="68"/>
      <c r="I269" s="68"/>
      <c r="J269" s="69"/>
      <c r="K269" s="69"/>
      <c r="L269" s="67">
        <f>AVERAGE(L264:L268)</f>
        <v>85</v>
      </c>
      <c r="M269" s="67">
        <f>AVERAGE(M264:M268)</f>
        <v>91.8</v>
      </c>
      <c r="N269" s="67">
        <f>AVERAGE(N264:N268)</f>
        <v>85.4</v>
      </c>
      <c r="O269" s="69"/>
      <c r="P269" s="63"/>
      <c r="Q269" s="63"/>
      <c r="R269" s="84">
        <f>AVERAGE(R266:R268)</f>
        <v>83.666666666666671</v>
      </c>
      <c r="S269" s="84">
        <f>AVERAGE(S266:S268)</f>
        <v>84</v>
      </c>
      <c r="T269" s="63"/>
      <c r="U269" s="84">
        <f>AVERAGE(U264:U268)</f>
        <v>82.666666666666671</v>
      </c>
      <c r="V269" s="58"/>
      <c r="X269" s="278">
        <v>33</v>
      </c>
    </row>
    <row r="270" spans="1:24">
      <c r="A270" s="268">
        <v>29</v>
      </c>
      <c r="B270" s="271"/>
      <c r="C270" s="274"/>
      <c r="D270" s="70" t="s">
        <v>300</v>
      </c>
      <c r="E270" s="71">
        <f>tkr!$J$33</f>
        <v>95</v>
      </c>
      <c r="F270" s="71">
        <f>tkr!$P$33</f>
        <v>95</v>
      </c>
      <c r="G270" s="71">
        <f>tkr!$V$33</f>
        <v>91</v>
      </c>
      <c r="H270" s="72"/>
      <c r="I270" s="72"/>
      <c r="J270" s="73"/>
      <c r="K270" s="73"/>
      <c r="L270" s="71">
        <f>tkr!$AL$33</f>
        <v>91</v>
      </c>
      <c r="M270" s="71">
        <f>tkr!$AR$33</f>
        <v>95</v>
      </c>
      <c r="N270" s="71">
        <f>tkr!$AX$33</f>
        <v>95</v>
      </c>
      <c r="O270" s="73"/>
      <c r="P270" s="74"/>
      <c r="Q270" s="74"/>
      <c r="R270" s="85">
        <f>tkr!$BT$33</f>
        <v>95</v>
      </c>
      <c r="S270" s="85">
        <f>tkr!$BX$33</f>
        <v>95</v>
      </c>
      <c r="T270" s="85">
        <f>tkr!$BY$33</f>
        <v>94</v>
      </c>
      <c r="U270" s="75">
        <f>tkr!$CC$33</f>
        <v>95</v>
      </c>
      <c r="V270" s="58"/>
      <c r="X270" s="278">
        <v>33</v>
      </c>
    </row>
    <row r="271" spans="1:24">
      <c r="A271" s="268">
        <v>29</v>
      </c>
      <c r="B271" s="271"/>
      <c r="C271" s="274"/>
      <c r="D271" s="76" t="s">
        <v>301</v>
      </c>
      <c r="E271" s="77">
        <f>tkr!$CD$33</f>
        <v>92</v>
      </c>
      <c r="F271" s="77">
        <f>tkr!$CE$33</f>
        <v>95</v>
      </c>
      <c r="G271" s="77">
        <f>tkr!$CF$33</f>
        <v>88</v>
      </c>
      <c r="H271" s="72"/>
      <c r="I271" s="72"/>
      <c r="J271" s="73"/>
      <c r="K271" s="73"/>
      <c r="L271" s="77">
        <f>tkr!$CG$33</f>
        <v>92</v>
      </c>
      <c r="M271" s="77">
        <f>tkr!$CH$33</f>
        <v>94</v>
      </c>
      <c r="N271" s="77">
        <f>tkr!$CI$33</f>
        <v>88</v>
      </c>
      <c r="O271" s="73"/>
      <c r="P271" s="74"/>
      <c r="Q271" s="74"/>
      <c r="R271" s="86">
        <f>tkr!$CL$33</f>
        <v>77</v>
      </c>
      <c r="S271" s="86">
        <f>tkr!$CK$33</f>
        <v>84</v>
      </c>
      <c r="T271" s="74"/>
      <c r="U271" s="86">
        <f>tkr!$CJ$33</f>
        <v>87</v>
      </c>
      <c r="V271" s="58"/>
      <c r="X271" s="278">
        <v>33</v>
      </c>
    </row>
    <row r="272" spans="1:24" ht="15" thickBot="1">
      <c r="A272" s="269">
        <v>29</v>
      </c>
      <c r="B272" s="272"/>
      <c r="C272" s="275"/>
      <c r="D272" s="78" t="s">
        <v>302</v>
      </c>
      <c r="E272" s="79">
        <f>(E269*4+E270*3+E271*3)/10</f>
        <v>92.74</v>
      </c>
      <c r="F272" s="79">
        <f t="shared" ref="F272:G272" si="55">(F269*4+F270*3+F271*3)/10</f>
        <v>91.8</v>
      </c>
      <c r="G272" s="79">
        <f t="shared" si="55"/>
        <v>89.14</v>
      </c>
      <c r="H272" s="79">
        <f>AVERAGE(H264:H267)</f>
        <v>85</v>
      </c>
      <c r="I272" s="79">
        <f>AVERAGE(I264:I267)</f>
        <v>85</v>
      </c>
      <c r="J272" s="79">
        <f>AVERAGE(J264:J265)</f>
        <v>89.5</v>
      </c>
      <c r="K272" s="79">
        <f>AVERAGE(K264:K267)</f>
        <v>80.25</v>
      </c>
      <c r="L272" s="79">
        <f>(L269*4+L270*3+L271*3)/10</f>
        <v>88.9</v>
      </c>
      <c r="M272" s="79">
        <f>(M269*4+M270*3+M271*3)/10</f>
        <v>93.42</v>
      </c>
      <c r="N272" s="79">
        <f>(N269*4+N270*3+N271*3)/10</f>
        <v>89.06</v>
      </c>
      <c r="O272" s="79">
        <f>AVERAGE(O264:O265)</f>
        <v>78</v>
      </c>
      <c r="P272" s="79">
        <f>AVERAGE(P264:P265)</f>
        <v>89.5</v>
      </c>
      <c r="Q272" s="79">
        <f>AVERAGE(Q264:Q265)</f>
        <v>84.5</v>
      </c>
      <c r="R272" s="79">
        <f>(R269*4+R270*3+R271*3)/10</f>
        <v>85.066666666666677</v>
      </c>
      <c r="S272" s="79">
        <f>(S269*4+S270*3+S271*3)/10</f>
        <v>87.3</v>
      </c>
      <c r="T272" s="79">
        <f>T270</f>
        <v>94</v>
      </c>
      <c r="U272" s="79">
        <f t="shared" ref="U272" si="56">(U269*4+U270*3+U271*3)/10</f>
        <v>87.666666666666671</v>
      </c>
      <c r="V272" s="80">
        <f>AVERAGE(E272:U272)</f>
        <v>87.696666666666658</v>
      </c>
      <c r="X272" s="278">
        <v>33</v>
      </c>
    </row>
    <row r="273" spans="1:24" ht="15.6" thickTop="1" thickBot="1">
      <c r="A273" s="268">
        <v>30</v>
      </c>
      <c r="B273" s="270" t="s">
        <v>530</v>
      </c>
      <c r="C273" s="273" t="s">
        <v>531</v>
      </c>
      <c r="D273" s="52" t="s">
        <v>294</v>
      </c>
      <c r="E273" s="53">
        <f>tkr!$E$34</f>
        <v>90</v>
      </c>
      <c r="F273" s="53">
        <f>tkr!$K$34</f>
        <v>83</v>
      </c>
      <c r="G273" s="53">
        <f>tkr!$Q$34</f>
        <v>83</v>
      </c>
      <c r="H273" s="53">
        <f>tkr!$W$34</f>
        <v>83</v>
      </c>
      <c r="I273" s="53">
        <f>tkr!$AA$34</f>
        <v>74</v>
      </c>
      <c r="J273" s="53">
        <f>tkr!$AE$34</f>
        <v>94</v>
      </c>
      <c r="K273" s="54">
        <f>tkr!$AG$34</f>
        <v>77</v>
      </c>
      <c r="L273" s="55"/>
      <c r="M273" s="53">
        <f>tkr!$AM$34</f>
        <v>79</v>
      </c>
      <c r="N273" s="53">
        <f>tkr!$AS$34</f>
        <v>72</v>
      </c>
      <c r="O273" s="53">
        <f>tkr!$AY$34</f>
        <v>76</v>
      </c>
      <c r="P273" s="54">
        <f>tkr!$BA$34</f>
        <v>83</v>
      </c>
      <c r="Q273" s="54">
        <f>tkr!$BC$34</f>
        <v>80</v>
      </c>
      <c r="R273" s="55"/>
      <c r="S273" s="55"/>
      <c r="T273" s="55"/>
      <c r="U273" s="55"/>
      <c r="V273" s="56"/>
      <c r="X273" s="278">
        <v>34</v>
      </c>
    </row>
    <row r="274" spans="1:24" ht="15" thickBot="1">
      <c r="A274" s="268">
        <v>30</v>
      </c>
      <c r="B274" s="271"/>
      <c r="C274" s="274"/>
      <c r="D274" s="52" t="s">
        <v>295</v>
      </c>
      <c r="E274" s="53">
        <f>tkr!$F$34</f>
        <v>89</v>
      </c>
      <c r="F274" s="53">
        <f>tkr!$L$34</f>
        <v>76</v>
      </c>
      <c r="G274" s="53">
        <f>tkr!$R$34</f>
        <v>74</v>
      </c>
      <c r="H274" s="53">
        <f>tkr!$X$34</f>
        <v>84</v>
      </c>
      <c r="I274" s="53">
        <f>tkr!$AB$34</f>
        <v>80</v>
      </c>
      <c r="J274" s="53">
        <f>tkr!$AF$34</f>
        <v>81</v>
      </c>
      <c r="K274" s="54">
        <f>tkr!$AH$34</f>
        <v>73</v>
      </c>
      <c r="L274" s="55"/>
      <c r="M274" s="53">
        <f>tkr!$AN$34</f>
        <v>79</v>
      </c>
      <c r="N274" s="53">
        <f>tkr!$AT$34</f>
        <v>78</v>
      </c>
      <c r="O274" s="53">
        <f>tkr!$AZ$34</f>
        <v>78</v>
      </c>
      <c r="P274" s="54">
        <f>tkr!$BB$34</f>
        <v>84</v>
      </c>
      <c r="Q274" s="54">
        <f>tkr!$BD$34</f>
        <v>82</v>
      </c>
      <c r="R274" s="55"/>
      <c r="S274" s="55"/>
      <c r="T274" s="55"/>
      <c r="U274" s="55"/>
      <c r="V274" s="58"/>
      <c r="X274" s="278">
        <v>34</v>
      </c>
    </row>
    <row r="275" spans="1:24" ht="15" thickBot="1">
      <c r="A275" s="268">
        <v>30</v>
      </c>
      <c r="B275" s="271"/>
      <c r="C275" s="274"/>
      <c r="D275" s="52" t="s">
        <v>296</v>
      </c>
      <c r="E275" s="53">
        <f>tkr!$G$34</f>
        <v>90</v>
      </c>
      <c r="F275" s="53">
        <f>tkr!$M$34</f>
        <v>80</v>
      </c>
      <c r="G275" s="53">
        <f>tkr!$S$34</f>
        <v>87</v>
      </c>
      <c r="H275" s="53">
        <f>tkr!$Y$34</f>
        <v>84</v>
      </c>
      <c r="I275" s="53">
        <f>tkr!$AC$34</f>
        <v>85</v>
      </c>
      <c r="J275" s="59"/>
      <c r="K275" s="54">
        <f>tkr!$AI$34</f>
        <v>70</v>
      </c>
      <c r="L275" s="55"/>
      <c r="M275" s="53">
        <f>tkr!$AO$34</f>
        <v>78</v>
      </c>
      <c r="N275" s="53">
        <f>tkr!$AU$34</f>
        <v>80</v>
      </c>
      <c r="O275" s="59"/>
      <c r="P275" s="55"/>
      <c r="Q275" s="55"/>
      <c r="R275" s="54">
        <f>tkr!$BQ$34</f>
        <v>84</v>
      </c>
      <c r="S275" s="54">
        <f>tkr!$BU$34</f>
        <v>81</v>
      </c>
      <c r="T275" s="55"/>
      <c r="U275" s="54">
        <f>tkr!$BZ$34</f>
        <v>74</v>
      </c>
      <c r="V275" s="58"/>
      <c r="X275" s="278">
        <v>34</v>
      </c>
    </row>
    <row r="276" spans="1:24" ht="15" thickBot="1">
      <c r="A276" s="268">
        <v>30</v>
      </c>
      <c r="B276" s="271"/>
      <c r="C276" s="274"/>
      <c r="D276" s="62" t="s">
        <v>297</v>
      </c>
      <c r="E276" s="53">
        <f>tkr!$H$34</f>
        <v>85</v>
      </c>
      <c r="F276" s="53">
        <f>tkr!$N$34</f>
        <v>90</v>
      </c>
      <c r="G276" s="53">
        <f>tkr!$T$34</f>
        <v>87</v>
      </c>
      <c r="H276" s="53">
        <f>tkr!$Z$34</f>
        <v>86</v>
      </c>
      <c r="I276" s="53">
        <f>tkr!$AD$34</f>
        <v>86</v>
      </c>
      <c r="J276" s="59"/>
      <c r="K276" s="54">
        <f>tkr!$AJ$34</f>
        <v>81</v>
      </c>
      <c r="L276" s="55"/>
      <c r="M276" s="53">
        <f>tkr!$AP$34</f>
        <v>84</v>
      </c>
      <c r="N276" s="53">
        <f>tkr!$AV$34</f>
        <v>84</v>
      </c>
      <c r="O276" s="59"/>
      <c r="P276" s="55"/>
      <c r="Q276" s="55"/>
      <c r="R276" s="54">
        <f>tkr!$BR$34</f>
        <v>83.333333333333329</v>
      </c>
      <c r="S276" s="54">
        <f>tkr!$BV$34</f>
        <v>82</v>
      </c>
      <c r="T276" s="63"/>
      <c r="U276" s="54">
        <f>tkr!$CA$34</f>
        <v>88</v>
      </c>
      <c r="V276" s="58"/>
      <c r="X276" s="278">
        <v>34</v>
      </c>
    </row>
    <row r="277" spans="1:24">
      <c r="A277" s="268">
        <v>30</v>
      </c>
      <c r="B277" s="271"/>
      <c r="C277" s="274"/>
      <c r="D277" s="62" t="s">
        <v>298</v>
      </c>
      <c r="E277" s="53">
        <f>tkr!$I$34</f>
        <v>91</v>
      </c>
      <c r="F277" s="53">
        <f>tkr!$O$34</f>
        <v>95</v>
      </c>
      <c r="G277" s="53">
        <f>tkr!$U$34</f>
        <v>75</v>
      </c>
      <c r="H277" s="65"/>
      <c r="I277" s="65"/>
      <c r="J277" s="59"/>
      <c r="K277" s="59"/>
      <c r="L277" s="53">
        <f>tkr!$AK$34</f>
        <v>84</v>
      </c>
      <c r="M277" s="53">
        <f>tkr!$AQ$34</f>
        <v>82</v>
      </c>
      <c r="N277" s="53">
        <f>tkr!$AW$34</f>
        <v>78</v>
      </c>
      <c r="O277" s="59"/>
      <c r="P277" s="55"/>
      <c r="Q277" s="55"/>
      <c r="R277" s="54">
        <f>tkr!$BS$34</f>
        <v>83.666666666666671</v>
      </c>
      <c r="S277" s="54">
        <f>tkr!$BW$34</f>
        <v>84</v>
      </c>
      <c r="T277" s="54"/>
      <c r="U277" s="54">
        <f>tkr!$CB$34</f>
        <v>78</v>
      </c>
      <c r="V277" s="58"/>
      <c r="X277" s="278">
        <v>34</v>
      </c>
    </row>
    <row r="278" spans="1:24">
      <c r="A278" s="268">
        <v>30</v>
      </c>
      <c r="B278" s="271"/>
      <c r="C278" s="274"/>
      <c r="D278" s="66" t="s">
        <v>299</v>
      </c>
      <c r="E278" s="67">
        <f>AVERAGE(E273:E277)</f>
        <v>89</v>
      </c>
      <c r="F278" s="67">
        <f>AVERAGE(F273:F277)</f>
        <v>84.8</v>
      </c>
      <c r="G278" s="67">
        <f>AVERAGE(G273:G277)</f>
        <v>81.2</v>
      </c>
      <c r="H278" s="68"/>
      <c r="I278" s="68"/>
      <c r="J278" s="69"/>
      <c r="K278" s="69"/>
      <c r="L278" s="67">
        <f>AVERAGE(L273:L277)</f>
        <v>84</v>
      </c>
      <c r="M278" s="67">
        <f>AVERAGE(M273:M277)</f>
        <v>80.400000000000006</v>
      </c>
      <c r="N278" s="67">
        <f>AVERAGE(N273:N277)</f>
        <v>78.400000000000006</v>
      </c>
      <c r="O278" s="69"/>
      <c r="P278" s="63"/>
      <c r="Q278" s="63"/>
      <c r="R278" s="84">
        <f>AVERAGE(R275:R277)</f>
        <v>83.666666666666671</v>
      </c>
      <c r="S278" s="84">
        <f>AVERAGE(S275:S277)</f>
        <v>82.333333333333329</v>
      </c>
      <c r="T278" s="63"/>
      <c r="U278" s="84">
        <f>AVERAGE(U273:U277)</f>
        <v>80</v>
      </c>
      <c r="V278" s="58"/>
      <c r="X278" s="278">
        <v>34</v>
      </c>
    </row>
    <row r="279" spans="1:24">
      <c r="A279" s="268">
        <v>30</v>
      </c>
      <c r="B279" s="271"/>
      <c r="C279" s="274"/>
      <c r="D279" s="70" t="s">
        <v>300</v>
      </c>
      <c r="E279" s="71">
        <f>tkr!$J$34</f>
        <v>77</v>
      </c>
      <c r="F279" s="71">
        <f>tkr!$P$34</f>
        <v>78</v>
      </c>
      <c r="G279" s="71">
        <f>tkr!$V$34</f>
        <v>77</v>
      </c>
      <c r="H279" s="72"/>
      <c r="I279" s="72"/>
      <c r="J279" s="73"/>
      <c r="K279" s="73"/>
      <c r="L279" s="71">
        <f>tkr!$AL$34</f>
        <v>77</v>
      </c>
      <c r="M279" s="71">
        <f>tkr!$AR$34</f>
        <v>74</v>
      </c>
      <c r="N279" s="71">
        <f>tkr!$AX$34</f>
        <v>74</v>
      </c>
      <c r="O279" s="73"/>
      <c r="P279" s="74"/>
      <c r="Q279" s="74"/>
      <c r="R279" s="85">
        <f>tkr!$BT$34</f>
        <v>77</v>
      </c>
      <c r="S279" s="85">
        <f>tkr!$BX$34</f>
        <v>77</v>
      </c>
      <c r="T279" s="85">
        <f>tkr!$BY$34</f>
        <v>77</v>
      </c>
      <c r="U279" s="75">
        <f>tkr!$CC$34</f>
        <v>74</v>
      </c>
      <c r="V279" s="58"/>
      <c r="X279" s="278">
        <v>34</v>
      </c>
    </row>
    <row r="280" spans="1:24">
      <c r="A280" s="268">
        <v>30</v>
      </c>
      <c r="B280" s="271"/>
      <c r="C280" s="274"/>
      <c r="D280" s="76" t="s">
        <v>301</v>
      </c>
      <c r="E280" s="77">
        <f>tkr!$CD$34</f>
        <v>88</v>
      </c>
      <c r="F280" s="77">
        <f>tkr!$CE$34</f>
        <v>88</v>
      </c>
      <c r="G280" s="77">
        <f>tkr!$CF$34</f>
        <v>80</v>
      </c>
      <c r="H280" s="72"/>
      <c r="I280" s="72"/>
      <c r="J280" s="73"/>
      <c r="K280" s="73"/>
      <c r="L280" s="77">
        <f>tkr!$CG$34</f>
        <v>70</v>
      </c>
      <c r="M280" s="77">
        <f>tkr!$CH$34</f>
        <v>82</v>
      </c>
      <c r="N280" s="77">
        <f>tkr!$CI$34</f>
        <v>84</v>
      </c>
      <c r="O280" s="73"/>
      <c r="P280" s="74"/>
      <c r="Q280" s="74"/>
      <c r="R280" s="86">
        <f>tkr!$CL$34</f>
        <v>75</v>
      </c>
      <c r="S280" s="86">
        <f>tkr!$CK$34</f>
        <v>85</v>
      </c>
      <c r="T280" s="74"/>
      <c r="U280" s="86">
        <f>tkr!$CJ$34</f>
        <v>81</v>
      </c>
      <c r="V280" s="58"/>
      <c r="X280" s="278">
        <v>34</v>
      </c>
    </row>
    <row r="281" spans="1:24" ht="15" thickBot="1">
      <c r="A281" s="269">
        <v>30</v>
      </c>
      <c r="B281" s="272"/>
      <c r="C281" s="275"/>
      <c r="D281" s="78" t="s">
        <v>302</v>
      </c>
      <c r="E281" s="79">
        <f>(E278*4+E279*3+E280*3)/10</f>
        <v>85.1</v>
      </c>
      <c r="F281" s="79">
        <f t="shared" ref="F281:G281" si="57">(F278*4+F279*3+F280*3)/10</f>
        <v>83.72</v>
      </c>
      <c r="G281" s="79">
        <f t="shared" si="57"/>
        <v>79.58</v>
      </c>
      <c r="H281" s="79">
        <f>AVERAGE(H273:H276)</f>
        <v>84.25</v>
      </c>
      <c r="I281" s="79">
        <f>AVERAGE(I273:I276)</f>
        <v>81.25</v>
      </c>
      <c r="J281" s="79">
        <f>AVERAGE(J273:J274)</f>
        <v>87.5</v>
      </c>
      <c r="K281" s="79">
        <f>AVERAGE(K273:K276)</f>
        <v>75.25</v>
      </c>
      <c r="L281" s="79">
        <f>(L278*4+L279*3+L280*3)/10</f>
        <v>77.7</v>
      </c>
      <c r="M281" s="79">
        <f>(M278*4+M279*3+M280*3)/10</f>
        <v>78.960000000000008</v>
      </c>
      <c r="N281" s="79">
        <f>(N278*4+N279*3+N280*3)/10</f>
        <v>78.760000000000005</v>
      </c>
      <c r="O281" s="79">
        <f>AVERAGE(O273:O274)</f>
        <v>77</v>
      </c>
      <c r="P281" s="79">
        <f>AVERAGE(P273:P274)</f>
        <v>83.5</v>
      </c>
      <c r="Q281" s="79">
        <f>AVERAGE(Q273:Q274)</f>
        <v>81</v>
      </c>
      <c r="R281" s="79">
        <f>(R278*4+R279*3+R280*3)/10</f>
        <v>79.066666666666677</v>
      </c>
      <c r="S281" s="79">
        <f>(S278*4+S279*3+S280*3)/10</f>
        <v>81.533333333333331</v>
      </c>
      <c r="T281" s="79">
        <f>T279</f>
        <v>77</v>
      </c>
      <c r="U281" s="79">
        <f t="shared" ref="U281" si="58">(U278*4+U279*3+U280*3)/10</f>
        <v>78.5</v>
      </c>
      <c r="V281" s="80">
        <f>AVERAGE(E281:U281)</f>
        <v>80.568823529411773</v>
      </c>
      <c r="X281" s="278">
        <v>34</v>
      </c>
    </row>
    <row r="282" spans="1:24" ht="18" customHeight="1" thickTop="1" thickBot="1">
      <c r="A282" s="268">
        <v>31</v>
      </c>
      <c r="B282" s="270" t="s">
        <v>532</v>
      </c>
      <c r="C282" s="273" t="s">
        <v>533</v>
      </c>
      <c r="D282" s="52" t="s">
        <v>294</v>
      </c>
      <c r="E282" s="53">
        <f>tkr!$E$35</f>
        <v>90</v>
      </c>
      <c r="F282" s="53">
        <f>tkr!$K$35</f>
        <v>80</v>
      </c>
      <c r="G282" s="53">
        <f>tkr!$Q$35</f>
        <v>85</v>
      </c>
      <c r="H282" s="53">
        <f>tkr!$W$35</f>
        <v>82</v>
      </c>
      <c r="I282" s="53">
        <f>tkr!$AA$35</f>
        <v>78</v>
      </c>
      <c r="J282" s="53">
        <f>tkr!$AE$35</f>
        <v>93</v>
      </c>
      <c r="K282" s="54">
        <f>tkr!$AG$35</f>
        <v>79</v>
      </c>
      <c r="L282" s="55"/>
      <c r="M282" s="53">
        <f>tkr!$AM$35</f>
        <v>76</v>
      </c>
      <c r="N282" s="53">
        <f>tkr!$AS$35</f>
        <v>75</v>
      </c>
      <c r="O282" s="53">
        <f>tkr!$AY$35</f>
        <v>76</v>
      </c>
      <c r="P282" s="54">
        <f>tkr!$BA$35</f>
        <v>78</v>
      </c>
      <c r="Q282" s="54">
        <f>tkr!$BC$35</f>
        <v>80</v>
      </c>
      <c r="R282" s="55"/>
      <c r="S282" s="55"/>
      <c r="T282" s="55"/>
      <c r="U282" s="55"/>
      <c r="V282" s="56"/>
      <c r="X282" s="278">
        <v>35</v>
      </c>
    </row>
    <row r="283" spans="1:24" ht="15" thickBot="1">
      <c r="A283" s="268">
        <v>31</v>
      </c>
      <c r="B283" s="271"/>
      <c r="C283" s="274"/>
      <c r="D283" s="52" t="s">
        <v>295</v>
      </c>
      <c r="E283" s="53">
        <f>tkr!$F$35</f>
        <v>92</v>
      </c>
      <c r="F283" s="53">
        <f>tkr!$L$35</f>
        <v>79</v>
      </c>
      <c r="G283" s="53">
        <f>tkr!$R$35</f>
        <v>85</v>
      </c>
      <c r="H283" s="53">
        <f>tkr!$X$35</f>
        <v>84</v>
      </c>
      <c r="I283" s="53">
        <f>tkr!$AB$35</f>
        <v>80</v>
      </c>
      <c r="J283" s="53">
        <f>tkr!$AF$35</f>
        <v>85</v>
      </c>
      <c r="K283" s="54">
        <f>tkr!$AH$35</f>
        <v>75</v>
      </c>
      <c r="L283" s="55"/>
      <c r="M283" s="53">
        <f>tkr!$AN$35</f>
        <v>76</v>
      </c>
      <c r="N283" s="53">
        <f>tkr!$AT$35</f>
        <v>78</v>
      </c>
      <c r="O283" s="53">
        <f>tkr!$AZ$35</f>
        <v>79</v>
      </c>
      <c r="P283" s="54">
        <f>tkr!$BB$35</f>
        <v>84</v>
      </c>
      <c r="Q283" s="54">
        <f>tkr!$BD$35</f>
        <v>81</v>
      </c>
      <c r="R283" s="55"/>
      <c r="S283" s="55"/>
      <c r="T283" s="55"/>
      <c r="U283" s="55"/>
      <c r="V283" s="58"/>
      <c r="X283" s="278">
        <v>35</v>
      </c>
    </row>
    <row r="284" spans="1:24" ht="15" thickBot="1">
      <c r="A284" s="268">
        <v>31</v>
      </c>
      <c r="B284" s="271"/>
      <c r="C284" s="274"/>
      <c r="D284" s="52" t="s">
        <v>296</v>
      </c>
      <c r="E284" s="53">
        <f>tkr!$G$35</f>
        <v>91</v>
      </c>
      <c r="F284" s="53">
        <f>tkr!$M$35</f>
        <v>83</v>
      </c>
      <c r="G284" s="53">
        <f>tkr!$S$35</f>
        <v>80</v>
      </c>
      <c r="H284" s="53">
        <f>tkr!$Y$35</f>
        <v>83</v>
      </c>
      <c r="I284" s="53">
        <f>tkr!$AC$35</f>
        <v>82</v>
      </c>
      <c r="J284" s="59"/>
      <c r="K284" s="54">
        <f>tkr!$AI$35</f>
        <v>70</v>
      </c>
      <c r="L284" s="55"/>
      <c r="M284" s="53">
        <f>tkr!$AO$35</f>
        <v>77</v>
      </c>
      <c r="N284" s="53">
        <f>tkr!$AU$35</f>
        <v>80</v>
      </c>
      <c r="O284" s="59"/>
      <c r="P284" s="55"/>
      <c r="Q284" s="55"/>
      <c r="R284" s="54">
        <f>tkr!$BQ$35</f>
        <v>84</v>
      </c>
      <c r="S284" s="54">
        <f>tkr!$BU$35</f>
        <v>77</v>
      </c>
      <c r="T284" s="55"/>
      <c r="U284" s="54">
        <f>tkr!$BZ$35</f>
        <v>76</v>
      </c>
      <c r="V284" s="58"/>
      <c r="X284" s="278">
        <v>35</v>
      </c>
    </row>
    <row r="285" spans="1:24" ht="15" thickBot="1">
      <c r="A285" s="268">
        <v>31</v>
      </c>
      <c r="B285" s="271"/>
      <c r="C285" s="274"/>
      <c r="D285" s="62" t="s">
        <v>297</v>
      </c>
      <c r="E285" s="53">
        <f>tkr!$H$35</f>
        <v>87</v>
      </c>
      <c r="F285" s="53">
        <f>tkr!$N$35</f>
        <v>90</v>
      </c>
      <c r="G285" s="53">
        <f>tkr!$T$35</f>
        <v>83</v>
      </c>
      <c r="H285" s="53">
        <f>tkr!$Z$35</f>
        <v>86</v>
      </c>
      <c r="I285" s="53">
        <f>tkr!$AD$35</f>
        <v>84</v>
      </c>
      <c r="J285" s="59"/>
      <c r="K285" s="54">
        <f>tkr!$AJ$35</f>
        <v>81</v>
      </c>
      <c r="L285" s="55"/>
      <c r="M285" s="53">
        <f>tkr!$AP$35</f>
        <v>82</v>
      </c>
      <c r="N285" s="53">
        <f>tkr!$AV$35</f>
        <v>81</v>
      </c>
      <c r="O285" s="59"/>
      <c r="P285" s="55"/>
      <c r="Q285" s="55"/>
      <c r="R285" s="54">
        <f>tkr!$BR$35</f>
        <v>83.333333333333329</v>
      </c>
      <c r="S285" s="54">
        <f>tkr!$BV$35</f>
        <v>82</v>
      </c>
      <c r="T285" s="63"/>
      <c r="U285" s="54">
        <f>tkr!$CA$35</f>
        <v>88</v>
      </c>
      <c r="V285" s="58"/>
      <c r="X285" s="278">
        <v>35</v>
      </c>
    </row>
    <row r="286" spans="1:24">
      <c r="A286" s="268">
        <v>31</v>
      </c>
      <c r="B286" s="271"/>
      <c r="C286" s="274"/>
      <c r="D286" s="62" t="s">
        <v>298</v>
      </c>
      <c r="E286" s="53">
        <f>tkr!$I$35</f>
        <v>93</v>
      </c>
      <c r="F286" s="53">
        <f>tkr!$O$35</f>
        <v>93</v>
      </c>
      <c r="G286" s="53">
        <f>tkr!$U$35</f>
        <v>87</v>
      </c>
      <c r="H286" s="65"/>
      <c r="I286" s="65"/>
      <c r="J286" s="59"/>
      <c r="K286" s="59"/>
      <c r="L286" s="53">
        <f>tkr!$AK$35</f>
        <v>80</v>
      </c>
      <c r="M286" s="53">
        <f>tkr!$AQ$35</f>
        <v>80</v>
      </c>
      <c r="N286" s="53">
        <f>tkr!$AW$35</f>
        <v>78</v>
      </c>
      <c r="O286" s="59"/>
      <c r="P286" s="55"/>
      <c r="Q286" s="55"/>
      <c r="R286" s="54">
        <f>tkr!$BS$35</f>
        <v>83.666666666666671</v>
      </c>
      <c r="S286" s="54">
        <f>tkr!$BW$35</f>
        <v>80</v>
      </c>
      <c r="T286" s="54"/>
      <c r="U286" s="54">
        <f>tkr!$CB$35</f>
        <v>75</v>
      </c>
      <c r="V286" s="58"/>
      <c r="X286" s="278">
        <v>35</v>
      </c>
    </row>
    <row r="287" spans="1:24">
      <c r="A287" s="268">
        <v>31</v>
      </c>
      <c r="B287" s="271"/>
      <c r="C287" s="274"/>
      <c r="D287" s="66" t="s">
        <v>299</v>
      </c>
      <c r="E287" s="67">
        <f>AVERAGE(E282:E286)</f>
        <v>90.6</v>
      </c>
      <c r="F287" s="67">
        <f>AVERAGE(F282:F286)</f>
        <v>85</v>
      </c>
      <c r="G287" s="67">
        <f>AVERAGE(G282:G286)</f>
        <v>84</v>
      </c>
      <c r="H287" s="68"/>
      <c r="I287" s="68"/>
      <c r="J287" s="69"/>
      <c r="K287" s="69"/>
      <c r="L287" s="67">
        <f>AVERAGE(L282:L286)</f>
        <v>80</v>
      </c>
      <c r="M287" s="67">
        <f>AVERAGE(M282:M286)</f>
        <v>78.2</v>
      </c>
      <c r="N287" s="67">
        <f>AVERAGE(N282:N286)</f>
        <v>78.400000000000006</v>
      </c>
      <c r="O287" s="69"/>
      <c r="P287" s="63"/>
      <c r="Q287" s="63"/>
      <c r="R287" s="84">
        <f>AVERAGE(R284:R286)</f>
        <v>83.666666666666671</v>
      </c>
      <c r="S287" s="84">
        <f>AVERAGE(S284:S286)</f>
        <v>79.666666666666671</v>
      </c>
      <c r="T287" s="63"/>
      <c r="U287" s="84">
        <f>AVERAGE(U282:U286)</f>
        <v>79.666666666666671</v>
      </c>
      <c r="V287" s="58"/>
      <c r="X287" s="278">
        <v>35</v>
      </c>
    </row>
    <row r="288" spans="1:24">
      <c r="A288" s="268">
        <v>31</v>
      </c>
      <c r="B288" s="271"/>
      <c r="C288" s="274"/>
      <c r="D288" s="70" t="s">
        <v>300</v>
      </c>
      <c r="E288" s="71">
        <f>tkr!$J$35</f>
        <v>89</v>
      </c>
      <c r="F288" s="71">
        <f>tkr!$P$35</f>
        <v>87</v>
      </c>
      <c r="G288" s="71">
        <f>tkr!$V$35</f>
        <v>84</v>
      </c>
      <c r="H288" s="72"/>
      <c r="I288" s="72"/>
      <c r="J288" s="73"/>
      <c r="K288" s="73"/>
      <c r="L288" s="71">
        <f>tkr!$AL$35</f>
        <v>84</v>
      </c>
      <c r="M288" s="71">
        <f>tkr!$AR$35</f>
        <v>74</v>
      </c>
      <c r="N288" s="71">
        <f>tkr!$AX$35</f>
        <v>74</v>
      </c>
      <c r="O288" s="73"/>
      <c r="P288" s="74"/>
      <c r="Q288" s="74"/>
      <c r="R288" s="85">
        <f>tkr!$BT$35</f>
        <v>82</v>
      </c>
      <c r="S288" s="85">
        <f>tkr!$BX$35</f>
        <v>82</v>
      </c>
      <c r="T288" s="85">
        <f>tkr!$BY$35</f>
        <v>83</v>
      </c>
      <c r="U288" s="75">
        <f>tkr!$CC$35</f>
        <v>74</v>
      </c>
      <c r="V288" s="58"/>
      <c r="X288" s="278">
        <v>35</v>
      </c>
    </row>
    <row r="289" spans="1:24">
      <c r="A289" s="268">
        <v>31</v>
      </c>
      <c r="B289" s="271"/>
      <c r="C289" s="274"/>
      <c r="D289" s="76" t="s">
        <v>301</v>
      </c>
      <c r="E289" s="77">
        <f>tkr!$CD$35</f>
        <v>90</v>
      </c>
      <c r="F289" s="77">
        <f>tkr!$CE$35</f>
        <v>88</v>
      </c>
      <c r="G289" s="77">
        <f>tkr!$CF$35</f>
        <v>80</v>
      </c>
      <c r="H289" s="72"/>
      <c r="I289" s="72"/>
      <c r="J289" s="73"/>
      <c r="K289" s="73"/>
      <c r="L289" s="77">
        <f>tkr!$CG$35</f>
        <v>90</v>
      </c>
      <c r="M289" s="77">
        <f>tkr!$CH$35</f>
        <v>80</v>
      </c>
      <c r="N289" s="77">
        <f>tkr!$CI$35</f>
        <v>83</v>
      </c>
      <c r="O289" s="73"/>
      <c r="P289" s="74"/>
      <c r="Q289" s="74"/>
      <c r="R289" s="86">
        <f>tkr!$CL$35</f>
        <v>92</v>
      </c>
      <c r="S289" s="86">
        <f>tkr!$CK$35</f>
        <v>83</v>
      </c>
      <c r="T289" s="74"/>
      <c r="U289" s="86">
        <f>tkr!$CJ$35</f>
        <v>78</v>
      </c>
      <c r="V289" s="58"/>
      <c r="X289" s="278">
        <v>35</v>
      </c>
    </row>
    <row r="290" spans="1:24" ht="15" thickBot="1">
      <c r="A290" s="269">
        <v>31</v>
      </c>
      <c r="B290" s="272"/>
      <c r="C290" s="275"/>
      <c r="D290" s="78" t="s">
        <v>302</v>
      </c>
      <c r="E290" s="79">
        <f>(E287*4+E288*3+E289*3)/10</f>
        <v>89.94</v>
      </c>
      <c r="F290" s="79">
        <f t="shared" ref="F290:G290" si="59">(F287*4+F288*3+F289*3)/10</f>
        <v>86.5</v>
      </c>
      <c r="G290" s="79">
        <f t="shared" si="59"/>
        <v>82.8</v>
      </c>
      <c r="H290" s="79">
        <f>AVERAGE(H282:H285)</f>
        <v>83.75</v>
      </c>
      <c r="I290" s="79">
        <f>AVERAGE(I282:I285)</f>
        <v>81</v>
      </c>
      <c r="J290" s="79">
        <f>AVERAGE(J282:J283)</f>
        <v>89</v>
      </c>
      <c r="K290" s="79">
        <f>AVERAGE(K282:K285)</f>
        <v>76.25</v>
      </c>
      <c r="L290" s="79">
        <f>(L287*4+L288*3+L289*3)/10</f>
        <v>84.2</v>
      </c>
      <c r="M290" s="79">
        <f>(M287*4+M288*3+M289*3)/10</f>
        <v>77.47999999999999</v>
      </c>
      <c r="N290" s="79">
        <f>(N287*4+N288*3+N289*3)/10</f>
        <v>78.460000000000008</v>
      </c>
      <c r="O290" s="79">
        <f>AVERAGE(O282:O283)</f>
        <v>77.5</v>
      </c>
      <c r="P290" s="79">
        <f>AVERAGE(P282:P283)</f>
        <v>81</v>
      </c>
      <c r="Q290" s="79">
        <f>AVERAGE(Q282:Q283)</f>
        <v>80.5</v>
      </c>
      <c r="R290" s="79">
        <f>(R287*4+R288*3+R289*3)/10</f>
        <v>85.666666666666671</v>
      </c>
      <c r="S290" s="79">
        <f>(S287*4+S288*3+S289*3)/10</f>
        <v>81.366666666666674</v>
      </c>
      <c r="T290" s="79">
        <f>T288</f>
        <v>83</v>
      </c>
      <c r="U290" s="79">
        <f t="shared" ref="U290" si="60">(U287*4+U288*3+U289*3)/10</f>
        <v>77.466666666666669</v>
      </c>
      <c r="V290" s="80">
        <f>AVERAGE(E290:U290)</f>
        <v>82.110588235294131</v>
      </c>
      <c r="X290" s="278">
        <v>35</v>
      </c>
    </row>
    <row r="291" spans="1:24" ht="15.6" thickTop="1" thickBot="1">
      <c r="A291" s="268">
        <v>32</v>
      </c>
      <c r="B291" s="270" t="s">
        <v>534</v>
      </c>
      <c r="C291" s="273" t="s">
        <v>535</v>
      </c>
      <c r="D291" s="52" t="s">
        <v>294</v>
      </c>
      <c r="E291" s="53">
        <f>tkr!$E$36</f>
        <v>83</v>
      </c>
      <c r="F291" s="53">
        <f>tkr!$K$36</f>
        <v>80</v>
      </c>
      <c r="G291" s="53">
        <f>tkr!$Q$36</f>
        <v>84</v>
      </c>
      <c r="H291" s="53">
        <f>tkr!$W$36</f>
        <v>83</v>
      </c>
      <c r="I291" s="53">
        <f>tkr!$AA$36</f>
        <v>74</v>
      </c>
      <c r="J291" s="53">
        <f>tkr!$AE$36</f>
        <v>92</v>
      </c>
      <c r="K291" s="54">
        <f>tkr!$AG$36</f>
        <v>76</v>
      </c>
      <c r="L291" s="55"/>
      <c r="M291" s="53">
        <f>tkr!$AM$36</f>
        <v>75</v>
      </c>
      <c r="N291" s="53">
        <f>tkr!$AS$36</f>
        <v>72</v>
      </c>
      <c r="O291" s="53">
        <f>tkr!$AY$36</f>
        <v>77</v>
      </c>
      <c r="P291" s="54">
        <f>tkr!$BA$36</f>
        <v>77</v>
      </c>
      <c r="Q291" s="54">
        <f>tkr!$BC$36</f>
        <v>80</v>
      </c>
      <c r="R291" s="55"/>
      <c r="S291" s="55"/>
      <c r="T291" s="55"/>
      <c r="U291" s="55"/>
      <c r="V291" s="56"/>
      <c r="X291" s="278">
        <v>36</v>
      </c>
    </row>
    <row r="292" spans="1:24" ht="15" thickBot="1">
      <c r="A292" s="268">
        <v>32</v>
      </c>
      <c r="B292" s="271"/>
      <c r="C292" s="274"/>
      <c r="D292" s="52" t="s">
        <v>295</v>
      </c>
      <c r="E292" s="53">
        <f>tkr!$F$36</f>
        <v>87</v>
      </c>
      <c r="F292" s="53">
        <f>tkr!$L$36</f>
        <v>77</v>
      </c>
      <c r="G292" s="53">
        <f>tkr!$R$36</f>
        <v>70</v>
      </c>
      <c r="H292" s="53">
        <f>tkr!$X$36</f>
        <v>85</v>
      </c>
      <c r="I292" s="53">
        <f>tkr!$AB$36</f>
        <v>80</v>
      </c>
      <c r="J292" s="53">
        <f>tkr!$AF$36</f>
        <v>82</v>
      </c>
      <c r="K292" s="54">
        <f>tkr!$AH$36</f>
        <v>75</v>
      </c>
      <c r="L292" s="55"/>
      <c r="M292" s="53">
        <f>tkr!$AN$36</f>
        <v>74</v>
      </c>
      <c r="N292" s="53">
        <f>tkr!$AT$36</f>
        <v>78</v>
      </c>
      <c r="O292" s="53">
        <f>tkr!$AZ$36</f>
        <v>81</v>
      </c>
      <c r="P292" s="54">
        <f>tkr!$BB$36</f>
        <v>85</v>
      </c>
      <c r="Q292" s="54">
        <f>tkr!$BD$36</f>
        <v>82</v>
      </c>
      <c r="R292" s="55"/>
      <c r="S292" s="55"/>
      <c r="T292" s="55"/>
      <c r="U292" s="55"/>
      <c r="V292" s="58"/>
      <c r="X292" s="278">
        <v>36</v>
      </c>
    </row>
    <row r="293" spans="1:24" ht="15" thickBot="1">
      <c r="A293" s="268">
        <v>32</v>
      </c>
      <c r="B293" s="271"/>
      <c r="C293" s="274"/>
      <c r="D293" s="52" t="s">
        <v>296</v>
      </c>
      <c r="E293" s="53">
        <f>tkr!$G$36</f>
        <v>90</v>
      </c>
      <c r="F293" s="53">
        <f>tkr!$M$36</f>
        <v>90</v>
      </c>
      <c r="G293" s="53">
        <f>tkr!$S$36</f>
        <v>79</v>
      </c>
      <c r="H293" s="53">
        <f>tkr!$Y$36</f>
        <v>84</v>
      </c>
      <c r="I293" s="53">
        <f>tkr!$AC$36</f>
        <v>85</v>
      </c>
      <c r="J293" s="59"/>
      <c r="K293" s="54">
        <f>tkr!$AI$36</f>
        <v>74</v>
      </c>
      <c r="L293" s="55"/>
      <c r="M293" s="53">
        <f>tkr!$AO$36</f>
        <v>80</v>
      </c>
      <c r="N293" s="53">
        <f>tkr!$AU$36</f>
        <v>78</v>
      </c>
      <c r="O293" s="59"/>
      <c r="P293" s="55"/>
      <c r="Q293" s="55"/>
      <c r="R293" s="54">
        <f>tkr!$BQ$36</f>
        <v>84</v>
      </c>
      <c r="S293" s="54">
        <f>tkr!$BU$36</f>
        <v>80</v>
      </c>
      <c r="T293" s="55"/>
      <c r="U293" s="54">
        <f>tkr!$BZ$36</f>
        <v>71</v>
      </c>
      <c r="V293" s="58"/>
      <c r="X293" s="278">
        <v>36</v>
      </c>
    </row>
    <row r="294" spans="1:24" ht="15" thickBot="1">
      <c r="A294" s="268">
        <v>32</v>
      </c>
      <c r="B294" s="271"/>
      <c r="C294" s="274"/>
      <c r="D294" s="62" t="s">
        <v>297</v>
      </c>
      <c r="E294" s="53">
        <f>tkr!$H$36</f>
        <v>84</v>
      </c>
      <c r="F294" s="53">
        <f>tkr!$N$36</f>
        <v>90</v>
      </c>
      <c r="G294" s="53">
        <f>tkr!$T$36</f>
        <v>80</v>
      </c>
      <c r="H294" s="53">
        <f>tkr!$Z$36</f>
        <v>86</v>
      </c>
      <c r="I294" s="53">
        <f>tkr!$AD$36</f>
        <v>87</v>
      </c>
      <c r="J294" s="59"/>
      <c r="K294" s="54">
        <f>tkr!$AJ$36</f>
        <v>80</v>
      </c>
      <c r="L294" s="55"/>
      <c r="M294" s="53">
        <f>tkr!$AP$36</f>
        <v>83</v>
      </c>
      <c r="N294" s="53">
        <f>tkr!$AV$36</f>
        <v>83</v>
      </c>
      <c r="O294" s="59"/>
      <c r="P294" s="55"/>
      <c r="Q294" s="55"/>
      <c r="R294" s="54">
        <f>tkr!$BR$36</f>
        <v>83.333333333333329</v>
      </c>
      <c r="S294" s="54">
        <f>tkr!$BV$36</f>
        <v>82</v>
      </c>
      <c r="T294" s="63"/>
      <c r="U294" s="54">
        <f>tkr!$CA$36</f>
        <v>83</v>
      </c>
      <c r="V294" s="58"/>
      <c r="X294" s="278">
        <v>36</v>
      </c>
    </row>
    <row r="295" spans="1:24">
      <c r="A295" s="268">
        <v>32</v>
      </c>
      <c r="B295" s="271"/>
      <c r="C295" s="274"/>
      <c r="D295" s="62" t="s">
        <v>298</v>
      </c>
      <c r="E295" s="53">
        <f>tkr!$I$36</f>
        <v>86</v>
      </c>
      <c r="F295" s="53">
        <f>tkr!$O$36</f>
        <v>95</v>
      </c>
      <c r="G295" s="53">
        <f>tkr!$U$36</f>
        <v>75</v>
      </c>
      <c r="H295" s="65"/>
      <c r="I295" s="65"/>
      <c r="J295" s="59"/>
      <c r="K295" s="59"/>
      <c r="L295" s="53">
        <f>tkr!$AK$36</f>
        <v>84</v>
      </c>
      <c r="M295" s="53">
        <f>tkr!$AQ$36</f>
        <v>82</v>
      </c>
      <c r="N295" s="53">
        <f>tkr!$AW$36</f>
        <v>83</v>
      </c>
      <c r="O295" s="59"/>
      <c r="P295" s="55"/>
      <c r="Q295" s="55"/>
      <c r="R295" s="54">
        <f>tkr!$BS$36</f>
        <v>83.666666666666671</v>
      </c>
      <c r="S295" s="54">
        <f>tkr!$BW$36</f>
        <v>84</v>
      </c>
      <c r="T295" s="54"/>
      <c r="U295" s="54">
        <f>tkr!$CB$36</f>
        <v>73</v>
      </c>
      <c r="V295" s="58"/>
      <c r="X295" s="278">
        <v>36</v>
      </c>
    </row>
    <row r="296" spans="1:24">
      <c r="A296" s="268">
        <v>32</v>
      </c>
      <c r="B296" s="271"/>
      <c r="C296" s="274"/>
      <c r="D296" s="66" t="s">
        <v>299</v>
      </c>
      <c r="E296" s="67">
        <f>AVERAGE(E291:E295)</f>
        <v>86</v>
      </c>
      <c r="F296" s="67">
        <f>AVERAGE(F291:F295)</f>
        <v>86.4</v>
      </c>
      <c r="G296" s="67">
        <f>AVERAGE(G291:G295)</f>
        <v>77.599999999999994</v>
      </c>
      <c r="H296" s="68"/>
      <c r="I296" s="68"/>
      <c r="J296" s="69"/>
      <c r="K296" s="69"/>
      <c r="L296" s="67">
        <f>AVERAGE(L291:L295)</f>
        <v>84</v>
      </c>
      <c r="M296" s="67">
        <f>AVERAGE(M291:M295)</f>
        <v>78.8</v>
      </c>
      <c r="N296" s="67">
        <f>AVERAGE(N291:N295)</f>
        <v>78.8</v>
      </c>
      <c r="O296" s="69"/>
      <c r="P296" s="63"/>
      <c r="Q296" s="63"/>
      <c r="R296" s="84">
        <f>AVERAGE(R293:R295)</f>
        <v>83.666666666666671</v>
      </c>
      <c r="S296" s="84">
        <f>AVERAGE(S293:S295)</f>
        <v>82</v>
      </c>
      <c r="T296" s="63"/>
      <c r="U296" s="84">
        <f>AVERAGE(U291:U295)</f>
        <v>75.666666666666671</v>
      </c>
      <c r="V296" s="58"/>
      <c r="X296" s="278">
        <v>36</v>
      </c>
    </row>
    <row r="297" spans="1:24">
      <c r="A297" s="268">
        <v>32</v>
      </c>
      <c r="B297" s="271"/>
      <c r="C297" s="274"/>
      <c r="D297" s="70" t="s">
        <v>300</v>
      </c>
      <c r="E297" s="71">
        <f>tkr!$J$36</f>
        <v>80</v>
      </c>
      <c r="F297" s="71">
        <f>tkr!$P$36</f>
        <v>80</v>
      </c>
      <c r="G297" s="71">
        <f>tkr!$V$36</f>
        <v>79</v>
      </c>
      <c r="H297" s="72"/>
      <c r="I297" s="72"/>
      <c r="J297" s="73"/>
      <c r="K297" s="73"/>
      <c r="L297" s="71">
        <f>tkr!$AL$36</f>
        <v>79</v>
      </c>
      <c r="M297" s="71">
        <f>tkr!$AR$36</f>
        <v>88</v>
      </c>
      <c r="N297" s="71">
        <f>tkr!$AX$36</f>
        <v>88</v>
      </c>
      <c r="O297" s="73"/>
      <c r="P297" s="74"/>
      <c r="Q297" s="74"/>
      <c r="R297" s="85">
        <f>tkr!$BT$36</f>
        <v>88</v>
      </c>
      <c r="S297" s="85">
        <f>tkr!$BX$36</f>
        <v>88</v>
      </c>
      <c r="T297" s="85">
        <f>tkr!$BY$36</f>
        <v>83</v>
      </c>
      <c r="U297" s="75">
        <f>tkr!$CC$36</f>
        <v>88</v>
      </c>
      <c r="V297" s="58"/>
      <c r="X297" s="278">
        <v>36</v>
      </c>
    </row>
    <row r="298" spans="1:24">
      <c r="A298" s="268">
        <v>32</v>
      </c>
      <c r="B298" s="271"/>
      <c r="C298" s="274"/>
      <c r="D298" s="76" t="s">
        <v>301</v>
      </c>
      <c r="E298" s="77">
        <f>tkr!$CD$36</f>
        <v>82</v>
      </c>
      <c r="F298" s="77">
        <f>tkr!$CE$36</f>
        <v>95</v>
      </c>
      <c r="G298" s="77">
        <f>tkr!$CF$36</f>
        <v>82</v>
      </c>
      <c r="H298" s="72"/>
      <c r="I298" s="72"/>
      <c r="J298" s="73"/>
      <c r="K298" s="73"/>
      <c r="L298" s="77">
        <f>tkr!$CG$36</f>
        <v>85</v>
      </c>
      <c r="M298" s="77">
        <f>tkr!$CH$36</f>
        <v>83</v>
      </c>
      <c r="N298" s="77">
        <f>tkr!$CI$36</f>
        <v>85</v>
      </c>
      <c r="O298" s="73"/>
      <c r="P298" s="74"/>
      <c r="Q298" s="74"/>
      <c r="R298" s="86">
        <f>tkr!$CL$36</f>
        <v>77</v>
      </c>
      <c r="S298" s="86">
        <f>tkr!$CK$36</f>
        <v>81</v>
      </c>
      <c r="T298" s="74"/>
      <c r="U298" s="86">
        <f>tkr!$CJ$36</f>
        <v>85</v>
      </c>
      <c r="V298" s="58"/>
      <c r="X298" s="278">
        <v>36</v>
      </c>
    </row>
    <row r="299" spans="1:24" ht="15" thickBot="1">
      <c r="A299" s="269">
        <v>32</v>
      </c>
      <c r="B299" s="272"/>
      <c r="C299" s="275"/>
      <c r="D299" s="78" t="s">
        <v>302</v>
      </c>
      <c r="E299" s="79">
        <f>(E296*4+E297*3+E298*3)/10</f>
        <v>83</v>
      </c>
      <c r="F299" s="79">
        <f t="shared" ref="F299:G299" si="61">(F296*4+F297*3+F298*3)/10</f>
        <v>87.06</v>
      </c>
      <c r="G299" s="79">
        <f t="shared" si="61"/>
        <v>79.34</v>
      </c>
      <c r="H299" s="79">
        <f>AVERAGE(H291:H294)</f>
        <v>84.5</v>
      </c>
      <c r="I299" s="79">
        <f>AVERAGE(I291:I294)</f>
        <v>81.5</v>
      </c>
      <c r="J299" s="79">
        <f>AVERAGE(J291:J292)</f>
        <v>87</v>
      </c>
      <c r="K299" s="79">
        <f>AVERAGE(K291:K294)</f>
        <v>76.25</v>
      </c>
      <c r="L299" s="79">
        <f>(L296*4+L297*3+L298*3)/10</f>
        <v>82.8</v>
      </c>
      <c r="M299" s="79">
        <f>(M296*4+M297*3+M298*3)/10</f>
        <v>82.820000000000007</v>
      </c>
      <c r="N299" s="79">
        <f>(N296*4+N297*3+N298*3)/10</f>
        <v>83.42</v>
      </c>
      <c r="O299" s="79">
        <f>AVERAGE(O291:O292)</f>
        <v>79</v>
      </c>
      <c r="P299" s="79">
        <f>AVERAGE(P291:P292)</f>
        <v>81</v>
      </c>
      <c r="Q299" s="79">
        <f>AVERAGE(Q291:Q292)</f>
        <v>81</v>
      </c>
      <c r="R299" s="79">
        <f>(R296*4+R297*3+R298*3)/10</f>
        <v>82.966666666666669</v>
      </c>
      <c r="S299" s="79">
        <f>(S296*4+S297*3+S298*3)/10</f>
        <v>83.5</v>
      </c>
      <c r="T299" s="79">
        <f>T297</f>
        <v>83</v>
      </c>
      <c r="U299" s="79">
        <f t="shared" ref="U299" si="62">(U296*4+U297*3+U298*3)/10</f>
        <v>82.166666666666671</v>
      </c>
      <c r="V299" s="80">
        <f>AVERAGE(E299:U299)</f>
        <v>82.371960784313728</v>
      </c>
      <c r="X299" s="278">
        <v>36</v>
      </c>
    </row>
    <row r="300" spans="1:24" ht="15.6" thickTop="1" thickBot="1">
      <c r="A300" s="268">
        <v>33</v>
      </c>
      <c r="B300" s="270" t="s">
        <v>536</v>
      </c>
      <c r="C300" s="273" t="s">
        <v>537</v>
      </c>
      <c r="D300" s="52" t="s">
        <v>294</v>
      </c>
      <c r="E300" s="53">
        <f>tkr!$E$37</f>
        <v>90</v>
      </c>
      <c r="F300" s="53">
        <f>tkr!$K$37</f>
        <v>80</v>
      </c>
      <c r="G300" s="53">
        <f>tkr!$Q$37</f>
        <v>82</v>
      </c>
      <c r="H300" s="53">
        <f>tkr!$W$37</f>
        <v>83</v>
      </c>
      <c r="I300" s="53">
        <f>tkr!$AA$37</f>
        <v>75</v>
      </c>
      <c r="J300" s="53">
        <f>tkr!$AE$37</f>
        <v>94</v>
      </c>
      <c r="K300" s="54">
        <f>tkr!$AG$37</f>
        <v>76</v>
      </c>
      <c r="L300" s="55"/>
      <c r="M300" s="53">
        <f>tkr!$AM$37</f>
        <v>75</v>
      </c>
      <c r="N300" s="53">
        <f>tkr!$AS$37</f>
        <v>72</v>
      </c>
      <c r="O300" s="53">
        <f>tkr!$AY$37</f>
        <v>75</v>
      </c>
      <c r="P300" s="54">
        <f>tkr!$BA$37</f>
        <v>76</v>
      </c>
      <c r="Q300" s="54">
        <f>tkr!$BC$37</f>
        <v>80</v>
      </c>
      <c r="R300" s="55"/>
      <c r="S300" s="55"/>
      <c r="T300" s="55"/>
      <c r="U300" s="55"/>
      <c r="V300" s="56"/>
      <c r="X300" s="278">
        <v>37</v>
      </c>
    </row>
    <row r="301" spans="1:24" ht="15" thickBot="1">
      <c r="A301" s="268">
        <v>33</v>
      </c>
      <c r="B301" s="271"/>
      <c r="C301" s="274"/>
      <c r="D301" s="52" t="s">
        <v>295</v>
      </c>
      <c r="E301" s="53">
        <f>tkr!$F$37</f>
        <v>90</v>
      </c>
      <c r="F301" s="53">
        <f>tkr!$L$37</f>
        <v>78</v>
      </c>
      <c r="G301" s="53">
        <f>tkr!$R$37</f>
        <v>70</v>
      </c>
      <c r="H301" s="53">
        <f>tkr!$X$37</f>
        <v>85</v>
      </c>
      <c r="I301" s="53">
        <f>tkr!$AB$37</f>
        <v>80</v>
      </c>
      <c r="J301" s="53">
        <f>tkr!$AF$37</f>
        <v>81</v>
      </c>
      <c r="K301" s="54">
        <f>tkr!$AH$37</f>
        <v>70</v>
      </c>
      <c r="L301" s="55"/>
      <c r="M301" s="53">
        <f>tkr!$AN$37</f>
        <v>76</v>
      </c>
      <c r="N301" s="53">
        <f>tkr!$AT$37</f>
        <v>78</v>
      </c>
      <c r="O301" s="53">
        <f>tkr!$AZ$37</f>
        <v>78</v>
      </c>
      <c r="P301" s="54">
        <f>tkr!$BB$37</f>
        <v>84</v>
      </c>
      <c r="Q301" s="54">
        <f>tkr!$BD$37</f>
        <v>81</v>
      </c>
      <c r="R301" s="55"/>
      <c r="S301" s="55"/>
      <c r="T301" s="55"/>
      <c r="U301" s="55"/>
      <c r="V301" s="58"/>
      <c r="X301" s="278">
        <v>37</v>
      </c>
    </row>
    <row r="302" spans="1:24" ht="15" thickBot="1">
      <c r="A302" s="268">
        <v>33</v>
      </c>
      <c r="B302" s="271"/>
      <c r="C302" s="274"/>
      <c r="D302" s="52" t="s">
        <v>296</v>
      </c>
      <c r="E302" s="53">
        <f>tkr!$G$37</f>
        <v>90</v>
      </c>
      <c r="F302" s="53">
        <f>tkr!$M$37</f>
        <v>77</v>
      </c>
      <c r="G302" s="53">
        <f>tkr!$S$37</f>
        <v>80</v>
      </c>
      <c r="H302" s="53">
        <f>tkr!$Y$37</f>
        <v>84</v>
      </c>
      <c r="I302" s="53">
        <f>tkr!$AC$37</f>
        <v>82</v>
      </c>
      <c r="J302" s="59"/>
      <c r="K302" s="54">
        <f>tkr!$AI$37</f>
        <v>70</v>
      </c>
      <c r="L302" s="55"/>
      <c r="M302" s="53">
        <f>tkr!$AO$37</f>
        <v>78</v>
      </c>
      <c r="N302" s="53">
        <f>tkr!$AU$37</f>
        <v>78</v>
      </c>
      <c r="O302" s="59"/>
      <c r="P302" s="55"/>
      <c r="Q302" s="55"/>
      <c r="R302" s="54">
        <f>tkr!$BQ$37</f>
        <v>84</v>
      </c>
      <c r="S302" s="54">
        <f>tkr!$BU$37</f>
        <v>77</v>
      </c>
      <c r="T302" s="55"/>
      <c r="U302" s="54">
        <f>tkr!$BZ$37</f>
        <v>71</v>
      </c>
      <c r="V302" s="58"/>
      <c r="X302" s="278">
        <v>37</v>
      </c>
    </row>
    <row r="303" spans="1:24" ht="15" thickBot="1">
      <c r="A303" s="268">
        <v>33</v>
      </c>
      <c r="B303" s="271"/>
      <c r="C303" s="274"/>
      <c r="D303" s="62" t="s">
        <v>297</v>
      </c>
      <c r="E303" s="53">
        <f>tkr!$H$37</f>
        <v>85</v>
      </c>
      <c r="F303" s="53">
        <f>tkr!$N$37</f>
        <v>90</v>
      </c>
      <c r="G303" s="53">
        <f>tkr!$T$37</f>
        <v>84</v>
      </c>
      <c r="H303" s="53">
        <f>tkr!$Z$37</f>
        <v>87</v>
      </c>
      <c r="I303" s="53">
        <f>tkr!$AD$37</f>
        <v>84</v>
      </c>
      <c r="J303" s="59"/>
      <c r="K303" s="54">
        <f>tkr!$AJ$37</f>
        <v>81</v>
      </c>
      <c r="L303" s="55"/>
      <c r="M303" s="53">
        <f>tkr!$AP$37</f>
        <v>82</v>
      </c>
      <c r="N303" s="53">
        <f>tkr!$AV$37</f>
        <v>80</v>
      </c>
      <c r="O303" s="59"/>
      <c r="P303" s="55"/>
      <c r="Q303" s="55"/>
      <c r="R303" s="54">
        <f>tkr!$BR$37</f>
        <v>83.333333333333329</v>
      </c>
      <c r="S303" s="54">
        <f>tkr!$BV$37</f>
        <v>82</v>
      </c>
      <c r="T303" s="63"/>
      <c r="U303" s="54">
        <f>tkr!$CA$37</f>
        <v>86</v>
      </c>
      <c r="V303" s="58"/>
      <c r="X303" s="278">
        <v>37</v>
      </c>
    </row>
    <row r="304" spans="1:24">
      <c r="A304" s="268">
        <v>33</v>
      </c>
      <c r="B304" s="271"/>
      <c r="C304" s="274"/>
      <c r="D304" s="62" t="s">
        <v>298</v>
      </c>
      <c r="E304" s="53">
        <f>tkr!$I$37</f>
        <v>85</v>
      </c>
      <c r="F304" s="53">
        <f>tkr!$O$37</f>
        <v>93</v>
      </c>
      <c r="G304" s="53">
        <f>tkr!$U$37</f>
        <v>84</v>
      </c>
      <c r="H304" s="65"/>
      <c r="I304" s="65"/>
      <c r="J304" s="59"/>
      <c r="K304" s="59"/>
      <c r="L304" s="53">
        <f>tkr!$AK$37</f>
        <v>85</v>
      </c>
      <c r="M304" s="53">
        <f>tkr!$AQ$37</f>
        <v>83</v>
      </c>
      <c r="N304" s="53">
        <f>tkr!$AW$37</f>
        <v>78</v>
      </c>
      <c r="O304" s="59"/>
      <c r="P304" s="55"/>
      <c r="Q304" s="55"/>
      <c r="R304" s="54">
        <f>tkr!$BS$37</f>
        <v>83.666666666666671</v>
      </c>
      <c r="S304" s="54">
        <f>tkr!$BW$37</f>
        <v>85</v>
      </c>
      <c r="T304" s="54"/>
      <c r="U304" s="54">
        <f>tkr!$CB$37</f>
        <v>76</v>
      </c>
      <c r="V304" s="58"/>
      <c r="X304" s="278">
        <v>37</v>
      </c>
    </row>
    <row r="305" spans="1:24">
      <c r="A305" s="268">
        <v>33</v>
      </c>
      <c r="B305" s="271"/>
      <c r="C305" s="274"/>
      <c r="D305" s="66" t="s">
        <v>299</v>
      </c>
      <c r="E305" s="67">
        <f>AVERAGE(E300:E304)</f>
        <v>88</v>
      </c>
      <c r="F305" s="67">
        <f>AVERAGE(F300:F304)</f>
        <v>83.6</v>
      </c>
      <c r="G305" s="67">
        <f>AVERAGE(G300:G304)</f>
        <v>80</v>
      </c>
      <c r="H305" s="68"/>
      <c r="I305" s="68"/>
      <c r="J305" s="69"/>
      <c r="K305" s="69"/>
      <c r="L305" s="67">
        <f>AVERAGE(L300:L304)</f>
        <v>85</v>
      </c>
      <c r="M305" s="67">
        <f>AVERAGE(M300:M304)</f>
        <v>78.8</v>
      </c>
      <c r="N305" s="67">
        <f>AVERAGE(N300:N304)</f>
        <v>77.2</v>
      </c>
      <c r="O305" s="69"/>
      <c r="P305" s="63"/>
      <c r="Q305" s="63"/>
      <c r="R305" s="84">
        <f>AVERAGE(R302:R304)</f>
        <v>83.666666666666671</v>
      </c>
      <c r="S305" s="84">
        <f>AVERAGE(S302:S304)</f>
        <v>81.333333333333329</v>
      </c>
      <c r="T305" s="63"/>
      <c r="U305" s="84">
        <f>AVERAGE(U300:U304)</f>
        <v>77.666666666666671</v>
      </c>
      <c r="V305" s="58"/>
      <c r="X305" s="278">
        <v>37</v>
      </c>
    </row>
    <row r="306" spans="1:24">
      <c r="A306" s="268">
        <v>33</v>
      </c>
      <c r="B306" s="271"/>
      <c r="C306" s="274"/>
      <c r="D306" s="70" t="s">
        <v>300</v>
      </c>
      <c r="E306" s="71">
        <f>tkr!$J$37</f>
        <v>79</v>
      </c>
      <c r="F306" s="71">
        <f>tkr!$P$37</f>
        <v>77</v>
      </c>
      <c r="G306" s="71">
        <f>tkr!$V$37</f>
        <v>78</v>
      </c>
      <c r="H306" s="72"/>
      <c r="I306" s="72"/>
      <c r="J306" s="73"/>
      <c r="K306" s="73"/>
      <c r="L306" s="71">
        <f>tkr!$AL$37</f>
        <v>78</v>
      </c>
      <c r="M306" s="71">
        <f>tkr!$AR$37</f>
        <v>78</v>
      </c>
      <c r="N306" s="71">
        <f>tkr!$AX$37</f>
        <v>78</v>
      </c>
      <c r="O306" s="73"/>
      <c r="P306" s="74"/>
      <c r="Q306" s="74"/>
      <c r="R306" s="85">
        <f>tkr!$BT$37</f>
        <v>80</v>
      </c>
      <c r="S306" s="85">
        <f>tkr!$BX$37</f>
        <v>80</v>
      </c>
      <c r="T306" s="85">
        <f>tkr!$BY$37</f>
        <v>78</v>
      </c>
      <c r="U306" s="75">
        <f>tkr!$CC$37</f>
        <v>78</v>
      </c>
      <c r="V306" s="58"/>
      <c r="X306" s="278">
        <v>37</v>
      </c>
    </row>
    <row r="307" spans="1:24">
      <c r="A307" s="268">
        <v>33</v>
      </c>
      <c r="B307" s="271"/>
      <c r="C307" s="274"/>
      <c r="D307" s="76" t="s">
        <v>301</v>
      </c>
      <c r="E307" s="77">
        <f>tkr!$CD$5</f>
        <v>90</v>
      </c>
      <c r="F307" s="77">
        <f>tkr!$CE$5</f>
        <v>95</v>
      </c>
      <c r="G307" s="77">
        <f>tkr!$CF$5</f>
        <v>88</v>
      </c>
      <c r="H307" s="72"/>
      <c r="I307" s="72"/>
      <c r="J307" s="73"/>
      <c r="K307" s="73"/>
      <c r="L307" s="77">
        <f>tkr!$CG$5</f>
        <v>97</v>
      </c>
      <c r="M307" s="77">
        <f>tkr!$CH$5</f>
        <v>81</v>
      </c>
      <c r="N307" s="77">
        <f>tkr!$CI$5</f>
        <v>88</v>
      </c>
      <c r="O307" s="73"/>
      <c r="P307" s="74"/>
      <c r="Q307" s="74"/>
      <c r="R307" s="86">
        <f>tkr!$CL$5</f>
        <v>75</v>
      </c>
      <c r="S307" s="86">
        <f>tkr!$CK$5</f>
        <v>85.9</v>
      </c>
      <c r="T307" s="74"/>
      <c r="U307" s="86">
        <f>tkr!$CJ$5</f>
        <v>87</v>
      </c>
      <c r="V307" s="58"/>
      <c r="X307" s="278">
        <v>37</v>
      </c>
    </row>
    <row r="308" spans="1:24" ht="15" thickBot="1">
      <c r="A308" s="269">
        <v>33</v>
      </c>
      <c r="B308" s="272"/>
      <c r="C308" s="275"/>
      <c r="D308" s="78" t="s">
        <v>302</v>
      </c>
      <c r="E308" s="79">
        <f>(E305*4+E306*3+E307*3)/10</f>
        <v>85.9</v>
      </c>
      <c r="F308" s="79">
        <f t="shared" ref="F308:G308" si="63">(F305*4+F306*3+F307*3)/10</f>
        <v>85.039999999999992</v>
      </c>
      <c r="G308" s="79">
        <f t="shared" si="63"/>
        <v>81.8</v>
      </c>
      <c r="H308" s="79">
        <f>AVERAGE(H300:H303)</f>
        <v>84.75</v>
      </c>
      <c r="I308" s="79">
        <f>AVERAGE(I300:I303)</f>
        <v>80.25</v>
      </c>
      <c r="J308" s="79">
        <f>AVERAGE(J300:J301)</f>
        <v>87.5</v>
      </c>
      <c r="K308" s="79">
        <f>AVERAGE(K300:K303)</f>
        <v>74.25</v>
      </c>
      <c r="L308" s="79">
        <f>(L305*4+L306*3+L307*3)/10</f>
        <v>86.5</v>
      </c>
      <c r="M308" s="79">
        <f>(M305*4+M306*3+M307*3)/10</f>
        <v>79.22</v>
      </c>
      <c r="N308" s="79">
        <f>(N305*4+N306*3+N307*3)/10</f>
        <v>80.679999999999993</v>
      </c>
      <c r="O308" s="79">
        <f>AVERAGE(O300:O301)</f>
        <v>76.5</v>
      </c>
      <c r="P308" s="79">
        <f>AVERAGE(P300:P301)</f>
        <v>80</v>
      </c>
      <c r="Q308" s="79">
        <f>AVERAGE(Q300:Q301)</f>
        <v>80.5</v>
      </c>
      <c r="R308" s="79">
        <f>(R305*4+R306*3+R307*3)/10</f>
        <v>79.966666666666669</v>
      </c>
      <c r="S308" s="79">
        <f>(S305*4+S306*3+S307*3)/10</f>
        <v>82.303333333333327</v>
      </c>
      <c r="T308" s="79">
        <f>T306</f>
        <v>78</v>
      </c>
      <c r="U308" s="79">
        <f t="shared" ref="U308" si="64">(U305*4+U306*3+U307*3)/10</f>
        <v>80.566666666666677</v>
      </c>
      <c r="V308" s="80">
        <f>AVERAGE(E308:U308)</f>
        <v>81.395686274509785</v>
      </c>
      <c r="X308" s="278">
        <v>37</v>
      </c>
    </row>
    <row r="309" spans="1:24" ht="15.6" thickTop="1" thickBot="1">
      <c r="A309" s="268">
        <v>34</v>
      </c>
      <c r="B309" s="270" t="s">
        <v>538</v>
      </c>
      <c r="C309" s="273" t="s">
        <v>539</v>
      </c>
      <c r="D309" s="52" t="s">
        <v>294</v>
      </c>
      <c r="E309" s="53">
        <f>tkr!$E$38</f>
        <v>90</v>
      </c>
      <c r="F309" s="53">
        <f>tkr!$K$38</f>
        <v>79</v>
      </c>
      <c r="G309" s="53">
        <f>tkr!$Q$38</f>
        <v>93</v>
      </c>
      <c r="H309" s="53">
        <f>tkr!$W$38</f>
        <v>82</v>
      </c>
      <c r="I309" s="53">
        <f>tkr!$AA$38</f>
        <v>83</v>
      </c>
      <c r="J309" s="53">
        <f>tkr!$AE$38</f>
        <v>94</v>
      </c>
      <c r="K309" s="54">
        <f>tkr!$AG$38</f>
        <v>80</v>
      </c>
      <c r="L309" s="55"/>
      <c r="M309" s="53">
        <f>tkr!$AM$38</f>
        <v>74</v>
      </c>
      <c r="N309" s="53">
        <f>tkr!$AS$38</f>
        <v>86</v>
      </c>
      <c r="O309" s="53">
        <f>tkr!$AY$38</f>
        <v>74</v>
      </c>
      <c r="P309" s="54">
        <f>tkr!$BA$38</f>
        <v>79</v>
      </c>
      <c r="Q309" s="54">
        <f>tkr!$BC$38</f>
        <v>80</v>
      </c>
      <c r="R309" s="55"/>
      <c r="S309" s="55"/>
      <c r="T309" s="55"/>
      <c r="U309" s="55"/>
      <c r="V309" s="56"/>
      <c r="X309" s="278">
        <v>38</v>
      </c>
    </row>
    <row r="310" spans="1:24" ht="15" thickBot="1">
      <c r="A310" s="268">
        <v>34</v>
      </c>
      <c r="B310" s="271"/>
      <c r="C310" s="274"/>
      <c r="D310" s="52" t="s">
        <v>295</v>
      </c>
      <c r="E310" s="53">
        <f>tkr!$F$38</f>
        <v>84</v>
      </c>
      <c r="F310" s="53">
        <f>tkr!$L$38</f>
        <v>80</v>
      </c>
      <c r="G310" s="53">
        <f>tkr!$R$38</f>
        <v>95</v>
      </c>
      <c r="H310" s="53">
        <f>tkr!$X$38</f>
        <v>83</v>
      </c>
      <c r="I310" s="53">
        <f>tkr!$AB$38</f>
        <v>81</v>
      </c>
      <c r="J310" s="53">
        <f>tkr!$AF$38</f>
        <v>83</v>
      </c>
      <c r="K310" s="54">
        <f>tkr!$AH$38</f>
        <v>76</v>
      </c>
      <c r="L310" s="55"/>
      <c r="M310" s="53">
        <f>tkr!$AN$38</f>
        <v>74</v>
      </c>
      <c r="N310" s="53">
        <f>tkr!$AT$38</f>
        <v>88</v>
      </c>
      <c r="O310" s="53">
        <f>tkr!$AZ$38</f>
        <v>79</v>
      </c>
      <c r="P310" s="54">
        <f>tkr!$BB$38</f>
        <v>80</v>
      </c>
      <c r="Q310" s="54">
        <f>tkr!$BD$38</f>
        <v>81</v>
      </c>
      <c r="R310" s="55"/>
      <c r="S310" s="55"/>
      <c r="T310" s="55"/>
      <c r="U310" s="55"/>
      <c r="V310" s="58"/>
      <c r="X310" s="278">
        <v>38</v>
      </c>
    </row>
    <row r="311" spans="1:24" ht="15" thickBot="1">
      <c r="A311" s="268">
        <v>34</v>
      </c>
      <c r="B311" s="271"/>
      <c r="C311" s="274"/>
      <c r="D311" s="52" t="s">
        <v>296</v>
      </c>
      <c r="E311" s="53">
        <f>tkr!$G$38</f>
        <v>88</v>
      </c>
      <c r="F311" s="53">
        <f>tkr!$M$38</f>
        <v>93</v>
      </c>
      <c r="G311" s="53">
        <f>tkr!$S$38</f>
        <v>85</v>
      </c>
      <c r="H311" s="53">
        <f>tkr!$Y$38</f>
        <v>79</v>
      </c>
      <c r="I311" s="53">
        <f>tkr!$AC$38</f>
        <v>83</v>
      </c>
      <c r="J311" s="59"/>
      <c r="K311" s="54">
        <f>tkr!$AI$38</f>
        <v>74</v>
      </c>
      <c r="L311" s="55"/>
      <c r="M311" s="53">
        <f>tkr!$AO$38</f>
        <v>79</v>
      </c>
      <c r="N311" s="53">
        <f>tkr!$AU$38</f>
        <v>88</v>
      </c>
      <c r="O311" s="59"/>
      <c r="P311" s="55"/>
      <c r="Q311" s="55"/>
      <c r="R311" s="54">
        <f>tkr!$BQ$38</f>
        <v>84</v>
      </c>
      <c r="S311" s="54">
        <f>tkr!$BU$38</f>
        <v>77</v>
      </c>
      <c r="T311" s="55"/>
      <c r="U311" s="54">
        <f>tkr!$BZ$38</f>
        <v>82</v>
      </c>
      <c r="V311" s="58"/>
      <c r="X311" s="278">
        <v>38</v>
      </c>
    </row>
    <row r="312" spans="1:24" ht="15" thickBot="1">
      <c r="A312" s="268">
        <v>34</v>
      </c>
      <c r="B312" s="271"/>
      <c r="C312" s="274"/>
      <c r="D312" s="62" t="s">
        <v>297</v>
      </c>
      <c r="E312" s="53">
        <f>tkr!$H$38</f>
        <v>83</v>
      </c>
      <c r="F312" s="53">
        <f>tkr!$N$38</f>
        <v>92</v>
      </c>
      <c r="G312" s="53">
        <f>tkr!$T$38</f>
        <v>87</v>
      </c>
      <c r="H312" s="53">
        <f>tkr!$Z$38</f>
        <v>84</v>
      </c>
      <c r="I312" s="53">
        <f>tkr!$AD$38</f>
        <v>84</v>
      </c>
      <c r="J312" s="59"/>
      <c r="K312" s="54">
        <f>tkr!$AJ$38</f>
        <v>80</v>
      </c>
      <c r="L312" s="55"/>
      <c r="M312" s="53">
        <f>tkr!$AP$38</f>
        <v>75</v>
      </c>
      <c r="N312" s="53">
        <f>tkr!$AV$38</f>
        <v>88</v>
      </c>
      <c r="O312" s="59"/>
      <c r="P312" s="55"/>
      <c r="Q312" s="55"/>
      <c r="R312" s="54">
        <f>tkr!$BR$38</f>
        <v>83.333333333333329</v>
      </c>
      <c r="S312" s="54">
        <f>tkr!$BV$38</f>
        <v>82</v>
      </c>
      <c r="T312" s="63"/>
      <c r="U312" s="54">
        <f>tkr!$CA$38</f>
        <v>89</v>
      </c>
      <c r="V312" s="58"/>
      <c r="X312" s="278">
        <v>38</v>
      </c>
    </row>
    <row r="313" spans="1:24">
      <c r="A313" s="268">
        <v>34</v>
      </c>
      <c r="B313" s="271"/>
      <c r="C313" s="274"/>
      <c r="D313" s="62" t="s">
        <v>298</v>
      </c>
      <c r="E313" s="53">
        <f>tkr!$I$38</f>
        <v>85</v>
      </c>
      <c r="F313" s="53">
        <f>tkr!$O$38</f>
        <v>94</v>
      </c>
      <c r="G313" s="53">
        <f>tkr!$U$38</f>
        <v>76</v>
      </c>
      <c r="H313" s="65"/>
      <c r="I313" s="65"/>
      <c r="J313" s="59"/>
      <c r="K313" s="59"/>
      <c r="L313" s="53">
        <f>tkr!$AK$38</f>
        <v>80</v>
      </c>
      <c r="M313" s="53">
        <f>tkr!$AQ$38</f>
        <v>77</v>
      </c>
      <c r="N313" s="53">
        <f>tkr!$AW$38</f>
        <v>88</v>
      </c>
      <c r="O313" s="59"/>
      <c r="P313" s="55"/>
      <c r="Q313" s="55"/>
      <c r="R313" s="54">
        <f>tkr!$BS$38</f>
        <v>83.666666666666671</v>
      </c>
      <c r="S313" s="54">
        <f>tkr!$BW$38</f>
        <v>80</v>
      </c>
      <c r="T313" s="54"/>
      <c r="U313" s="54">
        <f>tkr!$CB$38</f>
        <v>75</v>
      </c>
      <c r="V313" s="58"/>
      <c r="X313" s="278">
        <v>38</v>
      </c>
    </row>
    <row r="314" spans="1:24">
      <c r="A314" s="268">
        <v>34</v>
      </c>
      <c r="B314" s="271"/>
      <c r="C314" s="274"/>
      <c r="D314" s="66" t="s">
        <v>299</v>
      </c>
      <c r="E314" s="67">
        <f>AVERAGE(E309:E313)</f>
        <v>86</v>
      </c>
      <c r="F314" s="67">
        <f>AVERAGE(F309:F313)</f>
        <v>87.6</v>
      </c>
      <c r="G314" s="67">
        <f>AVERAGE(G309:G313)</f>
        <v>87.2</v>
      </c>
      <c r="H314" s="68"/>
      <c r="I314" s="68"/>
      <c r="J314" s="69"/>
      <c r="K314" s="69"/>
      <c r="L314" s="67">
        <f>AVERAGE(L309:L313)</f>
        <v>80</v>
      </c>
      <c r="M314" s="67">
        <f>AVERAGE(M309:M313)</f>
        <v>75.8</v>
      </c>
      <c r="N314" s="67">
        <f>AVERAGE(N309:N313)</f>
        <v>87.6</v>
      </c>
      <c r="O314" s="69"/>
      <c r="P314" s="63"/>
      <c r="Q314" s="63"/>
      <c r="R314" s="84">
        <f>AVERAGE(R311:R313)</f>
        <v>83.666666666666671</v>
      </c>
      <c r="S314" s="84">
        <f>AVERAGE(S311:S313)</f>
        <v>79.666666666666671</v>
      </c>
      <c r="T314" s="63"/>
      <c r="U314" s="84">
        <f>AVERAGE(U309:U313)</f>
        <v>82</v>
      </c>
      <c r="V314" s="58"/>
      <c r="X314" s="278">
        <v>38</v>
      </c>
    </row>
    <row r="315" spans="1:24">
      <c r="A315" s="268">
        <v>34</v>
      </c>
      <c r="B315" s="271"/>
      <c r="C315" s="274"/>
      <c r="D315" s="70" t="s">
        <v>300</v>
      </c>
      <c r="E315" s="71">
        <f>tkr!$J$38</f>
        <v>76</v>
      </c>
      <c r="F315" s="71">
        <f>tkr!$P$38</f>
        <v>75</v>
      </c>
      <c r="G315" s="71">
        <f>tkr!$V$38</f>
        <v>77</v>
      </c>
      <c r="H315" s="72"/>
      <c r="I315" s="72"/>
      <c r="J315" s="73"/>
      <c r="K315" s="73"/>
      <c r="L315" s="71">
        <f>tkr!$AL$38</f>
        <v>77</v>
      </c>
      <c r="M315" s="71">
        <f>tkr!$AR$38</f>
        <v>79</v>
      </c>
      <c r="N315" s="71">
        <f>tkr!$AX$38</f>
        <v>79</v>
      </c>
      <c r="O315" s="73"/>
      <c r="P315" s="74"/>
      <c r="Q315" s="74"/>
      <c r="R315" s="85">
        <f>tkr!$BT$38</f>
        <v>78</v>
      </c>
      <c r="S315" s="85">
        <f>tkr!$BX$38</f>
        <v>78</v>
      </c>
      <c r="T315" s="85">
        <f>tkr!$BY$38</f>
        <v>77</v>
      </c>
      <c r="U315" s="75">
        <f>tkr!$CC$38</f>
        <v>79</v>
      </c>
      <c r="V315" s="58"/>
      <c r="X315" s="278">
        <v>38</v>
      </c>
    </row>
    <row r="316" spans="1:24">
      <c r="A316" s="268">
        <v>34</v>
      </c>
      <c r="B316" s="271"/>
      <c r="C316" s="274"/>
      <c r="D316" s="76" t="s">
        <v>301</v>
      </c>
      <c r="E316" s="77">
        <f>tkr!$CD$38</f>
        <v>80</v>
      </c>
      <c r="F316" s="77">
        <f>tkr!$CE$38</f>
        <v>95</v>
      </c>
      <c r="G316" s="77">
        <f>tkr!$CF$38</f>
        <v>78</v>
      </c>
      <c r="H316" s="72"/>
      <c r="I316" s="72"/>
      <c r="J316" s="73"/>
      <c r="K316" s="73"/>
      <c r="L316" s="77">
        <f>tkr!$CG$38</f>
        <v>92</v>
      </c>
      <c r="M316" s="77">
        <f>tkr!$CH$38</f>
        <v>76</v>
      </c>
      <c r="N316" s="77">
        <f>tkr!$CI$38</f>
        <v>87</v>
      </c>
      <c r="O316" s="73"/>
      <c r="P316" s="74"/>
      <c r="Q316" s="74"/>
      <c r="R316" s="86">
        <f>tkr!$CL$38</f>
        <v>92</v>
      </c>
      <c r="S316" s="86">
        <f>tkr!$CK$38</f>
        <v>82</v>
      </c>
      <c r="T316" s="74"/>
      <c r="U316" s="86">
        <f>tkr!$CJ$38</f>
        <v>79</v>
      </c>
      <c r="V316" s="58"/>
      <c r="X316" s="278">
        <v>38</v>
      </c>
    </row>
    <row r="317" spans="1:24" ht="15" thickBot="1">
      <c r="A317" s="269">
        <v>34</v>
      </c>
      <c r="B317" s="272"/>
      <c r="C317" s="275"/>
      <c r="D317" s="78" t="s">
        <v>302</v>
      </c>
      <c r="E317" s="79">
        <f>(E314*4+E315*3+E316*3)/10</f>
        <v>81.2</v>
      </c>
      <c r="F317" s="79">
        <f t="shared" ref="F317:G317" si="65">(F314*4+F315*3+F316*3)/10</f>
        <v>86.039999999999992</v>
      </c>
      <c r="G317" s="79">
        <f t="shared" si="65"/>
        <v>81.38</v>
      </c>
      <c r="H317" s="79">
        <f>AVERAGE(H309:H312)</f>
        <v>82</v>
      </c>
      <c r="I317" s="79">
        <f>AVERAGE(I309:I312)</f>
        <v>82.75</v>
      </c>
      <c r="J317" s="79">
        <f>AVERAGE(J309:J310)</f>
        <v>88.5</v>
      </c>
      <c r="K317" s="79">
        <f>AVERAGE(K309:K312)</f>
        <v>77.5</v>
      </c>
      <c r="L317" s="79">
        <f>(L314*4+L315*3+L316*3)/10</f>
        <v>82.7</v>
      </c>
      <c r="M317" s="79">
        <f>(M314*4+M315*3+M316*3)/10</f>
        <v>76.820000000000007</v>
      </c>
      <c r="N317" s="79">
        <f>(N314*4+N315*3+N316*3)/10</f>
        <v>84.84</v>
      </c>
      <c r="O317" s="79">
        <f>AVERAGE(O309:O310)</f>
        <v>76.5</v>
      </c>
      <c r="P317" s="79">
        <f>AVERAGE(P309:P310)</f>
        <v>79.5</v>
      </c>
      <c r="Q317" s="79">
        <f>AVERAGE(Q309:Q310)</f>
        <v>80.5</v>
      </c>
      <c r="R317" s="79">
        <f>(R314*4+R315*3+R316*3)/10</f>
        <v>84.466666666666669</v>
      </c>
      <c r="S317" s="79">
        <f>(S314*4+S315*3+S316*3)/10</f>
        <v>79.866666666666674</v>
      </c>
      <c r="T317" s="79">
        <f>T315</f>
        <v>77</v>
      </c>
      <c r="U317" s="79">
        <f t="shared" ref="U317" si="66">(U314*4+U315*3+U316*3)/10</f>
        <v>80.2</v>
      </c>
      <c r="V317" s="80">
        <f>AVERAGE(E317:U317)</f>
        <v>81.280196078431388</v>
      </c>
      <c r="X317" s="278">
        <v>38</v>
      </c>
    </row>
    <row r="318" spans="1:24" ht="15.6" thickTop="1" thickBot="1">
      <c r="A318" s="268">
        <v>35</v>
      </c>
      <c r="B318" s="270" t="s">
        <v>540</v>
      </c>
      <c r="C318" s="273" t="s">
        <v>541</v>
      </c>
      <c r="D318" s="52" t="s">
        <v>294</v>
      </c>
      <c r="E318" s="53">
        <f>tkr!$E$39</f>
        <v>87</v>
      </c>
      <c r="F318" s="53">
        <f>tkr!$K$39</f>
        <v>83</v>
      </c>
      <c r="G318" s="53">
        <f>tkr!$Q$39</f>
        <v>84</v>
      </c>
      <c r="H318" s="53">
        <f>tkr!$W$39</f>
        <v>85</v>
      </c>
      <c r="I318" s="53">
        <f>tkr!$AA$39</f>
        <v>82</v>
      </c>
      <c r="J318" s="53">
        <f>tkr!$AE$39</f>
        <v>93</v>
      </c>
      <c r="K318" s="54">
        <f>tkr!$AG$39</f>
        <v>81</v>
      </c>
      <c r="L318" s="55"/>
      <c r="M318" s="53">
        <f>tkr!$AM$39</f>
        <v>75</v>
      </c>
      <c r="N318" s="53">
        <f>tkr!$AS$39</f>
        <v>79</v>
      </c>
      <c r="O318" s="53">
        <f>tkr!$AY$39</f>
        <v>77</v>
      </c>
      <c r="P318" s="54">
        <f>tkr!$BA$39</f>
        <v>79</v>
      </c>
      <c r="Q318" s="54">
        <f>tkr!$BC$39</f>
        <v>83</v>
      </c>
      <c r="R318" s="55"/>
      <c r="S318" s="55"/>
      <c r="T318" s="55"/>
      <c r="U318" s="55"/>
      <c r="V318" s="56"/>
      <c r="X318" s="278">
        <v>39</v>
      </c>
    </row>
    <row r="319" spans="1:24" ht="15" thickBot="1">
      <c r="A319" s="268">
        <v>35</v>
      </c>
      <c r="B319" s="271"/>
      <c r="C319" s="274"/>
      <c r="D319" s="52" t="s">
        <v>295</v>
      </c>
      <c r="E319" s="53">
        <f>tkr!$F$39</f>
        <v>88</v>
      </c>
      <c r="F319" s="53">
        <f>tkr!$L$39</f>
        <v>79</v>
      </c>
      <c r="G319" s="53">
        <f>tkr!$R$39</f>
        <v>85</v>
      </c>
      <c r="H319" s="53">
        <f>tkr!$X$39</f>
        <v>85</v>
      </c>
      <c r="I319" s="53">
        <f>tkr!$AB$39</f>
        <v>84</v>
      </c>
      <c r="J319" s="53">
        <f>tkr!$AF$39</f>
        <v>84</v>
      </c>
      <c r="K319" s="54">
        <f>tkr!$AH$39</f>
        <v>73</v>
      </c>
      <c r="L319" s="55"/>
      <c r="M319" s="53">
        <f>tkr!$AN$39</f>
        <v>76</v>
      </c>
      <c r="N319" s="53">
        <f>tkr!$AT$39</f>
        <v>80</v>
      </c>
      <c r="O319" s="53">
        <f>tkr!$AZ$39</f>
        <v>81</v>
      </c>
      <c r="P319" s="54">
        <f>tkr!$BB$39</f>
        <v>88</v>
      </c>
      <c r="Q319" s="54">
        <f>tkr!$BD$39</f>
        <v>83</v>
      </c>
      <c r="R319" s="55"/>
      <c r="S319" s="55"/>
      <c r="T319" s="55"/>
      <c r="U319" s="55"/>
      <c r="V319" s="58"/>
      <c r="X319" s="278">
        <v>39</v>
      </c>
    </row>
    <row r="320" spans="1:24" ht="15" thickBot="1">
      <c r="A320" s="268">
        <v>35</v>
      </c>
      <c r="B320" s="271"/>
      <c r="C320" s="274"/>
      <c r="D320" s="52" t="s">
        <v>296</v>
      </c>
      <c r="E320" s="53">
        <f>tkr!$G$39</f>
        <v>91</v>
      </c>
      <c r="F320" s="53">
        <f>tkr!$M$39</f>
        <v>85</v>
      </c>
      <c r="G320" s="53">
        <f>tkr!$S$39</f>
        <v>76</v>
      </c>
      <c r="H320" s="53">
        <f>tkr!$Y$39</f>
        <v>83</v>
      </c>
      <c r="I320" s="53">
        <f>tkr!$AC$39</f>
        <v>85</v>
      </c>
      <c r="J320" s="59"/>
      <c r="K320" s="54">
        <f>tkr!$AI$39</f>
        <v>73</v>
      </c>
      <c r="L320" s="55"/>
      <c r="M320" s="53">
        <f>tkr!$AO$39</f>
        <v>82</v>
      </c>
      <c r="N320" s="53">
        <f>tkr!$AU$39</f>
        <v>80</v>
      </c>
      <c r="O320" s="59"/>
      <c r="P320" s="55"/>
      <c r="Q320" s="55"/>
      <c r="R320" s="54">
        <f>tkr!$BQ$39</f>
        <v>84</v>
      </c>
      <c r="S320" s="54">
        <f>tkr!$BU$39</f>
        <v>83</v>
      </c>
      <c r="T320" s="55"/>
      <c r="U320" s="54">
        <f>tkr!$BZ$39</f>
        <v>75</v>
      </c>
      <c r="V320" s="58"/>
      <c r="X320" s="278">
        <v>39</v>
      </c>
    </row>
    <row r="321" spans="1:24" ht="15" thickBot="1">
      <c r="A321" s="268">
        <v>35</v>
      </c>
      <c r="B321" s="271"/>
      <c r="C321" s="274"/>
      <c r="D321" s="62" t="s">
        <v>297</v>
      </c>
      <c r="E321" s="53">
        <f>tkr!$H$39</f>
        <v>85</v>
      </c>
      <c r="F321" s="53">
        <f>tkr!$N$39</f>
        <v>90</v>
      </c>
      <c r="G321" s="53">
        <f>tkr!$T$39</f>
        <v>82</v>
      </c>
      <c r="H321" s="53">
        <f>tkr!$Z$39</f>
        <v>86</v>
      </c>
      <c r="I321" s="53">
        <f>tkr!$AD$39</f>
        <v>87</v>
      </c>
      <c r="J321" s="59"/>
      <c r="K321" s="54">
        <f>tkr!$AJ$39</f>
        <v>81</v>
      </c>
      <c r="L321" s="55"/>
      <c r="M321" s="53">
        <f>tkr!$AP$39</f>
        <v>83</v>
      </c>
      <c r="N321" s="53">
        <f>tkr!$AV$39</f>
        <v>80</v>
      </c>
      <c r="O321" s="59"/>
      <c r="P321" s="55"/>
      <c r="Q321" s="55"/>
      <c r="R321" s="54">
        <f>tkr!$BR$39</f>
        <v>83.333333333333329</v>
      </c>
      <c r="S321" s="54">
        <f>tkr!$BV$39</f>
        <v>84</v>
      </c>
      <c r="T321" s="63"/>
      <c r="U321" s="54">
        <f>tkr!$CA$39</f>
        <v>87</v>
      </c>
      <c r="V321" s="58"/>
      <c r="X321" s="278">
        <v>39</v>
      </c>
    </row>
    <row r="322" spans="1:24">
      <c r="A322" s="268">
        <v>35</v>
      </c>
      <c r="B322" s="271"/>
      <c r="C322" s="274"/>
      <c r="D322" s="62" t="s">
        <v>298</v>
      </c>
      <c r="E322" s="53">
        <f>tkr!$I$39</f>
        <v>85</v>
      </c>
      <c r="F322" s="53">
        <f>tkr!$O$39</f>
        <v>95</v>
      </c>
      <c r="G322" s="53">
        <f>tkr!$U$39</f>
        <v>84</v>
      </c>
      <c r="H322" s="65"/>
      <c r="I322" s="65"/>
      <c r="J322" s="59"/>
      <c r="K322" s="59"/>
      <c r="L322" s="53">
        <f>tkr!$AK$39</f>
        <v>83</v>
      </c>
      <c r="M322" s="53">
        <f>tkr!$AQ$39</f>
        <v>81</v>
      </c>
      <c r="N322" s="53">
        <f>tkr!$AW$39</f>
        <v>78</v>
      </c>
      <c r="O322" s="59"/>
      <c r="P322" s="55"/>
      <c r="Q322" s="55"/>
      <c r="R322" s="54">
        <f>tkr!$BS$39</f>
        <v>83.666666666666671</v>
      </c>
      <c r="S322" s="54">
        <f>tkr!$BW$39</f>
        <v>83</v>
      </c>
      <c r="T322" s="54"/>
      <c r="U322" s="54">
        <f>tkr!$CB$39</f>
        <v>73</v>
      </c>
      <c r="V322" s="58"/>
      <c r="X322" s="278">
        <v>39</v>
      </c>
    </row>
    <row r="323" spans="1:24">
      <c r="A323" s="268">
        <v>35</v>
      </c>
      <c r="B323" s="271"/>
      <c r="C323" s="274"/>
      <c r="D323" s="66" t="s">
        <v>299</v>
      </c>
      <c r="E323" s="67">
        <f>AVERAGE(E318:E322)</f>
        <v>87.2</v>
      </c>
      <c r="F323" s="67">
        <f>AVERAGE(F318:F322)</f>
        <v>86.4</v>
      </c>
      <c r="G323" s="67">
        <f>AVERAGE(G318:G322)</f>
        <v>82.2</v>
      </c>
      <c r="H323" s="68"/>
      <c r="I323" s="68"/>
      <c r="J323" s="69"/>
      <c r="K323" s="69"/>
      <c r="L323" s="67">
        <f>AVERAGE(L318:L322)</f>
        <v>83</v>
      </c>
      <c r="M323" s="67">
        <f>AVERAGE(M318:M322)</f>
        <v>79.400000000000006</v>
      </c>
      <c r="N323" s="67">
        <f>AVERAGE(N318:N322)</f>
        <v>79.400000000000006</v>
      </c>
      <c r="O323" s="69"/>
      <c r="P323" s="63"/>
      <c r="Q323" s="63"/>
      <c r="R323" s="84">
        <f>AVERAGE(R320:R322)</f>
        <v>83.666666666666671</v>
      </c>
      <c r="S323" s="84">
        <f>AVERAGE(S320:S322)</f>
        <v>83.333333333333329</v>
      </c>
      <c r="T323" s="63"/>
      <c r="U323" s="84">
        <f>AVERAGE(U318:U322)</f>
        <v>78.333333333333329</v>
      </c>
      <c r="V323" s="58"/>
      <c r="X323" s="278">
        <v>39</v>
      </c>
    </row>
    <row r="324" spans="1:24">
      <c r="A324" s="268">
        <v>35</v>
      </c>
      <c r="B324" s="271"/>
      <c r="C324" s="274"/>
      <c r="D324" s="70" t="s">
        <v>300</v>
      </c>
      <c r="E324" s="71">
        <f>tkr!$J$39</f>
        <v>87</v>
      </c>
      <c r="F324" s="71">
        <f>tkr!$P$39</f>
        <v>84</v>
      </c>
      <c r="G324" s="71">
        <f>tkr!$V$39</f>
        <v>82</v>
      </c>
      <c r="H324" s="72"/>
      <c r="I324" s="72"/>
      <c r="J324" s="73"/>
      <c r="K324" s="73"/>
      <c r="L324" s="71">
        <f>tkr!$AL$39</f>
        <v>82</v>
      </c>
      <c r="M324" s="71">
        <f>tkr!$AR$39</f>
        <v>88</v>
      </c>
      <c r="N324" s="71">
        <f>tkr!$AX$39</f>
        <v>88</v>
      </c>
      <c r="O324" s="73"/>
      <c r="P324" s="74"/>
      <c r="Q324" s="74"/>
      <c r="R324" s="85">
        <f>tkr!$BT$39</f>
        <v>88</v>
      </c>
      <c r="S324" s="85">
        <f>tkr!$BX$39</f>
        <v>88</v>
      </c>
      <c r="T324" s="85">
        <f>tkr!$BY$39</f>
        <v>86</v>
      </c>
      <c r="U324" s="75">
        <f>tkr!$CC$39</f>
        <v>88</v>
      </c>
      <c r="V324" s="58"/>
      <c r="X324" s="278">
        <v>39</v>
      </c>
    </row>
    <row r="325" spans="1:24">
      <c r="A325" s="268">
        <v>35</v>
      </c>
      <c r="B325" s="271"/>
      <c r="C325" s="274"/>
      <c r="D325" s="76" t="s">
        <v>301</v>
      </c>
      <c r="E325" s="77">
        <f>tkr!$CD$39</f>
        <v>86</v>
      </c>
      <c r="F325" s="77">
        <f>tkr!$CE$39</f>
        <v>95</v>
      </c>
      <c r="G325" s="77">
        <f>tkr!$CF$39</f>
        <v>81</v>
      </c>
      <c r="H325" s="72"/>
      <c r="I325" s="72"/>
      <c r="J325" s="73"/>
      <c r="K325" s="73"/>
      <c r="L325" s="77">
        <f>tkr!$CG$39</f>
        <v>75</v>
      </c>
      <c r="M325" s="77">
        <f>tkr!$CH$39</f>
        <v>82</v>
      </c>
      <c r="N325" s="77">
        <f>tkr!$CI$39</f>
        <v>83</v>
      </c>
      <c r="O325" s="73"/>
      <c r="P325" s="74"/>
      <c r="Q325" s="74"/>
      <c r="R325" s="86">
        <f>tkr!$CL$39</f>
        <v>70</v>
      </c>
      <c r="S325" s="86">
        <f>tkr!$CK$39</f>
        <v>82</v>
      </c>
      <c r="T325" s="74"/>
      <c r="U325" s="86">
        <f>tkr!$CJ$39</f>
        <v>86</v>
      </c>
      <c r="V325" s="58"/>
      <c r="X325" s="278">
        <v>39</v>
      </c>
    </row>
    <row r="326" spans="1:24" ht="15" thickBot="1">
      <c r="A326" s="269">
        <v>35</v>
      </c>
      <c r="B326" s="272"/>
      <c r="C326" s="275"/>
      <c r="D326" s="78" t="s">
        <v>302</v>
      </c>
      <c r="E326" s="79">
        <f>(E323*4+E324*3+E325*3)/10</f>
        <v>86.78</v>
      </c>
      <c r="F326" s="79">
        <f t="shared" ref="F326:G326" si="67">(F323*4+F324*3+F325*3)/10</f>
        <v>88.26</v>
      </c>
      <c r="G326" s="79">
        <f t="shared" si="67"/>
        <v>81.78</v>
      </c>
      <c r="H326" s="79">
        <f>AVERAGE(H318:H321)</f>
        <v>84.75</v>
      </c>
      <c r="I326" s="79">
        <f>AVERAGE(I318:I321)</f>
        <v>84.5</v>
      </c>
      <c r="J326" s="79">
        <f>AVERAGE(J318:J319)</f>
        <v>88.5</v>
      </c>
      <c r="K326" s="79">
        <f>AVERAGE(K318:K321)</f>
        <v>77</v>
      </c>
      <c r="L326" s="79">
        <f>(L323*4+L324*3+L325*3)/10</f>
        <v>80.3</v>
      </c>
      <c r="M326" s="79">
        <f>(M323*4+M324*3+M325*3)/10</f>
        <v>82.76</v>
      </c>
      <c r="N326" s="79">
        <f>(N323*4+N324*3+N325*3)/10</f>
        <v>83.06</v>
      </c>
      <c r="O326" s="79">
        <f>AVERAGE(O318:O319)</f>
        <v>79</v>
      </c>
      <c r="P326" s="79">
        <f>AVERAGE(P318:P319)</f>
        <v>83.5</v>
      </c>
      <c r="Q326" s="79">
        <f>AVERAGE(Q318:Q319)</f>
        <v>83</v>
      </c>
      <c r="R326" s="79">
        <f>(R323*4+R324*3+R325*3)/10</f>
        <v>80.866666666666674</v>
      </c>
      <c r="S326" s="79">
        <f>(S323*4+S324*3+S325*3)/10</f>
        <v>84.333333333333329</v>
      </c>
      <c r="T326" s="79">
        <f>T324</f>
        <v>86</v>
      </c>
      <c r="U326" s="79">
        <f t="shared" ref="U326" si="68">(U323*4+U324*3+U325*3)/10</f>
        <v>83.533333333333331</v>
      </c>
      <c r="V326" s="80">
        <f>AVERAGE(E326:U326)</f>
        <v>83.407254901960783</v>
      </c>
      <c r="X326" s="278">
        <v>39</v>
      </c>
    </row>
    <row r="327" spans="1:24" ht="18" customHeight="1" thickTop="1" thickBot="1">
      <c r="A327" s="268">
        <v>36</v>
      </c>
      <c r="B327" s="270" t="s">
        <v>542</v>
      </c>
      <c r="C327" s="273" t="s">
        <v>543</v>
      </c>
      <c r="D327" s="52" t="s">
        <v>294</v>
      </c>
      <c r="E327" s="53">
        <f>tkr!$E$40</f>
        <v>87</v>
      </c>
      <c r="F327" s="53">
        <f>tkr!$K$40</f>
        <v>80</v>
      </c>
      <c r="G327" s="53">
        <f>tkr!$Q$40</f>
        <v>85</v>
      </c>
      <c r="H327" s="53">
        <f>tkr!$W$40</f>
        <v>83</v>
      </c>
      <c r="I327" s="53">
        <f>tkr!$AA$40</f>
        <v>78</v>
      </c>
      <c r="J327" s="53">
        <f>tkr!$AE$40</f>
        <v>93</v>
      </c>
      <c r="K327" s="54">
        <f>tkr!$AG$40</f>
        <v>76</v>
      </c>
      <c r="L327" s="55"/>
      <c r="M327" s="53">
        <f>tkr!$AM$40</f>
        <v>74</v>
      </c>
      <c r="N327" s="53">
        <f>tkr!$AS$40</f>
        <v>74</v>
      </c>
      <c r="O327" s="53">
        <f>tkr!$AY$40</f>
        <v>75</v>
      </c>
      <c r="P327" s="54">
        <f>tkr!$BA$40</f>
        <v>75</v>
      </c>
      <c r="Q327" s="54">
        <f>tkr!$BC$40</f>
        <v>80</v>
      </c>
      <c r="R327" s="55"/>
      <c r="S327" s="55"/>
      <c r="T327" s="55"/>
      <c r="U327" s="55"/>
      <c r="V327" s="56"/>
      <c r="X327" s="278">
        <v>40</v>
      </c>
    </row>
    <row r="328" spans="1:24" ht="15" thickBot="1">
      <c r="A328" s="268">
        <v>36</v>
      </c>
      <c r="B328" s="271"/>
      <c r="C328" s="274"/>
      <c r="D328" s="52" t="s">
        <v>295</v>
      </c>
      <c r="E328" s="53">
        <f>tkr!$F$40</f>
        <v>90</v>
      </c>
      <c r="F328" s="53">
        <f>tkr!$L$40</f>
        <v>83</v>
      </c>
      <c r="G328" s="53">
        <f>tkr!$R$40</f>
        <v>87</v>
      </c>
      <c r="H328" s="53">
        <f>tkr!$X$40</f>
        <v>83</v>
      </c>
      <c r="I328" s="53">
        <f>tkr!$AB$40</f>
        <v>83</v>
      </c>
      <c r="J328" s="53">
        <f>tkr!$AF$40</f>
        <v>83</v>
      </c>
      <c r="K328" s="54">
        <f>tkr!$AH$40</f>
        <v>70</v>
      </c>
      <c r="L328" s="55"/>
      <c r="M328" s="53">
        <f>tkr!$AN$40</f>
        <v>75</v>
      </c>
      <c r="N328" s="53">
        <f>tkr!$AT$40</f>
        <v>80</v>
      </c>
      <c r="O328" s="53">
        <f>tkr!$AZ$40</f>
        <v>79</v>
      </c>
      <c r="P328" s="54">
        <f>tkr!$BB$40</f>
        <v>85</v>
      </c>
      <c r="Q328" s="54">
        <f>tkr!$BD$40</f>
        <v>82</v>
      </c>
      <c r="R328" s="55"/>
      <c r="S328" s="55"/>
      <c r="T328" s="55"/>
      <c r="U328" s="55"/>
      <c r="V328" s="58"/>
      <c r="X328" s="278">
        <v>40</v>
      </c>
    </row>
    <row r="329" spans="1:24" ht="15" thickBot="1">
      <c r="A329" s="268">
        <v>36</v>
      </c>
      <c r="B329" s="271"/>
      <c r="C329" s="274"/>
      <c r="D329" s="52" t="s">
        <v>296</v>
      </c>
      <c r="E329" s="53">
        <f>tkr!$G$40</f>
        <v>91</v>
      </c>
      <c r="F329" s="53">
        <f>tkr!$M$40</f>
        <v>77</v>
      </c>
      <c r="G329" s="53">
        <f>tkr!$S$40</f>
        <v>75</v>
      </c>
      <c r="H329" s="53">
        <f>tkr!$Y$40</f>
        <v>84</v>
      </c>
      <c r="I329" s="53">
        <f>tkr!$AC$40</f>
        <v>85</v>
      </c>
      <c r="J329" s="59"/>
      <c r="K329" s="54">
        <f>tkr!$AI$40</f>
        <v>70</v>
      </c>
      <c r="L329" s="55"/>
      <c r="M329" s="53">
        <f>tkr!$AO$40</f>
        <v>80</v>
      </c>
      <c r="N329" s="53">
        <f>tkr!$AU$40</f>
        <v>80</v>
      </c>
      <c r="O329" s="59"/>
      <c r="P329" s="55"/>
      <c r="Q329" s="55"/>
      <c r="R329" s="54">
        <f>tkr!$BQ$40</f>
        <v>84</v>
      </c>
      <c r="S329" s="54">
        <f>tkr!$BU$40</f>
        <v>81</v>
      </c>
      <c r="T329" s="55"/>
      <c r="U329" s="54">
        <f>tkr!$BZ$40</f>
        <v>70</v>
      </c>
      <c r="V329" s="58"/>
      <c r="X329" s="278">
        <v>40</v>
      </c>
    </row>
    <row r="330" spans="1:24" ht="15" thickBot="1">
      <c r="A330" s="268">
        <v>36</v>
      </c>
      <c r="B330" s="271"/>
      <c r="C330" s="274"/>
      <c r="D330" s="62" t="s">
        <v>297</v>
      </c>
      <c r="E330" s="53">
        <f>tkr!$H$40</f>
        <v>85</v>
      </c>
      <c r="F330" s="53">
        <f>tkr!$N$40</f>
        <v>94</v>
      </c>
      <c r="G330" s="53">
        <f>tkr!$T$40</f>
        <v>79</v>
      </c>
      <c r="H330" s="53">
        <f>tkr!$Z$40</f>
        <v>84</v>
      </c>
      <c r="I330" s="53">
        <f>tkr!$AD$40</f>
        <v>86</v>
      </c>
      <c r="J330" s="59"/>
      <c r="K330" s="54">
        <f>tkr!$AJ$40</f>
        <v>81</v>
      </c>
      <c r="L330" s="55"/>
      <c r="M330" s="53">
        <f>tkr!$AP$40</f>
        <v>82</v>
      </c>
      <c r="N330" s="53">
        <f>tkr!$AV$40</f>
        <v>80</v>
      </c>
      <c r="O330" s="59"/>
      <c r="P330" s="55"/>
      <c r="Q330" s="55"/>
      <c r="R330" s="54">
        <f>tkr!$BR$40</f>
        <v>83.333333333333329</v>
      </c>
      <c r="S330" s="54">
        <f>tkr!$BV$40</f>
        <v>83</v>
      </c>
      <c r="T330" s="63"/>
      <c r="U330" s="54">
        <f>tkr!$CA$40</f>
        <v>87</v>
      </c>
      <c r="V330" s="58"/>
      <c r="X330" s="278">
        <v>40</v>
      </c>
    </row>
    <row r="331" spans="1:24">
      <c r="A331" s="268">
        <v>36</v>
      </c>
      <c r="B331" s="271"/>
      <c r="C331" s="274"/>
      <c r="D331" s="62" t="s">
        <v>298</v>
      </c>
      <c r="E331" s="53">
        <f>tkr!$I$40</f>
        <v>89</v>
      </c>
      <c r="F331" s="53">
        <f>tkr!$O$40</f>
        <v>95</v>
      </c>
      <c r="G331" s="53">
        <f>tkr!$U$40</f>
        <v>85</v>
      </c>
      <c r="H331" s="65"/>
      <c r="I331" s="65"/>
      <c r="J331" s="59"/>
      <c r="K331" s="59"/>
      <c r="L331" s="53">
        <f>tkr!$AK$40</f>
        <v>82</v>
      </c>
      <c r="M331" s="53">
        <f>tkr!$AQ$40</f>
        <v>80</v>
      </c>
      <c r="N331" s="53">
        <f>tkr!$AW$40</f>
        <v>80</v>
      </c>
      <c r="O331" s="59"/>
      <c r="P331" s="55"/>
      <c r="Q331" s="55"/>
      <c r="R331" s="54">
        <f>tkr!$BS$40</f>
        <v>83.666666666666671</v>
      </c>
      <c r="S331" s="54">
        <f>tkr!$BW$40</f>
        <v>82</v>
      </c>
      <c r="T331" s="54"/>
      <c r="U331" s="54">
        <f>tkr!$CB$40</f>
        <v>81</v>
      </c>
      <c r="V331" s="58"/>
      <c r="X331" s="278">
        <v>40</v>
      </c>
    </row>
    <row r="332" spans="1:24">
      <c r="A332" s="268">
        <v>36</v>
      </c>
      <c r="B332" s="271"/>
      <c r="C332" s="274"/>
      <c r="D332" s="66" t="s">
        <v>299</v>
      </c>
      <c r="E332" s="67">
        <f>AVERAGE(E327:E331)</f>
        <v>88.4</v>
      </c>
      <c r="F332" s="67">
        <f>AVERAGE(F327:F331)</f>
        <v>85.8</v>
      </c>
      <c r="G332" s="67">
        <f>AVERAGE(G327:G331)</f>
        <v>82.2</v>
      </c>
      <c r="H332" s="68"/>
      <c r="I332" s="68"/>
      <c r="J332" s="69"/>
      <c r="K332" s="69"/>
      <c r="L332" s="67">
        <f>AVERAGE(L327:L331)</f>
        <v>82</v>
      </c>
      <c r="M332" s="67">
        <f>AVERAGE(M327:M331)</f>
        <v>78.2</v>
      </c>
      <c r="N332" s="67">
        <f>AVERAGE(N327:N331)</f>
        <v>78.8</v>
      </c>
      <c r="O332" s="69"/>
      <c r="P332" s="63"/>
      <c r="Q332" s="63"/>
      <c r="R332" s="84">
        <f>AVERAGE(R329:R331)</f>
        <v>83.666666666666671</v>
      </c>
      <c r="S332" s="84">
        <f>AVERAGE(S329:S331)</f>
        <v>82</v>
      </c>
      <c r="T332" s="63"/>
      <c r="U332" s="84">
        <f>AVERAGE(U327:U331)</f>
        <v>79.333333333333329</v>
      </c>
      <c r="V332" s="58"/>
      <c r="X332" s="278">
        <v>40</v>
      </c>
    </row>
    <row r="333" spans="1:24">
      <c r="A333" s="268">
        <v>36</v>
      </c>
      <c r="B333" s="271"/>
      <c r="C333" s="274"/>
      <c r="D333" s="70" t="s">
        <v>300</v>
      </c>
      <c r="E333" s="71">
        <f>tkr!$J$40</f>
        <v>73</v>
      </c>
      <c r="F333" s="71">
        <f>tkr!$P$40</f>
        <v>92</v>
      </c>
      <c r="G333" s="71">
        <f>tkr!$V$40</f>
        <v>87</v>
      </c>
      <c r="H333" s="72"/>
      <c r="I333" s="72"/>
      <c r="J333" s="73"/>
      <c r="K333" s="73"/>
      <c r="L333" s="71">
        <f>tkr!$AL$40</f>
        <v>87</v>
      </c>
      <c r="M333" s="71">
        <f>tkr!$AR$40</f>
        <v>72</v>
      </c>
      <c r="N333" s="71">
        <f>tkr!$AX$40</f>
        <v>72</v>
      </c>
      <c r="O333" s="73"/>
      <c r="P333" s="74"/>
      <c r="Q333" s="74"/>
      <c r="R333" s="85">
        <f>tkr!$BT$40</f>
        <v>80</v>
      </c>
      <c r="S333" s="85">
        <f>tkr!$BX$40</f>
        <v>80</v>
      </c>
      <c r="T333" s="85">
        <f>tkr!$BY$40</f>
        <v>81</v>
      </c>
      <c r="U333" s="75">
        <f>tkr!$CC$40</f>
        <v>72</v>
      </c>
      <c r="V333" s="58"/>
      <c r="X333" s="278">
        <v>40</v>
      </c>
    </row>
    <row r="334" spans="1:24">
      <c r="A334" s="268">
        <v>36</v>
      </c>
      <c r="B334" s="271"/>
      <c r="C334" s="274"/>
      <c r="D334" s="76" t="s">
        <v>301</v>
      </c>
      <c r="E334" s="77">
        <f>tkr!$CD$40</f>
        <v>88</v>
      </c>
      <c r="F334" s="77">
        <f>tkr!$CE$40</f>
        <v>95</v>
      </c>
      <c r="G334" s="77">
        <f>tkr!$CF$40</f>
        <v>82</v>
      </c>
      <c r="H334" s="72"/>
      <c r="I334" s="72"/>
      <c r="J334" s="73"/>
      <c r="K334" s="73"/>
      <c r="L334" s="77">
        <f>tkr!$CG$40</f>
        <v>82</v>
      </c>
      <c r="M334" s="77">
        <f>tkr!$CH$40</f>
        <v>81</v>
      </c>
      <c r="N334" s="77">
        <f>tkr!$CI$40</f>
        <v>85</v>
      </c>
      <c r="O334" s="73"/>
      <c r="P334" s="74"/>
      <c r="Q334" s="74"/>
      <c r="R334" s="86">
        <f>tkr!$CL$40</f>
        <v>97</v>
      </c>
      <c r="S334" s="86">
        <f>tkr!$CK$40</f>
        <v>82</v>
      </c>
      <c r="T334" s="74"/>
      <c r="U334" s="86">
        <f>tkr!$CJ$40</f>
        <v>83</v>
      </c>
      <c r="V334" s="58"/>
      <c r="X334" s="278">
        <v>40</v>
      </c>
    </row>
    <row r="335" spans="1:24" ht="15" thickBot="1">
      <c r="A335" s="269">
        <v>36</v>
      </c>
      <c r="B335" s="272"/>
      <c r="C335" s="275"/>
      <c r="D335" s="78" t="s">
        <v>302</v>
      </c>
      <c r="E335" s="79">
        <f>(E332*4+E333*3+E334*3)/10</f>
        <v>83.66</v>
      </c>
      <c r="F335" s="79">
        <f t="shared" ref="F335:G335" si="69">(F332*4+F333*3+F334*3)/10</f>
        <v>90.42</v>
      </c>
      <c r="G335" s="79">
        <f t="shared" si="69"/>
        <v>83.58</v>
      </c>
      <c r="H335" s="79">
        <f>AVERAGE(H327:H330)</f>
        <v>83.5</v>
      </c>
      <c r="I335" s="79">
        <f>AVERAGE(I327:I330)</f>
        <v>83</v>
      </c>
      <c r="J335" s="79">
        <f>AVERAGE(J327:J328)</f>
        <v>88</v>
      </c>
      <c r="K335" s="79">
        <f>AVERAGE(K327:K330)</f>
        <v>74.25</v>
      </c>
      <c r="L335" s="79">
        <f>(L332*4+L333*3+L334*3)/10</f>
        <v>83.5</v>
      </c>
      <c r="M335" s="79">
        <f>(M332*4+M333*3+M334*3)/10</f>
        <v>77.179999999999993</v>
      </c>
      <c r="N335" s="79">
        <f>(N332*4+N333*3+N334*3)/10</f>
        <v>78.62</v>
      </c>
      <c r="O335" s="79">
        <f>AVERAGE(O327:O328)</f>
        <v>77</v>
      </c>
      <c r="P335" s="79">
        <f>AVERAGE(P327:P328)</f>
        <v>80</v>
      </c>
      <c r="Q335" s="79">
        <f>AVERAGE(Q327:Q328)</f>
        <v>81</v>
      </c>
      <c r="R335" s="79">
        <f>(R332*4+R333*3+R334*3)/10</f>
        <v>86.566666666666677</v>
      </c>
      <c r="S335" s="79">
        <f>(S332*4+S333*3+S334*3)/10</f>
        <v>81.400000000000006</v>
      </c>
      <c r="T335" s="79">
        <f>T333</f>
        <v>81</v>
      </c>
      <c r="U335" s="79">
        <f t="shared" ref="U335" si="70">(U332*4+U333*3+U334*3)/10</f>
        <v>78.23333333333332</v>
      </c>
      <c r="V335" s="80">
        <f>AVERAGE(E335:U335)</f>
        <v>81.818235294117656</v>
      </c>
      <c r="X335" s="278">
        <v>40</v>
      </c>
    </row>
    <row r="336" spans="1:24" ht="15.6" thickTop="1" thickBot="1">
      <c r="A336" s="268">
        <v>37</v>
      </c>
      <c r="B336" s="270" t="s">
        <v>544</v>
      </c>
      <c r="C336" s="273" t="s">
        <v>545</v>
      </c>
      <c r="D336" s="52" t="s">
        <v>294</v>
      </c>
      <c r="E336" s="53">
        <f>tkr!$E$41</f>
        <v>81</v>
      </c>
      <c r="F336" s="53">
        <f>tkr!$K$41</f>
        <v>80</v>
      </c>
      <c r="G336" s="53">
        <f>tkr!$Q$41</f>
        <v>78</v>
      </c>
      <c r="H336" s="53">
        <f>tkr!$W$41</f>
        <v>83</v>
      </c>
      <c r="I336" s="53">
        <f>tkr!$AA$41</f>
        <v>75</v>
      </c>
      <c r="J336" s="53">
        <f>tkr!$AE$41</f>
        <v>93</v>
      </c>
      <c r="K336" s="54">
        <f>tkr!$AG$41</f>
        <v>81</v>
      </c>
      <c r="L336" s="55"/>
      <c r="M336" s="53">
        <f>tkr!$AM$41</f>
        <v>75</v>
      </c>
      <c r="N336" s="53">
        <f>tkr!$AS$41</f>
        <v>70</v>
      </c>
      <c r="O336" s="53">
        <f>tkr!$AY$41</f>
        <v>77</v>
      </c>
      <c r="P336" s="54">
        <f>tkr!$BA$41</f>
        <v>84</v>
      </c>
      <c r="Q336" s="54">
        <f>tkr!$BC$41</f>
        <v>80</v>
      </c>
      <c r="R336" s="55"/>
      <c r="S336" s="55"/>
      <c r="T336" s="55"/>
      <c r="U336" s="55"/>
      <c r="V336" s="56"/>
      <c r="X336" s="278">
        <v>41</v>
      </c>
    </row>
    <row r="337" spans="1:24" ht="15" thickBot="1">
      <c r="A337" s="268">
        <v>37</v>
      </c>
      <c r="B337" s="271"/>
      <c r="C337" s="274"/>
      <c r="D337" s="52" t="s">
        <v>295</v>
      </c>
      <c r="E337" s="53">
        <f>tkr!$F$41</f>
        <v>86</v>
      </c>
      <c r="F337" s="53">
        <f>tkr!$L$41</f>
        <v>75</v>
      </c>
      <c r="G337" s="53">
        <f>tkr!$R$41</f>
        <v>85</v>
      </c>
      <c r="H337" s="53">
        <f>tkr!$X$41</f>
        <v>83</v>
      </c>
      <c r="I337" s="53">
        <f>tkr!$AB$41</f>
        <v>80</v>
      </c>
      <c r="J337" s="53">
        <f>tkr!$AF$41</f>
        <v>84</v>
      </c>
      <c r="K337" s="54">
        <f>tkr!$AH$41</f>
        <v>74</v>
      </c>
      <c r="L337" s="55"/>
      <c r="M337" s="53">
        <f>tkr!$AN$41</f>
        <v>76</v>
      </c>
      <c r="N337" s="53">
        <f>tkr!$AT$41</f>
        <v>73</v>
      </c>
      <c r="O337" s="53">
        <f>tkr!$AZ$41</f>
        <v>79</v>
      </c>
      <c r="P337" s="54">
        <f>tkr!$BB$41</f>
        <v>80</v>
      </c>
      <c r="Q337" s="54">
        <f>tkr!$BD$41</f>
        <v>81</v>
      </c>
      <c r="R337" s="55"/>
      <c r="S337" s="55"/>
      <c r="T337" s="55"/>
      <c r="U337" s="55"/>
      <c r="V337" s="58"/>
      <c r="X337" s="278">
        <v>41</v>
      </c>
    </row>
    <row r="338" spans="1:24" ht="15" thickBot="1">
      <c r="A338" s="268">
        <v>37</v>
      </c>
      <c r="B338" s="271"/>
      <c r="C338" s="274"/>
      <c r="D338" s="52" t="s">
        <v>296</v>
      </c>
      <c r="E338" s="53">
        <f>tkr!$G$41</f>
        <v>89</v>
      </c>
      <c r="F338" s="53">
        <f>tkr!$M$41</f>
        <v>86</v>
      </c>
      <c r="G338" s="53">
        <f>tkr!$S$41</f>
        <v>75</v>
      </c>
      <c r="H338" s="53">
        <f>tkr!$Y$41</f>
        <v>83</v>
      </c>
      <c r="I338" s="53">
        <f>tkr!$AC$41</f>
        <v>83</v>
      </c>
      <c r="J338" s="59"/>
      <c r="K338" s="54">
        <f>tkr!$AI$41</f>
        <v>73</v>
      </c>
      <c r="L338" s="55"/>
      <c r="M338" s="53">
        <f>tkr!$AO$41</f>
        <v>75</v>
      </c>
      <c r="N338" s="53">
        <f>tkr!$AU$41</f>
        <v>78</v>
      </c>
      <c r="O338" s="59"/>
      <c r="P338" s="55"/>
      <c r="Q338" s="55"/>
      <c r="R338" s="54">
        <f>tkr!$BQ$41</f>
        <v>84</v>
      </c>
      <c r="S338" s="54">
        <f>tkr!$BU$41</f>
        <v>77</v>
      </c>
      <c r="T338" s="55"/>
      <c r="U338" s="54">
        <f>tkr!$BZ$41</f>
        <v>70</v>
      </c>
      <c r="V338" s="58"/>
      <c r="X338" s="278">
        <v>41</v>
      </c>
    </row>
    <row r="339" spans="1:24" ht="15" thickBot="1">
      <c r="A339" s="268">
        <v>37</v>
      </c>
      <c r="B339" s="271"/>
      <c r="C339" s="274"/>
      <c r="D339" s="62" t="s">
        <v>297</v>
      </c>
      <c r="E339" s="53">
        <f>tkr!$H$41</f>
        <v>82</v>
      </c>
      <c r="F339" s="53">
        <f>tkr!$N$41</f>
        <v>87</v>
      </c>
      <c r="G339" s="53">
        <f>tkr!$T$41</f>
        <v>78</v>
      </c>
      <c r="H339" s="53">
        <f>tkr!$Z$41</f>
        <v>85</v>
      </c>
      <c r="I339" s="53">
        <f>tkr!$AD$41</f>
        <v>84</v>
      </c>
      <c r="J339" s="59"/>
      <c r="K339" s="54">
        <f>tkr!$AJ$41</f>
        <v>83</v>
      </c>
      <c r="L339" s="55"/>
      <c r="M339" s="53">
        <f>tkr!$AP$41</f>
        <v>82</v>
      </c>
      <c r="N339" s="53">
        <f>tkr!$AV$41</f>
        <v>80</v>
      </c>
      <c r="O339" s="59"/>
      <c r="P339" s="55"/>
      <c r="Q339" s="55"/>
      <c r="R339" s="54">
        <f>tkr!$BR$41</f>
        <v>83.333333333333329</v>
      </c>
      <c r="S339" s="54">
        <f>tkr!$BV$41</f>
        <v>82</v>
      </c>
      <c r="T339" s="63"/>
      <c r="U339" s="54">
        <f>tkr!$CA$41</f>
        <v>84</v>
      </c>
      <c r="V339" s="58"/>
      <c r="X339" s="278">
        <v>41</v>
      </c>
    </row>
    <row r="340" spans="1:24">
      <c r="A340" s="268">
        <v>37</v>
      </c>
      <c r="B340" s="271"/>
      <c r="C340" s="274"/>
      <c r="D340" s="62" t="s">
        <v>298</v>
      </c>
      <c r="E340" s="53">
        <f>tkr!$I$41</f>
        <v>90</v>
      </c>
      <c r="F340" s="53">
        <f>tkr!$O$41</f>
        <v>90</v>
      </c>
      <c r="G340" s="53">
        <f>tkr!$U$41</f>
        <v>80</v>
      </c>
      <c r="H340" s="65"/>
      <c r="I340" s="65"/>
      <c r="J340" s="59"/>
      <c r="K340" s="59"/>
      <c r="L340" s="53">
        <f>tkr!$AK$41</f>
        <v>80</v>
      </c>
      <c r="M340" s="53">
        <f>tkr!$AQ$41</f>
        <v>80</v>
      </c>
      <c r="N340" s="53">
        <f>tkr!$AW$41</f>
        <v>77</v>
      </c>
      <c r="O340" s="59"/>
      <c r="P340" s="55"/>
      <c r="Q340" s="55"/>
      <c r="R340" s="54">
        <f>tkr!$BS$41</f>
        <v>83.666666666666671</v>
      </c>
      <c r="S340" s="54">
        <f>tkr!$BW$41</f>
        <v>80</v>
      </c>
      <c r="T340" s="54"/>
      <c r="U340" s="54">
        <f>tkr!$CB$41</f>
        <v>74</v>
      </c>
      <c r="V340" s="58"/>
      <c r="X340" s="278">
        <v>41</v>
      </c>
    </row>
    <row r="341" spans="1:24">
      <c r="A341" s="268">
        <v>37</v>
      </c>
      <c r="B341" s="271"/>
      <c r="C341" s="274"/>
      <c r="D341" s="66" t="s">
        <v>299</v>
      </c>
      <c r="E341" s="67">
        <f>AVERAGE(E336:E340)</f>
        <v>85.6</v>
      </c>
      <c r="F341" s="67">
        <f>AVERAGE(F336:F340)</f>
        <v>83.6</v>
      </c>
      <c r="G341" s="67">
        <f>AVERAGE(G336:G340)</f>
        <v>79.2</v>
      </c>
      <c r="H341" s="68"/>
      <c r="I341" s="68"/>
      <c r="J341" s="69"/>
      <c r="K341" s="69"/>
      <c r="L341" s="67">
        <f>AVERAGE(L336:L340)</f>
        <v>80</v>
      </c>
      <c r="M341" s="67">
        <f>AVERAGE(M336:M340)</f>
        <v>77.599999999999994</v>
      </c>
      <c r="N341" s="67">
        <f>AVERAGE(N336:N340)</f>
        <v>75.599999999999994</v>
      </c>
      <c r="O341" s="69"/>
      <c r="P341" s="63"/>
      <c r="Q341" s="63"/>
      <c r="R341" s="84">
        <f>AVERAGE(R338:R340)</f>
        <v>83.666666666666671</v>
      </c>
      <c r="S341" s="84">
        <f>AVERAGE(S338:S340)</f>
        <v>79.666666666666671</v>
      </c>
      <c r="T341" s="63"/>
      <c r="U341" s="84">
        <f>AVERAGE(U336:U340)</f>
        <v>76</v>
      </c>
      <c r="V341" s="58"/>
      <c r="X341" s="278">
        <v>41</v>
      </c>
    </row>
    <row r="342" spans="1:24">
      <c r="A342" s="268">
        <v>37</v>
      </c>
      <c r="B342" s="271"/>
      <c r="C342" s="274"/>
      <c r="D342" s="70" t="s">
        <v>300</v>
      </c>
      <c r="E342" s="71">
        <f>tkr!$J$41</f>
        <v>88</v>
      </c>
      <c r="F342" s="71">
        <f>tkr!$P$41</f>
        <v>85</v>
      </c>
      <c r="G342" s="71">
        <f>tkr!$V$41</f>
        <v>84</v>
      </c>
      <c r="H342" s="72"/>
      <c r="I342" s="72"/>
      <c r="J342" s="73"/>
      <c r="K342" s="73"/>
      <c r="L342" s="71">
        <f>tkr!$AL$41</f>
        <v>84</v>
      </c>
      <c r="M342" s="71">
        <f>tkr!$AR$41</f>
        <v>74</v>
      </c>
      <c r="N342" s="71">
        <f>tkr!$AX$41</f>
        <v>74</v>
      </c>
      <c r="O342" s="73"/>
      <c r="P342" s="74"/>
      <c r="Q342" s="74"/>
      <c r="R342" s="85">
        <f>tkr!$BT$41</f>
        <v>82</v>
      </c>
      <c r="S342" s="85">
        <f>tkr!$BX$41</f>
        <v>82</v>
      </c>
      <c r="T342" s="85">
        <f>tkr!$BY$41</f>
        <v>83</v>
      </c>
      <c r="U342" s="75">
        <f>tkr!$CC$41</f>
        <v>74</v>
      </c>
      <c r="V342" s="58"/>
      <c r="X342" s="278">
        <v>41</v>
      </c>
    </row>
    <row r="343" spans="1:24">
      <c r="A343" s="268">
        <v>37</v>
      </c>
      <c r="B343" s="271"/>
      <c r="C343" s="274"/>
      <c r="D343" s="76" t="s">
        <v>301</v>
      </c>
      <c r="E343" s="77">
        <f>tkr!$CD$41</f>
        <v>85</v>
      </c>
      <c r="F343" s="77">
        <f>tkr!$CE$41</f>
        <v>88</v>
      </c>
      <c r="G343" s="77">
        <f>tkr!$CF$41</f>
        <v>78</v>
      </c>
      <c r="H343" s="72"/>
      <c r="I343" s="72"/>
      <c r="J343" s="73"/>
      <c r="K343" s="73"/>
      <c r="L343" s="77">
        <f>tkr!$CG$41</f>
        <v>95</v>
      </c>
      <c r="M343" s="77">
        <f>tkr!$CH$41</f>
        <v>80</v>
      </c>
      <c r="N343" s="77">
        <f>tkr!$CI$41</f>
        <v>88</v>
      </c>
      <c r="O343" s="73"/>
      <c r="P343" s="74"/>
      <c r="Q343" s="74"/>
      <c r="R343" s="86">
        <f>tkr!$CL$41</f>
        <v>95</v>
      </c>
      <c r="S343" s="86">
        <f>tkr!$CK$41</f>
        <v>81</v>
      </c>
      <c r="T343" s="74"/>
      <c r="U343" s="86">
        <f>tkr!$CJ$41</f>
        <v>78</v>
      </c>
      <c r="V343" s="58"/>
      <c r="X343" s="278">
        <v>41</v>
      </c>
    </row>
    <row r="344" spans="1:24" ht="15" thickBot="1">
      <c r="A344" s="269">
        <v>37</v>
      </c>
      <c r="B344" s="272"/>
      <c r="C344" s="275"/>
      <c r="D344" s="78" t="s">
        <v>302</v>
      </c>
      <c r="E344" s="79">
        <f>(E341*4+E342*3+E343*3)/10</f>
        <v>86.14</v>
      </c>
      <c r="F344" s="79">
        <f t="shared" ref="F344:G344" si="71">(F341*4+F342*3+F343*3)/10</f>
        <v>85.34</v>
      </c>
      <c r="G344" s="79">
        <f t="shared" si="71"/>
        <v>80.28</v>
      </c>
      <c r="H344" s="79">
        <f>AVERAGE(H336:H339)</f>
        <v>83.5</v>
      </c>
      <c r="I344" s="79">
        <f>AVERAGE(I336:I339)</f>
        <v>80.5</v>
      </c>
      <c r="J344" s="79">
        <f>AVERAGE(J336:J337)</f>
        <v>88.5</v>
      </c>
      <c r="K344" s="79">
        <f>AVERAGE(K336:K339)</f>
        <v>77.75</v>
      </c>
      <c r="L344" s="79">
        <f>(L341*4+L342*3+L343*3)/10</f>
        <v>85.7</v>
      </c>
      <c r="M344" s="79">
        <f>(M341*4+M342*3+M343*3)/10</f>
        <v>77.239999999999995</v>
      </c>
      <c r="N344" s="79">
        <f>(N341*4+N342*3+N343*3)/10</f>
        <v>78.84</v>
      </c>
      <c r="O344" s="79">
        <f>AVERAGE(O336:O337)</f>
        <v>78</v>
      </c>
      <c r="P344" s="79">
        <f>AVERAGE(P336:P337)</f>
        <v>82</v>
      </c>
      <c r="Q344" s="79">
        <f>AVERAGE(Q336:Q337)</f>
        <v>80.5</v>
      </c>
      <c r="R344" s="79">
        <f>(R341*4+R342*3+R343*3)/10</f>
        <v>86.566666666666677</v>
      </c>
      <c r="S344" s="79">
        <f>(S341*4+S342*3+S343*3)/10</f>
        <v>80.76666666666668</v>
      </c>
      <c r="T344" s="79">
        <f>T342</f>
        <v>83</v>
      </c>
      <c r="U344" s="79">
        <f t="shared" ref="U344" si="72">(U341*4+U342*3+U343*3)/10</f>
        <v>76</v>
      </c>
      <c r="V344" s="80">
        <f>AVERAGE(E344:U344)</f>
        <v>81.801372549019604</v>
      </c>
      <c r="X344" s="278">
        <v>41</v>
      </c>
    </row>
    <row r="345" spans="1:24" ht="15.6" thickTop="1" thickBot="1">
      <c r="A345" s="268">
        <v>38</v>
      </c>
      <c r="B345" s="270" t="s">
        <v>546</v>
      </c>
      <c r="C345" s="273" t="s">
        <v>547</v>
      </c>
      <c r="D345" s="52" t="s">
        <v>294</v>
      </c>
      <c r="E345" s="53">
        <f>tkr!$E$42</f>
        <v>90</v>
      </c>
      <c r="F345" s="53">
        <f>tkr!$K$42</f>
        <v>72</v>
      </c>
      <c r="G345" s="53">
        <f>tkr!$Q$42</f>
        <v>77</v>
      </c>
      <c r="H345" s="53">
        <f>tkr!$W$42</f>
        <v>82</v>
      </c>
      <c r="I345" s="53">
        <f>tkr!$AA$42</f>
        <v>78</v>
      </c>
      <c r="J345" s="53">
        <f>tkr!$AE$42</f>
        <v>93</v>
      </c>
      <c r="K345" s="54">
        <f>tkr!$AG$42</f>
        <v>80</v>
      </c>
      <c r="L345" s="55"/>
      <c r="M345" s="53">
        <f>tkr!$AM$42</f>
        <v>74</v>
      </c>
      <c r="N345" s="53">
        <f>tkr!$AS$42</f>
        <v>72</v>
      </c>
      <c r="O345" s="53">
        <f>tkr!$AY$42</f>
        <v>76</v>
      </c>
      <c r="P345" s="54">
        <f>tkr!$BA$42</f>
        <v>81</v>
      </c>
      <c r="Q345" s="54">
        <f>tkr!$BC$42</f>
        <v>80</v>
      </c>
      <c r="R345" s="55"/>
      <c r="S345" s="55"/>
      <c r="T345" s="55"/>
      <c r="U345" s="55"/>
      <c r="V345" s="56"/>
      <c r="X345" s="278">
        <v>42</v>
      </c>
    </row>
    <row r="346" spans="1:24" ht="15" thickBot="1">
      <c r="A346" s="268">
        <v>38</v>
      </c>
      <c r="B346" s="271"/>
      <c r="C346" s="274"/>
      <c r="D346" s="52" t="s">
        <v>295</v>
      </c>
      <c r="E346" s="53">
        <f>tkr!$F$42</f>
        <v>85</v>
      </c>
      <c r="F346" s="53">
        <f>tkr!$L$42</f>
        <v>76</v>
      </c>
      <c r="G346" s="53">
        <f>tkr!$R$42</f>
        <v>83</v>
      </c>
      <c r="H346" s="53">
        <f>tkr!$X$42</f>
        <v>83</v>
      </c>
      <c r="I346" s="53">
        <f>tkr!$AB$42</f>
        <v>79</v>
      </c>
      <c r="J346" s="53">
        <f>tkr!$AF$42</f>
        <v>82</v>
      </c>
      <c r="K346" s="54">
        <f>tkr!$AH$42</f>
        <v>72</v>
      </c>
      <c r="L346" s="55"/>
      <c r="M346" s="53">
        <f>tkr!$AN$42</f>
        <v>75</v>
      </c>
      <c r="N346" s="53">
        <f>tkr!$AT$42</f>
        <v>75</v>
      </c>
      <c r="O346" s="53">
        <f>tkr!$AZ$42</f>
        <v>76</v>
      </c>
      <c r="P346" s="54">
        <f>tkr!$BB$42</f>
        <v>75</v>
      </c>
      <c r="Q346" s="54">
        <f>tkr!$BD$42</f>
        <v>80</v>
      </c>
      <c r="R346" s="55"/>
      <c r="S346" s="55"/>
      <c r="T346" s="55"/>
      <c r="U346" s="55"/>
      <c r="V346" s="58"/>
      <c r="X346" s="278">
        <v>42</v>
      </c>
    </row>
    <row r="347" spans="1:24" ht="15" thickBot="1">
      <c r="A347" s="268">
        <v>38</v>
      </c>
      <c r="B347" s="271"/>
      <c r="C347" s="274"/>
      <c r="D347" s="52" t="s">
        <v>296</v>
      </c>
      <c r="E347" s="53">
        <f>tkr!$G$42</f>
        <v>90</v>
      </c>
      <c r="F347" s="53">
        <f>tkr!$M$42</f>
        <v>71</v>
      </c>
      <c r="G347" s="53">
        <f>tkr!$S$42</f>
        <v>80</v>
      </c>
      <c r="H347" s="53">
        <f>tkr!$Y$42</f>
        <v>83</v>
      </c>
      <c r="I347" s="53">
        <f>tkr!$AC$42</f>
        <v>83</v>
      </c>
      <c r="J347" s="59"/>
      <c r="K347" s="54">
        <f>tkr!$AI$42</f>
        <v>73</v>
      </c>
      <c r="L347" s="55"/>
      <c r="M347" s="53">
        <f>tkr!$AO$42</f>
        <v>79</v>
      </c>
      <c r="N347" s="53">
        <f>tkr!$AU$42</f>
        <v>78</v>
      </c>
      <c r="O347" s="59"/>
      <c r="P347" s="55"/>
      <c r="Q347" s="55"/>
      <c r="R347" s="54">
        <f>tkr!$BQ$42</f>
        <v>84</v>
      </c>
      <c r="S347" s="54">
        <f>tkr!$BU$42</f>
        <v>77</v>
      </c>
      <c r="T347" s="55"/>
      <c r="U347" s="54">
        <f>tkr!$BZ$42</f>
        <v>70</v>
      </c>
      <c r="V347" s="58"/>
      <c r="X347" s="278">
        <v>42</v>
      </c>
    </row>
    <row r="348" spans="1:24" ht="15" thickBot="1">
      <c r="A348" s="268">
        <v>38</v>
      </c>
      <c r="B348" s="271"/>
      <c r="C348" s="274"/>
      <c r="D348" s="62" t="s">
        <v>297</v>
      </c>
      <c r="E348" s="53">
        <f>tkr!$H$42</f>
        <v>85</v>
      </c>
      <c r="F348" s="53">
        <f>tkr!$N$42</f>
        <v>87</v>
      </c>
      <c r="G348" s="53">
        <f>tkr!$T$42</f>
        <v>81</v>
      </c>
      <c r="H348" s="53">
        <f>tkr!$Z$42</f>
        <v>84</v>
      </c>
      <c r="I348" s="53">
        <f>tkr!$AD$42</f>
        <v>84</v>
      </c>
      <c r="J348" s="59"/>
      <c r="K348" s="54">
        <f>tkr!$AJ$42</f>
        <v>81</v>
      </c>
      <c r="L348" s="55"/>
      <c r="M348" s="53">
        <f>tkr!$AP$42</f>
        <v>80</v>
      </c>
      <c r="N348" s="53">
        <f>tkr!$AV$42</f>
        <v>78</v>
      </c>
      <c r="O348" s="59"/>
      <c r="P348" s="55"/>
      <c r="Q348" s="55"/>
      <c r="R348" s="54">
        <f>tkr!$BR$42</f>
        <v>83.333333333333329</v>
      </c>
      <c r="S348" s="54">
        <f>tkr!$BV$42</f>
        <v>82</v>
      </c>
      <c r="T348" s="63"/>
      <c r="U348" s="54">
        <f>tkr!$CA$42</f>
        <v>74</v>
      </c>
      <c r="V348" s="58"/>
      <c r="X348" s="278">
        <v>42</v>
      </c>
    </row>
    <row r="349" spans="1:24">
      <c r="A349" s="268">
        <v>38</v>
      </c>
      <c r="B349" s="271"/>
      <c r="C349" s="274"/>
      <c r="D349" s="62" t="s">
        <v>298</v>
      </c>
      <c r="E349" s="53">
        <f>tkr!$I$42</f>
        <v>93</v>
      </c>
      <c r="F349" s="53">
        <f>tkr!$O$42</f>
        <v>90</v>
      </c>
      <c r="G349" s="53">
        <f>tkr!$U$42</f>
        <v>83</v>
      </c>
      <c r="H349" s="65"/>
      <c r="I349" s="65"/>
      <c r="J349" s="59"/>
      <c r="K349" s="59"/>
      <c r="L349" s="53">
        <f>tkr!$AK$42</f>
        <v>80</v>
      </c>
      <c r="M349" s="53">
        <f>tkr!$AQ$42</f>
        <v>80</v>
      </c>
      <c r="N349" s="53">
        <f>tkr!$AW$42</f>
        <v>75</v>
      </c>
      <c r="O349" s="59"/>
      <c r="P349" s="55"/>
      <c r="Q349" s="55"/>
      <c r="R349" s="54">
        <f>tkr!$BS$42</f>
        <v>83.666666666666671</v>
      </c>
      <c r="S349" s="54">
        <f>tkr!$BW$42</f>
        <v>80</v>
      </c>
      <c r="T349" s="54"/>
      <c r="U349" s="54">
        <f>tkr!$CB$42</f>
        <v>74</v>
      </c>
      <c r="V349" s="58"/>
      <c r="X349" s="278">
        <v>42</v>
      </c>
    </row>
    <row r="350" spans="1:24">
      <c r="A350" s="268">
        <v>38</v>
      </c>
      <c r="B350" s="271"/>
      <c r="C350" s="274"/>
      <c r="D350" s="66" t="s">
        <v>299</v>
      </c>
      <c r="E350" s="67">
        <f>AVERAGE(E345:E349)</f>
        <v>88.6</v>
      </c>
      <c r="F350" s="67">
        <f>AVERAGE(F345:F349)</f>
        <v>79.2</v>
      </c>
      <c r="G350" s="67">
        <f>AVERAGE(G345:G349)</f>
        <v>80.8</v>
      </c>
      <c r="H350" s="68"/>
      <c r="I350" s="68"/>
      <c r="J350" s="69"/>
      <c r="K350" s="69"/>
      <c r="L350" s="67">
        <f>AVERAGE(L345:L349)</f>
        <v>80</v>
      </c>
      <c r="M350" s="67">
        <f>AVERAGE(M345:M349)</f>
        <v>77.599999999999994</v>
      </c>
      <c r="N350" s="67">
        <f>AVERAGE(N345:N349)</f>
        <v>75.599999999999994</v>
      </c>
      <c r="O350" s="69"/>
      <c r="P350" s="63"/>
      <c r="Q350" s="63"/>
      <c r="R350" s="84">
        <f>AVERAGE(R347:R349)</f>
        <v>83.666666666666671</v>
      </c>
      <c r="S350" s="84">
        <f>AVERAGE(S347:S349)</f>
        <v>79.666666666666671</v>
      </c>
      <c r="T350" s="63"/>
      <c r="U350" s="84">
        <f>AVERAGE(U345:U349)</f>
        <v>72.666666666666671</v>
      </c>
      <c r="V350" s="58"/>
      <c r="X350" s="278">
        <v>42</v>
      </c>
    </row>
    <row r="351" spans="1:24">
      <c r="A351" s="268">
        <v>38</v>
      </c>
      <c r="B351" s="271"/>
      <c r="C351" s="274"/>
      <c r="D351" s="70" t="s">
        <v>300</v>
      </c>
      <c r="E351" s="71">
        <f>tkr!$J$42</f>
        <v>85</v>
      </c>
      <c r="F351" s="71">
        <f>tkr!$P$42</f>
        <v>90</v>
      </c>
      <c r="G351" s="71">
        <f>tkr!$V$42</f>
        <v>83</v>
      </c>
      <c r="H351" s="72"/>
      <c r="I351" s="72"/>
      <c r="J351" s="73"/>
      <c r="K351" s="73"/>
      <c r="L351" s="71">
        <f>tkr!$AL$42</f>
        <v>83</v>
      </c>
      <c r="M351" s="71">
        <f>tkr!$AR$42</f>
        <v>85</v>
      </c>
      <c r="N351" s="71">
        <f>tkr!$AX$42</f>
        <v>85</v>
      </c>
      <c r="O351" s="73"/>
      <c r="P351" s="74"/>
      <c r="Q351" s="74"/>
      <c r="R351" s="85">
        <f>tkr!$BT$42</f>
        <v>85</v>
      </c>
      <c r="S351" s="85">
        <f>tkr!$BX$42</f>
        <v>85</v>
      </c>
      <c r="T351" s="85">
        <f>tkr!$BY$42</f>
        <v>86</v>
      </c>
      <c r="U351" s="75">
        <f>tkr!$CC$42</f>
        <v>85</v>
      </c>
      <c r="V351" s="58"/>
      <c r="X351" s="278">
        <v>42</v>
      </c>
    </row>
    <row r="352" spans="1:24">
      <c r="A352" s="268">
        <v>38</v>
      </c>
      <c r="B352" s="271"/>
      <c r="C352" s="274"/>
      <c r="D352" s="76" t="s">
        <v>301</v>
      </c>
      <c r="E352" s="77">
        <f>tkr!$CD$42</f>
        <v>85</v>
      </c>
      <c r="F352" s="77">
        <f>tkr!$CE$42</f>
        <v>88</v>
      </c>
      <c r="G352" s="77">
        <f>tkr!$CF$42</f>
        <v>78</v>
      </c>
      <c r="H352" s="72"/>
      <c r="I352" s="72"/>
      <c r="J352" s="73"/>
      <c r="K352" s="73"/>
      <c r="L352" s="77">
        <f>tkr!$CG$42</f>
        <v>95</v>
      </c>
      <c r="M352" s="77">
        <f>tkr!$CH$42</f>
        <v>80</v>
      </c>
      <c r="N352" s="77">
        <f>tkr!$CI$42</f>
        <v>80</v>
      </c>
      <c r="O352" s="73"/>
      <c r="P352" s="74"/>
      <c r="Q352" s="74"/>
      <c r="R352" s="86">
        <f>tkr!$CL$42</f>
        <v>95</v>
      </c>
      <c r="S352" s="86">
        <f>tkr!$CK$42</f>
        <v>82</v>
      </c>
      <c r="T352" s="74"/>
      <c r="U352" s="86">
        <f>tkr!$CJ$42</f>
        <v>79</v>
      </c>
      <c r="V352" s="58"/>
      <c r="X352" s="278">
        <v>42</v>
      </c>
    </row>
    <row r="353" spans="1:24" ht="15" thickBot="1">
      <c r="A353" s="269">
        <v>38</v>
      </c>
      <c r="B353" s="272"/>
      <c r="C353" s="275"/>
      <c r="D353" s="78" t="s">
        <v>302</v>
      </c>
      <c r="E353" s="79">
        <f>(E350*4+E351*3+E352*3)/10</f>
        <v>86.44</v>
      </c>
      <c r="F353" s="79">
        <f t="shared" ref="F353:G353" si="73">(F350*4+F351*3+F352*3)/10</f>
        <v>85.08</v>
      </c>
      <c r="G353" s="79">
        <f t="shared" si="73"/>
        <v>80.62</v>
      </c>
      <c r="H353" s="79">
        <f>AVERAGE(H345:H348)</f>
        <v>83</v>
      </c>
      <c r="I353" s="79">
        <f>AVERAGE(I345:I348)</f>
        <v>81</v>
      </c>
      <c r="J353" s="79">
        <f>AVERAGE(J345:J346)</f>
        <v>87.5</v>
      </c>
      <c r="K353" s="79">
        <f>AVERAGE(K345:K348)</f>
        <v>76.5</v>
      </c>
      <c r="L353" s="79">
        <f>(L350*4+L351*3+L352*3)/10</f>
        <v>85.4</v>
      </c>
      <c r="M353" s="79">
        <f>(M350*4+M351*3+M352*3)/10</f>
        <v>80.539999999999992</v>
      </c>
      <c r="N353" s="79">
        <f>(N350*4+N351*3+N352*3)/10</f>
        <v>79.739999999999995</v>
      </c>
      <c r="O353" s="79">
        <f>AVERAGE(O345:O346)</f>
        <v>76</v>
      </c>
      <c r="P353" s="79">
        <f>AVERAGE(P345:P346)</f>
        <v>78</v>
      </c>
      <c r="Q353" s="79">
        <f>AVERAGE(Q345:Q346)</f>
        <v>80</v>
      </c>
      <c r="R353" s="79">
        <f>(R350*4+R351*3+R352*3)/10</f>
        <v>87.466666666666669</v>
      </c>
      <c r="S353" s="79">
        <f>(S350*4+S351*3+S352*3)/10</f>
        <v>81.966666666666669</v>
      </c>
      <c r="T353" s="79">
        <f>T351</f>
        <v>86</v>
      </c>
      <c r="U353" s="79">
        <f t="shared" ref="U353" si="74">(U350*4+U351*3+U352*3)/10</f>
        <v>78.26666666666668</v>
      </c>
      <c r="V353" s="80">
        <f>AVERAGE(E353:U353)</f>
        <v>81.97176470588235</v>
      </c>
      <c r="X353" s="278">
        <v>42</v>
      </c>
    </row>
    <row r="354" spans="1:24" ht="15.6" thickTop="1" thickBot="1">
      <c r="A354" s="268">
        <v>39</v>
      </c>
      <c r="B354" s="270" t="s">
        <v>548</v>
      </c>
      <c r="C354" s="273" t="s">
        <v>549</v>
      </c>
      <c r="D354" s="52" t="s">
        <v>294</v>
      </c>
      <c r="E354" s="53">
        <f>tkr!$E$43</f>
        <v>89</v>
      </c>
      <c r="F354" s="53">
        <f>tkr!$K$43</f>
        <v>72</v>
      </c>
      <c r="G354" s="53">
        <f>tkr!$Q$43</f>
        <v>84</v>
      </c>
      <c r="H354" s="53">
        <f>tkr!$W$43</f>
        <v>84</v>
      </c>
      <c r="I354" s="53">
        <f>tkr!$AA$43</f>
        <v>73</v>
      </c>
      <c r="J354" s="53">
        <f>tkr!$AE$43</f>
        <v>93</v>
      </c>
      <c r="K354" s="54">
        <f>tkr!$AG$43</f>
        <v>76</v>
      </c>
      <c r="L354" s="55"/>
      <c r="M354" s="53">
        <f>tkr!$AM$43</f>
        <v>76</v>
      </c>
      <c r="N354" s="53">
        <f>tkr!$AS$43</f>
        <v>75</v>
      </c>
      <c r="O354" s="53">
        <f>tkr!$AY$43</f>
        <v>77</v>
      </c>
      <c r="P354" s="54">
        <f>tkr!$BA$43</f>
        <v>77</v>
      </c>
      <c r="Q354" s="54">
        <f>tkr!$BC$43</f>
        <v>80</v>
      </c>
      <c r="R354" s="55"/>
      <c r="S354" s="55"/>
      <c r="T354" s="55"/>
      <c r="U354" s="55"/>
      <c r="V354" s="56"/>
      <c r="X354" s="278">
        <v>43</v>
      </c>
    </row>
    <row r="355" spans="1:24" ht="15" thickBot="1">
      <c r="A355" s="268">
        <v>39</v>
      </c>
      <c r="B355" s="271"/>
      <c r="C355" s="274"/>
      <c r="D355" s="52" t="s">
        <v>295</v>
      </c>
      <c r="E355" s="53">
        <f>tkr!$F$43</f>
        <v>89</v>
      </c>
      <c r="F355" s="53">
        <f>tkr!$L$43</f>
        <v>77</v>
      </c>
      <c r="G355" s="53">
        <f>tkr!$R$43</f>
        <v>81</v>
      </c>
      <c r="H355" s="53">
        <f>tkr!$X$43</f>
        <v>84</v>
      </c>
      <c r="I355" s="53">
        <f>tkr!$AB$43</f>
        <v>79</v>
      </c>
      <c r="J355" s="53">
        <f>tkr!$AF$43</f>
        <v>81</v>
      </c>
      <c r="K355" s="54">
        <f>tkr!$AH$43</f>
        <v>70</v>
      </c>
      <c r="L355" s="55"/>
      <c r="M355" s="53">
        <f>tkr!$AN$43</f>
        <v>77</v>
      </c>
      <c r="N355" s="53">
        <f>tkr!$AT$43</f>
        <v>75</v>
      </c>
      <c r="O355" s="53">
        <f>tkr!$AZ$43</f>
        <v>79</v>
      </c>
      <c r="P355" s="54">
        <f>tkr!$BB$43</f>
        <v>81</v>
      </c>
      <c r="Q355" s="54">
        <f>tkr!$BD$43</f>
        <v>80</v>
      </c>
      <c r="R355" s="55"/>
      <c r="S355" s="55"/>
      <c r="T355" s="55"/>
      <c r="U355" s="55"/>
      <c r="V355" s="58"/>
      <c r="X355" s="278">
        <v>43</v>
      </c>
    </row>
    <row r="356" spans="1:24" ht="15" thickBot="1">
      <c r="A356" s="268">
        <v>39</v>
      </c>
      <c r="B356" s="271"/>
      <c r="C356" s="274"/>
      <c r="D356" s="52" t="s">
        <v>296</v>
      </c>
      <c r="E356" s="53">
        <f>tkr!$G$43</f>
        <v>89</v>
      </c>
      <c r="F356" s="53">
        <f>tkr!$M$43</f>
        <v>87</v>
      </c>
      <c r="G356" s="53">
        <f>tkr!$S$43</f>
        <v>84</v>
      </c>
      <c r="H356" s="53">
        <f>tkr!$Y$43</f>
        <v>84</v>
      </c>
      <c r="I356" s="53">
        <f>tkr!$AC$43</f>
        <v>83</v>
      </c>
      <c r="J356" s="59"/>
      <c r="K356" s="54">
        <f>tkr!$AI$43</f>
        <v>71</v>
      </c>
      <c r="L356" s="55"/>
      <c r="M356" s="53">
        <f>tkr!$AO$43</f>
        <v>81</v>
      </c>
      <c r="N356" s="53">
        <f>tkr!$AU$43</f>
        <v>78</v>
      </c>
      <c r="O356" s="59"/>
      <c r="P356" s="55"/>
      <c r="Q356" s="55"/>
      <c r="R356" s="54">
        <f>tkr!$BQ$43</f>
        <v>84</v>
      </c>
      <c r="S356" s="54">
        <f>tkr!$BU$43</f>
        <v>77</v>
      </c>
      <c r="T356" s="55"/>
      <c r="U356" s="54">
        <f>tkr!$BZ$43</f>
        <v>70</v>
      </c>
      <c r="V356" s="58"/>
      <c r="X356" s="278">
        <v>43</v>
      </c>
    </row>
    <row r="357" spans="1:24" ht="15" thickBot="1">
      <c r="A357" s="268">
        <v>39</v>
      </c>
      <c r="B357" s="271"/>
      <c r="C357" s="274"/>
      <c r="D357" s="62" t="s">
        <v>297</v>
      </c>
      <c r="E357" s="53">
        <f>tkr!$H$43</f>
        <v>83</v>
      </c>
      <c r="F357" s="53">
        <f>tkr!$N$43</f>
        <v>93</v>
      </c>
      <c r="G357" s="53">
        <f>tkr!$T$43</f>
        <v>85</v>
      </c>
      <c r="H357" s="53">
        <f>tkr!$Z$43</f>
        <v>83</v>
      </c>
      <c r="I357" s="53">
        <f>tkr!$AD$43</f>
        <v>84</v>
      </c>
      <c r="J357" s="59"/>
      <c r="K357" s="54">
        <f>tkr!$AJ$43</f>
        <v>80</v>
      </c>
      <c r="L357" s="55"/>
      <c r="M357" s="53">
        <f>tkr!$AP$43</f>
        <v>84</v>
      </c>
      <c r="N357" s="53">
        <f>tkr!$AV$43</f>
        <v>79</v>
      </c>
      <c r="O357" s="59"/>
      <c r="P357" s="55"/>
      <c r="Q357" s="55"/>
      <c r="R357" s="54">
        <f>tkr!$BR$43</f>
        <v>83.333333333333329</v>
      </c>
      <c r="S357" s="54">
        <f>tkr!$BV$43</f>
        <v>82</v>
      </c>
      <c r="T357" s="63"/>
      <c r="U357" s="54">
        <f>tkr!$CA$43</f>
        <v>85</v>
      </c>
      <c r="V357" s="58"/>
      <c r="X357" s="278">
        <v>43</v>
      </c>
    </row>
    <row r="358" spans="1:24">
      <c r="A358" s="268">
        <v>39</v>
      </c>
      <c r="B358" s="271"/>
      <c r="C358" s="274"/>
      <c r="D358" s="62" t="s">
        <v>298</v>
      </c>
      <c r="E358" s="53">
        <f>tkr!$I$43</f>
        <v>87</v>
      </c>
      <c r="F358" s="53">
        <f>tkr!$O$43</f>
        <v>94</v>
      </c>
      <c r="G358" s="53">
        <f>tkr!$U$43</f>
        <v>80</v>
      </c>
      <c r="H358" s="65"/>
      <c r="I358" s="65"/>
      <c r="J358" s="59"/>
      <c r="K358" s="59"/>
      <c r="L358" s="53">
        <f>tkr!$AK$43</f>
        <v>85</v>
      </c>
      <c r="M358" s="53">
        <f>tkr!$AQ$43</f>
        <v>84</v>
      </c>
      <c r="N358" s="53">
        <f>tkr!$AW$43</f>
        <v>77</v>
      </c>
      <c r="O358" s="59"/>
      <c r="P358" s="55"/>
      <c r="Q358" s="55"/>
      <c r="R358" s="54">
        <f>tkr!$BS$43</f>
        <v>83.666666666666671</v>
      </c>
      <c r="S358" s="54">
        <f>tkr!$BW$43</f>
        <v>85</v>
      </c>
      <c r="T358" s="54"/>
      <c r="U358" s="54">
        <f>tkr!$CB$43</f>
        <v>77</v>
      </c>
      <c r="V358" s="58"/>
      <c r="X358" s="278">
        <v>43</v>
      </c>
    </row>
    <row r="359" spans="1:24">
      <c r="A359" s="268">
        <v>39</v>
      </c>
      <c r="B359" s="271"/>
      <c r="C359" s="274"/>
      <c r="D359" s="66" t="s">
        <v>299</v>
      </c>
      <c r="E359" s="67">
        <f>AVERAGE(E354:E358)</f>
        <v>87.4</v>
      </c>
      <c r="F359" s="67">
        <f>AVERAGE(F354:F358)</f>
        <v>84.6</v>
      </c>
      <c r="G359" s="67">
        <f>AVERAGE(G354:G358)</f>
        <v>82.8</v>
      </c>
      <c r="H359" s="68"/>
      <c r="I359" s="68"/>
      <c r="J359" s="69"/>
      <c r="K359" s="69"/>
      <c r="L359" s="67">
        <f>AVERAGE(L354:L358)</f>
        <v>85</v>
      </c>
      <c r="M359" s="67">
        <f>AVERAGE(M354:M358)</f>
        <v>80.400000000000006</v>
      </c>
      <c r="N359" s="67">
        <f>AVERAGE(N354:N358)</f>
        <v>76.8</v>
      </c>
      <c r="O359" s="69"/>
      <c r="P359" s="63"/>
      <c r="Q359" s="63"/>
      <c r="R359" s="84">
        <f>AVERAGE(R356:R358)</f>
        <v>83.666666666666671</v>
      </c>
      <c r="S359" s="84">
        <f>AVERAGE(S356:S358)</f>
        <v>81.333333333333329</v>
      </c>
      <c r="T359" s="63"/>
      <c r="U359" s="84">
        <f>AVERAGE(U354:U358)</f>
        <v>77.333333333333329</v>
      </c>
      <c r="V359" s="58"/>
      <c r="X359" s="278">
        <v>43</v>
      </c>
    </row>
    <row r="360" spans="1:24">
      <c r="A360" s="268">
        <v>39</v>
      </c>
      <c r="B360" s="271"/>
      <c r="C360" s="274"/>
      <c r="D360" s="70" t="s">
        <v>300</v>
      </c>
      <c r="E360" s="71">
        <f>tkr!$J$43</f>
        <v>95</v>
      </c>
      <c r="F360" s="71">
        <f>tkr!$P$43</f>
        <v>90</v>
      </c>
      <c r="G360" s="71">
        <f>tkr!$V$43</f>
        <v>86</v>
      </c>
      <c r="H360" s="72"/>
      <c r="I360" s="72"/>
      <c r="J360" s="73"/>
      <c r="K360" s="73"/>
      <c r="L360" s="71">
        <f>tkr!$AL$43</f>
        <v>86</v>
      </c>
      <c r="M360" s="71">
        <f>tkr!$AR$43</f>
        <v>90</v>
      </c>
      <c r="N360" s="71">
        <f>tkr!$AX$43</f>
        <v>90</v>
      </c>
      <c r="O360" s="73"/>
      <c r="P360" s="74"/>
      <c r="Q360" s="74"/>
      <c r="R360" s="85">
        <f>tkr!$BT$43</f>
        <v>90</v>
      </c>
      <c r="S360" s="85">
        <f>tkr!$BX$43</f>
        <v>90</v>
      </c>
      <c r="T360" s="85">
        <f>tkr!$BY$43</f>
        <v>90</v>
      </c>
      <c r="U360" s="75">
        <f>tkr!$CC$43</f>
        <v>90</v>
      </c>
      <c r="V360" s="58"/>
      <c r="X360" s="278">
        <v>43</v>
      </c>
    </row>
    <row r="361" spans="1:24">
      <c r="A361" s="268">
        <v>39</v>
      </c>
      <c r="B361" s="271"/>
      <c r="C361" s="274"/>
      <c r="D361" s="76" t="s">
        <v>301</v>
      </c>
      <c r="E361" s="77">
        <f>tkr!$CD$43</f>
        <v>86</v>
      </c>
      <c r="F361" s="77">
        <f>tkr!$CE$43</f>
        <v>90</v>
      </c>
      <c r="G361" s="77">
        <f>tkr!$CF$43</f>
        <v>82</v>
      </c>
      <c r="H361" s="72"/>
      <c r="I361" s="72"/>
      <c r="J361" s="73"/>
      <c r="K361" s="73"/>
      <c r="L361" s="77">
        <f>tkr!$CG$43</f>
        <v>87</v>
      </c>
      <c r="M361" s="77">
        <f>tkr!$CH$43</f>
        <v>84</v>
      </c>
      <c r="N361" s="77">
        <f>tkr!$CI$43</f>
        <v>80</v>
      </c>
      <c r="O361" s="73"/>
      <c r="P361" s="74"/>
      <c r="Q361" s="74"/>
      <c r="R361" s="86">
        <f>tkr!$CL$43</f>
        <v>90</v>
      </c>
      <c r="S361" s="86">
        <f>tkr!$CK$43</f>
        <v>82</v>
      </c>
      <c r="T361" s="74"/>
      <c r="U361" s="86">
        <f>tkr!$CJ$43</f>
        <v>79</v>
      </c>
      <c r="V361" s="58"/>
      <c r="X361" s="278">
        <v>43</v>
      </c>
    </row>
    <row r="362" spans="1:24" ht="15" thickBot="1">
      <c r="A362" s="269">
        <v>39</v>
      </c>
      <c r="B362" s="272"/>
      <c r="C362" s="275"/>
      <c r="D362" s="78" t="s">
        <v>302</v>
      </c>
      <c r="E362" s="79">
        <f>(E359*4+E360*3+E361*3)/10</f>
        <v>89.26</v>
      </c>
      <c r="F362" s="79">
        <f t="shared" ref="F362:G362" si="75">(F359*4+F360*3+F361*3)/10</f>
        <v>87.84</v>
      </c>
      <c r="G362" s="79">
        <f t="shared" si="75"/>
        <v>83.52000000000001</v>
      </c>
      <c r="H362" s="79">
        <f>AVERAGE(H354:H357)</f>
        <v>83.75</v>
      </c>
      <c r="I362" s="79">
        <f>AVERAGE(I354:I357)</f>
        <v>79.75</v>
      </c>
      <c r="J362" s="79">
        <f>AVERAGE(J354:J355)</f>
        <v>87</v>
      </c>
      <c r="K362" s="79">
        <f>AVERAGE(K354:K357)</f>
        <v>74.25</v>
      </c>
      <c r="L362" s="79">
        <f>(L359*4+L360*3+L361*3)/10</f>
        <v>85.9</v>
      </c>
      <c r="M362" s="79">
        <f>(M359*4+M360*3+M361*3)/10</f>
        <v>84.36</v>
      </c>
      <c r="N362" s="79">
        <f>(N359*4+N360*3+N361*3)/10</f>
        <v>81.72</v>
      </c>
      <c r="O362" s="79">
        <f>AVERAGE(O354:O355)</f>
        <v>78</v>
      </c>
      <c r="P362" s="79">
        <f>AVERAGE(P354:P355)</f>
        <v>79</v>
      </c>
      <c r="Q362" s="79">
        <f>AVERAGE(Q354:Q355)</f>
        <v>80</v>
      </c>
      <c r="R362" s="79">
        <f>(R359*4+R360*3+R361*3)/10</f>
        <v>87.466666666666669</v>
      </c>
      <c r="S362" s="79">
        <f>(S359*4+S360*3+S361*3)/10</f>
        <v>84.133333333333326</v>
      </c>
      <c r="T362" s="79">
        <f>T360</f>
        <v>90</v>
      </c>
      <c r="U362" s="79">
        <f t="shared" ref="U362" si="76">(U359*4+U360*3+U361*3)/10</f>
        <v>81.633333333333326</v>
      </c>
      <c r="V362" s="80">
        <f>AVERAGE(E362:U362)</f>
        <v>83.387254901960773</v>
      </c>
      <c r="X362" s="278">
        <v>43</v>
      </c>
    </row>
    <row r="363" spans="1:24" ht="15" thickTop="1">
      <c r="X363" s="279"/>
    </row>
    <row r="364" spans="1:24">
      <c r="X364" s="279"/>
    </row>
    <row r="365" spans="1:24">
      <c r="X365" s="279"/>
    </row>
    <row r="366" spans="1:24" ht="18">
      <c r="B366" s="42" t="s">
        <v>303</v>
      </c>
      <c r="T366" s="91" t="s">
        <v>715</v>
      </c>
      <c r="X366" s="279"/>
    </row>
    <row r="367" spans="1:24" ht="18">
      <c r="B367" s="42" t="s">
        <v>304</v>
      </c>
      <c r="T367" s="91" t="s">
        <v>419</v>
      </c>
      <c r="X367" s="279"/>
    </row>
    <row r="368" spans="1:24" ht="18">
      <c r="T368" s="91"/>
      <c r="X368" s="279"/>
    </row>
    <row r="369" spans="2:24" ht="18">
      <c r="T369" s="91"/>
      <c r="X369" s="279"/>
    </row>
    <row r="370" spans="2:24" ht="18">
      <c r="T370" s="91"/>
      <c r="X370" s="279"/>
    </row>
    <row r="371" spans="2:24" ht="18">
      <c r="K371" s="47"/>
      <c r="L371" s="47"/>
      <c r="M371" s="47"/>
      <c r="N371" s="47"/>
      <c r="O371" s="47"/>
      <c r="P371" s="47"/>
      <c r="Q371" s="47"/>
      <c r="R371" s="47"/>
      <c r="S371" s="47"/>
      <c r="T371" s="91"/>
      <c r="U371" s="47"/>
      <c r="X371" s="279"/>
    </row>
    <row r="372" spans="2:24" ht="18">
      <c r="T372" s="91"/>
      <c r="X372" s="279"/>
    </row>
    <row r="373" spans="2:24" ht="18">
      <c r="T373" s="91"/>
      <c r="X373" s="279"/>
    </row>
    <row r="374" spans="2:24" ht="18">
      <c r="T374" s="91"/>
      <c r="X374" s="279"/>
    </row>
    <row r="375" spans="2:24" ht="18">
      <c r="B375" s="47" t="s">
        <v>305</v>
      </c>
      <c r="T375" s="92" t="s">
        <v>420</v>
      </c>
      <c r="X375" s="279"/>
    </row>
    <row r="376" spans="2:24" ht="18">
      <c r="B376" s="42" t="s">
        <v>306</v>
      </c>
      <c r="T376" s="92" t="s">
        <v>421</v>
      </c>
      <c r="X376" s="279"/>
    </row>
    <row r="377" spans="2:24">
      <c r="X377" s="279"/>
    </row>
    <row r="378" spans="2:24">
      <c r="X378" s="279"/>
    </row>
  </sheetData>
  <mergeCells count="185">
    <mergeCell ref="X363:X369"/>
    <mergeCell ref="X370:X378"/>
    <mergeCell ref="A345:A353"/>
    <mergeCell ref="B345:B353"/>
    <mergeCell ref="C345:C353"/>
    <mergeCell ref="X345:X353"/>
    <mergeCell ref="A354:A362"/>
    <mergeCell ref="B354:B362"/>
    <mergeCell ref="C354:C362"/>
    <mergeCell ref="X354:X362"/>
    <mergeCell ref="A327:A335"/>
    <mergeCell ref="B327:B335"/>
    <mergeCell ref="C327:C335"/>
    <mergeCell ref="X327:X335"/>
    <mergeCell ref="A336:A344"/>
    <mergeCell ref="B336:B344"/>
    <mergeCell ref="C336:C344"/>
    <mergeCell ref="X336:X344"/>
    <mergeCell ref="A309:A317"/>
    <mergeCell ref="B309:B317"/>
    <mergeCell ref="C309:C317"/>
    <mergeCell ref="X309:X317"/>
    <mergeCell ref="A318:A326"/>
    <mergeCell ref="B318:B326"/>
    <mergeCell ref="C318:C326"/>
    <mergeCell ref="X318:X326"/>
    <mergeCell ref="A291:A299"/>
    <mergeCell ref="B291:B299"/>
    <mergeCell ref="C291:C299"/>
    <mergeCell ref="X291:X299"/>
    <mergeCell ref="A300:A308"/>
    <mergeCell ref="B300:B308"/>
    <mergeCell ref="C300:C308"/>
    <mergeCell ref="X300:X308"/>
    <mergeCell ref="A273:A281"/>
    <mergeCell ref="B273:B281"/>
    <mergeCell ref="C273:C281"/>
    <mergeCell ref="X273:X281"/>
    <mergeCell ref="A282:A290"/>
    <mergeCell ref="B282:B290"/>
    <mergeCell ref="C282:C290"/>
    <mergeCell ref="X282:X290"/>
    <mergeCell ref="A255:A263"/>
    <mergeCell ref="B255:B263"/>
    <mergeCell ref="C255:C263"/>
    <mergeCell ref="X255:X263"/>
    <mergeCell ref="A264:A272"/>
    <mergeCell ref="B264:B272"/>
    <mergeCell ref="C264:C272"/>
    <mergeCell ref="X264:X272"/>
    <mergeCell ref="A237:A245"/>
    <mergeCell ref="B237:B245"/>
    <mergeCell ref="C237:C245"/>
    <mergeCell ref="X237:X245"/>
    <mergeCell ref="A246:A254"/>
    <mergeCell ref="B246:B254"/>
    <mergeCell ref="C246:C254"/>
    <mergeCell ref="X246:X254"/>
    <mergeCell ref="A219:A227"/>
    <mergeCell ref="B219:B227"/>
    <mergeCell ref="C219:C227"/>
    <mergeCell ref="X219:X227"/>
    <mergeCell ref="A228:A236"/>
    <mergeCell ref="B228:B236"/>
    <mergeCell ref="C228:C236"/>
    <mergeCell ref="X228:X236"/>
    <mergeCell ref="A201:A209"/>
    <mergeCell ref="B201:B209"/>
    <mergeCell ref="C201:C209"/>
    <mergeCell ref="X201:X209"/>
    <mergeCell ref="A210:A218"/>
    <mergeCell ref="B210:B218"/>
    <mergeCell ref="C210:C218"/>
    <mergeCell ref="X210:X218"/>
    <mergeCell ref="A183:A191"/>
    <mergeCell ref="B183:B191"/>
    <mergeCell ref="C183:C191"/>
    <mergeCell ref="X183:X191"/>
    <mergeCell ref="A192:A200"/>
    <mergeCell ref="B192:B200"/>
    <mergeCell ref="C192:C200"/>
    <mergeCell ref="X192:X200"/>
    <mergeCell ref="A165:A173"/>
    <mergeCell ref="B165:B173"/>
    <mergeCell ref="C165:C173"/>
    <mergeCell ref="X165:X173"/>
    <mergeCell ref="A174:A182"/>
    <mergeCell ref="B174:B182"/>
    <mergeCell ref="C174:C182"/>
    <mergeCell ref="X174:X182"/>
    <mergeCell ref="A147:A155"/>
    <mergeCell ref="B147:B155"/>
    <mergeCell ref="C147:C155"/>
    <mergeCell ref="X147:X155"/>
    <mergeCell ref="A156:A164"/>
    <mergeCell ref="B156:B164"/>
    <mergeCell ref="C156:C164"/>
    <mergeCell ref="X156:X164"/>
    <mergeCell ref="A129:A137"/>
    <mergeCell ref="B129:B137"/>
    <mergeCell ref="C129:C137"/>
    <mergeCell ref="X129:X137"/>
    <mergeCell ref="A138:A146"/>
    <mergeCell ref="B138:B146"/>
    <mergeCell ref="C138:C146"/>
    <mergeCell ref="X138:X146"/>
    <mergeCell ref="A111:A119"/>
    <mergeCell ref="B111:B119"/>
    <mergeCell ref="C111:C119"/>
    <mergeCell ref="X111:X119"/>
    <mergeCell ref="A120:A128"/>
    <mergeCell ref="B120:B128"/>
    <mergeCell ref="C120:C128"/>
    <mergeCell ref="X120:X128"/>
    <mergeCell ref="A93:A101"/>
    <mergeCell ref="B93:B101"/>
    <mergeCell ref="C93:C101"/>
    <mergeCell ref="X93:X101"/>
    <mergeCell ref="A102:A110"/>
    <mergeCell ref="B102:B110"/>
    <mergeCell ref="C102:C110"/>
    <mergeCell ref="X102:X110"/>
    <mergeCell ref="A75:A83"/>
    <mergeCell ref="B75:B83"/>
    <mergeCell ref="C75:C83"/>
    <mergeCell ref="X75:X83"/>
    <mergeCell ref="A84:A92"/>
    <mergeCell ref="B84:B92"/>
    <mergeCell ref="C84:C92"/>
    <mergeCell ref="X84:X92"/>
    <mergeCell ref="A57:A65"/>
    <mergeCell ref="B57:B65"/>
    <mergeCell ref="C57:C65"/>
    <mergeCell ref="X57:X65"/>
    <mergeCell ref="A66:A74"/>
    <mergeCell ref="B66:B74"/>
    <mergeCell ref="C66:C74"/>
    <mergeCell ref="X66:X74"/>
    <mergeCell ref="H9:H11"/>
    <mergeCell ref="I9:I11"/>
    <mergeCell ref="J9:J11"/>
    <mergeCell ref="A39:A47"/>
    <mergeCell ref="B39:B47"/>
    <mergeCell ref="C39:C47"/>
    <mergeCell ref="X39:X47"/>
    <mergeCell ref="A48:A56"/>
    <mergeCell ref="B48:B56"/>
    <mergeCell ref="C48:C56"/>
    <mergeCell ref="X48:X56"/>
    <mergeCell ref="X12:X20"/>
    <mergeCell ref="A21:A29"/>
    <mergeCell ref="B21:B29"/>
    <mergeCell ref="C21:C29"/>
    <mergeCell ref="X21:X29"/>
    <mergeCell ref="A30:A38"/>
    <mergeCell ref="B30:B38"/>
    <mergeCell ref="C30:C38"/>
    <mergeCell ref="X30:X38"/>
    <mergeCell ref="A12:A20"/>
    <mergeCell ref="B12:B20"/>
    <mergeCell ref="C12:C20"/>
    <mergeCell ref="A1:V1"/>
    <mergeCell ref="A2:V2"/>
    <mergeCell ref="A8:A11"/>
    <mergeCell ref="B8:B11"/>
    <mergeCell ref="C8:C11"/>
    <mergeCell ref="E8:J8"/>
    <mergeCell ref="K8:L8"/>
    <mergeCell ref="M8:U8"/>
    <mergeCell ref="V8:V11"/>
    <mergeCell ref="D9:D11"/>
    <mergeCell ref="Q9:Q11"/>
    <mergeCell ref="R9:R11"/>
    <mergeCell ref="S9:S11"/>
    <mergeCell ref="T9:T11"/>
    <mergeCell ref="U9:U11"/>
    <mergeCell ref="K9:K11"/>
    <mergeCell ref="L9:L11"/>
    <mergeCell ref="M9:M11"/>
    <mergeCell ref="N9:N11"/>
    <mergeCell ref="O9:O11"/>
    <mergeCell ref="P9:P11"/>
    <mergeCell ref="E9:E11"/>
    <mergeCell ref="F9:F11"/>
    <mergeCell ref="G9:G11"/>
  </mergeCells>
  <conditionalFormatting sqref="E17:U17">
    <cfRule type="cellIs" dxfId="1191" priority="855" stopIfTrue="1" operator="notBetween">
      <formula>0</formula>
      <formula>100</formula>
    </cfRule>
    <cfRule type="cellIs" dxfId="1190" priority="853" stopIfTrue="1" operator="notBetween">
      <formula>0</formula>
      <formula>100</formula>
    </cfRule>
    <cfRule type="cellIs" dxfId="1189" priority="854" stopIfTrue="1" operator="lessThan">
      <formula>#REF!</formula>
    </cfRule>
    <cfRule type="cellIs" dxfId="1188" priority="856" stopIfTrue="1" operator="between">
      <formula>0</formula>
      <formula>55</formula>
    </cfRule>
  </conditionalFormatting>
  <conditionalFormatting sqref="E26:U26">
    <cfRule type="cellIs" dxfId="1187" priority="847" stopIfTrue="1" operator="notBetween">
      <formula>0</formula>
      <formula>100</formula>
    </cfRule>
    <cfRule type="cellIs" dxfId="1186" priority="846" stopIfTrue="1" operator="lessThan">
      <formula>#REF!</formula>
    </cfRule>
    <cfRule type="cellIs" dxfId="1185" priority="845" stopIfTrue="1" operator="notBetween">
      <formula>0</formula>
      <formula>100</formula>
    </cfRule>
    <cfRule type="cellIs" dxfId="1184" priority="848" stopIfTrue="1" operator="between">
      <formula>0</formula>
      <formula>55</formula>
    </cfRule>
  </conditionalFormatting>
  <conditionalFormatting sqref="E35:U35">
    <cfRule type="cellIs" dxfId="1183" priority="840" stopIfTrue="1" operator="between">
      <formula>0</formula>
      <formula>55</formula>
    </cfRule>
    <cfRule type="cellIs" dxfId="1182" priority="839" stopIfTrue="1" operator="notBetween">
      <formula>0</formula>
      <formula>100</formula>
    </cfRule>
    <cfRule type="cellIs" dxfId="1181" priority="838" stopIfTrue="1" operator="lessThan">
      <formula>#REF!</formula>
    </cfRule>
    <cfRule type="cellIs" dxfId="1180" priority="837" stopIfTrue="1" operator="notBetween">
      <formula>0</formula>
      <formula>100</formula>
    </cfRule>
  </conditionalFormatting>
  <conditionalFormatting sqref="E44:U44">
    <cfRule type="cellIs" dxfId="1179" priority="832" stopIfTrue="1" operator="between">
      <formula>0</formula>
      <formula>55</formula>
    </cfRule>
    <cfRule type="cellIs" dxfId="1178" priority="831" stopIfTrue="1" operator="notBetween">
      <formula>0</formula>
      <formula>100</formula>
    </cfRule>
    <cfRule type="cellIs" dxfId="1177" priority="830" stopIfTrue="1" operator="lessThan">
      <formula>#REF!</formula>
    </cfRule>
    <cfRule type="cellIs" dxfId="1176" priority="829" stopIfTrue="1" operator="notBetween">
      <formula>0</formula>
      <formula>100</formula>
    </cfRule>
  </conditionalFormatting>
  <conditionalFormatting sqref="E53:U53">
    <cfRule type="cellIs" dxfId="1175" priority="821" stopIfTrue="1" operator="notBetween">
      <formula>0</formula>
      <formula>100</formula>
    </cfRule>
    <cfRule type="cellIs" dxfId="1174" priority="823" stopIfTrue="1" operator="notBetween">
      <formula>0</formula>
      <formula>100</formula>
    </cfRule>
    <cfRule type="cellIs" dxfId="1173" priority="824" stopIfTrue="1" operator="between">
      <formula>0</formula>
      <formula>55</formula>
    </cfRule>
    <cfRule type="cellIs" dxfId="1172" priority="822" stopIfTrue="1" operator="lessThan">
      <formula>#REF!</formula>
    </cfRule>
  </conditionalFormatting>
  <conditionalFormatting sqref="E62:U62">
    <cfRule type="cellIs" dxfId="1171" priority="813" stopIfTrue="1" operator="notBetween">
      <formula>0</formula>
      <formula>100</formula>
    </cfRule>
    <cfRule type="cellIs" dxfId="1170" priority="816" stopIfTrue="1" operator="between">
      <formula>0</formula>
      <formula>55</formula>
    </cfRule>
    <cfRule type="cellIs" dxfId="1169" priority="815" stopIfTrue="1" operator="notBetween">
      <formula>0</formula>
      <formula>100</formula>
    </cfRule>
    <cfRule type="cellIs" dxfId="1168" priority="814" stopIfTrue="1" operator="lessThan">
      <formula>#REF!</formula>
    </cfRule>
  </conditionalFormatting>
  <conditionalFormatting sqref="E71:U71">
    <cfRule type="cellIs" dxfId="1167" priority="805" stopIfTrue="1" operator="notBetween">
      <formula>0</formula>
      <formula>100</formula>
    </cfRule>
    <cfRule type="cellIs" dxfId="1166" priority="806" stopIfTrue="1" operator="lessThan">
      <formula>#REF!</formula>
    </cfRule>
    <cfRule type="cellIs" dxfId="1165" priority="807" stopIfTrue="1" operator="notBetween">
      <formula>0</formula>
      <formula>100</formula>
    </cfRule>
    <cfRule type="cellIs" dxfId="1164" priority="808" stopIfTrue="1" operator="between">
      <formula>0</formula>
      <formula>55</formula>
    </cfRule>
  </conditionalFormatting>
  <conditionalFormatting sqref="E80:U80">
    <cfRule type="cellIs" dxfId="1163" priority="800" stopIfTrue="1" operator="between">
      <formula>0</formula>
      <formula>55</formula>
    </cfRule>
    <cfRule type="cellIs" dxfId="1162" priority="797" stopIfTrue="1" operator="notBetween">
      <formula>0</formula>
      <formula>100</formula>
    </cfRule>
    <cfRule type="cellIs" dxfId="1161" priority="798" stopIfTrue="1" operator="lessThan">
      <formula>#REF!</formula>
    </cfRule>
    <cfRule type="cellIs" dxfId="1160" priority="799" stopIfTrue="1" operator="notBetween">
      <formula>0</formula>
      <formula>100</formula>
    </cfRule>
  </conditionalFormatting>
  <conditionalFormatting sqref="E89:U89">
    <cfRule type="cellIs" dxfId="1159" priority="790" stopIfTrue="1" operator="lessThan">
      <formula>#REF!</formula>
    </cfRule>
    <cfRule type="cellIs" dxfId="1158" priority="791" stopIfTrue="1" operator="notBetween">
      <formula>0</formula>
      <formula>100</formula>
    </cfRule>
    <cfRule type="cellIs" dxfId="1157" priority="792" stopIfTrue="1" operator="between">
      <formula>0</formula>
      <formula>55</formula>
    </cfRule>
    <cfRule type="cellIs" dxfId="1156" priority="789" stopIfTrue="1" operator="notBetween">
      <formula>0</formula>
      <formula>100</formula>
    </cfRule>
  </conditionalFormatting>
  <conditionalFormatting sqref="E98:U98">
    <cfRule type="cellIs" dxfId="1155" priority="782" stopIfTrue="1" operator="lessThan">
      <formula>#REF!</formula>
    </cfRule>
    <cfRule type="cellIs" dxfId="1154" priority="781" stopIfTrue="1" operator="notBetween">
      <formula>0</formula>
      <formula>100</formula>
    </cfRule>
    <cfRule type="cellIs" dxfId="1153" priority="783" stopIfTrue="1" operator="notBetween">
      <formula>0</formula>
      <formula>100</formula>
    </cfRule>
    <cfRule type="cellIs" dxfId="1152" priority="784" stopIfTrue="1" operator="between">
      <formula>0</formula>
      <formula>55</formula>
    </cfRule>
  </conditionalFormatting>
  <conditionalFormatting sqref="E107:U107">
    <cfRule type="cellIs" dxfId="1151" priority="775" stopIfTrue="1" operator="notBetween">
      <formula>0</formula>
      <formula>100</formula>
    </cfRule>
    <cfRule type="cellIs" dxfId="1150" priority="776" stopIfTrue="1" operator="between">
      <formula>0</formula>
      <formula>55</formula>
    </cfRule>
    <cfRule type="cellIs" dxfId="1149" priority="774" stopIfTrue="1" operator="lessThan">
      <formula>#REF!</formula>
    </cfRule>
    <cfRule type="cellIs" dxfId="1148" priority="773" stopIfTrue="1" operator="notBetween">
      <formula>0</formula>
      <formula>100</formula>
    </cfRule>
  </conditionalFormatting>
  <conditionalFormatting sqref="E116:U116">
    <cfRule type="cellIs" dxfId="1147" priority="767" stopIfTrue="1" operator="notBetween">
      <formula>0</formula>
      <formula>100</formula>
    </cfRule>
    <cfRule type="cellIs" dxfId="1146" priority="765" stopIfTrue="1" operator="notBetween">
      <formula>0</formula>
      <formula>100</formula>
    </cfRule>
    <cfRule type="cellIs" dxfId="1145" priority="766" stopIfTrue="1" operator="lessThan">
      <formula>#REF!</formula>
    </cfRule>
    <cfRule type="cellIs" dxfId="1144" priority="768" stopIfTrue="1" operator="between">
      <formula>0</formula>
      <formula>55</formula>
    </cfRule>
  </conditionalFormatting>
  <conditionalFormatting sqref="E125:U125">
    <cfRule type="cellIs" dxfId="1143" priority="758" stopIfTrue="1" operator="lessThan">
      <formula>#REF!</formula>
    </cfRule>
    <cfRule type="cellIs" dxfId="1142" priority="759" stopIfTrue="1" operator="notBetween">
      <formula>0</formula>
      <formula>100</formula>
    </cfRule>
    <cfRule type="cellIs" dxfId="1141" priority="760" stopIfTrue="1" operator="between">
      <formula>0</formula>
      <formula>55</formula>
    </cfRule>
    <cfRule type="cellIs" dxfId="1140" priority="757" stopIfTrue="1" operator="notBetween">
      <formula>0</formula>
      <formula>100</formula>
    </cfRule>
  </conditionalFormatting>
  <conditionalFormatting sqref="E134:U134">
    <cfRule type="cellIs" dxfId="1139" priority="749" stopIfTrue="1" operator="notBetween">
      <formula>0</formula>
      <formula>100</formula>
    </cfRule>
    <cfRule type="cellIs" dxfId="1138" priority="750" stopIfTrue="1" operator="lessThan">
      <formula>#REF!</formula>
    </cfRule>
    <cfRule type="cellIs" dxfId="1137" priority="751" stopIfTrue="1" operator="notBetween">
      <formula>0</formula>
      <formula>100</formula>
    </cfRule>
    <cfRule type="cellIs" dxfId="1136" priority="752" stopIfTrue="1" operator="between">
      <formula>0</formula>
      <formula>55</formula>
    </cfRule>
  </conditionalFormatting>
  <conditionalFormatting sqref="E143:U143">
    <cfRule type="cellIs" dxfId="1135" priority="741" stopIfTrue="1" operator="notBetween">
      <formula>0</formula>
      <formula>100</formula>
    </cfRule>
    <cfRule type="cellIs" dxfId="1134" priority="742" stopIfTrue="1" operator="lessThan">
      <formula>#REF!</formula>
    </cfRule>
    <cfRule type="cellIs" dxfId="1133" priority="743" stopIfTrue="1" operator="notBetween">
      <formula>0</formula>
      <formula>100</formula>
    </cfRule>
    <cfRule type="cellIs" dxfId="1132" priority="744" stopIfTrue="1" operator="between">
      <formula>0</formula>
      <formula>55</formula>
    </cfRule>
  </conditionalFormatting>
  <conditionalFormatting sqref="E152:U152">
    <cfRule type="cellIs" dxfId="1131" priority="735" stopIfTrue="1" operator="notBetween">
      <formula>0</formula>
      <formula>100</formula>
    </cfRule>
    <cfRule type="cellIs" dxfId="1130" priority="733" stopIfTrue="1" operator="notBetween">
      <formula>0</formula>
      <formula>100</formula>
    </cfRule>
    <cfRule type="cellIs" dxfId="1129" priority="734" stopIfTrue="1" operator="lessThan">
      <formula>#REF!</formula>
    </cfRule>
    <cfRule type="cellIs" dxfId="1128" priority="736" stopIfTrue="1" operator="between">
      <formula>0</formula>
      <formula>55</formula>
    </cfRule>
  </conditionalFormatting>
  <conditionalFormatting sqref="E161:U161">
    <cfRule type="cellIs" dxfId="1127" priority="725" stopIfTrue="1" operator="notBetween">
      <formula>0</formula>
      <formula>100</formula>
    </cfRule>
    <cfRule type="cellIs" dxfId="1126" priority="728" stopIfTrue="1" operator="between">
      <formula>0</formula>
      <formula>55</formula>
    </cfRule>
    <cfRule type="cellIs" dxfId="1125" priority="727" stopIfTrue="1" operator="notBetween">
      <formula>0</formula>
      <formula>100</formula>
    </cfRule>
    <cfRule type="cellIs" dxfId="1124" priority="726" stopIfTrue="1" operator="lessThan">
      <formula>#REF!</formula>
    </cfRule>
  </conditionalFormatting>
  <conditionalFormatting sqref="E170:U170">
    <cfRule type="cellIs" dxfId="1123" priority="720" stopIfTrue="1" operator="between">
      <formula>0</formula>
      <formula>55</formula>
    </cfRule>
    <cfRule type="cellIs" dxfId="1122" priority="719" stopIfTrue="1" operator="notBetween">
      <formula>0</formula>
      <formula>100</formula>
    </cfRule>
    <cfRule type="cellIs" dxfId="1121" priority="718" stopIfTrue="1" operator="lessThan">
      <formula>#REF!</formula>
    </cfRule>
    <cfRule type="cellIs" dxfId="1120" priority="717" stopIfTrue="1" operator="notBetween">
      <formula>0</formula>
      <formula>100</formula>
    </cfRule>
  </conditionalFormatting>
  <conditionalFormatting sqref="E179:U179">
    <cfRule type="cellIs" dxfId="1119" priority="709" stopIfTrue="1" operator="notBetween">
      <formula>0</formula>
      <formula>100</formula>
    </cfRule>
    <cfRule type="cellIs" dxfId="1118" priority="710" stopIfTrue="1" operator="lessThan">
      <formula>#REF!</formula>
    </cfRule>
    <cfRule type="cellIs" dxfId="1117" priority="711" stopIfTrue="1" operator="notBetween">
      <formula>0</formula>
      <formula>100</formula>
    </cfRule>
    <cfRule type="cellIs" dxfId="1116" priority="712" stopIfTrue="1" operator="between">
      <formula>0</formula>
      <formula>55</formula>
    </cfRule>
  </conditionalFormatting>
  <conditionalFormatting sqref="E188:U188">
    <cfRule type="cellIs" dxfId="1115" priority="704" stopIfTrue="1" operator="between">
      <formula>0</formula>
      <formula>55</formula>
    </cfRule>
    <cfRule type="cellIs" dxfId="1114" priority="703" stopIfTrue="1" operator="notBetween">
      <formula>0</formula>
      <formula>100</formula>
    </cfRule>
    <cfRule type="cellIs" dxfId="1113" priority="702" stopIfTrue="1" operator="lessThan">
      <formula>#REF!</formula>
    </cfRule>
    <cfRule type="cellIs" dxfId="1112" priority="701" stopIfTrue="1" operator="notBetween">
      <formula>0</formula>
      <formula>100</formula>
    </cfRule>
  </conditionalFormatting>
  <conditionalFormatting sqref="E197:U197">
    <cfRule type="cellIs" dxfId="1111" priority="693" stopIfTrue="1" operator="notBetween">
      <formula>0</formula>
      <formula>100</formula>
    </cfRule>
    <cfRule type="cellIs" dxfId="1110" priority="694" stopIfTrue="1" operator="lessThan">
      <formula>#REF!</formula>
    </cfRule>
    <cfRule type="cellIs" dxfId="1109" priority="695" stopIfTrue="1" operator="notBetween">
      <formula>0</formula>
      <formula>100</formula>
    </cfRule>
    <cfRule type="cellIs" dxfId="1108" priority="696" stopIfTrue="1" operator="between">
      <formula>0</formula>
      <formula>55</formula>
    </cfRule>
  </conditionalFormatting>
  <conditionalFormatting sqref="E206:U206">
    <cfRule type="cellIs" dxfId="1107" priority="685" stopIfTrue="1" operator="notBetween">
      <formula>0</formula>
      <formula>100</formula>
    </cfRule>
    <cfRule type="cellIs" dxfId="1106" priority="688" stopIfTrue="1" operator="between">
      <formula>0</formula>
      <formula>55</formula>
    </cfRule>
    <cfRule type="cellIs" dxfId="1105" priority="687" stopIfTrue="1" operator="notBetween">
      <formula>0</formula>
      <formula>100</formula>
    </cfRule>
    <cfRule type="cellIs" dxfId="1104" priority="686" stopIfTrue="1" operator="lessThan">
      <formula>#REF!</formula>
    </cfRule>
  </conditionalFormatting>
  <conditionalFormatting sqref="E215:U215">
    <cfRule type="cellIs" dxfId="1103" priority="680" stopIfTrue="1" operator="between">
      <formula>0</formula>
      <formula>55</formula>
    </cfRule>
    <cfRule type="cellIs" dxfId="1102" priority="679" stopIfTrue="1" operator="notBetween">
      <formula>0</formula>
      <formula>100</formula>
    </cfRule>
    <cfRule type="cellIs" dxfId="1101" priority="677" stopIfTrue="1" operator="notBetween">
      <formula>0</formula>
      <formula>100</formula>
    </cfRule>
    <cfRule type="cellIs" dxfId="1100" priority="678" stopIfTrue="1" operator="lessThan">
      <formula>#REF!</formula>
    </cfRule>
  </conditionalFormatting>
  <conditionalFormatting sqref="E224:U224">
    <cfRule type="cellIs" dxfId="1099" priority="669" stopIfTrue="1" operator="notBetween">
      <formula>0</formula>
      <formula>100</formula>
    </cfRule>
    <cfRule type="cellIs" dxfId="1098" priority="670" stopIfTrue="1" operator="lessThan">
      <formula>#REF!</formula>
    </cfRule>
    <cfRule type="cellIs" dxfId="1097" priority="671" stopIfTrue="1" operator="notBetween">
      <formula>0</formula>
      <formula>100</formula>
    </cfRule>
    <cfRule type="cellIs" dxfId="1096" priority="672" stopIfTrue="1" operator="between">
      <formula>0</formula>
      <formula>55</formula>
    </cfRule>
  </conditionalFormatting>
  <conditionalFormatting sqref="E233:U233">
    <cfRule type="cellIs" dxfId="1095" priority="664" stopIfTrue="1" operator="between">
      <formula>0</formula>
      <formula>55</formula>
    </cfRule>
    <cfRule type="cellIs" dxfId="1094" priority="662" stopIfTrue="1" operator="lessThan">
      <formula>#REF!</formula>
    </cfRule>
    <cfRule type="cellIs" dxfId="1093" priority="661" stopIfTrue="1" operator="notBetween">
      <formula>0</formula>
      <formula>100</formula>
    </cfRule>
    <cfRule type="cellIs" dxfId="1092" priority="663" stopIfTrue="1" operator="notBetween">
      <formula>0</formula>
      <formula>100</formula>
    </cfRule>
  </conditionalFormatting>
  <conditionalFormatting sqref="E242:U242">
    <cfRule type="cellIs" dxfId="1091" priority="653" stopIfTrue="1" operator="notBetween">
      <formula>0</formula>
      <formula>100</formula>
    </cfRule>
    <cfRule type="cellIs" dxfId="1090" priority="654" stopIfTrue="1" operator="lessThan">
      <formula>#REF!</formula>
    </cfRule>
    <cfRule type="cellIs" dxfId="1089" priority="655" stopIfTrue="1" operator="notBetween">
      <formula>0</formula>
      <formula>100</formula>
    </cfRule>
    <cfRule type="cellIs" dxfId="1088" priority="656" stopIfTrue="1" operator="between">
      <formula>0</formula>
      <formula>55</formula>
    </cfRule>
  </conditionalFormatting>
  <conditionalFormatting sqref="E251:U251">
    <cfRule type="cellIs" dxfId="1087" priority="645" stopIfTrue="1" operator="notBetween">
      <formula>0</formula>
      <formula>100</formula>
    </cfRule>
    <cfRule type="cellIs" dxfId="1086" priority="646" stopIfTrue="1" operator="lessThan">
      <formula>#REF!</formula>
    </cfRule>
    <cfRule type="cellIs" dxfId="1085" priority="647" stopIfTrue="1" operator="notBetween">
      <formula>0</formula>
      <formula>100</formula>
    </cfRule>
    <cfRule type="cellIs" dxfId="1084" priority="648" stopIfTrue="1" operator="between">
      <formula>0</formula>
      <formula>55</formula>
    </cfRule>
  </conditionalFormatting>
  <conditionalFormatting sqref="E260:U260">
    <cfRule type="cellIs" dxfId="1083" priority="637" stopIfTrue="1" operator="notBetween">
      <formula>0</formula>
      <formula>100</formula>
    </cfRule>
    <cfRule type="cellIs" dxfId="1082" priority="638" stopIfTrue="1" operator="lessThan">
      <formula>#REF!</formula>
    </cfRule>
    <cfRule type="cellIs" dxfId="1081" priority="639" stopIfTrue="1" operator="notBetween">
      <formula>0</formula>
      <formula>100</formula>
    </cfRule>
    <cfRule type="cellIs" dxfId="1080" priority="640" stopIfTrue="1" operator="between">
      <formula>0</formula>
      <formula>55</formula>
    </cfRule>
  </conditionalFormatting>
  <conditionalFormatting sqref="E269:U269">
    <cfRule type="cellIs" dxfId="1079" priority="629" stopIfTrue="1" operator="notBetween">
      <formula>0</formula>
      <formula>100</formula>
    </cfRule>
    <cfRule type="cellIs" dxfId="1078" priority="631" stopIfTrue="1" operator="notBetween">
      <formula>0</formula>
      <formula>100</formula>
    </cfRule>
    <cfRule type="cellIs" dxfId="1077" priority="632" stopIfTrue="1" operator="between">
      <formula>0</formula>
      <formula>55</formula>
    </cfRule>
    <cfRule type="cellIs" dxfId="1076" priority="630" stopIfTrue="1" operator="lessThan">
      <formula>#REF!</formula>
    </cfRule>
  </conditionalFormatting>
  <conditionalFormatting sqref="E278:U278">
    <cfRule type="cellIs" dxfId="1075" priority="621" stopIfTrue="1" operator="notBetween">
      <formula>0</formula>
      <formula>100</formula>
    </cfRule>
    <cfRule type="cellIs" dxfId="1074" priority="622" stopIfTrue="1" operator="lessThan">
      <formula>#REF!</formula>
    </cfRule>
    <cfRule type="cellIs" dxfId="1073" priority="624" stopIfTrue="1" operator="between">
      <formula>0</formula>
      <formula>55</formula>
    </cfRule>
    <cfRule type="cellIs" dxfId="1072" priority="623" stopIfTrue="1" operator="notBetween">
      <formula>0</formula>
      <formula>100</formula>
    </cfRule>
  </conditionalFormatting>
  <conditionalFormatting sqref="E287:U287">
    <cfRule type="cellIs" dxfId="1071" priority="613" stopIfTrue="1" operator="notBetween">
      <formula>0</formula>
      <formula>100</formula>
    </cfRule>
    <cfRule type="cellIs" dxfId="1070" priority="614" stopIfTrue="1" operator="lessThan">
      <formula>#REF!</formula>
    </cfRule>
    <cfRule type="cellIs" dxfId="1069" priority="615" stopIfTrue="1" operator="notBetween">
      <formula>0</formula>
      <formula>100</formula>
    </cfRule>
    <cfRule type="cellIs" dxfId="1068" priority="616" stopIfTrue="1" operator="between">
      <formula>0</formula>
      <formula>55</formula>
    </cfRule>
  </conditionalFormatting>
  <conditionalFormatting sqref="E296:U296">
    <cfRule type="cellIs" dxfId="1067" priority="607" stopIfTrue="1" operator="notBetween">
      <formula>0</formula>
      <formula>100</formula>
    </cfRule>
    <cfRule type="cellIs" dxfId="1066" priority="606" stopIfTrue="1" operator="lessThan">
      <formula>#REF!</formula>
    </cfRule>
    <cfRule type="cellIs" dxfId="1065" priority="605" stopIfTrue="1" operator="notBetween">
      <formula>0</formula>
      <formula>100</formula>
    </cfRule>
    <cfRule type="cellIs" dxfId="1064" priority="608" stopIfTrue="1" operator="between">
      <formula>0</formula>
      <formula>55</formula>
    </cfRule>
  </conditionalFormatting>
  <conditionalFormatting sqref="E305:U305">
    <cfRule type="cellIs" dxfId="1063" priority="600" stopIfTrue="1" operator="between">
      <formula>0</formula>
      <formula>55</formula>
    </cfRule>
    <cfRule type="cellIs" dxfId="1062" priority="599" stopIfTrue="1" operator="notBetween">
      <formula>0</formula>
      <formula>100</formula>
    </cfRule>
    <cfRule type="cellIs" dxfId="1061" priority="598" stopIfTrue="1" operator="lessThan">
      <formula>#REF!</formula>
    </cfRule>
    <cfRule type="cellIs" dxfId="1060" priority="597" stopIfTrue="1" operator="notBetween">
      <formula>0</formula>
      <formula>100</formula>
    </cfRule>
  </conditionalFormatting>
  <conditionalFormatting sqref="E314:U314">
    <cfRule type="cellIs" dxfId="1059" priority="592" stopIfTrue="1" operator="between">
      <formula>0</formula>
      <formula>55</formula>
    </cfRule>
    <cfRule type="cellIs" dxfId="1058" priority="591" stopIfTrue="1" operator="notBetween">
      <formula>0</formula>
      <formula>100</formula>
    </cfRule>
    <cfRule type="cellIs" dxfId="1057" priority="590" stopIfTrue="1" operator="lessThan">
      <formula>#REF!</formula>
    </cfRule>
    <cfRule type="cellIs" dxfId="1056" priority="589" stopIfTrue="1" operator="notBetween">
      <formula>0</formula>
      <formula>100</formula>
    </cfRule>
  </conditionalFormatting>
  <conditionalFormatting sqref="E323:U323">
    <cfRule type="cellIs" dxfId="1055" priority="584" stopIfTrue="1" operator="between">
      <formula>0</formula>
      <formula>55</formula>
    </cfRule>
    <cfRule type="cellIs" dxfId="1054" priority="581" stopIfTrue="1" operator="notBetween">
      <formula>0</formula>
      <formula>100</formula>
    </cfRule>
    <cfRule type="cellIs" dxfId="1053" priority="582" stopIfTrue="1" operator="lessThan">
      <formula>#REF!</formula>
    </cfRule>
    <cfRule type="cellIs" dxfId="1052" priority="583" stopIfTrue="1" operator="notBetween">
      <formula>0</formula>
      <formula>100</formula>
    </cfRule>
  </conditionalFormatting>
  <conditionalFormatting sqref="E332:U332">
    <cfRule type="cellIs" dxfId="1051" priority="575" stopIfTrue="1" operator="notBetween">
      <formula>0</formula>
      <formula>100</formula>
    </cfRule>
    <cfRule type="cellIs" dxfId="1050" priority="576" stopIfTrue="1" operator="between">
      <formula>0</formula>
      <formula>55</formula>
    </cfRule>
    <cfRule type="cellIs" dxfId="1049" priority="573" stopIfTrue="1" operator="notBetween">
      <formula>0</formula>
      <formula>100</formula>
    </cfRule>
    <cfRule type="cellIs" dxfId="1048" priority="574" stopIfTrue="1" operator="lessThan">
      <formula>#REF!</formula>
    </cfRule>
  </conditionalFormatting>
  <conditionalFormatting sqref="E341:U341">
    <cfRule type="cellIs" dxfId="1047" priority="566" stopIfTrue="1" operator="lessThan">
      <formula>#REF!</formula>
    </cfRule>
    <cfRule type="cellIs" dxfId="1046" priority="567" stopIfTrue="1" operator="notBetween">
      <formula>0</formula>
      <formula>100</formula>
    </cfRule>
    <cfRule type="cellIs" dxfId="1045" priority="565" stopIfTrue="1" operator="notBetween">
      <formula>0</formula>
      <formula>100</formula>
    </cfRule>
    <cfRule type="cellIs" dxfId="1044" priority="568" stopIfTrue="1" operator="between">
      <formula>0</formula>
      <formula>55</formula>
    </cfRule>
  </conditionalFormatting>
  <conditionalFormatting sqref="E350:U350">
    <cfRule type="cellIs" dxfId="1043" priority="559" stopIfTrue="1" operator="notBetween">
      <formula>0</formula>
      <formula>100</formula>
    </cfRule>
    <cfRule type="cellIs" dxfId="1042" priority="557" stopIfTrue="1" operator="notBetween">
      <formula>0</formula>
      <formula>100</formula>
    </cfRule>
    <cfRule type="cellIs" dxfId="1041" priority="558" stopIfTrue="1" operator="lessThan">
      <formula>#REF!</formula>
    </cfRule>
    <cfRule type="cellIs" dxfId="1040" priority="560" stopIfTrue="1" operator="between">
      <formula>0</formula>
      <formula>55</formula>
    </cfRule>
  </conditionalFormatting>
  <conditionalFormatting sqref="E359:U359">
    <cfRule type="cellIs" dxfId="1039" priority="549" stopIfTrue="1" operator="notBetween">
      <formula>0</formula>
      <formula>100</formula>
    </cfRule>
    <cfRule type="cellIs" dxfId="1038" priority="550" stopIfTrue="1" operator="lessThan">
      <formula>#REF!</formula>
    </cfRule>
    <cfRule type="cellIs" dxfId="1037" priority="551" stopIfTrue="1" operator="notBetween">
      <formula>0</formula>
      <formula>100</formula>
    </cfRule>
    <cfRule type="cellIs" dxfId="1036" priority="552" stopIfTrue="1" operator="between">
      <formula>0</formula>
      <formula>55</formula>
    </cfRule>
  </conditionalFormatting>
  <conditionalFormatting sqref="T15">
    <cfRule type="cellIs" dxfId="1035" priority="852" stopIfTrue="1" operator="between">
      <formula>0</formula>
      <formula>55</formula>
    </cfRule>
    <cfRule type="cellIs" dxfId="1034" priority="851" stopIfTrue="1" operator="notBetween">
      <formula>0</formula>
      <formula>100</formula>
    </cfRule>
    <cfRule type="cellIs" dxfId="1033" priority="850" stopIfTrue="1" operator="lessThan">
      <formula>#REF!</formula>
    </cfRule>
    <cfRule type="cellIs" dxfId="1032" priority="849" stopIfTrue="1" operator="notBetween">
      <formula>0</formula>
      <formula>100</formula>
    </cfRule>
  </conditionalFormatting>
  <conditionalFormatting sqref="T24">
    <cfRule type="cellIs" dxfId="1031" priority="843" stopIfTrue="1" operator="notBetween">
      <formula>0</formula>
      <formula>100</formula>
    </cfRule>
    <cfRule type="cellIs" dxfId="1030" priority="844" stopIfTrue="1" operator="between">
      <formula>0</formula>
      <formula>55</formula>
    </cfRule>
    <cfRule type="cellIs" dxfId="1029" priority="842" stopIfTrue="1" operator="lessThan">
      <formula>#REF!</formula>
    </cfRule>
    <cfRule type="cellIs" dxfId="1028" priority="841" stopIfTrue="1" operator="notBetween">
      <formula>0</formula>
      <formula>100</formula>
    </cfRule>
  </conditionalFormatting>
  <conditionalFormatting sqref="T33">
    <cfRule type="cellIs" dxfId="1027" priority="836" stopIfTrue="1" operator="between">
      <formula>0</formula>
      <formula>55</formula>
    </cfRule>
    <cfRule type="cellIs" dxfId="1026" priority="835" stopIfTrue="1" operator="notBetween">
      <formula>0</formula>
      <formula>100</formula>
    </cfRule>
    <cfRule type="cellIs" dxfId="1025" priority="834" stopIfTrue="1" operator="lessThan">
      <formula>#REF!</formula>
    </cfRule>
    <cfRule type="cellIs" dxfId="1024" priority="833" stopIfTrue="1" operator="notBetween">
      <formula>0</formula>
      <formula>100</formula>
    </cfRule>
  </conditionalFormatting>
  <conditionalFormatting sqref="T42">
    <cfRule type="cellIs" dxfId="1023" priority="826" stopIfTrue="1" operator="lessThan">
      <formula>#REF!</formula>
    </cfRule>
    <cfRule type="cellIs" dxfId="1022" priority="825" stopIfTrue="1" operator="notBetween">
      <formula>0</formula>
      <formula>100</formula>
    </cfRule>
    <cfRule type="cellIs" dxfId="1021" priority="828" stopIfTrue="1" operator="between">
      <formula>0</formula>
      <formula>55</formula>
    </cfRule>
    <cfRule type="cellIs" dxfId="1020" priority="827" stopIfTrue="1" operator="notBetween">
      <formula>0</formula>
      <formula>100</formula>
    </cfRule>
  </conditionalFormatting>
  <conditionalFormatting sqref="T51">
    <cfRule type="cellIs" dxfId="1019" priority="820" stopIfTrue="1" operator="between">
      <formula>0</formula>
      <formula>55</formula>
    </cfRule>
    <cfRule type="cellIs" dxfId="1018" priority="819" stopIfTrue="1" operator="notBetween">
      <formula>0</formula>
      <formula>100</formula>
    </cfRule>
    <cfRule type="cellIs" dxfId="1017" priority="817" stopIfTrue="1" operator="notBetween">
      <formula>0</formula>
      <formula>100</formula>
    </cfRule>
    <cfRule type="cellIs" dxfId="1016" priority="818" stopIfTrue="1" operator="lessThan">
      <formula>#REF!</formula>
    </cfRule>
  </conditionalFormatting>
  <conditionalFormatting sqref="T60">
    <cfRule type="cellIs" dxfId="1015" priority="812" stopIfTrue="1" operator="between">
      <formula>0</formula>
      <formula>55</formula>
    </cfRule>
    <cfRule type="cellIs" dxfId="1014" priority="809" stopIfTrue="1" operator="notBetween">
      <formula>0</formula>
      <formula>100</formula>
    </cfRule>
    <cfRule type="cellIs" dxfId="1013" priority="811" stopIfTrue="1" operator="notBetween">
      <formula>0</formula>
      <formula>100</formula>
    </cfRule>
    <cfRule type="cellIs" dxfId="1012" priority="810" stopIfTrue="1" operator="lessThan">
      <formula>#REF!</formula>
    </cfRule>
  </conditionalFormatting>
  <conditionalFormatting sqref="T69">
    <cfRule type="cellIs" dxfId="1011" priority="804" stopIfTrue="1" operator="between">
      <formula>0</formula>
      <formula>55</formula>
    </cfRule>
    <cfRule type="cellIs" dxfId="1010" priority="802" stopIfTrue="1" operator="lessThan">
      <formula>#REF!</formula>
    </cfRule>
    <cfRule type="cellIs" dxfId="1009" priority="803" stopIfTrue="1" operator="notBetween">
      <formula>0</formula>
      <formula>100</formula>
    </cfRule>
    <cfRule type="cellIs" dxfId="1008" priority="801" stopIfTrue="1" operator="notBetween">
      <formula>0</formula>
      <formula>100</formula>
    </cfRule>
  </conditionalFormatting>
  <conditionalFormatting sqref="T78">
    <cfRule type="cellIs" dxfId="1007" priority="795" stopIfTrue="1" operator="notBetween">
      <formula>0</formula>
      <formula>100</formula>
    </cfRule>
    <cfRule type="cellIs" dxfId="1006" priority="794" stopIfTrue="1" operator="lessThan">
      <formula>#REF!</formula>
    </cfRule>
    <cfRule type="cellIs" dxfId="1005" priority="796" stopIfTrue="1" operator="between">
      <formula>0</formula>
      <formula>55</formula>
    </cfRule>
    <cfRule type="cellIs" dxfId="1004" priority="793" stopIfTrue="1" operator="notBetween">
      <formula>0</formula>
      <formula>100</formula>
    </cfRule>
  </conditionalFormatting>
  <conditionalFormatting sqref="T87">
    <cfRule type="cellIs" dxfId="1003" priority="788" stopIfTrue="1" operator="between">
      <formula>0</formula>
      <formula>55</formula>
    </cfRule>
    <cfRule type="cellIs" dxfId="1002" priority="786" stopIfTrue="1" operator="lessThan">
      <formula>#REF!</formula>
    </cfRule>
    <cfRule type="cellIs" dxfId="1001" priority="787" stopIfTrue="1" operator="notBetween">
      <formula>0</formula>
      <formula>100</formula>
    </cfRule>
    <cfRule type="cellIs" dxfId="1000" priority="785" stopIfTrue="1" operator="notBetween">
      <formula>0</formula>
      <formula>100</formula>
    </cfRule>
  </conditionalFormatting>
  <conditionalFormatting sqref="T96">
    <cfRule type="cellIs" dxfId="999" priority="778" stopIfTrue="1" operator="lessThan">
      <formula>#REF!</formula>
    </cfRule>
    <cfRule type="cellIs" dxfId="998" priority="780" stopIfTrue="1" operator="between">
      <formula>0</formula>
      <formula>55</formula>
    </cfRule>
    <cfRule type="cellIs" dxfId="997" priority="779" stopIfTrue="1" operator="notBetween">
      <formula>0</formula>
      <formula>100</formula>
    </cfRule>
    <cfRule type="cellIs" dxfId="996" priority="777" stopIfTrue="1" operator="notBetween">
      <formula>0</formula>
      <formula>100</formula>
    </cfRule>
  </conditionalFormatting>
  <conditionalFormatting sqref="T105">
    <cfRule type="cellIs" dxfId="995" priority="771" stopIfTrue="1" operator="notBetween">
      <formula>0</formula>
      <formula>100</formula>
    </cfRule>
    <cfRule type="cellIs" dxfId="994" priority="772" stopIfTrue="1" operator="between">
      <formula>0</formula>
      <formula>55</formula>
    </cfRule>
    <cfRule type="cellIs" dxfId="993" priority="769" stopIfTrue="1" operator="notBetween">
      <formula>0</formula>
      <formula>100</formula>
    </cfRule>
    <cfRule type="cellIs" dxfId="992" priority="770" stopIfTrue="1" operator="lessThan">
      <formula>#REF!</formula>
    </cfRule>
  </conditionalFormatting>
  <conditionalFormatting sqref="T114">
    <cfRule type="cellIs" dxfId="991" priority="761" stopIfTrue="1" operator="notBetween">
      <formula>0</formula>
      <formula>100</formula>
    </cfRule>
    <cfRule type="cellIs" dxfId="990" priority="763" stopIfTrue="1" operator="notBetween">
      <formula>0</formula>
      <formula>100</formula>
    </cfRule>
    <cfRule type="cellIs" dxfId="989" priority="764" stopIfTrue="1" operator="between">
      <formula>0</formula>
      <formula>55</formula>
    </cfRule>
    <cfRule type="cellIs" dxfId="988" priority="762" stopIfTrue="1" operator="lessThan">
      <formula>#REF!</formula>
    </cfRule>
  </conditionalFormatting>
  <conditionalFormatting sqref="T123">
    <cfRule type="cellIs" dxfId="987" priority="753" stopIfTrue="1" operator="notBetween">
      <formula>0</formula>
      <formula>100</formula>
    </cfRule>
    <cfRule type="cellIs" dxfId="986" priority="754" stopIfTrue="1" operator="lessThan">
      <formula>#REF!</formula>
    </cfRule>
    <cfRule type="cellIs" dxfId="985" priority="755" stopIfTrue="1" operator="notBetween">
      <formula>0</formula>
      <formula>100</formula>
    </cfRule>
    <cfRule type="cellIs" dxfId="984" priority="756" stopIfTrue="1" operator="between">
      <formula>0</formula>
      <formula>55</formula>
    </cfRule>
  </conditionalFormatting>
  <conditionalFormatting sqref="T132">
    <cfRule type="cellIs" dxfId="983" priority="747" stopIfTrue="1" operator="notBetween">
      <formula>0</formula>
      <formula>100</formula>
    </cfRule>
    <cfRule type="cellIs" dxfId="982" priority="746" stopIfTrue="1" operator="lessThan">
      <formula>#REF!</formula>
    </cfRule>
    <cfRule type="cellIs" dxfId="981" priority="745" stopIfTrue="1" operator="notBetween">
      <formula>0</formula>
      <formula>100</formula>
    </cfRule>
    <cfRule type="cellIs" dxfId="980" priority="748" stopIfTrue="1" operator="between">
      <formula>0</formula>
      <formula>55</formula>
    </cfRule>
  </conditionalFormatting>
  <conditionalFormatting sqref="T141">
    <cfRule type="cellIs" dxfId="979" priority="737" stopIfTrue="1" operator="notBetween">
      <formula>0</formula>
      <formula>100</formula>
    </cfRule>
    <cfRule type="cellIs" dxfId="978" priority="738" stopIfTrue="1" operator="lessThan">
      <formula>#REF!</formula>
    </cfRule>
    <cfRule type="cellIs" dxfId="977" priority="739" stopIfTrue="1" operator="notBetween">
      <formula>0</formula>
      <formula>100</formula>
    </cfRule>
    <cfRule type="cellIs" dxfId="976" priority="740" stopIfTrue="1" operator="between">
      <formula>0</formula>
      <formula>55</formula>
    </cfRule>
  </conditionalFormatting>
  <conditionalFormatting sqref="T150">
    <cfRule type="cellIs" dxfId="975" priority="732" stopIfTrue="1" operator="between">
      <formula>0</formula>
      <formula>55</formula>
    </cfRule>
    <cfRule type="cellIs" dxfId="974" priority="731" stopIfTrue="1" operator="notBetween">
      <formula>0</formula>
      <formula>100</formula>
    </cfRule>
    <cfRule type="cellIs" dxfId="973" priority="730" stopIfTrue="1" operator="lessThan">
      <formula>#REF!</formula>
    </cfRule>
    <cfRule type="cellIs" dxfId="972" priority="729" stopIfTrue="1" operator="notBetween">
      <formula>0</formula>
      <formula>100</formula>
    </cfRule>
  </conditionalFormatting>
  <conditionalFormatting sqref="T159">
    <cfRule type="cellIs" dxfId="971" priority="723" stopIfTrue="1" operator="notBetween">
      <formula>0</formula>
      <formula>100</formula>
    </cfRule>
    <cfRule type="cellIs" dxfId="970" priority="722" stopIfTrue="1" operator="lessThan">
      <formula>#REF!</formula>
    </cfRule>
    <cfRule type="cellIs" dxfId="969" priority="721" stopIfTrue="1" operator="notBetween">
      <formula>0</formula>
      <formula>100</formula>
    </cfRule>
    <cfRule type="cellIs" dxfId="968" priority="724" stopIfTrue="1" operator="between">
      <formula>0</formula>
      <formula>55</formula>
    </cfRule>
  </conditionalFormatting>
  <conditionalFormatting sqref="T168">
    <cfRule type="cellIs" dxfId="967" priority="716" stopIfTrue="1" operator="between">
      <formula>0</formula>
      <formula>55</formula>
    </cfRule>
    <cfRule type="cellIs" dxfId="966" priority="715" stopIfTrue="1" operator="notBetween">
      <formula>0</formula>
      <formula>100</formula>
    </cfRule>
    <cfRule type="cellIs" dxfId="965" priority="714" stopIfTrue="1" operator="lessThan">
      <formula>#REF!</formula>
    </cfRule>
    <cfRule type="cellIs" dxfId="964" priority="713" stopIfTrue="1" operator="notBetween">
      <formula>0</formula>
      <formula>100</formula>
    </cfRule>
  </conditionalFormatting>
  <conditionalFormatting sqref="T177">
    <cfRule type="cellIs" dxfId="963" priority="708" stopIfTrue="1" operator="between">
      <formula>0</formula>
      <formula>55</formula>
    </cfRule>
    <cfRule type="cellIs" dxfId="962" priority="707" stopIfTrue="1" operator="notBetween">
      <formula>0</formula>
      <formula>100</formula>
    </cfRule>
    <cfRule type="cellIs" dxfId="961" priority="705" stopIfTrue="1" operator="notBetween">
      <formula>0</formula>
      <formula>100</formula>
    </cfRule>
    <cfRule type="cellIs" dxfId="960" priority="706" stopIfTrue="1" operator="lessThan">
      <formula>#REF!</formula>
    </cfRule>
  </conditionalFormatting>
  <conditionalFormatting sqref="T186">
    <cfRule type="cellIs" dxfId="959" priority="697" stopIfTrue="1" operator="notBetween">
      <formula>0</formula>
      <formula>100</formula>
    </cfRule>
    <cfRule type="cellIs" dxfId="958" priority="698" stopIfTrue="1" operator="lessThan">
      <formula>#REF!</formula>
    </cfRule>
    <cfRule type="cellIs" dxfId="957" priority="699" stopIfTrue="1" operator="notBetween">
      <formula>0</formula>
      <formula>100</formula>
    </cfRule>
    <cfRule type="cellIs" dxfId="956" priority="700" stopIfTrue="1" operator="between">
      <formula>0</formula>
      <formula>55</formula>
    </cfRule>
  </conditionalFormatting>
  <conditionalFormatting sqref="T195">
    <cfRule type="cellIs" dxfId="955" priority="689" stopIfTrue="1" operator="notBetween">
      <formula>0</formula>
      <formula>100</formula>
    </cfRule>
    <cfRule type="cellIs" dxfId="954" priority="690" stopIfTrue="1" operator="lessThan">
      <formula>#REF!</formula>
    </cfRule>
    <cfRule type="cellIs" dxfId="953" priority="691" stopIfTrue="1" operator="notBetween">
      <formula>0</formula>
      <formula>100</formula>
    </cfRule>
    <cfRule type="cellIs" dxfId="952" priority="692" stopIfTrue="1" operator="between">
      <formula>0</formula>
      <formula>55</formula>
    </cfRule>
  </conditionalFormatting>
  <conditionalFormatting sqref="T204">
    <cfRule type="cellIs" dxfId="951" priority="681" stopIfTrue="1" operator="notBetween">
      <formula>0</formula>
      <formula>100</formula>
    </cfRule>
    <cfRule type="cellIs" dxfId="950" priority="682" stopIfTrue="1" operator="lessThan">
      <formula>#REF!</formula>
    </cfRule>
    <cfRule type="cellIs" dxfId="949" priority="683" stopIfTrue="1" operator="notBetween">
      <formula>0</formula>
      <formula>100</formula>
    </cfRule>
    <cfRule type="cellIs" dxfId="948" priority="684" stopIfTrue="1" operator="between">
      <formula>0</formula>
      <formula>55</formula>
    </cfRule>
  </conditionalFormatting>
  <conditionalFormatting sqref="T213">
    <cfRule type="cellIs" dxfId="947" priority="674" stopIfTrue="1" operator="lessThan">
      <formula>#REF!</formula>
    </cfRule>
    <cfRule type="cellIs" dxfId="946" priority="673" stopIfTrue="1" operator="notBetween">
      <formula>0</formula>
      <formula>100</formula>
    </cfRule>
    <cfRule type="cellIs" dxfId="945" priority="675" stopIfTrue="1" operator="notBetween">
      <formula>0</formula>
      <formula>100</formula>
    </cfRule>
    <cfRule type="cellIs" dxfId="944" priority="676" stopIfTrue="1" operator="between">
      <formula>0</formula>
      <formula>55</formula>
    </cfRule>
  </conditionalFormatting>
  <conditionalFormatting sqref="T222">
    <cfRule type="cellIs" dxfId="943" priority="667" stopIfTrue="1" operator="notBetween">
      <formula>0</formula>
      <formula>100</formula>
    </cfRule>
    <cfRule type="cellIs" dxfId="942" priority="665" stopIfTrue="1" operator="notBetween">
      <formula>0</formula>
      <formula>100</formula>
    </cfRule>
    <cfRule type="cellIs" dxfId="941" priority="666" stopIfTrue="1" operator="lessThan">
      <formula>#REF!</formula>
    </cfRule>
    <cfRule type="cellIs" dxfId="940" priority="668" stopIfTrue="1" operator="between">
      <formula>0</formula>
      <formula>55</formula>
    </cfRule>
  </conditionalFormatting>
  <conditionalFormatting sqref="T231">
    <cfRule type="cellIs" dxfId="939" priority="657" stopIfTrue="1" operator="notBetween">
      <formula>0</formula>
      <formula>100</formula>
    </cfRule>
    <cfRule type="cellIs" dxfId="938" priority="658" stopIfTrue="1" operator="lessThan">
      <formula>#REF!</formula>
    </cfRule>
    <cfRule type="cellIs" dxfId="937" priority="659" stopIfTrue="1" operator="notBetween">
      <formula>0</formula>
      <formula>100</formula>
    </cfRule>
    <cfRule type="cellIs" dxfId="936" priority="660" stopIfTrue="1" operator="between">
      <formula>0</formula>
      <formula>55</formula>
    </cfRule>
  </conditionalFormatting>
  <conditionalFormatting sqref="T240">
    <cfRule type="cellIs" dxfId="935" priority="651" stopIfTrue="1" operator="notBetween">
      <formula>0</formula>
      <formula>100</formula>
    </cfRule>
    <cfRule type="cellIs" dxfId="934" priority="652" stopIfTrue="1" operator="between">
      <formula>0</formula>
      <formula>55</formula>
    </cfRule>
    <cfRule type="cellIs" dxfId="933" priority="650" stopIfTrue="1" operator="lessThan">
      <formula>#REF!</formula>
    </cfRule>
    <cfRule type="cellIs" dxfId="932" priority="649" stopIfTrue="1" operator="notBetween">
      <formula>0</formula>
      <formula>100</formula>
    </cfRule>
  </conditionalFormatting>
  <conditionalFormatting sqref="T249">
    <cfRule type="cellIs" dxfId="931" priority="641" stopIfTrue="1" operator="notBetween">
      <formula>0</formula>
      <formula>100</formula>
    </cfRule>
    <cfRule type="cellIs" dxfId="930" priority="644" stopIfTrue="1" operator="between">
      <formula>0</formula>
      <formula>55</formula>
    </cfRule>
    <cfRule type="cellIs" dxfId="929" priority="642" stopIfTrue="1" operator="lessThan">
      <formula>#REF!</formula>
    </cfRule>
    <cfRule type="cellIs" dxfId="928" priority="643" stopIfTrue="1" operator="notBetween">
      <formula>0</formula>
      <formula>100</formula>
    </cfRule>
  </conditionalFormatting>
  <conditionalFormatting sqref="T258">
    <cfRule type="cellIs" dxfId="927" priority="636" stopIfTrue="1" operator="between">
      <formula>0</formula>
      <formula>55</formula>
    </cfRule>
    <cfRule type="cellIs" dxfId="926" priority="635" stopIfTrue="1" operator="notBetween">
      <formula>0</formula>
      <formula>100</formula>
    </cfRule>
    <cfRule type="cellIs" dxfId="925" priority="633" stopIfTrue="1" operator="notBetween">
      <formula>0</formula>
      <formula>100</formula>
    </cfRule>
    <cfRule type="cellIs" dxfId="924" priority="634" stopIfTrue="1" operator="lessThan">
      <formula>#REF!</formula>
    </cfRule>
  </conditionalFormatting>
  <conditionalFormatting sqref="T267">
    <cfRule type="cellIs" dxfId="923" priority="627" stopIfTrue="1" operator="notBetween">
      <formula>0</formula>
      <formula>100</formula>
    </cfRule>
    <cfRule type="cellIs" dxfId="922" priority="626" stopIfTrue="1" operator="lessThan">
      <formula>#REF!</formula>
    </cfRule>
    <cfRule type="cellIs" dxfId="921" priority="625" stopIfTrue="1" operator="notBetween">
      <formula>0</formula>
      <formula>100</formula>
    </cfRule>
    <cfRule type="cellIs" dxfId="920" priority="628" stopIfTrue="1" operator="between">
      <formula>0</formula>
      <formula>55</formula>
    </cfRule>
  </conditionalFormatting>
  <conditionalFormatting sqref="T276">
    <cfRule type="cellIs" dxfId="919" priority="620" stopIfTrue="1" operator="between">
      <formula>0</formula>
      <formula>55</formula>
    </cfRule>
    <cfRule type="cellIs" dxfId="918" priority="619" stopIfTrue="1" operator="notBetween">
      <formula>0</formula>
      <formula>100</formula>
    </cfRule>
    <cfRule type="cellIs" dxfId="917" priority="618" stopIfTrue="1" operator="lessThan">
      <formula>#REF!</formula>
    </cfRule>
    <cfRule type="cellIs" dxfId="916" priority="617" stopIfTrue="1" operator="notBetween">
      <formula>0</formula>
      <formula>100</formula>
    </cfRule>
  </conditionalFormatting>
  <conditionalFormatting sqref="T285">
    <cfRule type="cellIs" dxfId="915" priority="610" stopIfTrue="1" operator="lessThan">
      <formula>#REF!</formula>
    </cfRule>
    <cfRule type="cellIs" dxfId="914" priority="609" stopIfTrue="1" operator="notBetween">
      <formula>0</formula>
      <formula>100</formula>
    </cfRule>
    <cfRule type="cellIs" dxfId="913" priority="612" stopIfTrue="1" operator="between">
      <formula>0</formula>
      <formula>55</formula>
    </cfRule>
    <cfRule type="cellIs" dxfId="912" priority="611" stopIfTrue="1" operator="notBetween">
      <formula>0</formula>
      <formula>100</formula>
    </cfRule>
  </conditionalFormatting>
  <conditionalFormatting sqref="T294">
    <cfRule type="cellIs" dxfId="911" priority="602" stopIfTrue="1" operator="lessThan">
      <formula>#REF!</formula>
    </cfRule>
    <cfRule type="cellIs" dxfId="910" priority="603" stopIfTrue="1" operator="notBetween">
      <formula>0</formula>
      <formula>100</formula>
    </cfRule>
    <cfRule type="cellIs" dxfId="909" priority="604" stopIfTrue="1" operator="between">
      <formula>0</formula>
      <formula>55</formula>
    </cfRule>
    <cfRule type="cellIs" dxfId="908" priority="601" stopIfTrue="1" operator="notBetween">
      <formula>0</formula>
      <formula>100</formula>
    </cfRule>
  </conditionalFormatting>
  <conditionalFormatting sqref="T303">
    <cfRule type="cellIs" dxfId="907" priority="594" stopIfTrue="1" operator="lessThan">
      <formula>#REF!</formula>
    </cfRule>
    <cfRule type="cellIs" dxfId="906" priority="595" stopIfTrue="1" operator="notBetween">
      <formula>0</formula>
      <formula>100</formula>
    </cfRule>
    <cfRule type="cellIs" dxfId="905" priority="596" stopIfTrue="1" operator="between">
      <formula>0</formula>
      <formula>55</formula>
    </cfRule>
    <cfRule type="cellIs" dxfId="904" priority="593" stopIfTrue="1" operator="notBetween">
      <formula>0</formula>
      <formula>100</formula>
    </cfRule>
  </conditionalFormatting>
  <conditionalFormatting sqref="T312">
    <cfRule type="cellIs" dxfId="903" priority="588" stopIfTrue="1" operator="between">
      <formula>0</formula>
      <formula>55</formula>
    </cfRule>
    <cfRule type="cellIs" dxfId="902" priority="587" stopIfTrue="1" operator="notBetween">
      <formula>0</formula>
      <formula>100</formula>
    </cfRule>
    <cfRule type="cellIs" dxfId="901" priority="586" stopIfTrue="1" operator="lessThan">
      <formula>#REF!</formula>
    </cfRule>
    <cfRule type="cellIs" dxfId="900" priority="585" stopIfTrue="1" operator="notBetween">
      <formula>0</formula>
      <formula>100</formula>
    </cfRule>
  </conditionalFormatting>
  <conditionalFormatting sqref="T321">
    <cfRule type="cellIs" dxfId="899" priority="578" stopIfTrue="1" operator="lessThan">
      <formula>#REF!</formula>
    </cfRule>
    <cfRule type="cellIs" dxfId="898" priority="579" stopIfTrue="1" operator="notBetween">
      <formula>0</formula>
      <formula>100</formula>
    </cfRule>
    <cfRule type="cellIs" dxfId="897" priority="577" stopIfTrue="1" operator="notBetween">
      <formula>0</formula>
      <formula>100</formula>
    </cfRule>
    <cfRule type="cellIs" dxfId="896" priority="580" stopIfTrue="1" operator="between">
      <formula>0</formula>
      <formula>55</formula>
    </cfRule>
  </conditionalFormatting>
  <conditionalFormatting sqref="T330">
    <cfRule type="cellIs" dxfId="895" priority="572" stopIfTrue="1" operator="between">
      <formula>0</formula>
      <formula>55</formula>
    </cfRule>
    <cfRule type="cellIs" dxfId="894" priority="571" stopIfTrue="1" operator="notBetween">
      <formula>0</formula>
      <formula>100</formula>
    </cfRule>
    <cfRule type="cellIs" dxfId="893" priority="569" stopIfTrue="1" operator="notBetween">
      <formula>0</formula>
      <formula>100</formula>
    </cfRule>
    <cfRule type="cellIs" dxfId="892" priority="570" stopIfTrue="1" operator="lessThan">
      <formula>#REF!</formula>
    </cfRule>
  </conditionalFormatting>
  <conditionalFormatting sqref="T339">
    <cfRule type="cellIs" dxfId="891" priority="561" stopIfTrue="1" operator="notBetween">
      <formula>0</formula>
      <formula>100</formula>
    </cfRule>
    <cfRule type="cellIs" dxfId="890" priority="562" stopIfTrue="1" operator="lessThan">
      <formula>#REF!</formula>
    </cfRule>
    <cfRule type="cellIs" dxfId="889" priority="564" stopIfTrue="1" operator="between">
      <formula>0</formula>
      <formula>55</formula>
    </cfRule>
    <cfRule type="cellIs" dxfId="888" priority="563" stopIfTrue="1" operator="notBetween">
      <formula>0</formula>
      <formula>100</formula>
    </cfRule>
  </conditionalFormatting>
  <conditionalFormatting sqref="T348">
    <cfRule type="cellIs" dxfId="887" priority="553" stopIfTrue="1" operator="notBetween">
      <formula>0</formula>
      <formula>100</formula>
    </cfRule>
    <cfRule type="cellIs" dxfId="886" priority="556" stopIfTrue="1" operator="between">
      <formula>0</formula>
      <formula>55</formula>
    </cfRule>
    <cfRule type="cellIs" dxfId="885" priority="554" stopIfTrue="1" operator="lessThan">
      <formula>#REF!</formula>
    </cfRule>
    <cfRule type="cellIs" dxfId="884" priority="555" stopIfTrue="1" operator="notBetween">
      <formula>0</formula>
      <formula>100</formula>
    </cfRule>
  </conditionalFormatting>
  <conditionalFormatting sqref="T357">
    <cfRule type="cellIs" dxfId="883" priority="546" stopIfTrue="1" operator="lessThan">
      <formula>#REF!</formula>
    </cfRule>
    <cfRule type="cellIs" dxfId="882" priority="547" stopIfTrue="1" operator="notBetween">
      <formula>0</formula>
      <formula>100</formula>
    </cfRule>
    <cfRule type="cellIs" dxfId="881" priority="545" stopIfTrue="1" operator="notBetween">
      <formula>0</formula>
      <formula>100</formula>
    </cfRule>
    <cfRule type="cellIs" dxfId="880" priority="548" stopIfTrue="1" operator="between">
      <formula>0</formula>
      <formula>55</formula>
    </cfRule>
  </conditionalFormatting>
  <pageMargins left="0.74803149606299213" right="0.15748031496062992" top="0.74803149606299213" bottom="0.43307086614173229" header="0.31496062992125984" footer="0.23622047244094491"/>
  <pageSetup paperSize="768" scale="6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67020-A289-4138-8BE4-EC8F96BFA199}">
  <sheetPr>
    <tabColor rgb="FFFFFF00"/>
    <pageSetUpPr fitToPage="1"/>
  </sheetPr>
  <dimension ref="A1:FC111"/>
  <sheetViews>
    <sheetView topLeftCell="A87" zoomScale="70" zoomScaleNormal="70" workbookViewId="0">
      <selection activeCell="A92" sqref="A92:XFD92"/>
    </sheetView>
  </sheetViews>
  <sheetFormatPr defaultColWidth="9.109375" defaultRowHeight="14.4"/>
  <cols>
    <col min="1" max="1" width="5.5546875" style="2" customWidth="1"/>
    <col min="2" max="2" width="17.109375" style="35" customWidth="1"/>
    <col min="3" max="3" width="50.33203125" style="2" customWidth="1"/>
    <col min="4" max="4" width="17" style="2" customWidth="1"/>
    <col min="5" max="5" width="6.6640625" style="2" customWidth="1"/>
    <col min="6" max="6" width="9" style="2" customWidth="1"/>
    <col min="7" max="30" width="6.6640625" style="2" customWidth="1"/>
    <col min="31" max="31" width="7.33203125" style="2" customWidth="1"/>
    <col min="32" max="32" width="9.33203125" style="2" customWidth="1"/>
    <col min="33" max="50" width="6.6640625" style="2" customWidth="1"/>
    <col min="51" max="51" width="9.5546875" style="2" customWidth="1"/>
    <col min="52" max="52" width="10.88671875" style="2" customWidth="1"/>
    <col min="53" max="53" width="6.6640625" style="2" customWidth="1"/>
    <col min="54" max="54" width="11.44140625" style="2" customWidth="1"/>
    <col min="55" max="55" width="12.5546875" style="2" customWidth="1"/>
    <col min="56" max="56" width="14.33203125" style="2" customWidth="1"/>
    <col min="57" max="60" width="6.6640625" style="2" customWidth="1"/>
    <col min="61" max="61" width="7.33203125" style="2" customWidth="1"/>
    <col min="62" max="70" width="6.6640625" style="2" customWidth="1"/>
    <col min="71" max="71" width="9.109375" style="2" customWidth="1"/>
    <col min="72" max="76" width="6.6640625" style="2" customWidth="1"/>
    <col min="77" max="77" width="10.88671875" style="2" customWidth="1"/>
    <col min="78" max="81" width="6.6640625" style="2" customWidth="1"/>
    <col min="82" max="90" width="9.109375" style="2" customWidth="1"/>
    <col min="91" max="94" width="8.6640625" style="2" customWidth="1"/>
    <col min="95" max="98" width="8.6640625" style="36" customWidth="1"/>
    <col min="99" max="106" width="8.6640625" style="2" customWidth="1"/>
    <col min="107" max="107" width="11.109375" style="2" customWidth="1"/>
    <col min="108" max="108" width="12.44140625" style="2" customWidth="1"/>
    <col min="109" max="128" width="8.6640625" style="2" customWidth="1"/>
    <col min="129" max="129" width="8.33203125" style="2" bestFit="1" customWidth="1"/>
    <col min="130" max="131" width="8.33203125" style="2" customWidth="1"/>
    <col min="132" max="132" width="7.6640625" style="2" customWidth="1"/>
    <col min="133" max="140" width="8.6640625" style="2" customWidth="1"/>
    <col min="141" max="141" width="6.6640625" style="2" customWidth="1"/>
    <col min="142" max="150" width="10.44140625" style="2" bestFit="1" customWidth="1"/>
    <col min="151" max="151" width="13.44140625" style="2" customWidth="1"/>
    <col min="152" max="154" width="10.44140625" style="2" bestFit="1" customWidth="1"/>
    <col min="155" max="155" width="10.109375" style="2" customWidth="1"/>
    <col min="156" max="156" width="10.44140625" style="2" bestFit="1" customWidth="1"/>
    <col min="157" max="157" width="11.109375" style="2" customWidth="1"/>
    <col min="158" max="158" width="11.33203125" style="2" bestFit="1" customWidth="1"/>
    <col min="159" max="159" width="12.5546875" style="2" customWidth="1"/>
    <col min="160" max="16384" width="9.109375" style="2"/>
  </cols>
  <sheetData>
    <row r="1" spans="1:159" ht="15" thickBot="1">
      <c r="A1" s="162" t="s">
        <v>0</v>
      </c>
      <c r="B1" s="163" t="s">
        <v>1</v>
      </c>
      <c r="C1" s="162" t="s">
        <v>2</v>
      </c>
      <c r="D1" s="162" t="s">
        <v>3</v>
      </c>
      <c r="E1" s="162"/>
      <c r="F1" s="162"/>
      <c r="G1" s="162"/>
      <c r="H1" s="162"/>
      <c r="I1" s="162"/>
      <c r="J1" s="1"/>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c r="AQ1" s="162"/>
      <c r="AR1" s="162"/>
      <c r="AS1" s="172"/>
      <c r="AT1" s="173"/>
      <c r="AU1" s="173"/>
      <c r="AV1" s="174"/>
      <c r="AW1" s="172"/>
      <c r="AX1" s="173"/>
      <c r="AY1" s="173"/>
      <c r="AZ1" s="173"/>
      <c r="BA1" s="173"/>
      <c r="BB1" s="173"/>
      <c r="BC1" s="162" t="s">
        <v>4</v>
      </c>
      <c r="BD1" s="162"/>
      <c r="BE1" s="162" t="s">
        <v>5</v>
      </c>
      <c r="BF1" s="162"/>
      <c r="BG1" s="162"/>
      <c r="BH1" s="162"/>
      <c r="BI1" s="162" t="s">
        <v>5</v>
      </c>
      <c r="BJ1" s="162"/>
      <c r="BK1" s="162"/>
      <c r="BL1" s="162"/>
      <c r="BM1" s="162" t="s">
        <v>5</v>
      </c>
      <c r="BN1" s="162"/>
      <c r="BO1" s="162"/>
      <c r="BP1" s="162"/>
      <c r="BQ1" s="1"/>
      <c r="BR1" s="1"/>
      <c r="BS1" s="1"/>
      <c r="BT1" s="1"/>
      <c r="BU1" s="1"/>
      <c r="BV1" s="1"/>
      <c r="BW1" s="1"/>
      <c r="BX1" s="1"/>
      <c r="BY1" s="1"/>
      <c r="BZ1" s="1"/>
      <c r="CA1" s="1"/>
      <c r="CB1" s="1"/>
      <c r="CC1" s="1"/>
      <c r="CD1" s="197" t="s">
        <v>6</v>
      </c>
      <c r="CE1" s="198"/>
      <c r="CF1" s="198"/>
      <c r="CG1" s="198"/>
      <c r="CH1" s="198"/>
      <c r="CI1" s="198"/>
      <c r="CJ1" s="198"/>
      <c r="CK1" s="198"/>
      <c r="CL1" s="198"/>
      <c r="CM1" s="170" t="str">
        <f>E2</f>
        <v>1.Pendidikan Agama Islam (PAI)</v>
      </c>
      <c r="CN1" s="170"/>
      <c r="CO1" s="170"/>
      <c r="CP1" s="170"/>
      <c r="CQ1" s="195" t="str">
        <f>K2</f>
        <v>2.Pendidikan Pancasila</v>
      </c>
      <c r="CR1" s="193"/>
      <c r="CS1" s="193"/>
      <c r="CT1" s="193"/>
      <c r="CU1" s="170" t="str">
        <f>Q2</f>
        <v>3.Bahasa Indonesia</v>
      </c>
      <c r="CV1" s="170"/>
      <c r="CW1" s="170"/>
      <c r="CX1" s="170"/>
      <c r="CY1" s="185" t="str">
        <f>W2</f>
        <v>4.Pendidikan Jasmani Olahraga dan Kesehatan</v>
      </c>
      <c r="CZ1" s="186"/>
      <c r="DA1" s="170" t="str">
        <f>AA2</f>
        <v>5.Sejarah</v>
      </c>
      <c r="DB1" s="170"/>
      <c r="DC1" s="195" t="str">
        <f>AE2</f>
        <v>6.Seni Budaya (Seni Tari)</v>
      </c>
      <c r="DD1" s="193"/>
      <c r="DE1" s="170" t="str">
        <f>AG2</f>
        <v>7.Bahasa Sunda</v>
      </c>
      <c r="DF1" s="170"/>
      <c r="DG1" s="193" t="str">
        <f>AK2</f>
        <v>8.Public speaking</v>
      </c>
      <c r="DH1" s="193"/>
      <c r="DI1" s="193"/>
      <c r="DJ1" s="193"/>
      <c r="DK1" s="170" t="str">
        <f>AM2</f>
        <v>9.Matematika</v>
      </c>
      <c r="DL1" s="170"/>
      <c r="DM1" s="170"/>
      <c r="DN1" s="170"/>
      <c r="DO1" s="195" t="str">
        <f>AS2</f>
        <v>10.Bahasa Inggris</v>
      </c>
      <c r="DP1" s="193"/>
      <c r="DQ1" s="193"/>
      <c r="DR1" s="193"/>
      <c r="DS1" s="195" t="str">
        <f>AY2</f>
        <v>11.Informatika</v>
      </c>
      <c r="DT1" s="193"/>
      <c r="DU1" s="185" t="str">
        <f>BA2</f>
        <v>12.Projek Ilmu Pengetahuan Alam dan Sosial</v>
      </c>
      <c r="DV1" s="186"/>
      <c r="DW1" s="185" t="str">
        <f>BC2</f>
        <v>13.Dasar - dasar Program Keahlian</v>
      </c>
      <c r="DX1" s="186"/>
      <c r="DY1" s="189" t="s">
        <v>311</v>
      </c>
      <c r="DZ1" s="190"/>
      <c r="EA1" s="190"/>
      <c r="EB1" s="190"/>
      <c r="EC1" s="185" t="str">
        <f>BU2</f>
        <v xml:space="preserve">15.Projek Kreatif dan Kewirausahaan </v>
      </c>
      <c r="ED1" s="186"/>
      <c r="EE1" s="186"/>
      <c r="EF1" s="186"/>
      <c r="EG1" s="193" t="s">
        <v>7</v>
      </c>
      <c r="EH1" s="195" t="str">
        <f>BZ2</f>
        <v>17.Bahasa Jepang</v>
      </c>
      <c r="EI1" s="193"/>
      <c r="EJ1" s="193"/>
      <c r="EK1" s="193"/>
      <c r="EL1" s="181" t="s">
        <v>8</v>
      </c>
      <c r="EM1" s="181"/>
      <c r="EN1" s="181"/>
      <c r="EO1" s="181"/>
      <c r="EP1" s="181"/>
      <c r="EQ1" s="181"/>
      <c r="ER1" s="181"/>
      <c r="ES1" s="181"/>
      <c r="ET1" s="181"/>
      <c r="EU1" s="181"/>
      <c r="EV1" s="181"/>
      <c r="EW1" s="181"/>
      <c r="EX1" s="181"/>
      <c r="EY1" s="181"/>
      <c r="EZ1" s="181"/>
      <c r="FA1" s="181"/>
      <c r="FB1" s="181"/>
    </row>
    <row r="2" spans="1:159" s="4" customFormat="1" ht="33.75" customHeight="1" thickBot="1">
      <c r="A2" s="162"/>
      <c r="B2" s="164"/>
      <c r="C2" s="162"/>
      <c r="D2" s="162"/>
      <c r="E2" s="182" t="s">
        <v>9</v>
      </c>
      <c r="F2" s="183"/>
      <c r="G2" s="183"/>
      <c r="H2" s="183"/>
      <c r="I2" s="183"/>
      <c r="J2" s="183"/>
      <c r="K2" s="182" t="s">
        <v>10</v>
      </c>
      <c r="L2" s="183"/>
      <c r="M2" s="183"/>
      <c r="N2" s="183"/>
      <c r="O2" s="183"/>
      <c r="P2" s="183"/>
      <c r="Q2" s="182" t="s">
        <v>11</v>
      </c>
      <c r="R2" s="183"/>
      <c r="S2" s="183"/>
      <c r="T2" s="183"/>
      <c r="U2" s="183"/>
      <c r="V2" s="183"/>
      <c r="W2" s="182" t="s">
        <v>12</v>
      </c>
      <c r="X2" s="183"/>
      <c r="Y2" s="183"/>
      <c r="Z2" s="183"/>
      <c r="AA2" s="182" t="s">
        <v>13</v>
      </c>
      <c r="AB2" s="183"/>
      <c r="AC2" s="183"/>
      <c r="AD2" s="183"/>
      <c r="AE2" s="182" t="s">
        <v>14</v>
      </c>
      <c r="AF2" s="183"/>
      <c r="AG2" s="183" t="s">
        <v>15</v>
      </c>
      <c r="AH2" s="183"/>
      <c r="AI2" s="183"/>
      <c r="AJ2" s="183"/>
      <c r="AK2" s="184" t="s">
        <v>16</v>
      </c>
      <c r="AL2" s="184"/>
      <c r="AM2" s="184" t="s">
        <v>17</v>
      </c>
      <c r="AN2" s="184"/>
      <c r="AO2" s="184"/>
      <c r="AP2" s="184"/>
      <c r="AQ2" s="184"/>
      <c r="AR2" s="184"/>
      <c r="AS2" s="182" t="s">
        <v>18</v>
      </c>
      <c r="AT2" s="183"/>
      <c r="AU2" s="183"/>
      <c r="AV2" s="183"/>
      <c r="AW2" s="183"/>
      <c r="AX2" s="211"/>
      <c r="AY2" s="182" t="s">
        <v>19</v>
      </c>
      <c r="AZ2" s="211"/>
      <c r="BA2" s="182" t="s">
        <v>20</v>
      </c>
      <c r="BB2" s="211"/>
      <c r="BC2" s="184" t="s">
        <v>21</v>
      </c>
      <c r="BD2" s="184"/>
      <c r="BE2" s="289" t="s">
        <v>22</v>
      </c>
      <c r="BF2" s="289"/>
      <c r="BG2" s="289"/>
      <c r="BH2" s="289"/>
      <c r="BI2" s="289" t="s">
        <v>23</v>
      </c>
      <c r="BJ2" s="289"/>
      <c r="BK2" s="289"/>
      <c r="BL2" s="289"/>
      <c r="BM2" s="289" t="s">
        <v>24</v>
      </c>
      <c r="BN2" s="289"/>
      <c r="BO2" s="289"/>
      <c r="BP2" s="289"/>
      <c r="BQ2" s="208" t="s">
        <v>25</v>
      </c>
      <c r="BR2" s="209"/>
      <c r="BS2" s="209"/>
      <c r="BT2" s="210"/>
      <c r="BU2" s="182" t="s">
        <v>26</v>
      </c>
      <c r="BV2" s="183"/>
      <c r="BW2" s="183"/>
      <c r="BX2" s="211"/>
      <c r="BY2" s="3" t="s">
        <v>7</v>
      </c>
      <c r="BZ2" s="212" t="s">
        <v>27</v>
      </c>
      <c r="CA2" s="213"/>
      <c r="CB2" s="213"/>
      <c r="CC2" s="214"/>
      <c r="CD2" s="199"/>
      <c r="CE2" s="200"/>
      <c r="CF2" s="200"/>
      <c r="CG2" s="200"/>
      <c r="CH2" s="200"/>
      <c r="CI2" s="200"/>
      <c r="CJ2" s="200"/>
      <c r="CK2" s="200"/>
      <c r="CL2" s="200"/>
      <c r="CM2" s="171"/>
      <c r="CN2" s="171"/>
      <c r="CO2" s="171"/>
      <c r="CP2" s="171"/>
      <c r="CQ2" s="196"/>
      <c r="CR2" s="194"/>
      <c r="CS2" s="194"/>
      <c r="CT2" s="194"/>
      <c r="CU2" s="171"/>
      <c r="CV2" s="171"/>
      <c r="CW2" s="171"/>
      <c r="CX2" s="171"/>
      <c r="CY2" s="187"/>
      <c r="CZ2" s="188"/>
      <c r="DA2" s="171"/>
      <c r="DB2" s="171"/>
      <c r="DC2" s="196"/>
      <c r="DD2" s="194"/>
      <c r="DE2" s="171"/>
      <c r="DF2" s="171"/>
      <c r="DG2" s="194"/>
      <c r="DH2" s="194"/>
      <c r="DI2" s="194"/>
      <c r="DJ2" s="194"/>
      <c r="DK2" s="171"/>
      <c r="DL2" s="171"/>
      <c r="DM2" s="171"/>
      <c r="DN2" s="171"/>
      <c r="DO2" s="196"/>
      <c r="DP2" s="194"/>
      <c r="DQ2" s="194"/>
      <c r="DR2" s="194"/>
      <c r="DS2" s="196"/>
      <c r="DT2" s="194"/>
      <c r="DU2" s="187"/>
      <c r="DV2" s="188"/>
      <c r="DW2" s="187"/>
      <c r="DX2" s="188"/>
      <c r="DY2" s="191"/>
      <c r="DZ2" s="192"/>
      <c r="EA2" s="192"/>
      <c r="EB2" s="192"/>
      <c r="EC2" s="187"/>
      <c r="ED2" s="188"/>
      <c r="EE2" s="188"/>
      <c r="EF2" s="188"/>
      <c r="EG2" s="194"/>
      <c r="EH2" s="196"/>
      <c r="EI2" s="194"/>
      <c r="EJ2" s="194"/>
      <c r="EK2" s="194"/>
      <c r="EL2" s="204" t="s">
        <v>28</v>
      </c>
      <c r="EM2" s="204" t="s">
        <v>10</v>
      </c>
      <c r="EN2" s="204" t="s">
        <v>11</v>
      </c>
      <c r="EO2" s="204" t="s">
        <v>12</v>
      </c>
      <c r="EP2" s="204" t="s">
        <v>13</v>
      </c>
      <c r="EQ2" s="204" t="s">
        <v>14</v>
      </c>
      <c r="ER2" s="204" t="s">
        <v>15</v>
      </c>
      <c r="ES2" s="204" t="s">
        <v>16</v>
      </c>
      <c r="ET2" s="204" t="s">
        <v>17</v>
      </c>
      <c r="EU2" s="204" t="s">
        <v>18</v>
      </c>
      <c r="EV2" s="204" t="s">
        <v>19</v>
      </c>
      <c r="EW2" s="204" t="s">
        <v>20</v>
      </c>
      <c r="EX2" s="204" t="s">
        <v>21</v>
      </c>
      <c r="EY2" s="205" t="s">
        <v>29</v>
      </c>
      <c r="EZ2" s="204" t="s">
        <v>26</v>
      </c>
      <c r="FA2" s="204" t="s">
        <v>30</v>
      </c>
      <c r="FB2" s="217" t="s">
        <v>31</v>
      </c>
      <c r="FC2" s="201" t="s">
        <v>32</v>
      </c>
    </row>
    <row r="3" spans="1:159" ht="15" customHeight="1" thickBot="1">
      <c r="A3" s="162"/>
      <c r="B3" s="164"/>
      <c r="C3" s="162"/>
      <c r="D3" s="162"/>
      <c r="E3" s="202" t="s">
        <v>33</v>
      </c>
      <c r="F3" s="202" t="s">
        <v>34</v>
      </c>
      <c r="G3" s="202" t="s">
        <v>35</v>
      </c>
      <c r="H3" s="202" t="s">
        <v>36</v>
      </c>
      <c r="I3" s="202" t="s">
        <v>37</v>
      </c>
      <c r="J3" s="168" t="s">
        <v>38</v>
      </c>
      <c r="K3" s="166" t="s">
        <v>33</v>
      </c>
      <c r="L3" s="166" t="s">
        <v>34</v>
      </c>
      <c r="M3" s="166" t="s">
        <v>35</v>
      </c>
      <c r="N3" s="166" t="s">
        <v>36</v>
      </c>
      <c r="O3" s="166" t="s">
        <v>37</v>
      </c>
      <c r="P3" s="168" t="s">
        <v>38</v>
      </c>
      <c r="Q3" s="215" t="s">
        <v>33</v>
      </c>
      <c r="R3" s="215" t="s">
        <v>34</v>
      </c>
      <c r="S3" s="215" t="s">
        <v>35</v>
      </c>
      <c r="T3" s="215" t="s">
        <v>36</v>
      </c>
      <c r="U3" s="215" t="s">
        <v>37</v>
      </c>
      <c r="V3" s="168" t="s">
        <v>38</v>
      </c>
      <c r="W3" s="224" t="s">
        <v>33</v>
      </c>
      <c r="X3" s="224" t="s">
        <v>34</v>
      </c>
      <c r="Y3" s="224" t="s">
        <v>35</v>
      </c>
      <c r="Z3" s="224" t="s">
        <v>36</v>
      </c>
      <c r="AA3" s="220" t="s">
        <v>33</v>
      </c>
      <c r="AB3" s="220" t="s">
        <v>34</v>
      </c>
      <c r="AC3" s="220" t="s">
        <v>35</v>
      </c>
      <c r="AD3" s="220" t="s">
        <v>36</v>
      </c>
      <c r="AE3" s="202" t="s">
        <v>33</v>
      </c>
      <c r="AF3" s="202" t="s">
        <v>34</v>
      </c>
      <c r="AG3" s="220" t="s">
        <v>33</v>
      </c>
      <c r="AH3" s="220" t="s">
        <v>34</v>
      </c>
      <c r="AI3" s="220" t="s">
        <v>35</v>
      </c>
      <c r="AJ3" s="220" t="s">
        <v>36</v>
      </c>
      <c r="AK3" s="166" t="s">
        <v>37</v>
      </c>
      <c r="AL3" s="168" t="s">
        <v>38</v>
      </c>
      <c r="AM3" s="220" t="s">
        <v>33</v>
      </c>
      <c r="AN3" s="220" t="s">
        <v>34</v>
      </c>
      <c r="AO3" s="220" t="s">
        <v>35</v>
      </c>
      <c r="AP3" s="220" t="s">
        <v>36</v>
      </c>
      <c r="AQ3" s="220" t="s">
        <v>37</v>
      </c>
      <c r="AR3" s="168" t="s">
        <v>38</v>
      </c>
      <c r="AS3" s="220" t="s">
        <v>33</v>
      </c>
      <c r="AT3" s="220" t="s">
        <v>34</v>
      </c>
      <c r="AU3" s="220" t="s">
        <v>35</v>
      </c>
      <c r="AV3" s="220" t="s">
        <v>36</v>
      </c>
      <c r="AW3" s="220" t="s">
        <v>37</v>
      </c>
      <c r="AX3" s="168" t="s">
        <v>38</v>
      </c>
      <c r="AY3" s="220" t="s">
        <v>33</v>
      </c>
      <c r="AZ3" s="220" t="s">
        <v>34</v>
      </c>
      <c r="BA3" s="220" t="s">
        <v>33</v>
      </c>
      <c r="BB3" s="220" t="s">
        <v>34</v>
      </c>
      <c r="BC3" s="220" t="s">
        <v>33</v>
      </c>
      <c r="BD3" s="220" t="s">
        <v>34</v>
      </c>
      <c r="BE3" s="220" t="s">
        <v>35</v>
      </c>
      <c r="BF3" s="220" t="s">
        <v>36</v>
      </c>
      <c r="BG3" s="220" t="s">
        <v>37</v>
      </c>
      <c r="BH3" s="168" t="s">
        <v>38</v>
      </c>
      <c r="BI3" s="220" t="s">
        <v>35</v>
      </c>
      <c r="BJ3" s="220" t="s">
        <v>36</v>
      </c>
      <c r="BK3" s="220" t="s">
        <v>37</v>
      </c>
      <c r="BL3" s="168" t="s">
        <v>38</v>
      </c>
      <c r="BM3" s="220" t="s">
        <v>35</v>
      </c>
      <c r="BN3" s="220" t="s">
        <v>36</v>
      </c>
      <c r="BO3" s="220" t="s">
        <v>37</v>
      </c>
      <c r="BP3" s="168" t="s">
        <v>38</v>
      </c>
      <c r="BQ3" s="220" t="s">
        <v>35</v>
      </c>
      <c r="BR3" s="220" t="s">
        <v>36</v>
      </c>
      <c r="BS3" s="220" t="s">
        <v>37</v>
      </c>
      <c r="BT3" s="168" t="s">
        <v>38</v>
      </c>
      <c r="BU3" s="220" t="s">
        <v>35</v>
      </c>
      <c r="BV3" s="220" t="s">
        <v>36</v>
      </c>
      <c r="BW3" s="220" t="s">
        <v>37</v>
      </c>
      <c r="BX3" s="168" t="s">
        <v>38</v>
      </c>
      <c r="BY3" s="243">
        <v>5</v>
      </c>
      <c r="BZ3" s="220" t="s">
        <v>35</v>
      </c>
      <c r="CA3" s="220" t="s">
        <v>36</v>
      </c>
      <c r="CB3" s="220" t="s">
        <v>37</v>
      </c>
      <c r="CC3" s="168" t="s">
        <v>38</v>
      </c>
      <c r="CD3" s="241" t="s">
        <v>39</v>
      </c>
      <c r="CE3" s="239" t="s">
        <v>40</v>
      </c>
      <c r="CF3" s="241" t="s">
        <v>41</v>
      </c>
      <c r="CG3" s="237" t="s">
        <v>42</v>
      </c>
      <c r="CH3" s="239" t="s">
        <v>43</v>
      </c>
      <c r="CI3" s="241" t="s">
        <v>44</v>
      </c>
      <c r="CJ3" s="241" t="s">
        <v>45</v>
      </c>
      <c r="CK3" s="241" t="s">
        <v>46</v>
      </c>
      <c r="CL3" s="241" t="s">
        <v>47</v>
      </c>
      <c r="CM3" s="234" t="s">
        <v>48</v>
      </c>
      <c r="CN3" s="234" t="s">
        <v>38</v>
      </c>
      <c r="CO3" s="235" t="s">
        <v>49</v>
      </c>
      <c r="CP3" s="232" t="s">
        <v>50</v>
      </c>
      <c r="CQ3" s="234" t="s">
        <v>48</v>
      </c>
      <c r="CR3" s="234" t="s">
        <v>38</v>
      </c>
      <c r="CS3" s="235" t="s">
        <v>49</v>
      </c>
      <c r="CT3" s="232" t="s">
        <v>50</v>
      </c>
      <c r="CU3" s="5" t="s">
        <v>48</v>
      </c>
      <c r="CV3" s="5" t="s">
        <v>38</v>
      </c>
      <c r="CW3" s="6" t="s">
        <v>49</v>
      </c>
      <c r="CX3" s="7" t="s">
        <v>50</v>
      </c>
      <c r="CY3" s="5" t="s">
        <v>48</v>
      </c>
      <c r="CZ3" s="7" t="s">
        <v>50</v>
      </c>
      <c r="DA3" s="5" t="s">
        <v>48</v>
      </c>
      <c r="DB3" s="7" t="s">
        <v>50</v>
      </c>
      <c r="DC3" s="5" t="s">
        <v>48</v>
      </c>
      <c r="DD3" s="7" t="s">
        <v>50</v>
      </c>
      <c r="DE3" s="5" t="s">
        <v>48</v>
      </c>
      <c r="DF3" s="7" t="s">
        <v>50</v>
      </c>
      <c r="DG3" s="5" t="s">
        <v>48</v>
      </c>
      <c r="DH3" s="5" t="s">
        <v>38</v>
      </c>
      <c r="DI3" s="6" t="s">
        <v>49</v>
      </c>
      <c r="DJ3" s="7" t="s">
        <v>50</v>
      </c>
      <c r="DK3" s="5" t="s">
        <v>48</v>
      </c>
      <c r="DL3" s="5" t="s">
        <v>38</v>
      </c>
      <c r="DM3" s="6" t="s">
        <v>49</v>
      </c>
      <c r="DN3" s="7" t="s">
        <v>50</v>
      </c>
      <c r="DO3" s="5" t="s">
        <v>48</v>
      </c>
      <c r="DP3" s="5" t="s">
        <v>38</v>
      </c>
      <c r="DQ3" s="6" t="s">
        <v>49</v>
      </c>
      <c r="DR3" s="7" t="s">
        <v>50</v>
      </c>
      <c r="DS3" s="5" t="s">
        <v>48</v>
      </c>
      <c r="DT3" s="7" t="s">
        <v>50</v>
      </c>
      <c r="DU3" s="5" t="s">
        <v>48</v>
      </c>
      <c r="DV3" s="7" t="s">
        <v>50</v>
      </c>
      <c r="DW3" s="5" t="s">
        <v>48</v>
      </c>
      <c r="DX3" s="7" t="s">
        <v>50</v>
      </c>
      <c r="DY3" s="5" t="s">
        <v>48</v>
      </c>
      <c r="DZ3" s="5" t="s">
        <v>38</v>
      </c>
      <c r="EA3" s="6" t="s">
        <v>49</v>
      </c>
      <c r="EB3" s="7" t="s">
        <v>50</v>
      </c>
      <c r="EC3" s="5" t="s">
        <v>48</v>
      </c>
      <c r="ED3" s="5" t="s">
        <v>38</v>
      </c>
      <c r="EE3" s="6" t="s">
        <v>49</v>
      </c>
      <c r="EF3" s="7" t="s">
        <v>50</v>
      </c>
      <c r="EG3" s="7" t="s">
        <v>50</v>
      </c>
      <c r="EH3" s="5" t="s">
        <v>48</v>
      </c>
      <c r="EI3" s="5" t="s">
        <v>38</v>
      </c>
      <c r="EJ3" s="6" t="s">
        <v>49</v>
      </c>
      <c r="EK3" s="7" t="s">
        <v>50</v>
      </c>
      <c r="EL3" s="204" t="s">
        <v>28</v>
      </c>
      <c r="EM3" s="204" t="s">
        <v>10</v>
      </c>
      <c r="EN3" s="204" t="s">
        <v>11</v>
      </c>
      <c r="EO3" s="204" t="s">
        <v>12</v>
      </c>
      <c r="EP3" s="204" t="s">
        <v>13</v>
      </c>
      <c r="EQ3" s="204" t="s">
        <v>14</v>
      </c>
      <c r="ER3" s="204" t="s">
        <v>15</v>
      </c>
      <c r="ES3" s="204" t="s">
        <v>16</v>
      </c>
      <c r="ET3" s="204" t="s">
        <v>17</v>
      </c>
      <c r="EU3" s="204" t="s">
        <v>18</v>
      </c>
      <c r="EV3" s="204" t="s">
        <v>19</v>
      </c>
      <c r="EW3" s="204" t="s">
        <v>20</v>
      </c>
      <c r="EX3" s="204" t="s">
        <v>21</v>
      </c>
      <c r="EY3" s="206" t="s">
        <v>29</v>
      </c>
      <c r="EZ3" s="204" t="s">
        <v>26</v>
      </c>
      <c r="FA3" s="204" t="s">
        <v>30</v>
      </c>
      <c r="FB3" s="218" t="s">
        <v>31</v>
      </c>
      <c r="FC3" s="201"/>
    </row>
    <row r="4" spans="1:159" ht="18">
      <c r="A4" s="162"/>
      <c r="B4" s="165"/>
      <c r="C4" s="162"/>
      <c r="D4" s="162"/>
      <c r="E4" s="203"/>
      <c r="F4" s="203"/>
      <c r="G4" s="203"/>
      <c r="H4" s="203"/>
      <c r="I4" s="203"/>
      <c r="J4" s="169"/>
      <c r="K4" s="167"/>
      <c r="L4" s="167"/>
      <c r="M4" s="167"/>
      <c r="N4" s="167"/>
      <c r="O4" s="167"/>
      <c r="P4" s="169"/>
      <c r="Q4" s="216"/>
      <c r="R4" s="216"/>
      <c r="S4" s="216"/>
      <c r="T4" s="216"/>
      <c r="U4" s="216"/>
      <c r="V4" s="169"/>
      <c r="W4" s="225"/>
      <c r="X4" s="225"/>
      <c r="Y4" s="225"/>
      <c r="Z4" s="225"/>
      <c r="AA4" s="221"/>
      <c r="AB4" s="221"/>
      <c r="AC4" s="221"/>
      <c r="AD4" s="221"/>
      <c r="AE4" s="203"/>
      <c r="AF4" s="203"/>
      <c r="AG4" s="221"/>
      <c r="AH4" s="221"/>
      <c r="AI4" s="221"/>
      <c r="AJ4" s="221"/>
      <c r="AK4" s="167"/>
      <c r="AL4" s="169"/>
      <c r="AM4" s="221"/>
      <c r="AN4" s="221"/>
      <c r="AO4" s="221"/>
      <c r="AP4" s="221"/>
      <c r="AQ4" s="221"/>
      <c r="AR4" s="169"/>
      <c r="AS4" s="221"/>
      <c r="AT4" s="221"/>
      <c r="AU4" s="221"/>
      <c r="AV4" s="221"/>
      <c r="AW4" s="221"/>
      <c r="AX4" s="169"/>
      <c r="AY4" s="221"/>
      <c r="AZ4" s="221"/>
      <c r="BA4" s="221"/>
      <c r="BB4" s="221"/>
      <c r="BC4" s="221"/>
      <c r="BD4" s="221"/>
      <c r="BE4" s="221"/>
      <c r="BF4" s="221"/>
      <c r="BG4" s="221"/>
      <c r="BH4" s="169"/>
      <c r="BI4" s="221"/>
      <c r="BJ4" s="221"/>
      <c r="BK4" s="221"/>
      <c r="BL4" s="169"/>
      <c r="BM4" s="221"/>
      <c r="BN4" s="221"/>
      <c r="BO4" s="221"/>
      <c r="BP4" s="169"/>
      <c r="BQ4" s="221"/>
      <c r="BR4" s="221"/>
      <c r="BS4" s="221"/>
      <c r="BT4" s="169"/>
      <c r="BU4" s="221"/>
      <c r="BV4" s="221"/>
      <c r="BW4" s="221"/>
      <c r="BX4" s="169"/>
      <c r="BY4" s="244"/>
      <c r="BZ4" s="221"/>
      <c r="CA4" s="221"/>
      <c r="CB4" s="221"/>
      <c r="CC4" s="169"/>
      <c r="CD4" s="242"/>
      <c r="CE4" s="240"/>
      <c r="CF4" s="242"/>
      <c r="CG4" s="238"/>
      <c r="CH4" s="240"/>
      <c r="CI4" s="242"/>
      <c r="CJ4" s="242"/>
      <c r="CK4" s="242"/>
      <c r="CL4" s="242"/>
      <c r="CM4" s="234"/>
      <c r="CN4" s="234"/>
      <c r="CO4" s="236"/>
      <c r="CP4" s="233"/>
      <c r="CQ4" s="234"/>
      <c r="CR4" s="234"/>
      <c r="CS4" s="236"/>
      <c r="CT4" s="233"/>
      <c r="CU4" s="5"/>
      <c r="CV4" s="5"/>
      <c r="CW4" s="8"/>
      <c r="CX4" s="9"/>
      <c r="CY4" s="5"/>
      <c r="CZ4" s="9"/>
      <c r="DA4" s="5"/>
      <c r="DB4" s="9"/>
      <c r="DC4" s="5"/>
      <c r="DD4" s="9"/>
      <c r="DE4" s="5"/>
      <c r="DF4" s="9"/>
      <c r="DG4" s="5"/>
      <c r="DH4" s="5"/>
      <c r="DI4" s="8"/>
      <c r="DJ4" s="9"/>
      <c r="DK4" s="10"/>
      <c r="DL4" s="10"/>
      <c r="DM4" s="8"/>
      <c r="DN4" s="9"/>
      <c r="DO4" s="5"/>
      <c r="DP4" s="5"/>
      <c r="DQ4" s="8"/>
      <c r="DR4" s="9"/>
      <c r="DS4" s="5"/>
      <c r="DT4" s="9"/>
      <c r="DU4" s="5"/>
      <c r="DV4" s="9"/>
      <c r="DW4" s="5"/>
      <c r="DX4" s="9"/>
      <c r="DY4" s="5"/>
      <c r="DZ4" s="5"/>
      <c r="EA4" s="8"/>
      <c r="EB4" s="9"/>
      <c r="EC4" s="5"/>
      <c r="ED4" s="5"/>
      <c r="EE4" s="8"/>
      <c r="EF4" s="9"/>
      <c r="EG4" s="9"/>
      <c r="EH4" s="5"/>
      <c r="EI4" s="5"/>
      <c r="EJ4" s="8"/>
      <c r="EK4" s="9"/>
      <c r="EL4" s="205" t="s">
        <v>28</v>
      </c>
      <c r="EM4" s="205" t="s">
        <v>10</v>
      </c>
      <c r="EN4" s="205" t="s">
        <v>11</v>
      </c>
      <c r="EO4" s="205" t="s">
        <v>12</v>
      </c>
      <c r="EP4" s="205" t="s">
        <v>13</v>
      </c>
      <c r="EQ4" s="205" t="s">
        <v>14</v>
      </c>
      <c r="ER4" s="205" t="s">
        <v>15</v>
      </c>
      <c r="ES4" s="205" t="s">
        <v>16</v>
      </c>
      <c r="ET4" s="205" t="s">
        <v>17</v>
      </c>
      <c r="EU4" s="205" t="s">
        <v>18</v>
      </c>
      <c r="EV4" s="205" t="s">
        <v>19</v>
      </c>
      <c r="EW4" s="205" t="s">
        <v>20</v>
      </c>
      <c r="EX4" s="205" t="s">
        <v>21</v>
      </c>
      <c r="EY4" s="207" t="s">
        <v>29</v>
      </c>
      <c r="EZ4" s="205" t="s">
        <v>26</v>
      </c>
      <c r="FA4" s="205" t="s">
        <v>30</v>
      </c>
      <c r="FB4" s="219" t="s">
        <v>31</v>
      </c>
      <c r="FC4" s="201"/>
    </row>
    <row r="5" spans="1:159" s="20" customFormat="1" ht="18">
      <c r="A5" s="11">
        <v>1</v>
      </c>
      <c r="B5" s="12" t="s">
        <v>51</v>
      </c>
      <c r="C5" s="13" t="s">
        <v>52</v>
      </c>
      <c r="D5" s="12" t="s">
        <v>53</v>
      </c>
      <c r="E5" s="14">
        <v>84</v>
      </c>
      <c r="F5" s="14">
        <v>86</v>
      </c>
      <c r="G5" s="14">
        <v>90</v>
      </c>
      <c r="H5" s="14">
        <v>83</v>
      </c>
      <c r="I5" s="14">
        <v>92</v>
      </c>
      <c r="J5" s="14">
        <v>91</v>
      </c>
      <c r="K5" s="14">
        <v>84</v>
      </c>
      <c r="L5" s="14">
        <v>79</v>
      </c>
      <c r="M5" s="14">
        <v>70</v>
      </c>
      <c r="N5" s="14">
        <v>89</v>
      </c>
      <c r="O5" s="14">
        <v>98</v>
      </c>
      <c r="P5" s="15">
        <v>91</v>
      </c>
      <c r="Q5" s="15">
        <v>86</v>
      </c>
      <c r="R5" s="14">
        <v>83</v>
      </c>
      <c r="S5" s="14">
        <v>70</v>
      </c>
      <c r="T5" s="14">
        <v>75</v>
      </c>
      <c r="U5" s="14">
        <v>80</v>
      </c>
      <c r="V5" s="14">
        <v>87</v>
      </c>
      <c r="W5" s="14">
        <v>82</v>
      </c>
      <c r="X5" s="14">
        <v>84</v>
      </c>
      <c r="Y5" s="14">
        <v>80</v>
      </c>
      <c r="Z5" s="14">
        <v>84</v>
      </c>
      <c r="AA5" s="14">
        <v>77</v>
      </c>
      <c r="AB5" s="15">
        <v>80</v>
      </c>
      <c r="AC5" s="15">
        <v>80</v>
      </c>
      <c r="AD5" s="14">
        <v>81</v>
      </c>
      <c r="AE5" s="14">
        <v>82</v>
      </c>
      <c r="AF5" s="14">
        <v>83</v>
      </c>
      <c r="AG5" s="14">
        <v>77</v>
      </c>
      <c r="AH5" s="14">
        <v>80</v>
      </c>
      <c r="AI5" s="14">
        <v>70</v>
      </c>
      <c r="AJ5" s="14">
        <v>84</v>
      </c>
      <c r="AK5" s="14">
        <v>81</v>
      </c>
      <c r="AL5" s="15">
        <v>87</v>
      </c>
      <c r="AM5" s="15">
        <v>74</v>
      </c>
      <c r="AN5" s="14">
        <v>71</v>
      </c>
      <c r="AO5" s="14">
        <v>73</v>
      </c>
      <c r="AP5" s="14">
        <v>74</v>
      </c>
      <c r="AQ5" s="14">
        <v>80</v>
      </c>
      <c r="AR5" s="14">
        <v>90</v>
      </c>
      <c r="AS5" s="14">
        <v>77</v>
      </c>
      <c r="AT5" s="14">
        <v>80</v>
      </c>
      <c r="AU5" s="14">
        <v>82</v>
      </c>
      <c r="AV5" s="14">
        <v>80</v>
      </c>
      <c r="AW5" s="14">
        <v>82</v>
      </c>
      <c r="AX5" s="15">
        <v>90</v>
      </c>
      <c r="AY5" s="15">
        <v>79</v>
      </c>
      <c r="AZ5" s="14">
        <v>79</v>
      </c>
      <c r="BA5" s="14">
        <v>72</v>
      </c>
      <c r="BB5" s="14">
        <v>78</v>
      </c>
      <c r="BC5" s="14">
        <v>79</v>
      </c>
      <c r="BD5" s="14">
        <v>78</v>
      </c>
      <c r="BE5" s="37">
        <v>86</v>
      </c>
      <c r="BF5" s="37">
        <v>85</v>
      </c>
      <c r="BG5" s="37">
        <v>80</v>
      </c>
      <c r="BH5" s="14">
        <v>94</v>
      </c>
      <c r="BI5" s="38">
        <v>83</v>
      </c>
      <c r="BJ5" s="38">
        <v>80</v>
      </c>
      <c r="BK5" s="38">
        <v>81</v>
      </c>
      <c r="BL5" s="14">
        <v>94</v>
      </c>
      <c r="BM5" s="38">
        <v>78</v>
      </c>
      <c r="BN5" s="38">
        <v>76</v>
      </c>
      <c r="BO5" s="38">
        <v>83</v>
      </c>
      <c r="BP5" s="14">
        <v>94</v>
      </c>
      <c r="BQ5" s="15">
        <f>AVERAGE(BE5,BI5,BM5)</f>
        <v>82.333333333333329</v>
      </c>
      <c r="BR5" s="15">
        <f>AVERAGE(BF5,BJ5,BN5)</f>
        <v>80.333333333333329</v>
      </c>
      <c r="BS5" s="15">
        <f>AVERAGE(BG5,BK5,BO5)</f>
        <v>81.333333333333329</v>
      </c>
      <c r="BT5" s="15">
        <f>AVERAGE(BH5,BL5,BP5)</f>
        <v>94</v>
      </c>
      <c r="BU5" s="15">
        <v>87</v>
      </c>
      <c r="BV5" s="15">
        <v>84</v>
      </c>
      <c r="BW5" s="15">
        <v>90</v>
      </c>
      <c r="BX5" s="15">
        <v>94</v>
      </c>
      <c r="BY5" s="15">
        <v>91</v>
      </c>
      <c r="BZ5" s="15">
        <v>71</v>
      </c>
      <c r="CA5" s="15">
        <v>80</v>
      </c>
      <c r="CB5" s="15">
        <v>75</v>
      </c>
      <c r="CC5" s="15">
        <v>90</v>
      </c>
      <c r="CD5" s="39">
        <v>88</v>
      </c>
      <c r="CE5" s="40">
        <v>82</v>
      </c>
      <c r="CF5" s="40">
        <v>87</v>
      </c>
      <c r="CG5" s="40">
        <v>84</v>
      </c>
      <c r="CH5" s="40">
        <v>81</v>
      </c>
      <c r="CI5" s="40">
        <v>82</v>
      </c>
      <c r="CJ5" s="40">
        <v>80</v>
      </c>
      <c r="CK5" s="39">
        <v>85</v>
      </c>
      <c r="CL5" s="40">
        <v>95</v>
      </c>
      <c r="CM5" s="41">
        <f>AVERAGE(E5:I5)</f>
        <v>87</v>
      </c>
      <c r="CN5" s="41">
        <f>J5</f>
        <v>91</v>
      </c>
      <c r="CO5" s="41">
        <f>CD5</f>
        <v>88</v>
      </c>
      <c r="CP5" s="17">
        <f>(CM5*4+CN5*3+CO5*3)/10</f>
        <v>88.5</v>
      </c>
      <c r="CQ5" s="16">
        <f>AVERAGE(K5:O5)</f>
        <v>84</v>
      </c>
      <c r="CR5" s="16">
        <f>P5</f>
        <v>91</v>
      </c>
      <c r="CS5" s="16">
        <f>CE5</f>
        <v>82</v>
      </c>
      <c r="CT5" s="17">
        <f>(CQ5*4+CR5*3+CS5*3)/10</f>
        <v>85.5</v>
      </c>
      <c r="CU5" s="17">
        <f>AVERAGE(Q5:U5)</f>
        <v>78.8</v>
      </c>
      <c r="CV5" s="17">
        <f>V5</f>
        <v>87</v>
      </c>
      <c r="CW5" s="17">
        <f>CF5</f>
        <v>87</v>
      </c>
      <c r="CX5" s="17">
        <f>(CU5*4+CV5*3+CW5*3)/10</f>
        <v>83.72</v>
      </c>
      <c r="CY5" s="18">
        <f>AVERAGE(W5:Z5)</f>
        <v>82.5</v>
      </c>
      <c r="CZ5" s="18">
        <f>CY5</f>
        <v>82.5</v>
      </c>
      <c r="DA5" s="18">
        <f>AVERAGE(AA5:AD5)</f>
        <v>79.5</v>
      </c>
      <c r="DB5" s="18">
        <f>DA5</f>
        <v>79.5</v>
      </c>
      <c r="DC5" s="18">
        <f>AVERAGE(AE5:AF5)</f>
        <v>82.5</v>
      </c>
      <c r="DD5" s="18">
        <f>DC5</f>
        <v>82.5</v>
      </c>
      <c r="DE5" s="18">
        <f>AVERAGE(AG5:AJ5)</f>
        <v>77.75</v>
      </c>
      <c r="DF5" s="18">
        <f>DE5</f>
        <v>77.75</v>
      </c>
      <c r="DG5" s="18">
        <f>AK5</f>
        <v>81</v>
      </c>
      <c r="DH5" s="18">
        <f>AL5</f>
        <v>87</v>
      </c>
      <c r="DI5" s="18">
        <f>CG5</f>
        <v>84</v>
      </c>
      <c r="DJ5" s="17">
        <f>(DG5*4+DH5*3+DI5*3)/10</f>
        <v>83.7</v>
      </c>
      <c r="DK5" s="18">
        <f>AVERAGE(AM5:AQ5)</f>
        <v>74.400000000000006</v>
      </c>
      <c r="DL5" s="18">
        <f>AR5</f>
        <v>90</v>
      </c>
      <c r="DM5" s="18">
        <f>CH5</f>
        <v>81</v>
      </c>
      <c r="DN5" s="17">
        <f>(DK5*4+DL5*3+DM5*3)/10</f>
        <v>81.06</v>
      </c>
      <c r="DO5" s="18">
        <f>AVERAGE(AS5:AW5)</f>
        <v>80.2</v>
      </c>
      <c r="DP5" s="18">
        <f>AX5</f>
        <v>90</v>
      </c>
      <c r="DQ5" s="18">
        <f>CI5</f>
        <v>82</v>
      </c>
      <c r="DR5" s="17">
        <f>(DO5*4+DP5*3+DQ5*3)/10</f>
        <v>83.679999999999993</v>
      </c>
      <c r="DS5" s="18">
        <f>AVERAGE(AY5:AZ5)</f>
        <v>79</v>
      </c>
      <c r="DT5" s="18">
        <f>DS5</f>
        <v>79</v>
      </c>
      <c r="DU5" s="18">
        <f>AVERAGE(BA5:BB5)</f>
        <v>75</v>
      </c>
      <c r="DV5" s="18">
        <f>DU5</f>
        <v>75</v>
      </c>
      <c r="DW5" s="18">
        <f>AVERAGE(BC5:BD5)</f>
        <v>78.5</v>
      </c>
      <c r="DX5" s="17">
        <f>DW5</f>
        <v>78.5</v>
      </c>
      <c r="DY5" s="18">
        <f>AVERAGE(BQ5:BS5)</f>
        <v>81.333333333333329</v>
      </c>
      <c r="DZ5" s="18">
        <f>BT5</f>
        <v>94</v>
      </c>
      <c r="EA5" s="18">
        <f>CL5</f>
        <v>95</v>
      </c>
      <c r="EB5" s="17">
        <f>(DY5*4+DZ5*3+EA5*3)/10</f>
        <v>89.23333333333332</v>
      </c>
      <c r="EC5" s="18">
        <f>AVERAGE(BU5:BW5)</f>
        <v>87</v>
      </c>
      <c r="ED5" s="18">
        <f>BX5</f>
        <v>94</v>
      </c>
      <c r="EE5" s="18">
        <f>CK5</f>
        <v>85</v>
      </c>
      <c r="EF5" s="17">
        <f>(EC5*4+ED5*3+EE5*3)/10</f>
        <v>88.5</v>
      </c>
      <c r="EG5" s="18">
        <f>BY5</f>
        <v>91</v>
      </c>
      <c r="EH5" s="18">
        <f>AVERAGE(BZ5:CB5)</f>
        <v>75.333333333333329</v>
      </c>
      <c r="EI5" s="18">
        <f>CC5</f>
        <v>90</v>
      </c>
      <c r="EJ5" s="18">
        <f>CJ5</f>
        <v>80</v>
      </c>
      <c r="EK5" s="17">
        <f>(EH5*4+EI5*3+EJ5*3)/10</f>
        <v>81.133333333333326</v>
      </c>
      <c r="EL5" s="19">
        <f>CP5</f>
        <v>88.5</v>
      </c>
      <c r="EM5" s="19">
        <f>CT5</f>
        <v>85.5</v>
      </c>
      <c r="EN5" s="19">
        <f>CX5</f>
        <v>83.72</v>
      </c>
      <c r="EO5" s="19">
        <f>CZ5</f>
        <v>82.5</v>
      </c>
      <c r="EP5" s="19">
        <f>DB5</f>
        <v>79.5</v>
      </c>
      <c r="EQ5" s="19">
        <f>DD5</f>
        <v>82.5</v>
      </c>
      <c r="ER5" s="19">
        <f>DF5</f>
        <v>77.75</v>
      </c>
      <c r="ES5" s="19">
        <f>DJ5</f>
        <v>83.7</v>
      </c>
      <c r="ET5" s="19">
        <f>DN5</f>
        <v>81.06</v>
      </c>
      <c r="EU5" s="19">
        <f>DR5</f>
        <v>83.679999999999993</v>
      </c>
      <c r="EV5" s="19">
        <f>DT5</f>
        <v>79</v>
      </c>
      <c r="EW5" s="19">
        <f>DV5</f>
        <v>75</v>
      </c>
      <c r="EX5" s="19">
        <f>DX5</f>
        <v>78.5</v>
      </c>
      <c r="EY5" s="19">
        <f>EB5</f>
        <v>89.23333333333332</v>
      </c>
      <c r="EZ5" s="19">
        <f>EF5</f>
        <v>88.5</v>
      </c>
      <c r="FA5" s="19">
        <f>EG5</f>
        <v>91</v>
      </c>
      <c r="FB5" s="19">
        <f>EK5</f>
        <v>81.133333333333326</v>
      </c>
      <c r="FC5" s="19">
        <f>AVERAGE(EL5:FB5)</f>
        <v>82.986862745098037</v>
      </c>
    </row>
    <row r="6" spans="1:159" ht="18">
      <c r="A6" s="11">
        <v>2</v>
      </c>
      <c r="B6" s="12" t="s">
        <v>54</v>
      </c>
      <c r="C6" s="13" t="s">
        <v>55</v>
      </c>
      <c r="D6" s="12" t="s">
        <v>53</v>
      </c>
      <c r="E6" s="14">
        <v>80</v>
      </c>
      <c r="F6" s="14">
        <v>84</v>
      </c>
      <c r="G6" s="14">
        <v>80</v>
      </c>
      <c r="H6" s="14">
        <v>80</v>
      </c>
      <c r="I6" s="14">
        <v>91</v>
      </c>
      <c r="J6" s="14">
        <v>83</v>
      </c>
      <c r="K6" s="14">
        <v>80</v>
      </c>
      <c r="L6" s="14">
        <v>77</v>
      </c>
      <c r="M6" s="14">
        <v>89</v>
      </c>
      <c r="N6" s="14">
        <v>95</v>
      </c>
      <c r="O6" s="14">
        <v>95</v>
      </c>
      <c r="P6" s="15">
        <v>78</v>
      </c>
      <c r="Q6" s="15">
        <v>87</v>
      </c>
      <c r="R6" s="14">
        <v>89</v>
      </c>
      <c r="S6" s="14">
        <v>83</v>
      </c>
      <c r="T6" s="14">
        <v>84</v>
      </c>
      <c r="U6" s="14">
        <v>83</v>
      </c>
      <c r="V6" s="14">
        <v>80</v>
      </c>
      <c r="W6" s="14">
        <v>83</v>
      </c>
      <c r="X6" s="14">
        <v>86</v>
      </c>
      <c r="Y6" s="14">
        <v>84</v>
      </c>
      <c r="Z6" s="14">
        <v>86</v>
      </c>
      <c r="AA6" s="14">
        <v>77</v>
      </c>
      <c r="AB6" s="15">
        <v>82</v>
      </c>
      <c r="AC6" s="15">
        <v>72</v>
      </c>
      <c r="AD6" s="14">
        <v>78</v>
      </c>
      <c r="AE6" s="14">
        <v>82</v>
      </c>
      <c r="AF6" s="14">
        <v>82</v>
      </c>
      <c r="AG6" s="14">
        <v>75</v>
      </c>
      <c r="AH6" s="14">
        <v>77</v>
      </c>
      <c r="AI6" s="14">
        <v>70</v>
      </c>
      <c r="AJ6" s="14">
        <v>80</v>
      </c>
      <c r="AK6" s="14">
        <v>80</v>
      </c>
      <c r="AL6" s="15">
        <v>80</v>
      </c>
      <c r="AM6" s="15">
        <v>76</v>
      </c>
      <c r="AN6" s="14">
        <v>78</v>
      </c>
      <c r="AO6" s="14">
        <v>74</v>
      </c>
      <c r="AP6" s="14">
        <v>77</v>
      </c>
      <c r="AQ6" s="14">
        <v>79</v>
      </c>
      <c r="AR6" s="14">
        <v>79</v>
      </c>
      <c r="AS6" s="14">
        <v>77</v>
      </c>
      <c r="AT6" s="14">
        <v>78</v>
      </c>
      <c r="AU6" s="14">
        <v>78</v>
      </c>
      <c r="AV6" s="14">
        <v>83</v>
      </c>
      <c r="AW6" s="14">
        <v>78</v>
      </c>
      <c r="AX6" s="15">
        <v>79</v>
      </c>
      <c r="AY6" s="15">
        <v>79</v>
      </c>
      <c r="AZ6" s="14">
        <v>82</v>
      </c>
      <c r="BA6" s="14">
        <v>75</v>
      </c>
      <c r="BB6" s="14">
        <v>82</v>
      </c>
      <c r="BC6" s="14">
        <v>74</v>
      </c>
      <c r="BD6" s="14">
        <v>82</v>
      </c>
      <c r="BE6" s="37">
        <v>83</v>
      </c>
      <c r="BF6" s="37">
        <v>82</v>
      </c>
      <c r="BG6" s="37">
        <v>81</v>
      </c>
      <c r="BH6" s="14">
        <v>86</v>
      </c>
      <c r="BI6" s="38">
        <v>84</v>
      </c>
      <c r="BJ6" s="38">
        <v>81</v>
      </c>
      <c r="BK6" s="38">
        <v>80</v>
      </c>
      <c r="BL6" s="14">
        <v>86</v>
      </c>
      <c r="BM6" s="38">
        <v>77</v>
      </c>
      <c r="BN6" s="38">
        <v>80</v>
      </c>
      <c r="BO6" s="38">
        <v>82</v>
      </c>
      <c r="BP6" s="14">
        <v>86</v>
      </c>
      <c r="BQ6" s="15">
        <f t="shared" ref="BQ6:BQ69" si="0">AVERAGE(BE6,BI6,BM6)</f>
        <v>81.333333333333329</v>
      </c>
      <c r="BR6" s="15">
        <f t="shared" ref="BR6:BR69" si="1">AVERAGE(BF6,BJ6,BN6)</f>
        <v>81</v>
      </c>
      <c r="BS6" s="15">
        <f t="shared" ref="BS6:BS69" si="2">AVERAGE(BG6,BK6,BO6)</f>
        <v>81</v>
      </c>
      <c r="BT6" s="15">
        <f t="shared" ref="BT6:BT69" si="3">AVERAGE(BH6,BL6,BP6)</f>
        <v>86</v>
      </c>
      <c r="BU6" s="15">
        <v>86</v>
      </c>
      <c r="BV6" s="15">
        <v>83</v>
      </c>
      <c r="BW6" s="15">
        <v>90</v>
      </c>
      <c r="BX6" s="15">
        <v>86</v>
      </c>
      <c r="BY6" s="15">
        <v>81</v>
      </c>
      <c r="BZ6" s="15">
        <v>75</v>
      </c>
      <c r="CA6" s="15">
        <v>84</v>
      </c>
      <c r="CB6" s="15">
        <v>86</v>
      </c>
      <c r="CC6" s="15">
        <v>79</v>
      </c>
      <c r="CD6" s="39">
        <v>89</v>
      </c>
      <c r="CE6" s="40">
        <v>80</v>
      </c>
      <c r="CF6" s="40">
        <v>82</v>
      </c>
      <c r="CG6" s="40">
        <v>95</v>
      </c>
      <c r="CH6" s="40">
        <v>79</v>
      </c>
      <c r="CI6" s="40">
        <v>84</v>
      </c>
      <c r="CJ6" s="40">
        <v>80</v>
      </c>
      <c r="CK6" s="39">
        <v>87</v>
      </c>
      <c r="CL6" s="40">
        <v>95</v>
      </c>
      <c r="CM6" s="41">
        <f t="shared" ref="CM6:CM69" si="4">AVERAGE(E6:I6)</f>
        <v>83</v>
      </c>
      <c r="CN6" s="41">
        <f t="shared" ref="CN6:CN69" si="5">J6</f>
        <v>83</v>
      </c>
      <c r="CO6" s="41">
        <f t="shared" ref="CO6:CO69" si="6">CD6</f>
        <v>89</v>
      </c>
      <c r="CP6" s="17">
        <f t="shared" ref="CP6:CP69" si="7">(CM6*4+CN6*3+CO6*3)/10</f>
        <v>84.8</v>
      </c>
      <c r="CQ6" s="16">
        <f t="shared" ref="CQ6:CQ69" si="8">AVERAGE(K6:O6)</f>
        <v>87.2</v>
      </c>
      <c r="CR6" s="16">
        <f t="shared" ref="CR6:CR69" si="9">P6</f>
        <v>78</v>
      </c>
      <c r="CS6" s="16">
        <f t="shared" ref="CS6:CS69" si="10">CE6</f>
        <v>80</v>
      </c>
      <c r="CT6" s="17">
        <f t="shared" ref="CT6:CT69" si="11">(CQ6*4+CR6*3+CS6*3)/10</f>
        <v>82.28</v>
      </c>
      <c r="CU6" s="17">
        <f t="shared" ref="CU6:CU69" si="12">AVERAGE(Q6:U6)</f>
        <v>85.2</v>
      </c>
      <c r="CV6" s="17">
        <f t="shared" ref="CV6:CV69" si="13">V6</f>
        <v>80</v>
      </c>
      <c r="CW6" s="17">
        <f t="shared" ref="CW6:CW69" si="14">CF6</f>
        <v>82</v>
      </c>
      <c r="CX6" s="17">
        <f t="shared" ref="CX6:CX69" si="15">(CU6*4+CV6*3+CW6*3)/10</f>
        <v>82.679999999999993</v>
      </c>
      <c r="CY6" s="18">
        <f t="shared" ref="CY6:CY69" si="16">AVERAGE(W6:Z6)</f>
        <v>84.75</v>
      </c>
      <c r="CZ6" s="18">
        <f t="shared" ref="CZ6:CZ69" si="17">CY6</f>
        <v>84.75</v>
      </c>
      <c r="DA6" s="18">
        <f t="shared" ref="DA6:DA69" si="18">AVERAGE(AA6:AD6)</f>
        <v>77.25</v>
      </c>
      <c r="DB6" s="18">
        <f t="shared" ref="DB6:DB69" si="19">DA6</f>
        <v>77.25</v>
      </c>
      <c r="DC6" s="18">
        <f t="shared" ref="DC6:DC69" si="20">AVERAGE(AE6:AF6)</f>
        <v>82</v>
      </c>
      <c r="DD6" s="18">
        <f t="shared" ref="DD6:DD69" si="21">DC6</f>
        <v>82</v>
      </c>
      <c r="DE6" s="18">
        <f t="shared" ref="DE6:DE69" si="22">AVERAGE(AG6:AJ6)</f>
        <v>75.5</v>
      </c>
      <c r="DF6" s="18">
        <f t="shared" ref="DF6:DF69" si="23">DE6</f>
        <v>75.5</v>
      </c>
      <c r="DG6" s="18">
        <f t="shared" ref="DG6:DG69" si="24">AK6</f>
        <v>80</v>
      </c>
      <c r="DH6" s="18">
        <f t="shared" ref="DH6:DH69" si="25">AL6</f>
        <v>80</v>
      </c>
      <c r="DI6" s="18">
        <f t="shared" ref="DI6:DI69" si="26">CG6</f>
        <v>95</v>
      </c>
      <c r="DJ6" s="17">
        <f t="shared" ref="DJ6:DJ69" si="27">(DG6*4+DH6*3+DI6*3)/10</f>
        <v>84.5</v>
      </c>
      <c r="DK6" s="18">
        <f t="shared" ref="DK6:DK69" si="28">AVERAGE(AM6:AQ6)</f>
        <v>76.8</v>
      </c>
      <c r="DL6" s="18">
        <f t="shared" ref="DL6:DL69" si="29">AR6</f>
        <v>79</v>
      </c>
      <c r="DM6" s="18">
        <f t="shared" ref="DM6:DM69" si="30">CH6</f>
        <v>79</v>
      </c>
      <c r="DN6" s="17">
        <f t="shared" ref="DN6:DN69" si="31">(DK6*4+DL6*3+DM6*3)/10</f>
        <v>78.12</v>
      </c>
      <c r="DO6" s="18">
        <f t="shared" ref="DO6:DO69" si="32">AVERAGE(AS6:AW6)</f>
        <v>78.8</v>
      </c>
      <c r="DP6" s="18">
        <f t="shared" ref="DP6:DP69" si="33">AX6</f>
        <v>79</v>
      </c>
      <c r="DQ6" s="18">
        <f t="shared" ref="DQ6:DQ69" si="34">CI6</f>
        <v>84</v>
      </c>
      <c r="DR6" s="17">
        <f t="shared" ref="DR6:DR69" si="35">(DO6*4+DP6*3+DQ6*3)/10</f>
        <v>80.42</v>
      </c>
      <c r="DS6" s="18">
        <f t="shared" ref="DS6:DS69" si="36">AVERAGE(AY6:AZ6)</f>
        <v>80.5</v>
      </c>
      <c r="DT6" s="18">
        <f t="shared" ref="DT6:DT69" si="37">DS6</f>
        <v>80.5</v>
      </c>
      <c r="DU6" s="18">
        <f t="shared" ref="DU6:DU69" si="38">AVERAGE(BA6:BB6)</f>
        <v>78.5</v>
      </c>
      <c r="DV6" s="18">
        <f t="shared" ref="DV6:DV69" si="39">DU6</f>
        <v>78.5</v>
      </c>
      <c r="DW6" s="18">
        <f t="shared" ref="DW6:DW69" si="40">AVERAGE(BC6:BD6)</f>
        <v>78</v>
      </c>
      <c r="DX6" s="17">
        <f t="shared" ref="DX6:DX69" si="41">DW6</f>
        <v>78</v>
      </c>
      <c r="DY6" s="18">
        <f t="shared" ref="DY6:DY69" si="42">AVERAGE(BQ6:BS6)</f>
        <v>81.1111111111111</v>
      </c>
      <c r="DZ6" s="18">
        <f t="shared" ref="DZ6:DZ69" si="43">BT6</f>
        <v>86</v>
      </c>
      <c r="EA6" s="18">
        <f t="shared" ref="EA6:EA69" si="44">CL6</f>
        <v>95</v>
      </c>
      <c r="EB6" s="17">
        <f t="shared" ref="EB6:EB69" si="45">(DY6*4+DZ6*3+EA6*3)/10</f>
        <v>86.74444444444444</v>
      </c>
      <c r="EC6" s="18">
        <f t="shared" ref="EC6:EC69" si="46">AVERAGE(BU6:BW6)</f>
        <v>86.333333333333329</v>
      </c>
      <c r="ED6" s="18">
        <f t="shared" ref="ED6:ED69" si="47">BX6</f>
        <v>86</v>
      </c>
      <c r="EE6" s="18">
        <f t="shared" ref="EE6:EE69" si="48">CK6</f>
        <v>87</v>
      </c>
      <c r="EF6" s="17">
        <f t="shared" ref="EF6:EF69" si="49">(EC6*4+ED6*3+EE6*3)/10</f>
        <v>86.433333333333323</v>
      </c>
      <c r="EG6" s="18">
        <f t="shared" ref="EG6:EG69" si="50">BY6</f>
        <v>81</v>
      </c>
      <c r="EH6" s="18">
        <f t="shared" ref="EH6:EH69" si="51">AVERAGE(BZ6:CB6)</f>
        <v>81.666666666666671</v>
      </c>
      <c r="EI6" s="18">
        <f t="shared" ref="EI6:EI69" si="52">CC6</f>
        <v>79</v>
      </c>
      <c r="EJ6" s="18">
        <f t="shared" ref="EJ6:EJ69" si="53">CJ6</f>
        <v>80</v>
      </c>
      <c r="EK6" s="17">
        <f t="shared" ref="EK6:EK69" si="54">(EH6*4+EI6*3+EJ6*3)/10</f>
        <v>80.366666666666674</v>
      </c>
      <c r="EL6" s="19">
        <f t="shared" ref="EL6:EL69" si="55">CP6</f>
        <v>84.8</v>
      </c>
      <c r="EM6" s="19">
        <f t="shared" ref="EM6:EM69" si="56">CT6</f>
        <v>82.28</v>
      </c>
      <c r="EN6" s="19">
        <f t="shared" ref="EN6:EN69" si="57">CX6</f>
        <v>82.679999999999993</v>
      </c>
      <c r="EO6" s="19">
        <f t="shared" ref="EO6:EO69" si="58">CZ6</f>
        <v>84.75</v>
      </c>
      <c r="EP6" s="19">
        <f t="shared" ref="EP6:EP69" si="59">DB6</f>
        <v>77.25</v>
      </c>
      <c r="EQ6" s="19">
        <f t="shared" ref="EQ6:EQ69" si="60">DD6</f>
        <v>82</v>
      </c>
      <c r="ER6" s="19">
        <f t="shared" ref="ER6:ER69" si="61">DF6</f>
        <v>75.5</v>
      </c>
      <c r="ES6" s="19">
        <f t="shared" ref="ES6:ES69" si="62">DJ6</f>
        <v>84.5</v>
      </c>
      <c r="ET6" s="19">
        <f t="shared" ref="ET6:ET69" si="63">DN6</f>
        <v>78.12</v>
      </c>
      <c r="EU6" s="19">
        <f t="shared" ref="EU6:EU69" si="64">DR6</f>
        <v>80.42</v>
      </c>
      <c r="EV6" s="19">
        <f t="shared" ref="EV6:EV69" si="65">DT6</f>
        <v>80.5</v>
      </c>
      <c r="EW6" s="19">
        <f t="shared" ref="EW6:EW69" si="66">DV6</f>
        <v>78.5</v>
      </c>
      <c r="EX6" s="19">
        <f t="shared" ref="EX6:EX69" si="67">DX6</f>
        <v>78</v>
      </c>
      <c r="EY6" s="19">
        <f t="shared" ref="EY6:EY69" si="68">EB6</f>
        <v>86.74444444444444</v>
      </c>
      <c r="EZ6" s="19">
        <f t="shared" ref="EZ6:EZ69" si="69">EF6</f>
        <v>86.433333333333323</v>
      </c>
      <c r="FA6" s="19">
        <f t="shared" ref="FA6:FA69" si="70">EG6</f>
        <v>81</v>
      </c>
      <c r="FB6" s="19">
        <f t="shared" ref="FB6:FB69" si="71">EK6</f>
        <v>80.366666666666674</v>
      </c>
      <c r="FC6" s="19">
        <f t="shared" ref="FC6:FC69" si="72">AVERAGE(EL6:FB6)</f>
        <v>81.402614379084966</v>
      </c>
    </row>
    <row r="7" spans="1:159" ht="18">
      <c r="A7" s="11">
        <v>3</v>
      </c>
      <c r="B7" s="12" t="s">
        <v>56</v>
      </c>
      <c r="C7" s="13" t="s">
        <v>57</v>
      </c>
      <c r="D7" s="12" t="s">
        <v>53</v>
      </c>
      <c r="E7" s="14">
        <v>84</v>
      </c>
      <c r="F7" s="14">
        <v>82</v>
      </c>
      <c r="G7" s="14">
        <v>88</v>
      </c>
      <c r="H7" s="14">
        <v>84</v>
      </c>
      <c r="I7" s="14">
        <v>92</v>
      </c>
      <c r="J7" s="14">
        <v>72</v>
      </c>
      <c r="K7" s="14">
        <v>80</v>
      </c>
      <c r="L7" s="14">
        <v>82</v>
      </c>
      <c r="M7" s="14">
        <v>83</v>
      </c>
      <c r="N7" s="14">
        <v>89</v>
      </c>
      <c r="O7" s="14">
        <v>92</v>
      </c>
      <c r="P7" s="15">
        <v>73</v>
      </c>
      <c r="Q7" s="15">
        <v>86</v>
      </c>
      <c r="R7" s="14">
        <v>70</v>
      </c>
      <c r="S7" s="14">
        <v>80</v>
      </c>
      <c r="T7" s="14">
        <v>79</v>
      </c>
      <c r="U7" s="14">
        <v>80</v>
      </c>
      <c r="V7" s="14">
        <v>80</v>
      </c>
      <c r="W7" s="21">
        <v>83</v>
      </c>
      <c r="X7" s="14">
        <v>83</v>
      </c>
      <c r="Y7" s="14">
        <v>80</v>
      </c>
      <c r="Z7" s="14">
        <v>85</v>
      </c>
      <c r="AA7" s="14">
        <v>77</v>
      </c>
      <c r="AB7" s="15">
        <v>79</v>
      </c>
      <c r="AC7" s="15">
        <v>82</v>
      </c>
      <c r="AD7" s="14">
        <v>84</v>
      </c>
      <c r="AE7" s="14">
        <v>83</v>
      </c>
      <c r="AF7" s="14">
        <v>82</v>
      </c>
      <c r="AG7" s="14">
        <v>76</v>
      </c>
      <c r="AH7" s="14">
        <v>75</v>
      </c>
      <c r="AI7" s="14">
        <v>73</v>
      </c>
      <c r="AJ7" s="14">
        <v>83</v>
      </c>
      <c r="AK7" s="14">
        <v>80</v>
      </c>
      <c r="AL7" s="15">
        <v>80</v>
      </c>
      <c r="AM7" s="15">
        <v>70</v>
      </c>
      <c r="AN7" s="14">
        <v>72</v>
      </c>
      <c r="AO7" s="14">
        <v>73</v>
      </c>
      <c r="AP7" s="14">
        <v>74</v>
      </c>
      <c r="AQ7" s="14">
        <v>78</v>
      </c>
      <c r="AR7" s="14">
        <v>74</v>
      </c>
      <c r="AS7" s="14">
        <v>75</v>
      </c>
      <c r="AT7" s="14">
        <v>80</v>
      </c>
      <c r="AU7" s="14">
        <v>82</v>
      </c>
      <c r="AV7" s="14">
        <v>80</v>
      </c>
      <c r="AW7" s="14">
        <v>82</v>
      </c>
      <c r="AX7" s="15">
        <v>74</v>
      </c>
      <c r="AY7" s="15">
        <v>75</v>
      </c>
      <c r="AZ7" s="14">
        <v>81</v>
      </c>
      <c r="BA7" s="14">
        <v>74</v>
      </c>
      <c r="BB7" s="14">
        <v>86</v>
      </c>
      <c r="BC7" s="14">
        <v>78</v>
      </c>
      <c r="BD7" s="14">
        <v>77</v>
      </c>
      <c r="BE7" s="37">
        <v>82</v>
      </c>
      <c r="BF7" s="37">
        <v>81</v>
      </c>
      <c r="BG7" s="37">
        <v>80</v>
      </c>
      <c r="BH7" s="14">
        <v>74</v>
      </c>
      <c r="BI7" s="38">
        <v>79</v>
      </c>
      <c r="BJ7" s="38">
        <v>80</v>
      </c>
      <c r="BK7" s="38">
        <v>88</v>
      </c>
      <c r="BL7" s="14">
        <v>74</v>
      </c>
      <c r="BM7" s="38">
        <v>78</v>
      </c>
      <c r="BN7" s="38">
        <v>75</v>
      </c>
      <c r="BO7" s="38">
        <v>85</v>
      </c>
      <c r="BP7" s="14">
        <v>74</v>
      </c>
      <c r="BQ7" s="15">
        <f t="shared" si="0"/>
        <v>79.666666666666671</v>
      </c>
      <c r="BR7" s="15">
        <f t="shared" si="1"/>
        <v>78.666666666666671</v>
      </c>
      <c r="BS7" s="15">
        <f t="shared" si="2"/>
        <v>84.333333333333329</v>
      </c>
      <c r="BT7" s="15">
        <f t="shared" si="3"/>
        <v>74</v>
      </c>
      <c r="BU7" s="15">
        <v>86</v>
      </c>
      <c r="BV7" s="15">
        <v>83</v>
      </c>
      <c r="BW7" s="15">
        <v>90</v>
      </c>
      <c r="BX7" s="15">
        <v>74</v>
      </c>
      <c r="BY7" s="15">
        <v>75</v>
      </c>
      <c r="BZ7" s="15">
        <v>74</v>
      </c>
      <c r="CA7" s="15">
        <v>83</v>
      </c>
      <c r="CB7" s="15">
        <v>80</v>
      </c>
      <c r="CC7" s="15">
        <v>74</v>
      </c>
      <c r="CD7" s="39">
        <v>86</v>
      </c>
      <c r="CE7" s="40">
        <v>90</v>
      </c>
      <c r="CF7" s="40">
        <v>80</v>
      </c>
      <c r="CG7" s="40">
        <v>80</v>
      </c>
      <c r="CH7" s="40">
        <v>76</v>
      </c>
      <c r="CI7" s="40">
        <v>82</v>
      </c>
      <c r="CJ7" s="40">
        <v>80</v>
      </c>
      <c r="CK7" s="39">
        <v>88</v>
      </c>
      <c r="CL7" s="40">
        <v>92</v>
      </c>
      <c r="CM7" s="41">
        <f t="shared" si="4"/>
        <v>86</v>
      </c>
      <c r="CN7" s="41">
        <f t="shared" si="5"/>
        <v>72</v>
      </c>
      <c r="CO7" s="41">
        <f t="shared" si="6"/>
        <v>86</v>
      </c>
      <c r="CP7" s="17">
        <f t="shared" si="7"/>
        <v>81.8</v>
      </c>
      <c r="CQ7" s="16">
        <f t="shared" si="8"/>
        <v>85.2</v>
      </c>
      <c r="CR7" s="16">
        <f t="shared" si="9"/>
        <v>73</v>
      </c>
      <c r="CS7" s="16">
        <f t="shared" si="10"/>
        <v>90</v>
      </c>
      <c r="CT7" s="17">
        <f t="shared" si="11"/>
        <v>82.97999999999999</v>
      </c>
      <c r="CU7" s="17">
        <f t="shared" si="12"/>
        <v>79</v>
      </c>
      <c r="CV7" s="17">
        <f t="shared" si="13"/>
        <v>80</v>
      </c>
      <c r="CW7" s="17">
        <f t="shared" si="14"/>
        <v>80</v>
      </c>
      <c r="CX7" s="17">
        <f t="shared" si="15"/>
        <v>79.599999999999994</v>
      </c>
      <c r="CY7" s="18">
        <f t="shared" si="16"/>
        <v>82.75</v>
      </c>
      <c r="CZ7" s="18">
        <f t="shared" si="17"/>
        <v>82.75</v>
      </c>
      <c r="DA7" s="18">
        <f t="shared" si="18"/>
        <v>80.5</v>
      </c>
      <c r="DB7" s="18">
        <f t="shared" si="19"/>
        <v>80.5</v>
      </c>
      <c r="DC7" s="18">
        <f t="shared" si="20"/>
        <v>82.5</v>
      </c>
      <c r="DD7" s="18">
        <f t="shared" si="21"/>
        <v>82.5</v>
      </c>
      <c r="DE7" s="18">
        <f t="shared" si="22"/>
        <v>76.75</v>
      </c>
      <c r="DF7" s="18">
        <f t="shared" si="23"/>
        <v>76.75</v>
      </c>
      <c r="DG7" s="18">
        <f t="shared" si="24"/>
        <v>80</v>
      </c>
      <c r="DH7" s="18">
        <f t="shared" si="25"/>
        <v>80</v>
      </c>
      <c r="DI7" s="18">
        <f t="shared" si="26"/>
        <v>80</v>
      </c>
      <c r="DJ7" s="17">
        <f t="shared" si="27"/>
        <v>80</v>
      </c>
      <c r="DK7" s="18">
        <f t="shared" si="28"/>
        <v>73.400000000000006</v>
      </c>
      <c r="DL7" s="18">
        <f t="shared" si="29"/>
        <v>74</v>
      </c>
      <c r="DM7" s="18">
        <f t="shared" si="30"/>
        <v>76</v>
      </c>
      <c r="DN7" s="17">
        <f t="shared" si="31"/>
        <v>74.36</v>
      </c>
      <c r="DO7" s="18">
        <f t="shared" si="32"/>
        <v>79.8</v>
      </c>
      <c r="DP7" s="18">
        <f t="shared" si="33"/>
        <v>74</v>
      </c>
      <c r="DQ7" s="18">
        <f t="shared" si="34"/>
        <v>82</v>
      </c>
      <c r="DR7" s="17">
        <f t="shared" si="35"/>
        <v>78.72</v>
      </c>
      <c r="DS7" s="18">
        <f t="shared" si="36"/>
        <v>78</v>
      </c>
      <c r="DT7" s="18">
        <f t="shared" si="37"/>
        <v>78</v>
      </c>
      <c r="DU7" s="18">
        <f t="shared" si="38"/>
        <v>80</v>
      </c>
      <c r="DV7" s="18">
        <f t="shared" si="39"/>
        <v>80</v>
      </c>
      <c r="DW7" s="18">
        <f t="shared" si="40"/>
        <v>77.5</v>
      </c>
      <c r="DX7" s="17">
        <f t="shared" si="41"/>
        <v>77.5</v>
      </c>
      <c r="DY7" s="18">
        <f t="shared" si="42"/>
        <v>80.8888888888889</v>
      </c>
      <c r="DZ7" s="18">
        <f t="shared" si="43"/>
        <v>74</v>
      </c>
      <c r="EA7" s="18">
        <f t="shared" si="44"/>
        <v>92</v>
      </c>
      <c r="EB7" s="17">
        <f t="shared" si="45"/>
        <v>82.155555555555566</v>
      </c>
      <c r="EC7" s="18">
        <f t="shared" si="46"/>
        <v>86.333333333333329</v>
      </c>
      <c r="ED7" s="18">
        <f t="shared" si="47"/>
        <v>74</v>
      </c>
      <c r="EE7" s="18">
        <f t="shared" si="48"/>
        <v>88</v>
      </c>
      <c r="EF7" s="17">
        <f t="shared" si="49"/>
        <v>83.133333333333326</v>
      </c>
      <c r="EG7" s="18">
        <f t="shared" si="50"/>
        <v>75</v>
      </c>
      <c r="EH7" s="18">
        <f t="shared" si="51"/>
        <v>79</v>
      </c>
      <c r="EI7" s="18">
        <f t="shared" si="52"/>
        <v>74</v>
      </c>
      <c r="EJ7" s="18">
        <f t="shared" si="53"/>
        <v>80</v>
      </c>
      <c r="EK7" s="17">
        <f t="shared" si="54"/>
        <v>77.8</v>
      </c>
      <c r="EL7" s="19">
        <f t="shared" si="55"/>
        <v>81.8</v>
      </c>
      <c r="EM7" s="19">
        <f t="shared" si="56"/>
        <v>82.97999999999999</v>
      </c>
      <c r="EN7" s="19">
        <f t="shared" si="57"/>
        <v>79.599999999999994</v>
      </c>
      <c r="EO7" s="19">
        <f t="shared" si="58"/>
        <v>82.75</v>
      </c>
      <c r="EP7" s="19">
        <f t="shared" si="59"/>
        <v>80.5</v>
      </c>
      <c r="EQ7" s="19">
        <f t="shared" si="60"/>
        <v>82.5</v>
      </c>
      <c r="ER7" s="19">
        <f t="shared" si="61"/>
        <v>76.75</v>
      </c>
      <c r="ES7" s="19">
        <f t="shared" si="62"/>
        <v>80</v>
      </c>
      <c r="ET7" s="19">
        <f t="shared" si="63"/>
        <v>74.36</v>
      </c>
      <c r="EU7" s="19">
        <f t="shared" si="64"/>
        <v>78.72</v>
      </c>
      <c r="EV7" s="19">
        <f t="shared" si="65"/>
        <v>78</v>
      </c>
      <c r="EW7" s="19">
        <f t="shared" si="66"/>
        <v>80</v>
      </c>
      <c r="EX7" s="19">
        <f t="shared" si="67"/>
        <v>77.5</v>
      </c>
      <c r="EY7" s="19">
        <f t="shared" si="68"/>
        <v>82.155555555555566</v>
      </c>
      <c r="EZ7" s="19">
        <f t="shared" si="69"/>
        <v>83.133333333333326</v>
      </c>
      <c r="FA7" s="19">
        <f t="shared" si="70"/>
        <v>75</v>
      </c>
      <c r="FB7" s="19">
        <f t="shared" si="71"/>
        <v>77.8</v>
      </c>
      <c r="FC7" s="19">
        <f t="shared" si="72"/>
        <v>79.620522875816988</v>
      </c>
    </row>
    <row r="8" spans="1:159" ht="18">
      <c r="A8" s="11">
        <v>4</v>
      </c>
      <c r="B8" s="12" t="s">
        <v>58</v>
      </c>
      <c r="C8" s="13" t="s">
        <v>59</v>
      </c>
      <c r="D8" s="12" t="s">
        <v>53</v>
      </c>
      <c r="E8" s="14">
        <v>94</v>
      </c>
      <c r="F8" s="14">
        <v>88</v>
      </c>
      <c r="G8" s="14">
        <v>90</v>
      </c>
      <c r="H8" s="14">
        <v>88</v>
      </c>
      <c r="I8" s="14">
        <v>92</v>
      </c>
      <c r="J8" s="14">
        <v>90</v>
      </c>
      <c r="K8" s="14">
        <v>88</v>
      </c>
      <c r="L8" s="14">
        <v>80</v>
      </c>
      <c r="M8" s="14">
        <v>82</v>
      </c>
      <c r="N8" s="14">
        <v>92</v>
      </c>
      <c r="O8" s="14">
        <v>92</v>
      </c>
      <c r="P8" s="15">
        <v>90</v>
      </c>
      <c r="Q8" s="15">
        <v>80</v>
      </c>
      <c r="R8" s="14">
        <v>86</v>
      </c>
      <c r="S8" s="14">
        <v>89</v>
      </c>
      <c r="T8" s="14">
        <v>90</v>
      </c>
      <c r="U8" s="14">
        <v>84</v>
      </c>
      <c r="V8" s="14">
        <v>80</v>
      </c>
      <c r="W8" s="14">
        <v>83</v>
      </c>
      <c r="X8" s="14">
        <v>84</v>
      </c>
      <c r="Y8" s="14">
        <v>80</v>
      </c>
      <c r="Z8" s="14">
        <v>85</v>
      </c>
      <c r="AA8" s="14">
        <v>77</v>
      </c>
      <c r="AB8" s="15">
        <v>80</v>
      </c>
      <c r="AC8" s="15">
        <v>85</v>
      </c>
      <c r="AD8" s="14">
        <v>86</v>
      </c>
      <c r="AE8" s="14">
        <v>83</v>
      </c>
      <c r="AF8" s="14">
        <v>83</v>
      </c>
      <c r="AG8" s="14">
        <v>75</v>
      </c>
      <c r="AH8" s="14">
        <v>76</v>
      </c>
      <c r="AI8" s="14">
        <v>74</v>
      </c>
      <c r="AJ8" s="14">
        <v>83</v>
      </c>
      <c r="AK8" s="14">
        <v>84</v>
      </c>
      <c r="AL8" s="15">
        <v>80</v>
      </c>
      <c r="AM8" s="15">
        <v>72</v>
      </c>
      <c r="AN8" s="14">
        <v>74</v>
      </c>
      <c r="AO8" s="14">
        <v>78</v>
      </c>
      <c r="AP8" s="14">
        <v>79</v>
      </c>
      <c r="AQ8" s="14">
        <v>83</v>
      </c>
      <c r="AR8" s="14">
        <v>90</v>
      </c>
      <c r="AS8" s="14">
        <v>74</v>
      </c>
      <c r="AT8" s="14">
        <v>80</v>
      </c>
      <c r="AU8" s="14">
        <v>80</v>
      </c>
      <c r="AV8" s="14">
        <v>80</v>
      </c>
      <c r="AW8" s="14">
        <v>80</v>
      </c>
      <c r="AX8" s="15">
        <v>90</v>
      </c>
      <c r="AY8" s="15">
        <v>80</v>
      </c>
      <c r="AZ8" s="14">
        <v>84</v>
      </c>
      <c r="BA8" s="14">
        <v>78</v>
      </c>
      <c r="BB8" s="14">
        <v>87</v>
      </c>
      <c r="BC8" s="14">
        <v>78</v>
      </c>
      <c r="BD8" s="14">
        <v>78</v>
      </c>
      <c r="BE8" s="37">
        <v>87</v>
      </c>
      <c r="BF8" s="37">
        <v>88</v>
      </c>
      <c r="BG8" s="37">
        <v>84</v>
      </c>
      <c r="BH8" s="14">
        <v>90</v>
      </c>
      <c r="BI8" s="38">
        <v>85</v>
      </c>
      <c r="BJ8" s="38">
        <v>84</v>
      </c>
      <c r="BK8" s="38">
        <v>89</v>
      </c>
      <c r="BL8" s="14">
        <v>90</v>
      </c>
      <c r="BM8" s="38">
        <v>79</v>
      </c>
      <c r="BN8" s="38">
        <v>83</v>
      </c>
      <c r="BO8" s="38">
        <v>85</v>
      </c>
      <c r="BP8" s="14">
        <v>90</v>
      </c>
      <c r="BQ8" s="15">
        <f t="shared" si="0"/>
        <v>83.666666666666671</v>
      </c>
      <c r="BR8" s="15">
        <f t="shared" si="1"/>
        <v>85</v>
      </c>
      <c r="BS8" s="15">
        <f t="shared" si="2"/>
        <v>86</v>
      </c>
      <c r="BT8" s="15">
        <f t="shared" si="3"/>
        <v>90</v>
      </c>
      <c r="BU8" s="15">
        <v>89</v>
      </c>
      <c r="BV8" s="15">
        <v>91</v>
      </c>
      <c r="BW8" s="15">
        <v>90</v>
      </c>
      <c r="BX8" s="15">
        <v>90</v>
      </c>
      <c r="BY8" s="15">
        <v>88</v>
      </c>
      <c r="BZ8" s="15">
        <v>81</v>
      </c>
      <c r="CA8" s="15">
        <v>91</v>
      </c>
      <c r="CB8" s="15">
        <v>91</v>
      </c>
      <c r="CC8" s="15">
        <v>90</v>
      </c>
      <c r="CD8" s="39">
        <v>91</v>
      </c>
      <c r="CE8" s="40">
        <v>85</v>
      </c>
      <c r="CF8" s="40">
        <v>85</v>
      </c>
      <c r="CG8" s="40">
        <v>95</v>
      </c>
      <c r="CH8" s="40">
        <v>83</v>
      </c>
      <c r="CI8" s="40">
        <v>83</v>
      </c>
      <c r="CJ8" s="40">
        <v>85</v>
      </c>
      <c r="CK8" s="39">
        <v>87</v>
      </c>
      <c r="CL8" s="40">
        <v>92</v>
      </c>
      <c r="CM8" s="41">
        <f t="shared" si="4"/>
        <v>90.4</v>
      </c>
      <c r="CN8" s="41">
        <f t="shared" si="5"/>
        <v>90</v>
      </c>
      <c r="CO8" s="41">
        <f t="shared" si="6"/>
        <v>91</v>
      </c>
      <c r="CP8" s="17">
        <f t="shared" si="7"/>
        <v>90.460000000000008</v>
      </c>
      <c r="CQ8" s="16">
        <f t="shared" si="8"/>
        <v>86.8</v>
      </c>
      <c r="CR8" s="16">
        <f t="shared" si="9"/>
        <v>90</v>
      </c>
      <c r="CS8" s="16">
        <f t="shared" si="10"/>
        <v>85</v>
      </c>
      <c r="CT8" s="17">
        <f t="shared" si="11"/>
        <v>87.22</v>
      </c>
      <c r="CU8" s="17">
        <f t="shared" si="12"/>
        <v>85.8</v>
      </c>
      <c r="CV8" s="17">
        <f t="shared" si="13"/>
        <v>80</v>
      </c>
      <c r="CW8" s="17">
        <f t="shared" si="14"/>
        <v>85</v>
      </c>
      <c r="CX8" s="17">
        <f t="shared" si="15"/>
        <v>83.820000000000007</v>
      </c>
      <c r="CY8" s="18">
        <f t="shared" si="16"/>
        <v>83</v>
      </c>
      <c r="CZ8" s="18">
        <f t="shared" si="17"/>
        <v>83</v>
      </c>
      <c r="DA8" s="18">
        <f t="shared" si="18"/>
        <v>82</v>
      </c>
      <c r="DB8" s="18">
        <f t="shared" si="19"/>
        <v>82</v>
      </c>
      <c r="DC8" s="18">
        <f t="shared" si="20"/>
        <v>83</v>
      </c>
      <c r="DD8" s="18">
        <f t="shared" si="21"/>
        <v>83</v>
      </c>
      <c r="DE8" s="18">
        <f t="shared" si="22"/>
        <v>77</v>
      </c>
      <c r="DF8" s="18">
        <f t="shared" si="23"/>
        <v>77</v>
      </c>
      <c r="DG8" s="18">
        <f t="shared" si="24"/>
        <v>84</v>
      </c>
      <c r="DH8" s="18">
        <f t="shared" si="25"/>
        <v>80</v>
      </c>
      <c r="DI8" s="18">
        <f t="shared" si="26"/>
        <v>95</v>
      </c>
      <c r="DJ8" s="17">
        <f t="shared" si="27"/>
        <v>86.1</v>
      </c>
      <c r="DK8" s="18">
        <f t="shared" si="28"/>
        <v>77.2</v>
      </c>
      <c r="DL8" s="18">
        <f t="shared" si="29"/>
        <v>90</v>
      </c>
      <c r="DM8" s="18">
        <f t="shared" si="30"/>
        <v>83</v>
      </c>
      <c r="DN8" s="17">
        <f t="shared" si="31"/>
        <v>82.78</v>
      </c>
      <c r="DO8" s="18">
        <f t="shared" si="32"/>
        <v>78.8</v>
      </c>
      <c r="DP8" s="18">
        <f t="shared" si="33"/>
        <v>90</v>
      </c>
      <c r="DQ8" s="18">
        <f t="shared" si="34"/>
        <v>83</v>
      </c>
      <c r="DR8" s="17">
        <f t="shared" si="35"/>
        <v>83.42</v>
      </c>
      <c r="DS8" s="18">
        <f t="shared" si="36"/>
        <v>82</v>
      </c>
      <c r="DT8" s="18">
        <f t="shared" si="37"/>
        <v>82</v>
      </c>
      <c r="DU8" s="18">
        <f t="shared" si="38"/>
        <v>82.5</v>
      </c>
      <c r="DV8" s="18">
        <f t="shared" si="39"/>
        <v>82.5</v>
      </c>
      <c r="DW8" s="18">
        <f t="shared" si="40"/>
        <v>78</v>
      </c>
      <c r="DX8" s="17">
        <f t="shared" si="41"/>
        <v>78</v>
      </c>
      <c r="DY8" s="18">
        <f t="shared" si="42"/>
        <v>84.8888888888889</v>
      </c>
      <c r="DZ8" s="18">
        <f t="shared" si="43"/>
        <v>90</v>
      </c>
      <c r="EA8" s="18">
        <f t="shared" si="44"/>
        <v>92</v>
      </c>
      <c r="EB8" s="17">
        <f t="shared" si="45"/>
        <v>88.555555555555571</v>
      </c>
      <c r="EC8" s="18">
        <f t="shared" si="46"/>
        <v>90</v>
      </c>
      <c r="ED8" s="18">
        <f t="shared" si="47"/>
        <v>90</v>
      </c>
      <c r="EE8" s="18">
        <f t="shared" si="48"/>
        <v>87</v>
      </c>
      <c r="EF8" s="17">
        <f t="shared" si="49"/>
        <v>89.1</v>
      </c>
      <c r="EG8" s="18">
        <f t="shared" si="50"/>
        <v>88</v>
      </c>
      <c r="EH8" s="18">
        <f t="shared" si="51"/>
        <v>87.666666666666671</v>
      </c>
      <c r="EI8" s="18">
        <f t="shared" si="52"/>
        <v>90</v>
      </c>
      <c r="EJ8" s="18">
        <f t="shared" si="53"/>
        <v>85</v>
      </c>
      <c r="EK8" s="17">
        <f t="shared" si="54"/>
        <v>87.566666666666677</v>
      </c>
      <c r="EL8" s="19">
        <f t="shared" si="55"/>
        <v>90.460000000000008</v>
      </c>
      <c r="EM8" s="19">
        <f t="shared" si="56"/>
        <v>87.22</v>
      </c>
      <c r="EN8" s="19">
        <f t="shared" si="57"/>
        <v>83.820000000000007</v>
      </c>
      <c r="EO8" s="19">
        <f t="shared" si="58"/>
        <v>83</v>
      </c>
      <c r="EP8" s="19">
        <f t="shared" si="59"/>
        <v>82</v>
      </c>
      <c r="EQ8" s="19">
        <f t="shared" si="60"/>
        <v>83</v>
      </c>
      <c r="ER8" s="19">
        <f t="shared" si="61"/>
        <v>77</v>
      </c>
      <c r="ES8" s="19">
        <f t="shared" si="62"/>
        <v>86.1</v>
      </c>
      <c r="ET8" s="19">
        <f t="shared" si="63"/>
        <v>82.78</v>
      </c>
      <c r="EU8" s="19">
        <f t="shared" si="64"/>
        <v>83.42</v>
      </c>
      <c r="EV8" s="19">
        <f t="shared" si="65"/>
        <v>82</v>
      </c>
      <c r="EW8" s="19">
        <f t="shared" si="66"/>
        <v>82.5</v>
      </c>
      <c r="EX8" s="19">
        <f t="shared" si="67"/>
        <v>78</v>
      </c>
      <c r="EY8" s="19">
        <f t="shared" si="68"/>
        <v>88.555555555555571</v>
      </c>
      <c r="EZ8" s="19">
        <f t="shared" si="69"/>
        <v>89.1</v>
      </c>
      <c r="FA8" s="19">
        <f t="shared" si="70"/>
        <v>88</v>
      </c>
      <c r="FB8" s="19">
        <f t="shared" si="71"/>
        <v>87.566666666666677</v>
      </c>
      <c r="FC8" s="19">
        <f t="shared" si="72"/>
        <v>84.383660130718951</v>
      </c>
    </row>
    <row r="9" spans="1:159" ht="18">
      <c r="A9" s="11">
        <v>5</v>
      </c>
      <c r="B9" s="12" t="s">
        <v>60</v>
      </c>
      <c r="C9" s="13" t="s">
        <v>61</v>
      </c>
      <c r="D9" s="12" t="s">
        <v>53</v>
      </c>
      <c r="E9" s="14">
        <v>83</v>
      </c>
      <c r="F9" s="14">
        <v>85</v>
      </c>
      <c r="G9" s="14">
        <v>85</v>
      </c>
      <c r="H9" s="14">
        <v>84</v>
      </c>
      <c r="I9" s="14">
        <v>88</v>
      </c>
      <c r="J9" s="14">
        <v>85</v>
      </c>
      <c r="K9" s="14">
        <v>80</v>
      </c>
      <c r="L9" s="14">
        <v>79</v>
      </c>
      <c r="M9" s="14">
        <v>86</v>
      </c>
      <c r="N9" s="14">
        <v>80</v>
      </c>
      <c r="O9" s="14">
        <v>83</v>
      </c>
      <c r="P9" s="15">
        <v>83</v>
      </c>
      <c r="Q9" s="15">
        <v>83</v>
      </c>
      <c r="R9" s="14">
        <v>84</v>
      </c>
      <c r="S9" s="14">
        <v>89</v>
      </c>
      <c r="T9" s="14">
        <v>89</v>
      </c>
      <c r="U9" s="14">
        <v>86</v>
      </c>
      <c r="V9" s="14">
        <v>82</v>
      </c>
      <c r="W9" s="14">
        <v>80</v>
      </c>
      <c r="X9" s="14">
        <v>91</v>
      </c>
      <c r="Y9" s="14">
        <v>83</v>
      </c>
      <c r="Z9" s="14">
        <v>85</v>
      </c>
      <c r="AA9" s="14">
        <v>80</v>
      </c>
      <c r="AB9" s="15">
        <v>81</v>
      </c>
      <c r="AC9" s="15">
        <v>82</v>
      </c>
      <c r="AD9" s="14">
        <v>82</v>
      </c>
      <c r="AE9" s="14">
        <v>84</v>
      </c>
      <c r="AF9" s="14">
        <v>84</v>
      </c>
      <c r="AG9" s="14">
        <v>82</v>
      </c>
      <c r="AH9" s="14">
        <v>79</v>
      </c>
      <c r="AI9" s="14">
        <v>84</v>
      </c>
      <c r="AJ9" s="14">
        <v>79</v>
      </c>
      <c r="AK9" s="14">
        <v>81</v>
      </c>
      <c r="AL9" s="15">
        <v>82</v>
      </c>
      <c r="AM9" s="15">
        <v>79</v>
      </c>
      <c r="AN9" s="14">
        <v>80</v>
      </c>
      <c r="AO9" s="14">
        <v>84</v>
      </c>
      <c r="AP9" s="14">
        <v>83</v>
      </c>
      <c r="AQ9" s="14">
        <v>80</v>
      </c>
      <c r="AR9" s="14">
        <v>80</v>
      </c>
      <c r="AS9" s="14">
        <v>81</v>
      </c>
      <c r="AT9" s="14">
        <v>82</v>
      </c>
      <c r="AU9" s="14">
        <v>82</v>
      </c>
      <c r="AV9" s="14">
        <v>81</v>
      </c>
      <c r="AW9" s="14">
        <v>80</v>
      </c>
      <c r="AX9" s="15">
        <v>80</v>
      </c>
      <c r="AY9" s="15">
        <v>84</v>
      </c>
      <c r="AZ9" s="14">
        <v>82</v>
      </c>
      <c r="BA9" s="14">
        <v>85</v>
      </c>
      <c r="BB9" s="14">
        <v>89</v>
      </c>
      <c r="BC9" s="14">
        <v>83</v>
      </c>
      <c r="BD9" s="14">
        <v>85</v>
      </c>
      <c r="BE9" s="37">
        <v>83</v>
      </c>
      <c r="BF9" s="37">
        <v>85</v>
      </c>
      <c r="BG9" s="37">
        <v>86</v>
      </c>
      <c r="BH9" s="14">
        <v>81</v>
      </c>
      <c r="BI9" s="38">
        <v>89</v>
      </c>
      <c r="BJ9" s="38">
        <v>89</v>
      </c>
      <c r="BK9" s="38">
        <v>92</v>
      </c>
      <c r="BL9" s="14">
        <v>81</v>
      </c>
      <c r="BM9" s="38">
        <v>85</v>
      </c>
      <c r="BN9" s="38">
        <v>80</v>
      </c>
      <c r="BO9" s="38">
        <v>85</v>
      </c>
      <c r="BP9" s="14">
        <v>81</v>
      </c>
      <c r="BQ9" s="15">
        <f t="shared" si="0"/>
        <v>85.666666666666671</v>
      </c>
      <c r="BR9" s="15">
        <f t="shared" si="1"/>
        <v>84.666666666666671</v>
      </c>
      <c r="BS9" s="15">
        <f t="shared" si="2"/>
        <v>87.666666666666671</v>
      </c>
      <c r="BT9" s="15">
        <f t="shared" si="3"/>
        <v>81</v>
      </c>
      <c r="BU9" s="15">
        <v>86</v>
      </c>
      <c r="BV9" s="15">
        <v>87</v>
      </c>
      <c r="BW9" s="15">
        <v>89</v>
      </c>
      <c r="BX9" s="15">
        <v>81</v>
      </c>
      <c r="BY9" s="15">
        <v>82</v>
      </c>
      <c r="BZ9" s="15">
        <v>78</v>
      </c>
      <c r="CA9" s="15">
        <v>80</v>
      </c>
      <c r="CB9" s="15">
        <v>80</v>
      </c>
      <c r="CC9" s="15">
        <v>80</v>
      </c>
      <c r="CD9" s="39">
        <v>93</v>
      </c>
      <c r="CE9" s="40">
        <v>85</v>
      </c>
      <c r="CF9" s="40">
        <v>80</v>
      </c>
      <c r="CG9" s="40">
        <v>82</v>
      </c>
      <c r="CH9" s="40">
        <v>82</v>
      </c>
      <c r="CI9" s="40">
        <v>80</v>
      </c>
      <c r="CJ9" s="40">
        <v>87</v>
      </c>
      <c r="CK9" s="39">
        <v>84</v>
      </c>
      <c r="CL9" s="40">
        <v>70</v>
      </c>
      <c r="CM9" s="41">
        <f t="shared" si="4"/>
        <v>85</v>
      </c>
      <c r="CN9" s="41">
        <f t="shared" si="5"/>
        <v>85</v>
      </c>
      <c r="CO9" s="41">
        <f t="shared" si="6"/>
        <v>93</v>
      </c>
      <c r="CP9" s="17">
        <f t="shared" si="7"/>
        <v>87.4</v>
      </c>
      <c r="CQ9" s="16">
        <f t="shared" si="8"/>
        <v>81.599999999999994</v>
      </c>
      <c r="CR9" s="16">
        <f t="shared" si="9"/>
        <v>83</v>
      </c>
      <c r="CS9" s="16">
        <f t="shared" si="10"/>
        <v>85</v>
      </c>
      <c r="CT9" s="17">
        <f t="shared" si="11"/>
        <v>83.039999999999992</v>
      </c>
      <c r="CU9" s="17">
        <f t="shared" si="12"/>
        <v>86.2</v>
      </c>
      <c r="CV9" s="17">
        <f t="shared" si="13"/>
        <v>82</v>
      </c>
      <c r="CW9" s="17">
        <f t="shared" si="14"/>
        <v>80</v>
      </c>
      <c r="CX9" s="17">
        <f t="shared" si="15"/>
        <v>83.08</v>
      </c>
      <c r="CY9" s="18">
        <f t="shared" si="16"/>
        <v>84.75</v>
      </c>
      <c r="CZ9" s="18">
        <f t="shared" si="17"/>
        <v>84.75</v>
      </c>
      <c r="DA9" s="18">
        <f t="shared" si="18"/>
        <v>81.25</v>
      </c>
      <c r="DB9" s="18">
        <f t="shared" si="19"/>
        <v>81.25</v>
      </c>
      <c r="DC9" s="18">
        <f t="shared" si="20"/>
        <v>84</v>
      </c>
      <c r="DD9" s="18">
        <f t="shared" si="21"/>
        <v>84</v>
      </c>
      <c r="DE9" s="18">
        <f t="shared" si="22"/>
        <v>81</v>
      </c>
      <c r="DF9" s="18">
        <f t="shared" si="23"/>
        <v>81</v>
      </c>
      <c r="DG9" s="18">
        <f t="shared" si="24"/>
        <v>81</v>
      </c>
      <c r="DH9" s="18">
        <f t="shared" si="25"/>
        <v>82</v>
      </c>
      <c r="DI9" s="18">
        <f t="shared" si="26"/>
        <v>82</v>
      </c>
      <c r="DJ9" s="17">
        <f t="shared" si="27"/>
        <v>81.599999999999994</v>
      </c>
      <c r="DK9" s="18">
        <f t="shared" si="28"/>
        <v>81.2</v>
      </c>
      <c r="DL9" s="18">
        <f t="shared" si="29"/>
        <v>80</v>
      </c>
      <c r="DM9" s="18">
        <f t="shared" si="30"/>
        <v>82</v>
      </c>
      <c r="DN9" s="17">
        <f t="shared" si="31"/>
        <v>81.08</v>
      </c>
      <c r="DO9" s="18">
        <f t="shared" si="32"/>
        <v>81.2</v>
      </c>
      <c r="DP9" s="18">
        <f t="shared" si="33"/>
        <v>80</v>
      </c>
      <c r="DQ9" s="18">
        <f t="shared" si="34"/>
        <v>80</v>
      </c>
      <c r="DR9" s="17">
        <f t="shared" si="35"/>
        <v>80.47999999999999</v>
      </c>
      <c r="DS9" s="18">
        <f t="shared" si="36"/>
        <v>83</v>
      </c>
      <c r="DT9" s="18">
        <f t="shared" si="37"/>
        <v>83</v>
      </c>
      <c r="DU9" s="18">
        <f t="shared" si="38"/>
        <v>87</v>
      </c>
      <c r="DV9" s="18">
        <f t="shared" si="39"/>
        <v>87</v>
      </c>
      <c r="DW9" s="18">
        <f t="shared" si="40"/>
        <v>84</v>
      </c>
      <c r="DX9" s="17">
        <f t="shared" si="41"/>
        <v>84</v>
      </c>
      <c r="DY9" s="18">
        <f t="shared" si="42"/>
        <v>86</v>
      </c>
      <c r="DZ9" s="18">
        <f t="shared" si="43"/>
        <v>81</v>
      </c>
      <c r="EA9" s="18">
        <f t="shared" si="44"/>
        <v>70</v>
      </c>
      <c r="EB9" s="17">
        <f t="shared" si="45"/>
        <v>79.7</v>
      </c>
      <c r="EC9" s="18">
        <f t="shared" si="46"/>
        <v>87.333333333333329</v>
      </c>
      <c r="ED9" s="18">
        <f t="shared" si="47"/>
        <v>81</v>
      </c>
      <c r="EE9" s="18">
        <f t="shared" si="48"/>
        <v>84</v>
      </c>
      <c r="EF9" s="17">
        <f t="shared" si="49"/>
        <v>84.433333333333323</v>
      </c>
      <c r="EG9" s="18">
        <f t="shared" si="50"/>
        <v>82</v>
      </c>
      <c r="EH9" s="18">
        <f t="shared" si="51"/>
        <v>79.333333333333329</v>
      </c>
      <c r="EI9" s="18">
        <f t="shared" si="52"/>
        <v>80</v>
      </c>
      <c r="EJ9" s="18">
        <f t="shared" si="53"/>
        <v>87</v>
      </c>
      <c r="EK9" s="17">
        <f t="shared" si="54"/>
        <v>81.833333333333329</v>
      </c>
      <c r="EL9" s="19">
        <f t="shared" si="55"/>
        <v>87.4</v>
      </c>
      <c r="EM9" s="19">
        <f t="shared" si="56"/>
        <v>83.039999999999992</v>
      </c>
      <c r="EN9" s="19">
        <f t="shared" si="57"/>
        <v>83.08</v>
      </c>
      <c r="EO9" s="19">
        <f t="shared" si="58"/>
        <v>84.75</v>
      </c>
      <c r="EP9" s="19">
        <f t="shared" si="59"/>
        <v>81.25</v>
      </c>
      <c r="EQ9" s="19">
        <f t="shared" si="60"/>
        <v>84</v>
      </c>
      <c r="ER9" s="19">
        <f t="shared" si="61"/>
        <v>81</v>
      </c>
      <c r="ES9" s="19">
        <f t="shared" si="62"/>
        <v>81.599999999999994</v>
      </c>
      <c r="ET9" s="19">
        <f t="shared" si="63"/>
        <v>81.08</v>
      </c>
      <c r="EU9" s="19">
        <f t="shared" si="64"/>
        <v>80.47999999999999</v>
      </c>
      <c r="EV9" s="19">
        <f t="shared" si="65"/>
        <v>83</v>
      </c>
      <c r="EW9" s="19">
        <f t="shared" si="66"/>
        <v>87</v>
      </c>
      <c r="EX9" s="19">
        <f t="shared" si="67"/>
        <v>84</v>
      </c>
      <c r="EY9" s="19">
        <f t="shared" si="68"/>
        <v>79.7</v>
      </c>
      <c r="EZ9" s="19">
        <f t="shared" si="69"/>
        <v>84.433333333333323</v>
      </c>
      <c r="FA9" s="19">
        <f t="shared" si="70"/>
        <v>82</v>
      </c>
      <c r="FB9" s="19">
        <f t="shared" si="71"/>
        <v>81.833333333333329</v>
      </c>
      <c r="FC9" s="19">
        <f t="shared" si="72"/>
        <v>82.920392156862746</v>
      </c>
    </row>
    <row r="10" spans="1:159" ht="18">
      <c r="A10" s="11">
        <v>6</v>
      </c>
      <c r="B10" s="12" t="s">
        <v>62</v>
      </c>
      <c r="C10" s="13" t="s">
        <v>63</v>
      </c>
      <c r="D10" s="12" t="s">
        <v>53</v>
      </c>
      <c r="E10" s="14">
        <v>84</v>
      </c>
      <c r="F10" s="14">
        <v>80</v>
      </c>
      <c r="G10" s="14">
        <v>88</v>
      </c>
      <c r="H10" s="14">
        <v>83</v>
      </c>
      <c r="I10" s="14">
        <v>84</v>
      </c>
      <c r="J10" s="14">
        <v>81</v>
      </c>
      <c r="K10" s="14">
        <v>89</v>
      </c>
      <c r="L10" s="14">
        <v>81</v>
      </c>
      <c r="M10" s="14">
        <v>76</v>
      </c>
      <c r="N10" s="14">
        <v>88</v>
      </c>
      <c r="O10" s="14">
        <v>91</v>
      </c>
      <c r="P10" s="15">
        <v>85</v>
      </c>
      <c r="Q10" s="15">
        <v>84</v>
      </c>
      <c r="R10" s="14">
        <v>76</v>
      </c>
      <c r="S10" s="14">
        <v>71</v>
      </c>
      <c r="T10" s="14">
        <v>78</v>
      </c>
      <c r="U10" s="14">
        <v>83</v>
      </c>
      <c r="V10" s="14">
        <v>80</v>
      </c>
      <c r="W10" s="14">
        <v>83</v>
      </c>
      <c r="X10" s="14">
        <v>84</v>
      </c>
      <c r="Y10" s="14">
        <v>80</v>
      </c>
      <c r="Z10" s="14">
        <v>85</v>
      </c>
      <c r="AA10" s="14">
        <v>81</v>
      </c>
      <c r="AB10" s="15">
        <v>80</v>
      </c>
      <c r="AC10" s="15">
        <v>80</v>
      </c>
      <c r="AD10" s="14">
        <v>83</v>
      </c>
      <c r="AE10" s="14">
        <v>82</v>
      </c>
      <c r="AF10" s="14">
        <v>83</v>
      </c>
      <c r="AG10" s="14">
        <v>79</v>
      </c>
      <c r="AH10" s="14">
        <v>70</v>
      </c>
      <c r="AI10" s="14">
        <v>71</v>
      </c>
      <c r="AJ10" s="14">
        <v>82</v>
      </c>
      <c r="AK10" s="14">
        <v>80</v>
      </c>
      <c r="AL10" s="15">
        <v>80</v>
      </c>
      <c r="AM10" s="15">
        <v>70</v>
      </c>
      <c r="AN10" s="14">
        <v>71</v>
      </c>
      <c r="AO10" s="14">
        <v>73</v>
      </c>
      <c r="AP10" s="14">
        <v>74</v>
      </c>
      <c r="AQ10" s="14">
        <v>77</v>
      </c>
      <c r="AR10" s="14">
        <v>80</v>
      </c>
      <c r="AS10" s="14">
        <v>73</v>
      </c>
      <c r="AT10" s="14">
        <v>79</v>
      </c>
      <c r="AU10" s="14">
        <v>83</v>
      </c>
      <c r="AV10" s="14">
        <v>83</v>
      </c>
      <c r="AW10" s="14">
        <v>83</v>
      </c>
      <c r="AX10" s="15">
        <v>80</v>
      </c>
      <c r="AY10" s="15">
        <v>75</v>
      </c>
      <c r="AZ10" s="14">
        <v>82</v>
      </c>
      <c r="BA10" s="14">
        <v>72</v>
      </c>
      <c r="BB10" s="14">
        <v>78</v>
      </c>
      <c r="BC10" s="14">
        <v>75</v>
      </c>
      <c r="BD10" s="14">
        <v>80</v>
      </c>
      <c r="BE10" s="37">
        <v>80</v>
      </c>
      <c r="BF10" s="37">
        <v>75</v>
      </c>
      <c r="BG10" s="37">
        <v>81</v>
      </c>
      <c r="BH10" s="14">
        <v>82</v>
      </c>
      <c r="BI10" s="38">
        <v>74</v>
      </c>
      <c r="BJ10" s="38">
        <v>75</v>
      </c>
      <c r="BK10" s="38">
        <v>77</v>
      </c>
      <c r="BL10" s="14">
        <v>82</v>
      </c>
      <c r="BM10" s="38">
        <v>78</v>
      </c>
      <c r="BN10" s="38">
        <v>77</v>
      </c>
      <c r="BO10" s="38">
        <v>84</v>
      </c>
      <c r="BP10" s="14">
        <v>82</v>
      </c>
      <c r="BQ10" s="15">
        <f t="shared" si="0"/>
        <v>77.333333333333329</v>
      </c>
      <c r="BR10" s="15">
        <f t="shared" si="1"/>
        <v>75.666666666666671</v>
      </c>
      <c r="BS10" s="15">
        <f t="shared" si="2"/>
        <v>80.666666666666671</v>
      </c>
      <c r="BT10" s="15">
        <f t="shared" si="3"/>
        <v>82</v>
      </c>
      <c r="BU10" s="15">
        <v>85</v>
      </c>
      <c r="BV10" s="15">
        <v>80</v>
      </c>
      <c r="BW10" s="15">
        <v>90</v>
      </c>
      <c r="BX10" s="15">
        <v>82</v>
      </c>
      <c r="BY10" s="15">
        <v>82</v>
      </c>
      <c r="BZ10" s="15">
        <v>76</v>
      </c>
      <c r="CA10" s="15">
        <v>87</v>
      </c>
      <c r="CB10" s="15">
        <v>74</v>
      </c>
      <c r="CC10" s="15">
        <v>80</v>
      </c>
      <c r="CD10" s="39">
        <v>81</v>
      </c>
      <c r="CE10" s="40">
        <v>85</v>
      </c>
      <c r="CF10" s="40">
        <v>80</v>
      </c>
      <c r="CG10" s="40">
        <v>70</v>
      </c>
      <c r="CH10" s="40">
        <v>78</v>
      </c>
      <c r="CI10" s="40">
        <v>83</v>
      </c>
      <c r="CJ10" s="40">
        <v>80</v>
      </c>
      <c r="CK10" s="39">
        <v>85</v>
      </c>
      <c r="CL10" s="40">
        <v>87</v>
      </c>
      <c r="CM10" s="41">
        <f t="shared" si="4"/>
        <v>83.8</v>
      </c>
      <c r="CN10" s="41">
        <f t="shared" si="5"/>
        <v>81</v>
      </c>
      <c r="CO10" s="41">
        <f t="shared" si="6"/>
        <v>81</v>
      </c>
      <c r="CP10" s="17">
        <f t="shared" si="7"/>
        <v>82.12</v>
      </c>
      <c r="CQ10" s="16">
        <f t="shared" si="8"/>
        <v>85</v>
      </c>
      <c r="CR10" s="16">
        <f t="shared" si="9"/>
        <v>85</v>
      </c>
      <c r="CS10" s="16">
        <f t="shared" si="10"/>
        <v>85</v>
      </c>
      <c r="CT10" s="17">
        <f t="shared" si="11"/>
        <v>85</v>
      </c>
      <c r="CU10" s="17">
        <f t="shared" si="12"/>
        <v>78.400000000000006</v>
      </c>
      <c r="CV10" s="17">
        <f t="shared" si="13"/>
        <v>80</v>
      </c>
      <c r="CW10" s="17">
        <f t="shared" si="14"/>
        <v>80</v>
      </c>
      <c r="CX10" s="17">
        <f t="shared" si="15"/>
        <v>79.36</v>
      </c>
      <c r="CY10" s="18">
        <f t="shared" si="16"/>
        <v>83</v>
      </c>
      <c r="CZ10" s="18">
        <f t="shared" si="17"/>
        <v>83</v>
      </c>
      <c r="DA10" s="18">
        <f t="shared" si="18"/>
        <v>81</v>
      </c>
      <c r="DB10" s="18">
        <f t="shared" si="19"/>
        <v>81</v>
      </c>
      <c r="DC10" s="18">
        <f t="shared" si="20"/>
        <v>82.5</v>
      </c>
      <c r="DD10" s="18">
        <f t="shared" si="21"/>
        <v>82.5</v>
      </c>
      <c r="DE10" s="18">
        <f t="shared" si="22"/>
        <v>75.5</v>
      </c>
      <c r="DF10" s="18">
        <f t="shared" si="23"/>
        <v>75.5</v>
      </c>
      <c r="DG10" s="18">
        <f t="shared" si="24"/>
        <v>80</v>
      </c>
      <c r="DH10" s="18">
        <f t="shared" si="25"/>
        <v>80</v>
      </c>
      <c r="DI10" s="18">
        <f t="shared" si="26"/>
        <v>70</v>
      </c>
      <c r="DJ10" s="17">
        <f t="shared" si="27"/>
        <v>77</v>
      </c>
      <c r="DK10" s="18">
        <f t="shared" si="28"/>
        <v>73</v>
      </c>
      <c r="DL10" s="18">
        <f t="shared" si="29"/>
        <v>80</v>
      </c>
      <c r="DM10" s="18">
        <f t="shared" si="30"/>
        <v>78</v>
      </c>
      <c r="DN10" s="17">
        <f t="shared" si="31"/>
        <v>76.599999999999994</v>
      </c>
      <c r="DO10" s="18">
        <f t="shared" si="32"/>
        <v>80.2</v>
      </c>
      <c r="DP10" s="18">
        <f t="shared" si="33"/>
        <v>80</v>
      </c>
      <c r="DQ10" s="18">
        <f t="shared" si="34"/>
        <v>83</v>
      </c>
      <c r="DR10" s="17">
        <f t="shared" si="35"/>
        <v>80.97999999999999</v>
      </c>
      <c r="DS10" s="18">
        <f t="shared" si="36"/>
        <v>78.5</v>
      </c>
      <c r="DT10" s="18">
        <f t="shared" si="37"/>
        <v>78.5</v>
      </c>
      <c r="DU10" s="18">
        <f t="shared" si="38"/>
        <v>75</v>
      </c>
      <c r="DV10" s="18">
        <f t="shared" si="39"/>
        <v>75</v>
      </c>
      <c r="DW10" s="18">
        <f t="shared" si="40"/>
        <v>77.5</v>
      </c>
      <c r="DX10" s="17">
        <f t="shared" si="41"/>
        <v>77.5</v>
      </c>
      <c r="DY10" s="18">
        <f t="shared" si="42"/>
        <v>77.8888888888889</v>
      </c>
      <c r="DZ10" s="18">
        <f t="shared" si="43"/>
        <v>82</v>
      </c>
      <c r="EA10" s="18">
        <f t="shared" si="44"/>
        <v>87</v>
      </c>
      <c r="EB10" s="17">
        <f t="shared" si="45"/>
        <v>81.855555555555569</v>
      </c>
      <c r="EC10" s="18">
        <f t="shared" si="46"/>
        <v>85</v>
      </c>
      <c r="ED10" s="18">
        <f t="shared" si="47"/>
        <v>82</v>
      </c>
      <c r="EE10" s="18">
        <f t="shared" si="48"/>
        <v>85</v>
      </c>
      <c r="EF10" s="17">
        <f t="shared" si="49"/>
        <v>84.1</v>
      </c>
      <c r="EG10" s="18">
        <f t="shared" si="50"/>
        <v>82</v>
      </c>
      <c r="EH10" s="18">
        <f t="shared" si="51"/>
        <v>79</v>
      </c>
      <c r="EI10" s="18">
        <f t="shared" si="52"/>
        <v>80</v>
      </c>
      <c r="EJ10" s="18">
        <f t="shared" si="53"/>
        <v>80</v>
      </c>
      <c r="EK10" s="17">
        <f t="shared" si="54"/>
        <v>79.599999999999994</v>
      </c>
      <c r="EL10" s="19">
        <f t="shared" si="55"/>
        <v>82.12</v>
      </c>
      <c r="EM10" s="19">
        <f t="shared" si="56"/>
        <v>85</v>
      </c>
      <c r="EN10" s="19">
        <f t="shared" si="57"/>
        <v>79.36</v>
      </c>
      <c r="EO10" s="19">
        <f t="shared" si="58"/>
        <v>83</v>
      </c>
      <c r="EP10" s="19">
        <f t="shared" si="59"/>
        <v>81</v>
      </c>
      <c r="EQ10" s="19">
        <f t="shared" si="60"/>
        <v>82.5</v>
      </c>
      <c r="ER10" s="19">
        <f t="shared" si="61"/>
        <v>75.5</v>
      </c>
      <c r="ES10" s="19">
        <f t="shared" si="62"/>
        <v>77</v>
      </c>
      <c r="ET10" s="19">
        <f t="shared" si="63"/>
        <v>76.599999999999994</v>
      </c>
      <c r="EU10" s="19">
        <f t="shared" si="64"/>
        <v>80.97999999999999</v>
      </c>
      <c r="EV10" s="19">
        <f t="shared" si="65"/>
        <v>78.5</v>
      </c>
      <c r="EW10" s="19">
        <f t="shared" si="66"/>
        <v>75</v>
      </c>
      <c r="EX10" s="19">
        <f t="shared" si="67"/>
        <v>77.5</v>
      </c>
      <c r="EY10" s="19">
        <f t="shared" si="68"/>
        <v>81.855555555555569</v>
      </c>
      <c r="EZ10" s="19">
        <f t="shared" si="69"/>
        <v>84.1</v>
      </c>
      <c r="FA10" s="19">
        <f t="shared" si="70"/>
        <v>82</v>
      </c>
      <c r="FB10" s="19">
        <f t="shared" si="71"/>
        <v>79.599999999999994</v>
      </c>
      <c r="FC10" s="19">
        <f t="shared" si="72"/>
        <v>80.095032679738551</v>
      </c>
    </row>
    <row r="11" spans="1:159" ht="18">
      <c r="A11" s="11">
        <v>7</v>
      </c>
      <c r="B11" s="12" t="s">
        <v>64</v>
      </c>
      <c r="C11" s="13" t="s">
        <v>65</v>
      </c>
      <c r="D11" s="12" t="s">
        <v>53</v>
      </c>
      <c r="E11" s="14">
        <v>95</v>
      </c>
      <c r="F11" s="14">
        <v>95</v>
      </c>
      <c r="G11" s="14">
        <v>89</v>
      </c>
      <c r="H11" s="14">
        <v>95</v>
      </c>
      <c r="I11" s="14">
        <v>92</v>
      </c>
      <c r="J11" s="14">
        <v>89</v>
      </c>
      <c r="K11" s="14">
        <v>82</v>
      </c>
      <c r="L11" s="14">
        <v>81</v>
      </c>
      <c r="M11" s="14">
        <v>95</v>
      </c>
      <c r="N11" s="14">
        <v>95</v>
      </c>
      <c r="O11" s="14">
        <v>95</v>
      </c>
      <c r="P11" s="15">
        <v>85</v>
      </c>
      <c r="Q11" s="15">
        <v>87</v>
      </c>
      <c r="R11" s="14">
        <v>87</v>
      </c>
      <c r="S11" s="14">
        <v>87</v>
      </c>
      <c r="T11" s="14">
        <v>90</v>
      </c>
      <c r="U11" s="14">
        <v>90</v>
      </c>
      <c r="V11" s="14">
        <v>84</v>
      </c>
      <c r="W11" s="14">
        <v>84</v>
      </c>
      <c r="X11" s="14">
        <v>86</v>
      </c>
      <c r="Y11" s="14">
        <v>84</v>
      </c>
      <c r="Z11" s="14">
        <v>86</v>
      </c>
      <c r="AA11" s="14">
        <v>84</v>
      </c>
      <c r="AB11" s="15">
        <v>85</v>
      </c>
      <c r="AC11" s="15">
        <v>85</v>
      </c>
      <c r="AD11" s="14">
        <v>86</v>
      </c>
      <c r="AE11" s="14">
        <v>84</v>
      </c>
      <c r="AF11" s="14">
        <v>83</v>
      </c>
      <c r="AG11" s="14">
        <v>81</v>
      </c>
      <c r="AH11" s="14">
        <v>80</v>
      </c>
      <c r="AI11" s="14">
        <v>70</v>
      </c>
      <c r="AJ11" s="14">
        <v>81</v>
      </c>
      <c r="AK11" s="14">
        <v>89</v>
      </c>
      <c r="AL11" s="15">
        <v>84</v>
      </c>
      <c r="AM11" s="15">
        <v>83</v>
      </c>
      <c r="AN11" s="14">
        <v>85</v>
      </c>
      <c r="AO11" s="14">
        <v>96</v>
      </c>
      <c r="AP11" s="14">
        <v>96</v>
      </c>
      <c r="AQ11" s="14">
        <v>95</v>
      </c>
      <c r="AR11" s="14">
        <v>87</v>
      </c>
      <c r="AS11" s="14">
        <v>80</v>
      </c>
      <c r="AT11" s="14">
        <v>86</v>
      </c>
      <c r="AU11" s="14">
        <v>83</v>
      </c>
      <c r="AV11" s="14">
        <v>85</v>
      </c>
      <c r="AW11" s="14">
        <v>83</v>
      </c>
      <c r="AX11" s="15">
        <v>87</v>
      </c>
      <c r="AY11" s="15">
        <v>92</v>
      </c>
      <c r="AZ11" s="14">
        <v>96</v>
      </c>
      <c r="BA11" s="14">
        <v>81</v>
      </c>
      <c r="BB11" s="14">
        <v>93</v>
      </c>
      <c r="BC11" s="14">
        <v>84</v>
      </c>
      <c r="BD11" s="14">
        <v>92</v>
      </c>
      <c r="BE11" s="37">
        <v>88</v>
      </c>
      <c r="BF11" s="37">
        <v>91</v>
      </c>
      <c r="BG11" s="37">
        <v>93</v>
      </c>
      <c r="BH11" s="14">
        <v>88</v>
      </c>
      <c r="BI11" s="38">
        <v>92</v>
      </c>
      <c r="BJ11" s="38">
        <v>90</v>
      </c>
      <c r="BK11" s="38">
        <v>92</v>
      </c>
      <c r="BL11" s="14">
        <v>88</v>
      </c>
      <c r="BM11" s="38">
        <v>80</v>
      </c>
      <c r="BN11" s="38">
        <v>88</v>
      </c>
      <c r="BO11" s="38">
        <v>86</v>
      </c>
      <c r="BP11" s="14">
        <v>88</v>
      </c>
      <c r="BQ11" s="15">
        <f t="shared" si="0"/>
        <v>86.666666666666671</v>
      </c>
      <c r="BR11" s="15">
        <f t="shared" si="1"/>
        <v>89.666666666666671</v>
      </c>
      <c r="BS11" s="15">
        <f t="shared" si="2"/>
        <v>90.333333333333329</v>
      </c>
      <c r="BT11" s="15">
        <f t="shared" si="3"/>
        <v>88</v>
      </c>
      <c r="BU11" s="15">
        <v>89</v>
      </c>
      <c r="BV11" s="15">
        <v>91</v>
      </c>
      <c r="BW11" s="15">
        <v>90</v>
      </c>
      <c r="BX11" s="15">
        <v>88</v>
      </c>
      <c r="BY11" s="15">
        <v>87</v>
      </c>
      <c r="BZ11" s="15">
        <v>84</v>
      </c>
      <c r="CA11" s="15">
        <v>95</v>
      </c>
      <c r="CB11" s="15">
        <v>93</v>
      </c>
      <c r="CC11" s="15">
        <v>87</v>
      </c>
      <c r="CD11" s="39">
        <v>90</v>
      </c>
      <c r="CE11" s="40">
        <v>95</v>
      </c>
      <c r="CF11" s="40">
        <v>90</v>
      </c>
      <c r="CG11" s="40">
        <v>90</v>
      </c>
      <c r="CH11" s="40">
        <v>94</v>
      </c>
      <c r="CI11" s="40">
        <v>88</v>
      </c>
      <c r="CJ11" s="40">
        <v>92</v>
      </c>
      <c r="CK11" s="39">
        <v>85</v>
      </c>
      <c r="CL11" s="40">
        <v>75</v>
      </c>
      <c r="CM11" s="41">
        <f t="shared" si="4"/>
        <v>93.2</v>
      </c>
      <c r="CN11" s="41">
        <f t="shared" si="5"/>
        <v>89</v>
      </c>
      <c r="CO11" s="41">
        <f t="shared" si="6"/>
        <v>90</v>
      </c>
      <c r="CP11" s="17">
        <f t="shared" si="7"/>
        <v>90.97999999999999</v>
      </c>
      <c r="CQ11" s="16">
        <f t="shared" si="8"/>
        <v>89.6</v>
      </c>
      <c r="CR11" s="16">
        <f t="shared" si="9"/>
        <v>85</v>
      </c>
      <c r="CS11" s="16">
        <f t="shared" si="10"/>
        <v>95</v>
      </c>
      <c r="CT11" s="17">
        <f t="shared" si="11"/>
        <v>89.84</v>
      </c>
      <c r="CU11" s="17">
        <f t="shared" si="12"/>
        <v>88.2</v>
      </c>
      <c r="CV11" s="17">
        <f t="shared" si="13"/>
        <v>84</v>
      </c>
      <c r="CW11" s="17">
        <f t="shared" si="14"/>
        <v>90</v>
      </c>
      <c r="CX11" s="17">
        <f t="shared" si="15"/>
        <v>87.47999999999999</v>
      </c>
      <c r="CY11" s="18">
        <f t="shared" si="16"/>
        <v>85</v>
      </c>
      <c r="CZ11" s="18">
        <f t="shared" si="17"/>
        <v>85</v>
      </c>
      <c r="DA11" s="18">
        <f t="shared" si="18"/>
        <v>85</v>
      </c>
      <c r="DB11" s="18">
        <f t="shared" si="19"/>
        <v>85</v>
      </c>
      <c r="DC11" s="18">
        <f t="shared" si="20"/>
        <v>83.5</v>
      </c>
      <c r="DD11" s="18">
        <f t="shared" si="21"/>
        <v>83.5</v>
      </c>
      <c r="DE11" s="18">
        <f t="shared" si="22"/>
        <v>78</v>
      </c>
      <c r="DF11" s="18">
        <f t="shared" si="23"/>
        <v>78</v>
      </c>
      <c r="DG11" s="18">
        <f t="shared" si="24"/>
        <v>89</v>
      </c>
      <c r="DH11" s="18">
        <f t="shared" si="25"/>
        <v>84</v>
      </c>
      <c r="DI11" s="18">
        <f t="shared" si="26"/>
        <v>90</v>
      </c>
      <c r="DJ11" s="17">
        <f t="shared" si="27"/>
        <v>87.8</v>
      </c>
      <c r="DK11" s="18">
        <f t="shared" si="28"/>
        <v>91</v>
      </c>
      <c r="DL11" s="18">
        <f t="shared" si="29"/>
        <v>87</v>
      </c>
      <c r="DM11" s="18">
        <f t="shared" si="30"/>
        <v>94</v>
      </c>
      <c r="DN11" s="17">
        <f t="shared" si="31"/>
        <v>90.7</v>
      </c>
      <c r="DO11" s="18">
        <f t="shared" si="32"/>
        <v>83.4</v>
      </c>
      <c r="DP11" s="18">
        <f t="shared" si="33"/>
        <v>87</v>
      </c>
      <c r="DQ11" s="18">
        <f t="shared" si="34"/>
        <v>88</v>
      </c>
      <c r="DR11" s="17">
        <f t="shared" si="35"/>
        <v>85.86</v>
      </c>
      <c r="DS11" s="18">
        <f t="shared" si="36"/>
        <v>94</v>
      </c>
      <c r="DT11" s="18">
        <f t="shared" si="37"/>
        <v>94</v>
      </c>
      <c r="DU11" s="18">
        <f t="shared" si="38"/>
        <v>87</v>
      </c>
      <c r="DV11" s="18">
        <f t="shared" si="39"/>
        <v>87</v>
      </c>
      <c r="DW11" s="18">
        <f t="shared" si="40"/>
        <v>88</v>
      </c>
      <c r="DX11" s="17">
        <f t="shared" si="41"/>
        <v>88</v>
      </c>
      <c r="DY11" s="18">
        <f t="shared" si="42"/>
        <v>88.8888888888889</v>
      </c>
      <c r="DZ11" s="18">
        <f t="shared" si="43"/>
        <v>88</v>
      </c>
      <c r="EA11" s="18">
        <f t="shared" si="44"/>
        <v>75</v>
      </c>
      <c r="EB11" s="17">
        <f t="shared" si="45"/>
        <v>84.455555555555563</v>
      </c>
      <c r="EC11" s="18">
        <f t="shared" si="46"/>
        <v>90</v>
      </c>
      <c r="ED11" s="18">
        <f t="shared" si="47"/>
        <v>88</v>
      </c>
      <c r="EE11" s="18">
        <f t="shared" si="48"/>
        <v>85</v>
      </c>
      <c r="EF11" s="17">
        <f t="shared" si="49"/>
        <v>87.9</v>
      </c>
      <c r="EG11" s="18">
        <f t="shared" si="50"/>
        <v>87</v>
      </c>
      <c r="EH11" s="18">
        <f t="shared" si="51"/>
        <v>90.666666666666671</v>
      </c>
      <c r="EI11" s="18">
        <f t="shared" si="52"/>
        <v>87</v>
      </c>
      <c r="EJ11" s="18">
        <f t="shared" si="53"/>
        <v>92</v>
      </c>
      <c r="EK11" s="17">
        <f t="shared" si="54"/>
        <v>89.966666666666669</v>
      </c>
      <c r="EL11" s="19">
        <f t="shared" si="55"/>
        <v>90.97999999999999</v>
      </c>
      <c r="EM11" s="19">
        <f t="shared" si="56"/>
        <v>89.84</v>
      </c>
      <c r="EN11" s="19">
        <f t="shared" si="57"/>
        <v>87.47999999999999</v>
      </c>
      <c r="EO11" s="19">
        <f t="shared" si="58"/>
        <v>85</v>
      </c>
      <c r="EP11" s="19">
        <f t="shared" si="59"/>
        <v>85</v>
      </c>
      <c r="EQ11" s="19">
        <f t="shared" si="60"/>
        <v>83.5</v>
      </c>
      <c r="ER11" s="19">
        <f t="shared" si="61"/>
        <v>78</v>
      </c>
      <c r="ES11" s="19">
        <f t="shared" si="62"/>
        <v>87.8</v>
      </c>
      <c r="ET11" s="19">
        <f t="shared" si="63"/>
        <v>90.7</v>
      </c>
      <c r="EU11" s="19">
        <f t="shared" si="64"/>
        <v>85.86</v>
      </c>
      <c r="EV11" s="19">
        <f t="shared" si="65"/>
        <v>94</v>
      </c>
      <c r="EW11" s="19">
        <f t="shared" si="66"/>
        <v>87</v>
      </c>
      <c r="EX11" s="19">
        <f t="shared" si="67"/>
        <v>88</v>
      </c>
      <c r="EY11" s="19">
        <f t="shared" si="68"/>
        <v>84.455555555555563</v>
      </c>
      <c r="EZ11" s="19">
        <f t="shared" si="69"/>
        <v>87.9</v>
      </c>
      <c r="FA11" s="19">
        <f t="shared" si="70"/>
        <v>87</v>
      </c>
      <c r="FB11" s="19">
        <f t="shared" si="71"/>
        <v>89.966666666666669</v>
      </c>
      <c r="FC11" s="19">
        <f t="shared" si="72"/>
        <v>87.204836601307193</v>
      </c>
    </row>
    <row r="12" spans="1:159" ht="18">
      <c r="A12" s="11">
        <v>8</v>
      </c>
      <c r="B12" s="12" t="s">
        <v>66</v>
      </c>
      <c r="C12" s="13" t="s">
        <v>67</v>
      </c>
      <c r="D12" s="12" t="s">
        <v>53</v>
      </c>
      <c r="E12" s="14">
        <v>92</v>
      </c>
      <c r="F12" s="14">
        <v>83</v>
      </c>
      <c r="G12" s="14">
        <v>90</v>
      </c>
      <c r="H12" s="14">
        <v>85</v>
      </c>
      <c r="I12" s="14">
        <v>91</v>
      </c>
      <c r="J12" s="14">
        <v>95</v>
      </c>
      <c r="K12" s="14">
        <v>81</v>
      </c>
      <c r="L12" s="14">
        <v>83</v>
      </c>
      <c r="M12" s="14">
        <v>85</v>
      </c>
      <c r="N12" s="14">
        <v>88</v>
      </c>
      <c r="O12" s="14">
        <v>92</v>
      </c>
      <c r="P12" s="15">
        <v>95</v>
      </c>
      <c r="Q12" s="15">
        <v>95</v>
      </c>
      <c r="R12" s="14">
        <v>87</v>
      </c>
      <c r="S12" s="14">
        <v>84</v>
      </c>
      <c r="T12" s="14">
        <v>84</v>
      </c>
      <c r="U12" s="14">
        <v>82</v>
      </c>
      <c r="V12" s="14">
        <v>87</v>
      </c>
      <c r="W12" s="14">
        <v>84</v>
      </c>
      <c r="X12" s="14">
        <v>84</v>
      </c>
      <c r="Y12" s="14">
        <v>82</v>
      </c>
      <c r="Z12" s="14">
        <v>85</v>
      </c>
      <c r="AA12" s="14">
        <v>75</v>
      </c>
      <c r="AB12" s="15">
        <v>83</v>
      </c>
      <c r="AC12" s="15">
        <v>85</v>
      </c>
      <c r="AD12" s="14">
        <v>86</v>
      </c>
      <c r="AE12" s="14">
        <v>83</v>
      </c>
      <c r="AF12" s="14">
        <v>82</v>
      </c>
      <c r="AG12" s="14">
        <v>80</v>
      </c>
      <c r="AH12" s="14">
        <v>75</v>
      </c>
      <c r="AI12" s="14">
        <v>72</v>
      </c>
      <c r="AJ12" s="14">
        <v>82</v>
      </c>
      <c r="AK12" s="14">
        <v>82</v>
      </c>
      <c r="AL12" s="15">
        <v>87</v>
      </c>
      <c r="AM12" s="15">
        <v>73</v>
      </c>
      <c r="AN12" s="14">
        <v>76</v>
      </c>
      <c r="AO12" s="14">
        <v>79</v>
      </c>
      <c r="AP12" s="14">
        <v>80</v>
      </c>
      <c r="AQ12" s="14">
        <v>81</v>
      </c>
      <c r="AR12" s="14">
        <v>90</v>
      </c>
      <c r="AS12" s="14">
        <v>77</v>
      </c>
      <c r="AT12" s="14">
        <v>83</v>
      </c>
      <c r="AU12" s="14">
        <v>78</v>
      </c>
      <c r="AV12" s="14">
        <v>83</v>
      </c>
      <c r="AW12" s="14">
        <v>78</v>
      </c>
      <c r="AX12" s="15">
        <v>90</v>
      </c>
      <c r="AY12" s="15">
        <v>87</v>
      </c>
      <c r="AZ12" s="14">
        <v>91</v>
      </c>
      <c r="BA12" s="14">
        <v>75</v>
      </c>
      <c r="BB12" s="14">
        <v>91</v>
      </c>
      <c r="BC12" s="14">
        <v>80</v>
      </c>
      <c r="BD12" s="14">
        <v>85</v>
      </c>
      <c r="BE12" s="37">
        <v>87</v>
      </c>
      <c r="BF12" s="37">
        <v>83</v>
      </c>
      <c r="BG12" s="37">
        <v>81</v>
      </c>
      <c r="BH12" s="14">
        <v>95</v>
      </c>
      <c r="BI12" s="38">
        <v>80</v>
      </c>
      <c r="BJ12" s="38">
        <v>82</v>
      </c>
      <c r="BK12" s="38">
        <v>88</v>
      </c>
      <c r="BL12" s="14">
        <v>95</v>
      </c>
      <c r="BM12" s="38">
        <v>79</v>
      </c>
      <c r="BN12" s="38">
        <v>80</v>
      </c>
      <c r="BO12" s="38">
        <v>84</v>
      </c>
      <c r="BP12" s="14">
        <v>95</v>
      </c>
      <c r="BQ12" s="15">
        <f t="shared" si="0"/>
        <v>82</v>
      </c>
      <c r="BR12" s="15">
        <f t="shared" si="1"/>
        <v>81.666666666666671</v>
      </c>
      <c r="BS12" s="15">
        <f t="shared" si="2"/>
        <v>84.333333333333329</v>
      </c>
      <c r="BT12" s="15">
        <f t="shared" si="3"/>
        <v>95</v>
      </c>
      <c r="BU12" s="15">
        <v>88</v>
      </c>
      <c r="BV12" s="15">
        <v>88</v>
      </c>
      <c r="BW12" s="15">
        <v>90</v>
      </c>
      <c r="BX12" s="15">
        <v>95</v>
      </c>
      <c r="BY12" s="15">
        <v>92</v>
      </c>
      <c r="BZ12" s="15">
        <v>76</v>
      </c>
      <c r="CA12" s="15">
        <v>90</v>
      </c>
      <c r="CB12" s="15">
        <v>77</v>
      </c>
      <c r="CC12" s="15">
        <v>90</v>
      </c>
      <c r="CD12" s="39">
        <v>85</v>
      </c>
      <c r="CE12" s="40">
        <v>85</v>
      </c>
      <c r="CF12" s="40">
        <v>81</v>
      </c>
      <c r="CG12" s="40">
        <v>87</v>
      </c>
      <c r="CH12" s="40">
        <v>82</v>
      </c>
      <c r="CI12" s="40">
        <v>85</v>
      </c>
      <c r="CJ12" s="40">
        <v>90</v>
      </c>
      <c r="CK12" s="39">
        <v>87</v>
      </c>
      <c r="CL12" s="40">
        <v>90</v>
      </c>
      <c r="CM12" s="41">
        <f t="shared" si="4"/>
        <v>88.2</v>
      </c>
      <c r="CN12" s="41">
        <f t="shared" si="5"/>
        <v>95</v>
      </c>
      <c r="CO12" s="41">
        <f t="shared" si="6"/>
        <v>85</v>
      </c>
      <c r="CP12" s="17">
        <f t="shared" si="7"/>
        <v>89.28</v>
      </c>
      <c r="CQ12" s="16">
        <f t="shared" si="8"/>
        <v>85.8</v>
      </c>
      <c r="CR12" s="16">
        <f t="shared" si="9"/>
        <v>95</v>
      </c>
      <c r="CS12" s="16">
        <f t="shared" si="10"/>
        <v>85</v>
      </c>
      <c r="CT12" s="17">
        <f t="shared" si="11"/>
        <v>88.320000000000007</v>
      </c>
      <c r="CU12" s="17">
        <f t="shared" si="12"/>
        <v>86.4</v>
      </c>
      <c r="CV12" s="17">
        <f t="shared" si="13"/>
        <v>87</v>
      </c>
      <c r="CW12" s="17">
        <f t="shared" si="14"/>
        <v>81</v>
      </c>
      <c r="CX12" s="17">
        <f t="shared" si="15"/>
        <v>84.960000000000008</v>
      </c>
      <c r="CY12" s="18">
        <f t="shared" si="16"/>
        <v>83.75</v>
      </c>
      <c r="CZ12" s="18">
        <f t="shared" si="17"/>
        <v>83.75</v>
      </c>
      <c r="DA12" s="18">
        <f t="shared" si="18"/>
        <v>82.25</v>
      </c>
      <c r="DB12" s="18">
        <f t="shared" si="19"/>
        <v>82.25</v>
      </c>
      <c r="DC12" s="18">
        <f t="shared" si="20"/>
        <v>82.5</v>
      </c>
      <c r="DD12" s="18">
        <f t="shared" si="21"/>
        <v>82.5</v>
      </c>
      <c r="DE12" s="18">
        <f t="shared" si="22"/>
        <v>77.25</v>
      </c>
      <c r="DF12" s="18">
        <f t="shared" si="23"/>
        <v>77.25</v>
      </c>
      <c r="DG12" s="18">
        <f t="shared" si="24"/>
        <v>82</v>
      </c>
      <c r="DH12" s="18">
        <f t="shared" si="25"/>
        <v>87</v>
      </c>
      <c r="DI12" s="18">
        <f t="shared" si="26"/>
        <v>87</v>
      </c>
      <c r="DJ12" s="17">
        <f t="shared" si="27"/>
        <v>85</v>
      </c>
      <c r="DK12" s="18">
        <f t="shared" si="28"/>
        <v>77.8</v>
      </c>
      <c r="DL12" s="18">
        <f t="shared" si="29"/>
        <v>90</v>
      </c>
      <c r="DM12" s="18">
        <f t="shared" si="30"/>
        <v>82</v>
      </c>
      <c r="DN12" s="17">
        <f t="shared" si="31"/>
        <v>82.72</v>
      </c>
      <c r="DO12" s="18">
        <f t="shared" si="32"/>
        <v>79.8</v>
      </c>
      <c r="DP12" s="18">
        <f t="shared" si="33"/>
        <v>90</v>
      </c>
      <c r="DQ12" s="18">
        <f t="shared" si="34"/>
        <v>85</v>
      </c>
      <c r="DR12" s="17">
        <f t="shared" si="35"/>
        <v>84.42</v>
      </c>
      <c r="DS12" s="18">
        <f t="shared" si="36"/>
        <v>89</v>
      </c>
      <c r="DT12" s="18">
        <f t="shared" si="37"/>
        <v>89</v>
      </c>
      <c r="DU12" s="18">
        <f t="shared" si="38"/>
        <v>83</v>
      </c>
      <c r="DV12" s="18">
        <f t="shared" si="39"/>
        <v>83</v>
      </c>
      <c r="DW12" s="18">
        <f t="shared" si="40"/>
        <v>82.5</v>
      </c>
      <c r="DX12" s="17">
        <f t="shared" si="41"/>
        <v>82.5</v>
      </c>
      <c r="DY12" s="18">
        <f t="shared" si="42"/>
        <v>82.666666666666671</v>
      </c>
      <c r="DZ12" s="18">
        <f t="shared" si="43"/>
        <v>95</v>
      </c>
      <c r="EA12" s="18">
        <f t="shared" si="44"/>
        <v>90</v>
      </c>
      <c r="EB12" s="17">
        <f t="shared" si="45"/>
        <v>88.566666666666677</v>
      </c>
      <c r="EC12" s="18">
        <f t="shared" si="46"/>
        <v>88.666666666666671</v>
      </c>
      <c r="ED12" s="18">
        <f t="shared" si="47"/>
        <v>95</v>
      </c>
      <c r="EE12" s="18">
        <f t="shared" si="48"/>
        <v>87</v>
      </c>
      <c r="EF12" s="17">
        <f t="shared" si="49"/>
        <v>90.066666666666677</v>
      </c>
      <c r="EG12" s="18">
        <f t="shared" si="50"/>
        <v>92</v>
      </c>
      <c r="EH12" s="18">
        <f t="shared" si="51"/>
        <v>81</v>
      </c>
      <c r="EI12" s="18">
        <f t="shared" si="52"/>
        <v>90</v>
      </c>
      <c r="EJ12" s="18">
        <f t="shared" si="53"/>
        <v>90</v>
      </c>
      <c r="EK12" s="17">
        <f t="shared" si="54"/>
        <v>86.4</v>
      </c>
      <c r="EL12" s="19">
        <f t="shared" si="55"/>
        <v>89.28</v>
      </c>
      <c r="EM12" s="19">
        <f t="shared" si="56"/>
        <v>88.320000000000007</v>
      </c>
      <c r="EN12" s="19">
        <f t="shared" si="57"/>
        <v>84.960000000000008</v>
      </c>
      <c r="EO12" s="19">
        <f t="shared" si="58"/>
        <v>83.75</v>
      </c>
      <c r="EP12" s="19">
        <f t="shared" si="59"/>
        <v>82.25</v>
      </c>
      <c r="EQ12" s="19">
        <f t="shared" si="60"/>
        <v>82.5</v>
      </c>
      <c r="ER12" s="19">
        <f t="shared" si="61"/>
        <v>77.25</v>
      </c>
      <c r="ES12" s="19">
        <f t="shared" si="62"/>
        <v>85</v>
      </c>
      <c r="ET12" s="19">
        <f t="shared" si="63"/>
        <v>82.72</v>
      </c>
      <c r="EU12" s="19">
        <f t="shared" si="64"/>
        <v>84.42</v>
      </c>
      <c r="EV12" s="19">
        <f t="shared" si="65"/>
        <v>89</v>
      </c>
      <c r="EW12" s="19">
        <f t="shared" si="66"/>
        <v>83</v>
      </c>
      <c r="EX12" s="19">
        <f t="shared" si="67"/>
        <v>82.5</v>
      </c>
      <c r="EY12" s="19">
        <f t="shared" si="68"/>
        <v>88.566666666666677</v>
      </c>
      <c r="EZ12" s="19">
        <f t="shared" si="69"/>
        <v>90.066666666666677</v>
      </c>
      <c r="FA12" s="19">
        <f t="shared" si="70"/>
        <v>92</v>
      </c>
      <c r="FB12" s="19">
        <f t="shared" si="71"/>
        <v>86.4</v>
      </c>
      <c r="FC12" s="19">
        <f t="shared" si="72"/>
        <v>85.410784313725486</v>
      </c>
    </row>
    <row r="13" spans="1:159" ht="18">
      <c r="A13" s="11">
        <v>9</v>
      </c>
      <c r="B13" s="12" t="s">
        <v>68</v>
      </c>
      <c r="C13" s="13" t="s">
        <v>69</v>
      </c>
      <c r="D13" s="12" t="s">
        <v>53</v>
      </c>
      <c r="E13" s="14">
        <v>95</v>
      </c>
      <c r="F13" s="14">
        <v>95</v>
      </c>
      <c r="G13" s="14">
        <v>90</v>
      </c>
      <c r="H13" s="14">
        <v>87</v>
      </c>
      <c r="I13" s="14">
        <v>91</v>
      </c>
      <c r="J13" s="14">
        <v>89</v>
      </c>
      <c r="K13" s="14">
        <v>87</v>
      </c>
      <c r="L13" s="14">
        <v>89</v>
      </c>
      <c r="M13" s="14">
        <v>95</v>
      </c>
      <c r="N13" s="14">
        <v>95</v>
      </c>
      <c r="O13" s="14">
        <v>95</v>
      </c>
      <c r="P13" s="15">
        <v>89</v>
      </c>
      <c r="Q13" s="15">
        <v>87</v>
      </c>
      <c r="R13" s="14">
        <v>89</v>
      </c>
      <c r="S13" s="14">
        <v>88</v>
      </c>
      <c r="T13" s="14">
        <v>92</v>
      </c>
      <c r="U13" s="14">
        <v>92</v>
      </c>
      <c r="V13" s="14">
        <v>89</v>
      </c>
      <c r="W13" s="14">
        <v>84</v>
      </c>
      <c r="X13" s="14">
        <v>86</v>
      </c>
      <c r="Y13" s="14">
        <v>84</v>
      </c>
      <c r="Z13" s="14">
        <v>86</v>
      </c>
      <c r="AA13" s="14">
        <v>88</v>
      </c>
      <c r="AB13" s="15">
        <v>85</v>
      </c>
      <c r="AC13" s="15">
        <v>85</v>
      </c>
      <c r="AD13" s="14">
        <v>87</v>
      </c>
      <c r="AE13" s="14">
        <v>84</v>
      </c>
      <c r="AF13" s="14">
        <v>84</v>
      </c>
      <c r="AG13" s="14">
        <v>83</v>
      </c>
      <c r="AH13" s="14">
        <v>80</v>
      </c>
      <c r="AI13" s="14">
        <v>76</v>
      </c>
      <c r="AJ13" s="14">
        <v>84</v>
      </c>
      <c r="AK13" s="14">
        <v>90</v>
      </c>
      <c r="AL13" s="15">
        <v>89</v>
      </c>
      <c r="AM13" s="15">
        <v>91</v>
      </c>
      <c r="AN13" s="14">
        <v>93</v>
      </c>
      <c r="AO13" s="14">
        <v>96</v>
      </c>
      <c r="AP13" s="14">
        <v>96</v>
      </c>
      <c r="AQ13" s="14">
        <v>94</v>
      </c>
      <c r="AR13" s="14">
        <v>79</v>
      </c>
      <c r="AS13" s="14">
        <v>77</v>
      </c>
      <c r="AT13" s="14">
        <v>85</v>
      </c>
      <c r="AU13" s="14">
        <v>82</v>
      </c>
      <c r="AV13" s="14">
        <v>88</v>
      </c>
      <c r="AW13" s="14">
        <v>85</v>
      </c>
      <c r="AX13" s="15">
        <v>79</v>
      </c>
      <c r="AY13" s="15">
        <v>92</v>
      </c>
      <c r="AZ13" s="14">
        <v>98</v>
      </c>
      <c r="BA13" s="14">
        <v>88</v>
      </c>
      <c r="BB13" s="14">
        <v>94</v>
      </c>
      <c r="BC13" s="14">
        <v>88</v>
      </c>
      <c r="BD13" s="14">
        <v>92</v>
      </c>
      <c r="BE13" s="37">
        <v>87</v>
      </c>
      <c r="BF13" s="37">
        <v>90</v>
      </c>
      <c r="BG13" s="37">
        <v>93</v>
      </c>
      <c r="BH13" s="14">
        <v>84</v>
      </c>
      <c r="BI13" s="38">
        <v>92</v>
      </c>
      <c r="BJ13" s="38">
        <v>91</v>
      </c>
      <c r="BK13" s="38">
        <v>92</v>
      </c>
      <c r="BL13" s="14">
        <v>84</v>
      </c>
      <c r="BM13" s="38">
        <v>80</v>
      </c>
      <c r="BN13" s="38">
        <v>90</v>
      </c>
      <c r="BO13" s="38">
        <v>87</v>
      </c>
      <c r="BP13" s="14">
        <v>84</v>
      </c>
      <c r="BQ13" s="15">
        <f t="shared" si="0"/>
        <v>86.333333333333329</v>
      </c>
      <c r="BR13" s="15">
        <f t="shared" si="1"/>
        <v>90.333333333333329</v>
      </c>
      <c r="BS13" s="15">
        <f t="shared" si="2"/>
        <v>90.666666666666671</v>
      </c>
      <c r="BT13" s="15">
        <f t="shared" si="3"/>
        <v>84</v>
      </c>
      <c r="BU13" s="15">
        <v>86</v>
      </c>
      <c r="BV13" s="15">
        <v>86</v>
      </c>
      <c r="BW13" s="15">
        <v>90</v>
      </c>
      <c r="BX13" s="15">
        <v>84</v>
      </c>
      <c r="BY13" s="15">
        <v>86</v>
      </c>
      <c r="BZ13" s="15">
        <v>85</v>
      </c>
      <c r="CA13" s="15">
        <v>95</v>
      </c>
      <c r="CB13" s="15">
        <v>94</v>
      </c>
      <c r="CC13" s="15">
        <v>79</v>
      </c>
      <c r="CD13" s="39">
        <v>91</v>
      </c>
      <c r="CE13" s="40">
        <v>95</v>
      </c>
      <c r="CF13" s="40">
        <v>92</v>
      </c>
      <c r="CG13" s="40">
        <v>95</v>
      </c>
      <c r="CH13" s="40">
        <v>95</v>
      </c>
      <c r="CI13" s="40">
        <v>88</v>
      </c>
      <c r="CJ13" s="40">
        <v>92</v>
      </c>
      <c r="CK13" s="39">
        <v>87</v>
      </c>
      <c r="CL13" s="40">
        <v>92</v>
      </c>
      <c r="CM13" s="41">
        <f t="shared" si="4"/>
        <v>91.6</v>
      </c>
      <c r="CN13" s="41">
        <f t="shared" si="5"/>
        <v>89</v>
      </c>
      <c r="CO13" s="41">
        <f t="shared" si="6"/>
        <v>91</v>
      </c>
      <c r="CP13" s="17">
        <f t="shared" si="7"/>
        <v>90.64</v>
      </c>
      <c r="CQ13" s="16">
        <f t="shared" si="8"/>
        <v>92.2</v>
      </c>
      <c r="CR13" s="16">
        <f t="shared" si="9"/>
        <v>89</v>
      </c>
      <c r="CS13" s="16">
        <f t="shared" si="10"/>
        <v>95</v>
      </c>
      <c r="CT13" s="17">
        <f t="shared" si="11"/>
        <v>92.08</v>
      </c>
      <c r="CU13" s="17">
        <f t="shared" si="12"/>
        <v>89.6</v>
      </c>
      <c r="CV13" s="17">
        <f t="shared" si="13"/>
        <v>89</v>
      </c>
      <c r="CW13" s="17">
        <f t="shared" si="14"/>
        <v>92</v>
      </c>
      <c r="CX13" s="17">
        <f t="shared" si="15"/>
        <v>90.14</v>
      </c>
      <c r="CY13" s="18">
        <f t="shared" si="16"/>
        <v>85</v>
      </c>
      <c r="CZ13" s="18">
        <f t="shared" si="17"/>
        <v>85</v>
      </c>
      <c r="DA13" s="18">
        <f t="shared" si="18"/>
        <v>86.25</v>
      </c>
      <c r="DB13" s="18">
        <f t="shared" si="19"/>
        <v>86.25</v>
      </c>
      <c r="DC13" s="18">
        <f t="shared" si="20"/>
        <v>84</v>
      </c>
      <c r="DD13" s="18">
        <f t="shared" si="21"/>
        <v>84</v>
      </c>
      <c r="DE13" s="18">
        <f t="shared" si="22"/>
        <v>80.75</v>
      </c>
      <c r="DF13" s="18">
        <f t="shared" si="23"/>
        <v>80.75</v>
      </c>
      <c r="DG13" s="18">
        <f t="shared" si="24"/>
        <v>90</v>
      </c>
      <c r="DH13" s="18">
        <f t="shared" si="25"/>
        <v>89</v>
      </c>
      <c r="DI13" s="18">
        <f t="shared" si="26"/>
        <v>95</v>
      </c>
      <c r="DJ13" s="17">
        <f t="shared" si="27"/>
        <v>91.2</v>
      </c>
      <c r="DK13" s="18">
        <f t="shared" si="28"/>
        <v>94</v>
      </c>
      <c r="DL13" s="18">
        <f t="shared" si="29"/>
        <v>79</v>
      </c>
      <c r="DM13" s="18">
        <f t="shared" si="30"/>
        <v>95</v>
      </c>
      <c r="DN13" s="17">
        <f t="shared" si="31"/>
        <v>89.8</v>
      </c>
      <c r="DO13" s="18">
        <f t="shared" si="32"/>
        <v>83.4</v>
      </c>
      <c r="DP13" s="18">
        <f t="shared" si="33"/>
        <v>79</v>
      </c>
      <c r="DQ13" s="18">
        <f t="shared" si="34"/>
        <v>88</v>
      </c>
      <c r="DR13" s="17">
        <f t="shared" si="35"/>
        <v>83.460000000000008</v>
      </c>
      <c r="DS13" s="18">
        <f t="shared" si="36"/>
        <v>95</v>
      </c>
      <c r="DT13" s="18">
        <f t="shared" si="37"/>
        <v>95</v>
      </c>
      <c r="DU13" s="18">
        <f t="shared" si="38"/>
        <v>91</v>
      </c>
      <c r="DV13" s="18">
        <f t="shared" si="39"/>
        <v>91</v>
      </c>
      <c r="DW13" s="18">
        <f t="shared" si="40"/>
        <v>90</v>
      </c>
      <c r="DX13" s="17">
        <f t="shared" si="41"/>
        <v>90</v>
      </c>
      <c r="DY13" s="18">
        <f t="shared" si="42"/>
        <v>89.1111111111111</v>
      </c>
      <c r="DZ13" s="18">
        <f t="shared" si="43"/>
        <v>84</v>
      </c>
      <c r="EA13" s="18">
        <f t="shared" si="44"/>
        <v>92</v>
      </c>
      <c r="EB13" s="17">
        <f t="shared" si="45"/>
        <v>88.444444444444429</v>
      </c>
      <c r="EC13" s="18">
        <f t="shared" si="46"/>
        <v>87.333333333333329</v>
      </c>
      <c r="ED13" s="18">
        <f t="shared" si="47"/>
        <v>84</v>
      </c>
      <c r="EE13" s="18">
        <f t="shared" si="48"/>
        <v>87</v>
      </c>
      <c r="EF13" s="17">
        <f t="shared" si="49"/>
        <v>86.23333333333332</v>
      </c>
      <c r="EG13" s="18">
        <f t="shared" si="50"/>
        <v>86</v>
      </c>
      <c r="EH13" s="18">
        <f t="shared" si="51"/>
        <v>91.333333333333329</v>
      </c>
      <c r="EI13" s="18">
        <f t="shared" si="52"/>
        <v>79</v>
      </c>
      <c r="EJ13" s="18">
        <f t="shared" si="53"/>
        <v>92</v>
      </c>
      <c r="EK13" s="17">
        <f t="shared" si="54"/>
        <v>87.833333333333329</v>
      </c>
      <c r="EL13" s="19">
        <f t="shared" si="55"/>
        <v>90.64</v>
      </c>
      <c r="EM13" s="19">
        <f t="shared" si="56"/>
        <v>92.08</v>
      </c>
      <c r="EN13" s="19">
        <f t="shared" si="57"/>
        <v>90.14</v>
      </c>
      <c r="EO13" s="19">
        <f t="shared" si="58"/>
        <v>85</v>
      </c>
      <c r="EP13" s="19">
        <f t="shared" si="59"/>
        <v>86.25</v>
      </c>
      <c r="EQ13" s="19">
        <f t="shared" si="60"/>
        <v>84</v>
      </c>
      <c r="ER13" s="19">
        <f t="shared" si="61"/>
        <v>80.75</v>
      </c>
      <c r="ES13" s="19">
        <f t="shared" si="62"/>
        <v>91.2</v>
      </c>
      <c r="ET13" s="19">
        <f t="shared" si="63"/>
        <v>89.8</v>
      </c>
      <c r="EU13" s="19">
        <f t="shared" si="64"/>
        <v>83.460000000000008</v>
      </c>
      <c r="EV13" s="19">
        <f t="shared" si="65"/>
        <v>95</v>
      </c>
      <c r="EW13" s="19">
        <f t="shared" si="66"/>
        <v>91</v>
      </c>
      <c r="EX13" s="19">
        <f t="shared" si="67"/>
        <v>90</v>
      </c>
      <c r="EY13" s="19">
        <f t="shared" si="68"/>
        <v>88.444444444444429</v>
      </c>
      <c r="EZ13" s="19">
        <f t="shared" si="69"/>
        <v>86.23333333333332</v>
      </c>
      <c r="FA13" s="19">
        <f t="shared" si="70"/>
        <v>86</v>
      </c>
      <c r="FB13" s="19">
        <f t="shared" si="71"/>
        <v>87.833333333333329</v>
      </c>
      <c r="FC13" s="19">
        <f t="shared" si="72"/>
        <v>88.10771241830065</v>
      </c>
    </row>
    <row r="14" spans="1:159" ht="18">
      <c r="A14" s="11">
        <v>10</v>
      </c>
      <c r="B14" s="12" t="s">
        <v>70</v>
      </c>
      <c r="C14" s="13" t="s">
        <v>71</v>
      </c>
      <c r="D14" s="12" t="s">
        <v>53</v>
      </c>
      <c r="E14" s="14">
        <v>94</v>
      </c>
      <c r="F14" s="14">
        <v>89</v>
      </c>
      <c r="G14" s="14">
        <v>89</v>
      </c>
      <c r="H14" s="14">
        <v>87</v>
      </c>
      <c r="I14" s="14">
        <v>90</v>
      </c>
      <c r="J14" s="14">
        <v>95</v>
      </c>
      <c r="K14" s="14">
        <v>81</v>
      </c>
      <c r="L14" s="14">
        <v>81</v>
      </c>
      <c r="M14" s="14">
        <v>84</v>
      </c>
      <c r="N14" s="14">
        <v>95</v>
      </c>
      <c r="O14" s="14">
        <v>95</v>
      </c>
      <c r="P14" s="15">
        <v>95</v>
      </c>
      <c r="Q14" s="15">
        <v>86</v>
      </c>
      <c r="R14" s="14">
        <v>85</v>
      </c>
      <c r="S14" s="14">
        <v>86</v>
      </c>
      <c r="T14" s="14">
        <v>87</v>
      </c>
      <c r="U14" s="14">
        <v>82</v>
      </c>
      <c r="V14" s="14">
        <v>90</v>
      </c>
      <c r="W14" s="14">
        <v>83</v>
      </c>
      <c r="X14" s="14">
        <v>84</v>
      </c>
      <c r="Y14" s="14">
        <v>81</v>
      </c>
      <c r="Z14" s="14">
        <v>85</v>
      </c>
      <c r="AA14" s="14">
        <v>77</v>
      </c>
      <c r="AB14" s="15">
        <v>84</v>
      </c>
      <c r="AC14" s="15">
        <v>82</v>
      </c>
      <c r="AD14" s="14">
        <v>84</v>
      </c>
      <c r="AE14" s="14">
        <v>83</v>
      </c>
      <c r="AF14" s="14">
        <v>83</v>
      </c>
      <c r="AG14" s="14">
        <v>77</v>
      </c>
      <c r="AH14" s="14">
        <v>80</v>
      </c>
      <c r="AI14" s="14">
        <v>72</v>
      </c>
      <c r="AJ14" s="14">
        <v>83</v>
      </c>
      <c r="AK14" s="14">
        <v>83</v>
      </c>
      <c r="AL14" s="15">
        <v>90</v>
      </c>
      <c r="AM14" s="15">
        <v>74</v>
      </c>
      <c r="AN14" s="14">
        <v>75</v>
      </c>
      <c r="AO14" s="14">
        <v>75</v>
      </c>
      <c r="AP14" s="14">
        <v>76</v>
      </c>
      <c r="AQ14" s="14">
        <v>80</v>
      </c>
      <c r="AR14" s="14">
        <v>95</v>
      </c>
      <c r="AS14" s="14">
        <v>86</v>
      </c>
      <c r="AT14" s="14">
        <v>88</v>
      </c>
      <c r="AU14" s="14">
        <v>85</v>
      </c>
      <c r="AV14" s="14">
        <v>88</v>
      </c>
      <c r="AW14" s="14">
        <v>85</v>
      </c>
      <c r="AX14" s="15">
        <v>95</v>
      </c>
      <c r="AY14" s="15">
        <v>83</v>
      </c>
      <c r="AZ14" s="14">
        <v>88</v>
      </c>
      <c r="BA14" s="14">
        <v>82</v>
      </c>
      <c r="BB14" s="14">
        <v>93</v>
      </c>
      <c r="BC14" s="14">
        <v>78</v>
      </c>
      <c r="BD14" s="14">
        <v>85</v>
      </c>
      <c r="BE14" s="37">
        <v>88</v>
      </c>
      <c r="BF14" s="37">
        <v>89</v>
      </c>
      <c r="BG14" s="37">
        <v>81</v>
      </c>
      <c r="BH14" s="14">
        <v>95</v>
      </c>
      <c r="BI14" s="38">
        <v>86</v>
      </c>
      <c r="BJ14" s="38">
        <v>87</v>
      </c>
      <c r="BK14" s="38">
        <v>88</v>
      </c>
      <c r="BL14" s="14">
        <v>95</v>
      </c>
      <c r="BM14" s="38">
        <v>78</v>
      </c>
      <c r="BN14" s="38">
        <v>78</v>
      </c>
      <c r="BO14" s="38">
        <v>85</v>
      </c>
      <c r="BP14" s="14">
        <v>95</v>
      </c>
      <c r="BQ14" s="15">
        <f t="shared" si="0"/>
        <v>84</v>
      </c>
      <c r="BR14" s="15">
        <f t="shared" si="1"/>
        <v>84.666666666666671</v>
      </c>
      <c r="BS14" s="15">
        <f t="shared" si="2"/>
        <v>84.666666666666671</v>
      </c>
      <c r="BT14" s="15">
        <f t="shared" si="3"/>
        <v>95</v>
      </c>
      <c r="BU14" s="15">
        <v>87</v>
      </c>
      <c r="BV14" s="15">
        <v>87</v>
      </c>
      <c r="BW14" s="15">
        <v>89</v>
      </c>
      <c r="BX14" s="15">
        <v>95</v>
      </c>
      <c r="BY14" s="15">
        <v>94</v>
      </c>
      <c r="BZ14" s="15">
        <v>85</v>
      </c>
      <c r="CA14" s="15">
        <v>93</v>
      </c>
      <c r="CB14" s="15">
        <v>80</v>
      </c>
      <c r="CC14" s="15">
        <v>95</v>
      </c>
      <c r="CD14" s="39">
        <v>88</v>
      </c>
      <c r="CE14" s="40">
        <v>90</v>
      </c>
      <c r="CF14" s="40">
        <v>80</v>
      </c>
      <c r="CG14" s="40">
        <v>90</v>
      </c>
      <c r="CH14" s="40">
        <v>80</v>
      </c>
      <c r="CI14" s="40">
        <v>88</v>
      </c>
      <c r="CJ14" s="40">
        <v>85</v>
      </c>
      <c r="CK14" s="39">
        <v>85</v>
      </c>
      <c r="CL14" s="40">
        <v>95</v>
      </c>
      <c r="CM14" s="41">
        <f t="shared" si="4"/>
        <v>89.8</v>
      </c>
      <c r="CN14" s="41">
        <f t="shared" si="5"/>
        <v>95</v>
      </c>
      <c r="CO14" s="41">
        <f t="shared" si="6"/>
        <v>88</v>
      </c>
      <c r="CP14" s="17">
        <f t="shared" si="7"/>
        <v>90.820000000000007</v>
      </c>
      <c r="CQ14" s="16">
        <f t="shared" si="8"/>
        <v>87.2</v>
      </c>
      <c r="CR14" s="16">
        <f t="shared" si="9"/>
        <v>95</v>
      </c>
      <c r="CS14" s="16">
        <f t="shared" si="10"/>
        <v>90</v>
      </c>
      <c r="CT14" s="17">
        <f t="shared" si="11"/>
        <v>90.38</v>
      </c>
      <c r="CU14" s="17">
        <f t="shared" si="12"/>
        <v>85.2</v>
      </c>
      <c r="CV14" s="17">
        <f t="shared" si="13"/>
        <v>90</v>
      </c>
      <c r="CW14" s="17">
        <f t="shared" si="14"/>
        <v>80</v>
      </c>
      <c r="CX14" s="17">
        <f t="shared" si="15"/>
        <v>85.08</v>
      </c>
      <c r="CY14" s="18">
        <f t="shared" si="16"/>
        <v>83.25</v>
      </c>
      <c r="CZ14" s="18">
        <f t="shared" si="17"/>
        <v>83.25</v>
      </c>
      <c r="DA14" s="18">
        <f t="shared" si="18"/>
        <v>81.75</v>
      </c>
      <c r="DB14" s="18">
        <f t="shared" si="19"/>
        <v>81.75</v>
      </c>
      <c r="DC14" s="18">
        <f t="shared" si="20"/>
        <v>83</v>
      </c>
      <c r="DD14" s="18">
        <f t="shared" si="21"/>
        <v>83</v>
      </c>
      <c r="DE14" s="18">
        <f t="shared" si="22"/>
        <v>78</v>
      </c>
      <c r="DF14" s="18">
        <f t="shared" si="23"/>
        <v>78</v>
      </c>
      <c r="DG14" s="18">
        <f t="shared" si="24"/>
        <v>83</v>
      </c>
      <c r="DH14" s="18">
        <f t="shared" si="25"/>
        <v>90</v>
      </c>
      <c r="DI14" s="18">
        <f t="shared" si="26"/>
        <v>90</v>
      </c>
      <c r="DJ14" s="17">
        <f t="shared" si="27"/>
        <v>87.2</v>
      </c>
      <c r="DK14" s="18">
        <f t="shared" si="28"/>
        <v>76</v>
      </c>
      <c r="DL14" s="18">
        <f t="shared" si="29"/>
        <v>95</v>
      </c>
      <c r="DM14" s="18">
        <f t="shared" si="30"/>
        <v>80</v>
      </c>
      <c r="DN14" s="17">
        <f t="shared" si="31"/>
        <v>82.9</v>
      </c>
      <c r="DO14" s="18">
        <f t="shared" si="32"/>
        <v>86.4</v>
      </c>
      <c r="DP14" s="18">
        <f t="shared" si="33"/>
        <v>95</v>
      </c>
      <c r="DQ14" s="18">
        <f t="shared" si="34"/>
        <v>88</v>
      </c>
      <c r="DR14" s="17">
        <f t="shared" si="35"/>
        <v>89.460000000000008</v>
      </c>
      <c r="DS14" s="18">
        <f t="shared" si="36"/>
        <v>85.5</v>
      </c>
      <c r="DT14" s="18">
        <f t="shared" si="37"/>
        <v>85.5</v>
      </c>
      <c r="DU14" s="18">
        <f t="shared" si="38"/>
        <v>87.5</v>
      </c>
      <c r="DV14" s="18">
        <f t="shared" si="39"/>
        <v>87.5</v>
      </c>
      <c r="DW14" s="18">
        <f t="shared" si="40"/>
        <v>81.5</v>
      </c>
      <c r="DX14" s="17">
        <f t="shared" si="41"/>
        <v>81.5</v>
      </c>
      <c r="DY14" s="18">
        <f t="shared" si="42"/>
        <v>84.444444444444457</v>
      </c>
      <c r="DZ14" s="18">
        <f t="shared" si="43"/>
        <v>95</v>
      </c>
      <c r="EA14" s="18">
        <f t="shared" si="44"/>
        <v>95</v>
      </c>
      <c r="EB14" s="17">
        <f t="shared" si="45"/>
        <v>90.777777777777786</v>
      </c>
      <c r="EC14" s="18">
        <f t="shared" si="46"/>
        <v>87.666666666666671</v>
      </c>
      <c r="ED14" s="18">
        <f t="shared" si="47"/>
        <v>95</v>
      </c>
      <c r="EE14" s="18">
        <f t="shared" si="48"/>
        <v>85</v>
      </c>
      <c r="EF14" s="17">
        <f t="shared" si="49"/>
        <v>89.066666666666677</v>
      </c>
      <c r="EG14" s="18">
        <f t="shared" si="50"/>
        <v>94</v>
      </c>
      <c r="EH14" s="18">
        <f t="shared" si="51"/>
        <v>86</v>
      </c>
      <c r="EI14" s="18">
        <f t="shared" si="52"/>
        <v>95</v>
      </c>
      <c r="EJ14" s="18">
        <f t="shared" si="53"/>
        <v>85</v>
      </c>
      <c r="EK14" s="17">
        <f t="shared" si="54"/>
        <v>88.4</v>
      </c>
      <c r="EL14" s="19">
        <f t="shared" si="55"/>
        <v>90.820000000000007</v>
      </c>
      <c r="EM14" s="19">
        <f t="shared" si="56"/>
        <v>90.38</v>
      </c>
      <c r="EN14" s="19">
        <f t="shared" si="57"/>
        <v>85.08</v>
      </c>
      <c r="EO14" s="19">
        <f t="shared" si="58"/>
        <v>83.25</v>
      </c>
      <c r="EP14" s="19">
        <f t="shared" si="59"/>
        <v>81.75</v>
      </c>
      <c r="EQ14" s="19">
        <f t="shared" si="60"/>
        <v>83</v>
      </c>
      <c r="ER14" s="19">
        <f t="shared" si="61"/>
        <v>78</v>
      </c>
      <c r="ES14" s="19">
        <f t="shared" si="62"/>
        <v>87.2</v>
      </c>
      <c r="ET14" s="19">
        <f t="shared" si="63"/>
        <v>82.9</v>
      </c>
      <c r="EU14" s="19">
        <f t="shared" si="64"/>
        <v>89.460000000000008</v>
      </c>
      <c r="EV14" s="19">
        <f t="shared" si="65"/>
        <v>85.5</v>
      </c>
      <c r="EW14" s="19">
        <f t="shared" si="66"/>
        <v>87.5</v>
      </c>
      <c r="EX14" s="19">
        <f t="shared" si="67"/>
        <v>81.5</v>
      </c>
      <c r="EY14" s="19">
        <f t="shared" si="68"/>
        <v>90.777777777777786</v>
      </c>
      <c r="EZ14" s="19">
        <f t="shared" si="69"/>
        <v>89.066666666666677</v>
      </c>
      <c r="FA14" s="19">
        <f t="shared" si="70"/>
        <v>94</v>
      </c>
      <c r="FB14" s="19">
        <f t="shared" si="71"/>
        <v>88.4</v>
      </c>
      <c r="FC14" s="19">
        <f t="shared" si="72"/>
        <v>86.387320261437921</v>
      </c>
    </row>
    <row r="15" spans="1:159" ht="18">
      <c r="A15" s="11">
        <v>11</v>
      </c>
      <c r="B15" s="12" t="s">
        <v>72</v>
      </c>
      <c r="C15" s="13" t="s">
        <v>73</v>
      </c>
      <c r="D15" s="12" t="s">
        <v>53</v>
      </c>
      <c r="E15" s="14">
        <v>80</v>
      </c>
      <c r="F15" s="14">
        <v>82</v>
      </c>
      <c r="G15" s="14">
        <v>85</v>
      </c>
      <c r="H15" s="14">
        <v>81</v>
      </c>
      <c r="I15" s="14">
        <v>83</v>
      </c>
      <c r="J15" s="14">
        <v>78</v>
      </c>
      <c r="K15" s="14">
        <v>77</v>
      </c>
      <c r="L15" s="14">
        <v>79</v>
      </c>
      <c r="M15" s="14">
        <v>83</v>
      </c>
      <c r="N15" s="14">
        <v>73</v>
      </c>
      <c r="O15" s="14">
        <v>75</v>
      </c>
      <c r="P15" s="15">
        <v>79</v>
      </c>
      <c r="Q15" s="15">
        <v>80</v>
      </c>
      <c r="R15" s="14">
        <v>78</v>
      </c>
      <c r="S15" s="14">
        <v>84</v>
      </c>
      <c r="T15" s="14">
        <v>72</v>
      </c>
      <c r="U15" s="14">
        <v>80</v>
      </c>
      <c r="V15" s="14">
        <v>86</v>
      </c>
      <c r="W15" s="14">
        <v>82</v>
      </c>
      <c r="X15" s="14">
        <v>83</v>
      </c>
      <c r="Y15" s="14">
        <v>78</v>
      </c>
      <c r="Z15" s="14">
        <v>84</v>
      </c>
      <c r="AA15" s="14">
        <v>79</v>
      </c>
      <c r="AB15" s="15">
        <v>79</v>
      </c>
      <c r="AC15" s="15">
        <v>70</v>
      </c>
      <c r="AD15" s="14">
        <v>71</v>
      </c>
      <c r="AE15" s="14">
        <v>82</v>
      </c>
      <c r="AF15" s="14">
        <v>81</v>
      </c>
      <c r="AG15" s="14">
        <v>75</v>
      </c>
      <c r="AH15" s="14">
        <v>77</v>
      </c>
      <c r="AI15" s="14">
        <v>73</v>
      </c>
      <c r="AJ15" s="14">
        <v>84</v>
      </c>
      <c r="AK15" s="14">
        <v>80</v>
      </c>
      <c r="AL15" s="15">
        <v>86</v>
      </c>
      <c r="AM15" s="15">
        <v>70</v>
      </c>
      <c r="AN15" s="14">
        <v>70</v>
      </c>
      <c r="AO15" s="14">
        <v>72</v>
      </c>
      <c r="AP15" s="14">
        <v>73</v>
      </c>
      <c r="AQ15" s="14">
        <v>79</v>
      </c>
      <c r="AR15" s="14">
        <v>78</v>
      </c>
      <c r="AS15" s="14">
        <v>74</v>
      </c>
      <c r="AT15" s="14">
        <v>76</v>
      </c>
      <c r="AU15" s="14">
        <v>78</v>
      </c>
      <c r="AV15" s="14">
        <v>75</v>
      </c>
      <c r="AW15" s="14">
        <v>77</v>
      </c>
      <c r="AX15" s="15">
        <v>78</v>
      </c>
      <c r="AY15" s="15">
        <v>76</v>
      </c>
      <c r="AZ15" s="14">
        <v>85</v>
      </c>
      <c r="BA15" s="14">
        <v>74</v>
      </c>
      <c r="BB15" s="14">
        <v>78</v>
      </c>
      <c r="BC15" s="14">
        <v>78</v>
      </c>
      <c r="BD15" s="14">
        <v>77</v>
      </c>
      <c r="BE15" s="37">
        <v>76</v>
      </c>
      <c r="BF15" s="37">
        <v>70</v>
      </c>
      <c r="BG15" s="37">
        <v>78</v>
      </c>
      <c r="BH15" s="14">
        <v>84</v>
      </c>
      <c r="BI15" s="38">
        <v>74</v>
      </c>
      <c r="BJ15" s="38">
        <v>70</v>
      </c>
      <c r="BK15" s="38">
        <v>80</v>
      </c>
      <c r="BL15" s="14">
        <v>84</v>
      </c>
      <c r="BM15" s="38">
        <v>78</v>
      </c>
      <c r="BN15" s="38">
        <v>77</v>
      </c>
      <c r="BO15" s="38">
        <v>80</v>
      </c>
      <c r="BP15" s="14">
        <v>84</v>
      </c>
      <c r="BQ15" s="15">
        <f t="shared" si="0"/>
        <v>76</v>
      </c>
      <c r="BR15" s="15">
        <f t="shared" si="1"/>
        <v>72.333333333333329</v>
      </c>
      <c r="BS15" s="15">
        <f t="shared" si="2"/>
        <v>79.333333333333329</v>
      </c>
      <c r="BT15" s="15">
        <f t="shared" si="3"/>
        <v>84</v>
      </c>
      <c r="BU15" s="15">
        <v>85</v>
      </c>
      <c r="BV15" s="15">
        <v>80</v>
      </c>
      <c r="BW15" s="15">
        <v>80</v>
      </c>
      <c r="BX15" s="15">
        <v>84</v>
      </c>
      <c r="BY15" s="15">
        <v>81</v>
      </c>
      <c r="BZ15" s="15">
        <v>71</v>
      </c>
      <c r="CA15" s="15">
        <v>76</v>
      </c>
      <c r="CB15" s="15">
        <v>73</v>
      </c>
      <c r="CC15" s="15">
        <v>78</v>
      </c>
      <c r="CD15" s="39">
        <v>86</v>
      </c>
      <c r="CE15" s="40">
        <v>75</v>
      </c>
      <c r="CF15" s="40">
        <v>80</v>
      </c>
      <c r="CG15" s="40">
        <v>70</v>
      </c>
      <c r="CH15" s="40">
        <v>78</v>
      </c>
      <c r="CI15" s="40">
        <v>80</v>
      </c>
      <c r="CJ15" s="40">
        <v>80</v>
      </c>
      <c r="CK15" s="39">
        <v>88</v>
      </c>
      <c r="CL15" s="40">
        <v>87</v>
      </c>
      <c r="CM15" s="41">
        <f t="shared" si="4"/>
        <v>82.2</v>
      </c>
      <c r="CN15" s="41">
        <f t="shared" si="5"/>
        <v>78</v>
      </c>
      <c r="CO15" s="41">
        <f t="shared" si="6"/>
        <v>86</v>
      </c>
      <c r="CP15" s="17">
        <f t="shared" si="7"/>
        <v>82.08</v>
      </c>
      <c r="CQ15" s="16">
        <f t="shared" si="8"/>
        <v>77.400000000000006</v>
      </c>
      <c r="CR15" s="16">
        <f t="shared" si="9"/>
        <v>79</v>
      </c>
      <c r="CS15" s="16">
        <f t="shared" si="10"/>
        <v>75</v>
      </c>
      <c r="CT15" s="17">
        <f t="shared" si="11"/>
        <v>77.16</v>
      </c>
      <c r="CU15" s="17">
        <f t="shared" si="12"/>
        <v>78.8</v>
      </c>
      <c r="CV15" s="17">
        <f t="shared" si="13"/>
        <v>86</v>
      </c>
      <c r="CW15" s="17">
        <f t="shared" si="14"/>
        <v>80</v>
      </c>
      <c r="CX15" s="17">
        <f t="shared" si="15"/>
        <v>81.320000000000007</v>
      </c>
      <c r="CY15" s="18">
        <f t="shared" si="16"/>
        <v>81.75</v>
      </c>
      <c r="CZ15" s="18">
        <f t="shared" si="17"/>
        <v>81.75</v>
      </c>
      <c r="DA15" s="18">
        <f t="shared" si="18"/>
        <v>74.75</v>
      </c>
      <c r="DB15" s="18">
        <f t="shared" si="19"/>
        <v>74.75</v>
      </c>
      <c r="DC15" s="18">
        <f t="shared" si="20"/>
        <v>81.5</v>
      </c>
      <c r="DD15" s="18">
        <f t="shared" si="21"/>
        <v>81.5</v>
      </c>
      <c r="DE15" s="18">
        <f t="shared" si="22"/>
        <v>77.25</v>
      </c>
      <c r="DF15" s="18">
        <f t="shared" si="23"/>
        <v>77.25</v>
      </c>
      <c r="DG15" s="18">
        <f t="shared" si="24"/>
        <v>80</v>
      </c>
      <c r="DH15" s="18">
        <f t="shared" si="25"/>
        <v>86</v>
      </c>
      <c r="DI15" s="18">
        <f t="shared" si="26"/>
        <v>70</v>
      </c>
      <c r="DJ15" s="17">
        <f t="shared" si="27"/>
        <v>78.8</v>
      </c>
      <c r="DK15" s="18">
        <f t="shared" si="28"/>
        <v>72.8</v>
      </c>
      <c r="DL15" s="18">
        <f t="shared" si="29"/>
        <v>78</v>
      </c>
      <c r="DM15" s="18">
        <f t="shared" si="30"/>
        <v>78</v>
      </c>
      <c r="DN15" s="17">
        <f t="shared" si="31"/>
        <v>75.92</v>
      </c>
      <c r="DO15" s="18">
        <f t="shared" si="32"/>
        <v>76</v>
      </c>
      <c r="DP15" s="18">
        <f t="shared" si="33"/>
        <v>78</v>
      </c>
      <c r="DQ15" s="18">
        <f t="shared" si="34"/>
        <v>80</v>
      </c>
      <c r="DR15" s="17">
        <f t="shared" si="35"/>
        <v>77.8</v>
      </c>
      <c r="DS15" s="18">
        <f t="shared" si="36"/>
        <v>80.5</v>
      </c>
      <c r="DT15" s="18">
        <f t="shared" si="37"/>
        <v>80.5</v>
      </c>
      <c r="DU15" s="18">
        <f t="shared" si="38"/>
        <v>76</v>
      </c>
      <c r="DV15" s="18">
        <f t="shared" si="39"/>
        <v>76</v>
      </c>
      <c r="DW15" s="18">
        <f t="shared" si="40"/>
        <v>77.5</v>
      </c>
      <c r="DX15" s="17">
        <f t="shared" si="41"/>
        <v>77.5</v>
      </c>
      <c r="DY15" s="18">
        <f t="shared" si="42"/>
        <v>75.888888888888872</v>
      </c>
      <c r="DZ15" s="18">
        <f t="shared" si="43"/>
        <v>84</v>
      </c>
      <c r="EA15" s="18">
        <f t="shared" si="44"/>
        <v>87</v>
      </c>
      <c r="EB15" s="17">
        <f t="shared" si="45"/>
        <v>81.655555555555537</v>
      </c>
      <c r="EC15" s="18">
        <f t="shared" si="46"/>
        <v>81.666666666666671</v>
      </c>
      <c r="ED15" s="18">
        <f t="shared" si="47"/>
        <v>84</v>
      </c>
      <c r="EE15" s="18">
        <f t="shared" si="48"/>
        <v>88</v>
      </c>
      <c r="EF15" s="17">
        <f t="shared" si="49"/>
        <v>84.26666666666668</v>
      </c>
      <c r="EG15" s="18">
        <f t="shared" si="50"/>
        <v>81</v>
      </c>
      <c r="EH15" s="18">
        <f t="shared" si="51"/>
        <v>73.333333333333329</v>
      </c>
      <c r="EI15" s="18">
        <f t="shared" si="52"/>
        <v>78</v>
      </c>
      <c r="EJ15" s="18">
        <f t="shared" si="53"/>
        <v>80</v>
      </c>
      <c r="EK15" s="17">
        <f t="shared" si="54"/>
        <v>76.73333333333332</v>
      </c>
      <c r="EL15" s="19">
        <f t="shared" si="55"/>
        <v>82.08</v>
      </c>
      <c r="EM15" s="19">
        <f t="shared" si="56"/>
        <v>77.16</v>
      </c>
      <c r="EN15" s="19">
        <f t="shared" si="57"/>
        <v>81.320000000000007</v>
      </c>
      <c r="EO15" s="19">
        <f t="shared" si="58"/>
        <v>81.75</v>
      </c>
      <c r="EP15" s="19">
        <f t="shared" si="59"/>
        <v>74.75</v>
      </c>
      <c r="EQ15" s="19">
        <f t="shared" si="60"/>
        <v>81.5</v>
      </c>
      <c r="ER15" s="19">
        <f t="shared" si="61"/>
        <v>77.25</v>
      </c>
      <c r="ES15" s="19">
        <f t="shared" si="62"/>
        <v>78.8</v>
      </c>
      <c r="ET15" s="19">
        <f t="shared" si="63"/>
        <v>75.92</v>
      </c>
      <c r="EU15" s="19">
        <f t="shared" si="64"/>
        <v>77.8</v>
      </c>
      <c r="EV15" s="19">
        <f t="shared" si="65"/>
        <v>80.5</v>
      </c>
      <c r="EW15" s="19">
        <f t="shared" si="66"/>
        <v>76</v>
      </c>
      <c r="EX15" s="19">
        <f t="shared" si="67"/>
        <v>77.5</v>
      </c>
      <c r="EY15" s="19">
        <f t="shared" si="68"/>
        <v>81.655555555555537</v>
      </c>
      <c r="EZ15" s="19">
        <f t="shared" si="69"/>
        <v>84.26666666666668</v>
      </c>
      <c r="FA15" s="19">
        <f t="shared" si="70"/>
        <v>81</v>
      </c>
      <c r="FB15" s="19">
        <f t="shared" si="71"/>
        <v>76.73333333333332</v>
      </c>
      <c r="FC15" s="19">
        <f t="shared" si="72"/>
        <v>79.175620915032667</v>
      </c>
    </row>
    <row r="16" spans="1:159" ht="18">
      <c r="A16" s="11">
        <v>12</v>
      </c>
      <c r="B16" s="12" t="s">
        <v>74</v>
      </c>
      <c r="C16" s="13" t="s">
        <v>75</v>
      </c>
      <c r="D16" s="12" t="s">
        <v>53</v>
      </c>
      <c r="E16" s="14">
        <v>87</v>
      </c>
      <c r="F16" s="14">
        <v>90</v>
      </c>
      <c r="G16" s="14">
        <v>89</v>
      </c>
      <c r="H16" s="14">
        <v>85</v>
      </c>
      <c r="I16" s="14">
        <v>82</v>
      </c>
      <c r="J16" s="14">
        <v>80</v>
      </c>
      <c r="K16" s="14">
        <v>87</v>
      </c>
      <c r="L16" s="14">
        <v>82</v>
      </c>
      <c r="M16" s="14">
        <v>95</v>
      </c>
      <c r="N16" s="14">
        <v>92</v>
      </c>
      <c r="O16" s="14">
        <v>90</v>
      </c>
      <c r="P16" s="15">
        <v>80</v>
      </c>
      <c r="Q16" s="15">
        <v>87</v>
      </c>
      <c r="R16" s="14">
        <v>79</v>
      </c>
      <c r="S16" s="14">
        <v>81</v>
      </c>
      <c r="T16" s="14">
        <v>80</v>
      </c>
      <c r="U16" s="14">
        <v>80</v>
      </c>
      <c r="V16" s="14">
        <v>80</v>
      </c>
      <c r="W16" s="14">
        <v>82</v>
      </c>
      <c r="X16" s="14">
        <v>85</v>
      </c>
      <c r="Y16" s="14">
        <v>81</v>
      </c>
      <c r="Z16" s="14">
        <v>85</v>
      </c>
      <c r="AA16" s="14">
        <v>85</v>
      </c>
      <c r="AB16" s="15">
        <v>86</v>
      </c>
      <c r="AC16" s="15">
        <v>83</v>
      </c>
      <c r="AD16" s="14">
        <v>83</v>
      </c>
      <c r="AE16" s="14">
        <v>81</v>
      </c>
      <c r="AF16" s="14">
        <v>82</v>
      </c>
      <c r="AG16" s="14">
        <v>77</v>
      </c>
      <c r="AH16" s="14">
        <v>79</v>
      </c>
      <c r="AI16" s="14">
        <v>73</v>
      </c>
      <c r="AJ16" s="14">
        <v>84</v>
      </c>
      <c r="AK16" s="14">
        <v>80</v>
      </c>
      <c r="AL16" s="15">
        <v>80</v>
      </c>
      <c r="AM16" s="15">
        <v>76</v>
      </c>
      <c r="AN16" s="14">
        <v>76</v>
      </c>
      <c r="AO16" s="14">
        <v>73</v>
      </c>
      <c r="AP16" s="14">
        <v>74</v>
      </c>
      <c r="AQ16" s="14">
        <v>80</v>
      </c>
      <c r="AR16" s="14">
        <v>79</v>
      </c>
      <c r="AS16" s="14">
        <v>75</v>
      </c>
      <c r="AT16" s="14">
        <v>80</v>
      </c>
      <c r="AU16" s="14">
        <v>84</v>
      </c>
      <c r="AV16" s="14">
        <v>80</v>
      </c>
      <c r="AW16" s="14">
        <v>84</v>
      </c>
      <c r="AX16" s="15">
        <v>79</v>
      </c>
      <c r="AY16" s="15">
        <v>83</v>
      </c>
      <c r="AZ16" s="14">
        <v>83</v>
      </c>
      <c r="BA16" s="14">
        <v>75</v>
      </c>
      <c r="BB16" s="14">
        <v>78</v>
      </c>
      <c r="BC16" s="14">
        <v>83</v>
      </c>
      <c r="BD16" s="14">
        <v>82</v>
      </c>
      <c r="BE16" s="37">
        <v>82</v>
      </c>
      <c r="BF16" s="37">
        <v>85</v>
      </c>
      <c r="BG16" s="37">
        <v>80</v>
      </c>
      <c r="BH16" s="14">
        <v>79</v>
      </c>
      <c r="BI16" s="38">
        <v>83</v>
      </c>
      <c r="BJ16" s="38">
        <v>86</v>
      </c>
      <c r="BK16" s="38">
        <v>80</v>
      </c>
      <c r="BL16" s="14">
        <v>79</v>
      </c>
      <c r="BM16" s="38">
        <v>78</v>
      </c>
      <c r="BN16" s="38">
        <v>77</v>
      </c>
      <c r="BO16" s="38">
        <v>82</v>
      </c>
      <c r="BP16" s="14">
        <v>79</v>
      </c>
      <c r="BQ16" s="15">
        <f t="shared" si="0"/>
        <v>81</v>
      </c>
      <c r="BR16" s="15">
        <f t="shared" si="1"/>
        <v>82.666666666666671</v>
      </c>
      <c r="BS16" s="15">
        <f t="shared" si="2"/>
        <v>80.666666666666671</v>
      </c>
      <c r="BT16" s="15">
        <f t="shared" si="3"/>
        <v>79</v>
      </c>
      <c r="BU16" s="15">
        <v>86</v>
      </c>
      <c r="BV16" s="15">
        <v>86</v>
      </c>
      <c r="BW16" s="15">
        <v>89</v>
      </c>
      <c r="BX16" s="15">
        <v>79</v>
      </c>
      <c r="BY16" s="15">
        <v>80</v>
      </c>
      <c r="BZ16" s="15">
        <v>77</v>
      </c>
      <c r="CA16" s="15">
        <v>87</v>
      </c>
      <c r="CB16" s="15">
        <v>80</v>
      </c>
      <c r="CC16" s="15">
        <v>79</v>
      </c>
      <c r="CD16" s="39">
        <v>81</v>
      </c>
      <c r="CE16" s="40">
        <v>95</v>
      </c>
      <c r="CF16" s="40">
        <v>75</v>
      </c>
      <c r="CG16" s="40">
        <v>90</v>
      </c>
      <c r="CH16" s="40">
        <v>78</v>
      </c>
      <c r="CI16" s="40">
        <v>85</v>
      </c>
      <c r="CJ16" s="40">
        <v>80</v>
      </c>
      <c r="CK16" s="39">
        <v>92</v>
      </c>
      <c r="CL16" s="40">
        <v>97</v>
      </c>
      <c r="CM16" s="41">
        <f t="shared" si="4"/>
        <v>86.6</v>
      </c>
      <c r="CN16" s="41">
        <f t="shared" si="5"/>
        <v>80</v>
      </c>
      <c r="CO16" s="41">
        <f t="shared" si="6"/>
        <v>81</v>
      </c>
      <c r="CP16" s="17">
        <f t="shared" si="7"/>
        <v>82.94</v>
      </c>
      <c r="CQ16" s="16">
        <f t="shared" si="8"/>
        <v>89.2</v>
      </c>
      <c r="CR16" s="16">
        <f t="shared" si="9"/>
        <v>80</v>
      </c>
      <c r="CS16" s="16">
        <f t="shared" si="10"/>
        <v>95</v>
      </c>
      <c r="CT16" s="17">
        <f t="shared" si="11"/>
        <v>88.179999999999993</v>
      </c>
      <c r="CU16" s="17">
        <f t="shared" si="12"/>
        <v>81.400000000000006</v>
      </c>
      <c r="CV16" s="17">
        <f t="shared" si="13"/>
        <v>80</v>
      </c>
      <c r="CW16" s="17">
        <f t="shared" si="14"/>
        <v>75</v>
      </c>
      <c r="CX16" s="17">
        <f t="shared" si="15"/>
        <v>79.06</v>
      </c>
      <c r="CY16" s="18">
        <f t="shared" si="16"/>
        <v>83.25</v>
      </c>
      <c r="CZ16" s="18">
        <f t="shared" si="17"/>
        <v>83.25</v>
      </c>
      <c r="DA16" s="18">
        <f t="shared" si="18"/>
        <v>84.25</v>
      </c>
      <c r="DB16" s="18">
        <f t="shared" si="19"/>
        <v>84.25</v>
      </c>
      <c r="DC16" s="18">
        <f t="shared" si="20"/>
        <v>81.5</v>
      </c>
      <c r="DD16" s="18">
        <f t="shared" si="21"/>
        <v>81.5</v>
      </c>
      <c r="DE16" s="18">
        <f t="shared" si="22"/>
        <v>78.25</v>
      </c>
      <c r="DF16" s="18">
        <f t="shared" si="23"/>
        <v>78.25</v>
      </c>
      <c r="DG16" s="18">
        <f t="shared" si="24"/>
        <v>80</v>
      </c>
      <c r="DH16" s="18">
        <f t="shared" si="25"/>
        <v>80</v>
      </c>
      <c r="DI16" s="18">
        <f t="shared" si="26"/>
        <v>90</v>
      </c>
      <c r="DJ16" s="17">
        <f t="shared" si="27"/>
        <v>83</v>
      </c>
      <c r="DK16" s="18">
        <f t="shared" si="28"/>
        <v>75.8</v>
      </c>
      <c r="DL16" s="18">
        <f t="shared" si="29"/>
        <v>79</v>
      </c>
      <c r="DM16" s="18">
        <f t="shared" si="30"/>
        <v>78</v>
      </c>
      <c r="DN16" s="17">
        <f t="shared" si="31"/>
        <v>77.42</v>
      </c>
      <c r="DO16" s="18">
        <f t="shared" si="32"/>
        <v>80.599999999999994</v>
      </c>
      <c r="DP16" s="18">
        <f t="shared" si="33"/>
        <v>79</v>
      </c>
      <c r="DQ16" s="18">
        <f t="shared" si="34"/>
        <v>85</v>
      </c>
      <c r="DR16" s="17">
        <f t="shared" si="35"/>
        <v>81.44</v>
      </c>
      <c r="DS16" s="18">
        <f t="shared" si="36"/>
        <v>83</v>
      </c>
      <c r="DT16" s="18">
        <f t="shared" si="37"/>
        <v>83</v>
      </c>
      <c r="DU16" s="18">
        <f t="shared" si="38"/>
        <v>76.5</v>
      </c>
      <c r="DV16" s="18">
        <f t="shared" si="39"/>
        <v>76.5</v>
      </c>
      <c r="DW16" s="18">
        <f t="shared" si="40"/>
        <v>82.5</v>
      </c>
      <c r="DX16" s="17">
        <f t="shared" si="41"/>
        <v>82.5</v>
      </c>
      <c r="DY16" s="18">
        <f t="shared" si="42"/>
        <v>81.444444444444457</v>
      </c>
      <c r="DZ16" s="18">
        <f t="shared" si="43"/>
        <v>79</v>
      </c>
      <c r="EA16" s="18">
        <f t="shared" si="44"/>
        <v>97</v>
      </c>
      <c r="EB16" s="17">
        <f t="shared" si="45"/>
        <v>85.37777777777778</v>
      </c>
      <c r="EC16" s="18">
        <f t="shared" si="46"/>
        <v>87</v>
      </c>
      <c r="ED16" s="18">
        <f t="shared" si="47"/>
        <v>79</v>
      </c>
      <c r="EE16" s="18">
        <f t="shared" si="48"/>
        <v>92</v>
      </c>
      <c r="EF16" s="17">
        <f t="shared" si="49"/>
        <v>86.1</v>
      </c>
      <c r="EG16" s="18">
        <f t="shared" si="50"/>
        <v>80</v>
      </c>
      <c r="EH16" s="18">
        <f t="shared" si="51"/>
        <v>81.333333333333329</v>
      </c>
      <c r="EI16" s="18">
        <f t="shared" si="52"/>
        <v>79</v>
      </c>
      <c r="EJ16" s="18">
        <f t="shared" si="53"/>
        <v>80</v>
      </c>
      <c r="EK16" s="17">
        <f t="shared" si="54"/>
        <v>80.23333333333332</v>
      </c>
      <c r="EL16" s="19">
        <f t="shared" si="55"/>
        <v>82.94</v>
      </c>
      <c r="EM16" s="19">
        <f t="shared" si="56"/>
        <v>88.179999999999993</v>
      </c>
      <c r="EN16" s="19">
        <f t="shared" si="57"/>
        <v>79.06</v>
      </c>
      <c r="EO16" s="19">
        <f t="shared" si="58"/>
        <v>83.25</v>
      </c>
      <c r="EP16" s="19">
        <f t="shared" si="59"/>
        <v>84.25</v>
      </c>
      <c r="EQ16" s="19">
        <f t="shared" si="60"/>
        <v>81.5</v>
      </c>
      <c r="ER16" s="19">
        <f t="shared" si="61"/>
        <v>78.25</v>
      </c>
      <c r="ES16" s="19">
        <f t="shared" si="62"/>
        <v>83</v>
      </c>
      <c r="ET16" s="19">
        <f t="shared" si="63"/>
        <v>77.42</v>
      </c>
      <c r="EU16" s="19">
        <f t="shared" si="64"/>
        <v>81.44</v>
      </c>
      <c r="EV16" s="19">
        <f t="shared" si="65"/>
        <v>83</v>
      </c>
      <c r="EW16" s="19">
        <f t="shared" si="66"/>
        <v>76.5</v>
      </c>
      <c r="EX16" s="19">
        <f t="shared" si="67"/>
        <v>82.5</v>
      </c>
      <c r="EY16" s="19">
        <f t="shared" si="68"/>
        <v>85.37777777777778</v>
      </c>
      <c r="EZ16" s="19">
        <f t="shared" si="69"/>
        <v>86.1</v>
      </c>
      <c r="FA16" s="19">
        <f t="shared" si="70"/>
        <v>80</v>
      </c>
      <c r="FB16" s="19">
        <f t="shared" si="71"/>
        <v>80.23333333333332</v>
      </c>
      <c r="FC16" s="19">
        <f t="shared" si="72"/>
        <v>81.941241830065351</v>
      </c>
    </row>
    <row r="17" spans="1:159" ht="18">
      <c r="A17" s="11">
        <v>13</v>
      </c>
      <c r="B17" s="12" t="s">
        <v>76</v>
      </c>
      <c r="C17" s="13" t="s">
        <v>77</v>
      </c>
      <c r="D17" s="12" t="s">
        <v>53</v>
      </c>
      <c r="E17" s="14">
        <v>80</v>
      </c>
      <c r="F17" s="14">
        <v>83</v>
      </c>
      <c r="G17" s="14">
        <v>88</v>
      </c>
      <c r="H17" s="14">
        <v>84</v>
      </c>
      <c r="I17" s="14">
        <v>91</v>
      </c>
      <c r="J17" s="14">
        <v>80</v>
      </c>
      <c r="K17" s="14">
        <v>82</v>
      </c>
      <c r="L17" s="14">
        <v>80</v>
      </c>
      <c r="M17" s="14">
        <v>70</v>
      </c>
      <c r="N17" s="14">
        <v>87</v>
      </c>
      <c r="O17" s="14">
        <v>87</v>
      </c>
      <c r="P17" s="15">
        <v>85</v>
      </c>
      <c r="Q17" s="15">
        <v>95</v>
      </c>
      <c r="R17" s="14">
        <v>86</v>
      </c>
      <c r="S17" s="14">
        <v>78</v>
      </c>
      <c r="T17" s="14">
        <v>78</v>
      </c>
      <c r="U17" s="14">
        <v>76</v>
      </c>
      <c r="V17" s="14">
        <v>78</v>
      </c>
      <c r="W17" s="14">
        <v>82</v>
      </c>
      <c r="X17" s="14">
        <v>83</v>
      </c>
      <c r="Y17" s="14">
        <v>80</v>
      </c>
      <c r="Z17" s="14">
        <v>84</v>
      </c>
      <c r="AA17" s="14">
        <v>77</v>
      </c>
      <c r="AB17" s="15">
        <v>80</v>
      </c>
      <c r="AC17" s="15">
        <v>80</v>
      </c>
      <c r="AD17" s="14">
        <v>82</v>
      </c>
      <c r="AE17" s="14">
        <v>79</v>
      </c>
      <c r="AF17" s="14">
        <v>82</v>
      </c>
      <c r="AG17" s="14">
        <v>77</v>
      </c>
      <c r="AH17" s="14">
        <v>74</v>
      </c>
      <c r="AI17" s="14">
        <v>72</v>
      </c>
      <c r="AJ17" s="14">
        <v>83</v>
      </c>
      <c r="AK17" s="14">
        <v>80</v>
      </c>
      <c r="AL17" s="15">
        <v>78</v>
      </c>
      <c r="AM17" s="15">
        <v>73</v>
      </c>
      <c r="AN17" s="14">
        <v>73</v>
      </c>
      <c r="AO17" s="14">
        <v>73</v>
      </c>
      <c r="AP17" s="14">
        <v>74</v>
      </c>
      <c r="AQ17" s="14">
        <v>76</v>
      </c>
      <c r="AR17" s="14">
        <v>80</v>
      </c>
      <c r="AS17" s="14">
        <v>74</v>
      </c>
      <c r="AT17" s="14">
        <v>80</v>
      </c>
      <c r="AU17" s="14">
        <v>80</v>
      </c>
      <c r="AV17" s="14">
        <v>80</v>
      </c>
      <c r="AW17" s="14">
        <v>80</v>
      </c>
      <c r="AX17" s="15">
        <v>80</v>
      </c>
      <c r="AY17" s="15">
        <v>75</v>
      </c>
      <c r="AZ17" s="14">
        <v>76</v>
      </c>
      <c r="BA17" s="14">
        <v>78</v>
      </c>
      <c r="BB17" s="14">
        <v>78</v>
      </c>
      <c r="BC17" s="14">
        <v>78</v>
      </c>
      <c r="BD17" s="14">
        <v>78</v>
      </c>
      <c r="BE17" s="37">
        <v>85</v>
      </c>
      <c r="BF17" s="37">
        <v>82</v>
      </c>
      <c r="BG17" s="37">
        <v>80</v>
      </c>
      <c r="BH17" s="14">
        <v>80</v>
      </c>
      <c r="BI17" s="38">
        <v>79</v>
      </c>
      <c r="BJ17" s="38">
        <v>75</v>
      </c>
      <c r="BK17" s="38">
        <v>79</v>
      </c>
      <c r="BL17" s="14">
        <v>80</v>
      </c>
      <c r="BM17" s="38">
        <v>77</v>
      </c>
      <c r="BN17" s="38">
        <v>76</v>
      </c>
      <c r="BO17" s="38">
        <v>80</v>
      </c>
      <c r="BP17" s="14">
        <v>80</v>
      </c>
      <c r="BQ17" s="15">
        <f t="shared" si="0"/>
        <v>80.333333333333329</v>
      </c>
      <c r="BR17" s="15">
        <f t="shared" si="1"/>
        <v>77.666666666666671</v>
      </c>
      <c r="BS17" s="15">
        <f t="shared" si="2"/>
        <v>79.666666666666671</v>
      </c>
      <c r="BT17" s="15">
        <f t="shared" si="3"/>
        <v>80</v>
      </c>
      <c r="BU17" s="15">
        <v>86</v>
      </c>
      <c r="BV17" s="15">
        <v>86</v>
      </c>
      <c r="BW17" s="15">
        <v>80</v>
      </c>
      <c r="BX17" s="15">
        <v>80</v>
      </c>
      <c r="BY17" s="15">
        <v>81</v>
      </c>
      <c r="BZ17" s="15">
        <v>70</v>
      </c>
      <c r="CA17" s="15">
        <v>80</v>
      </c>
      <c r="CB17" s="15">
        <v>84</v>
      </c>
      <c r="CC17" s="15">
        <v>80</v>
      </c>
      <c r="CD17" s="39">
        <v>86</v>
      </c>
      <c r="CE17" s="40">
        <v>80</v>
      </c>
      <c r="CF17" s="40">
        <v>75</v>
      </c>
      <c r="CG17" s="40">
        <v>92</v>
      </c>
      <c r="CH17" s="40">
        <v>77</v>
      </c>
      <c r="CI17" s="40">
        <v>80</v>
      </c>
      <c r="CJ17" s="40">
        <v>80</v>
      </c>
      <c r="CK17" s="39">
        <v>84</v>
      </c>
      <c r="CL17" s="40">
        <v>70</v>
      </c>
      <c r="CM17" s="41">
        <f t="shared" si="4"/>
        <v>85.2</v>
      </c>
      <c r="CN17" s="41">
        <f t="shared" si="5"/>
        <v>80</v>
      </c>
      <c r="CO17" s="41">
        <f t="shared" si="6"/>
        <v>86</v>
      </c>
      <c r="CP17" s="17">
        <f t="shared" si="7"/>
        <v>83.88</v>
      </c>
      <c r="CQ17" s="16">
        <f t="shared" si="8"/>
        <v>81.2</v>
      </c>
      <c r="CR17" s="16">
        <f t="shared" si="9"/>
        <v>85</v>
      </c>
      <c r="CS17" s="16">
        <f t="shared" si="10"/>
        <v>80</v>
      </c>
      <c r="CT17" s="17">
        <f t="shared" si="11"/>
        <v>81.97999999999999</v>
      </c>
      <c r="CU17" s="17">
        <f t="shared" si="12"/>
        <v>82.6</v>
      </c>
      <c r="CV17" s="17">
        <f t="shared" si="13"/>
        <v>78</v>
      </c>
      <c r="CW17" s="17">
        <f t="shared" si="14"/>
        <v>75</v>
      </c>
      <c r="CX17" s="17">
        <f t="shared" si="15"/>
        <v>78.94</v>
      </c>
      <c r="CY17" s="18">
        <f t="shared" si="16"/>
        <v>82.25</v>
      </c>
      <c r="CZ17" s="18">
        <f t="shared" si="17"/>
        <v>82.25</v>
      </c>
      <c r="DA17" s="18">
        <f t="shared" si="18"/>
        <v>79.75</v>
      </c>
      <c r="DB17" s="18">
        <f t="shared" si="19"/>
        <v>79.75</v>
      </c>
      <c r="DC17" s="18">
        <f t="shared" si="20"/>
        <v>80.5</v>
      </c>
      <c r="DD17" s="18">
        <f t="shared" si="21"/>
        <v>80.5</v>
      </c>
      <c r="DE17" s="18">
        <f t="shared" si="22"/>
        <v>76.5</v>
      </c>
      <c r="DF17" s="18">
        <f t="shared" si="23"/>
        <v>76.5</v>
      </c>
      <c r="DG17" s="18">
        <f t="shared" si="24"/>
        <v>80</v>
      </c>
      <c r="DH17" s="18">
        <f t="shared" si="25"/>
        <v>78</v>
      </c>
      <c r="DI17" s="18">
        <f t="shared" si="26"/>
        <v>92</v>
      </c>
      <c r="DJ17" s="17">
        <f t="shared" si="27"/>
        <v>83</v>
      </c>
      <c r="DK17" s="18">
        <f t="shared" si="28"/>
        <v>73.8</v>
      </c>
      <c r="DL17" s="18">
        <f t="shared" si="29"/>
        <v>80</v>
      </c>
      <c r="DM17" s="18">
        <f t="shared" si="30"/>
        <v>77</v>
      </c>
      <c r="DN17" s="17">
        <f t="shared" si="31"/>
        <v>76.62</v>
      </c>
      <c r="DO17" s="18">
        <f t="shared" si="32"/>
        <v>78.8</v>
      </c>
      <c r="DP17" s="18">
        <f t="shared" si="33"/>
        <v>80</v>
      </c>
      <c r="DQ17" s="18">
        <f t="shared" si="34"/>
        <v>80</v>
      </c>
      <c r="DR17" s="17">
        <f t="shared" si="35"/>
        <v>79.52000000000001</v>
      </c>
      <c r="DS17" s="18">
        <f t="shared" si="36"/>
        <v>75.5</v>
      </c>
      <c r="DT17" s="18">
        <f t="shared" si="37"/>
        <v>75.5</v>
      </c>
      <c r="DU17" s="18">
        <f t="shared" si="38"/>
        <v>78</v>
      </c>
      <c r="DV17" s="18">
        <f t="shared" si="39"/>
        <v>78</v>
      </c>
      <c r="DW17" s="18">
        <f t="shared" si="40"/>
        <v>78</v>
      </c>
      <c r="DX17" s="17">
        <f t="shared" si="41"/>
        <v>78</v>
      </c>
      <c r="DY17" s="18">
        <f t="shared" si="42"/>
        <v>79.222222222222229</v>
      </c>
      <c r="DZ17" s="18">
        <f t="shared" si="43"/>
        <v>80</v>
      </c>
      <c r="EA17" s="18">
        <f t="shared" si="44"/>
        <v>70</v>
      </c>
      <c r="EB17" s="17">
        <f t="shared" si="45"/>
        <v>76.688888888888897</v>
      </c>
      <c r="EC17" s="18">
        <f t="shared" si="46"/>
        <v>84</v>
      </c>
      <c r="ED17" s="18">
        <f t="shared" si="47"/>
        <v>80</v>
      </c>
      <c r="EE17" s="18">
        <f t="shared" si="48"/>
        <v>84</v>
      </c>
      <c r="EF17" s="17">
        <f t="shared" si="49"/>
        <v>82.8</v>
      </c>
      <c r="EG17" s="18">
        <f t="shared" si="50"/>
        <v>81</v>
      </c>
      <c r="EH17" s="18">
        <f t="shared" si="51"/>
        <v>78</v>
      </c>
      <c r="EI17" s="18">
        <f t="shared" si="52"/>
        <v>80</v>
      </c>
      <c r="EJ17" s="18">
        <f t="shared" si="53"/>
        <v>80</v>
      </c>
      <c r="EK17" s="17">
        <f t="shared" si="54"/>
        <v>79.2</v>
      </c>
      <c r="EL17" s="19">
        <f t="shared" si="55"/>
        <v>83.88</v>
      </c>
      <c r="EM17" s="19">
        <f t="shared" si="56"/>
        <v>81.97999999999999</v>
      </c>
      <c r="EN17" s="19">
        <f t="shared" si="57"/>
        <v>78.94</v>
      </c>
      <c r="EO17" s="19">
        <f t="shared" si="58"/>
        <v>82.25</v>
      </c>
      <c r="EP17" s="19">
        <f t="shared" si="59"/>
        <v>79.75</v>
      </c>
      <c r="EQ17" s="19">
        <f t="shared" si="60"/>
        <v>80.5</v>
      </c>
      <c r="ER17" s="19">
        <f t="shared" si="61"/>
        <v>76.5</v>
      </c>
      <c r="ES17" s="19">
        <f t="shared" si="62"/>
        <v>83</v>
      </c>
      <c r="ET17" s="19">
        <f t="shared" si="63"/>
        <v>76.62</v>
      </c>
      <c r="EU17" s="19">
        <f t="shared" si="64"/>
        <v>79.52000000000001</v>
      </c>
      <c r="EV17" s="19">
        <f t="shared" si="65"/>
        <v>75.5</v>
      </c>
      <c r="EW17" s="19">
        <f t="shared" si="66"/>
        <v>78</v>
      </c>
      <c r="EX17" s="19">
        <f t="shared" si="67"/>
        <v>78</v>
      </c>
      <c r="EY17" s="19">
        <f t="shared" si="68"/>
        <v>76.688888888888897</v>
      </c>
      <c r="EZ17" s="19">
        <f t="shared" si="69"/>
        <v>82.8</v>
      </c>
      <c r="FA17" s="19">
        <f t="shared" si="70"/>
        <v>81</v>
      </c>
      <c r="FB17" s="19">
        <f t="shared" si="71"/>
        <v>79.2</v>
      </c>
      <c r="FC17" s="19">
        <f t="shared" si="72"/>
        <v>79.654640522875823</v>
      </c>
    </row>
    <row r="18" spans="1:159" ht="18">
      <c r="A18" s="11">
        <v>14</v>
      </c>
      <c r="B18" s="12" t="s">
        <v>78</v>
      </c>
      <c r="C18" s="13" t="s">
        <v>79</v>
      </c>
      <c r="D18" s="12" t="s">
        <v>53</v>
      </c>
      <c r="E18" s="14">
        <v>92</v>
      </c>
      <c r="F18" s="14">
        <v>95</v>
      </c>
      <c r="G18" s="14">
        <v>90</v>
      </c>
      <c r="H18" s="14">
        <v>87</v>
      </c>
      <c r="I18" s="14">
        <v>92</v>
      </c>
      <c r="J18" s="14">
        <v>74</v>
      </c>
      <c r="K18" s="14">
        <v>84</v>
      </c>
      <c r="L18" s="14">
        <v>87</v>
      </c>
      <c r="M18" s="14">
        <v>95</v>
      </c>
      <c r="N18" s="14">
        <v>95</v>
      </c>
      <c r="O18" s="14">
        <v>95</v>
      </c>
      <c r="P18" s="15">
        <v>80</v>
      </c>
      <c r="Q18" s="15">
        <v>80</v>
      </c>
      <c r="R18" s="14">
        <v>90</v>
      </c>
      <c r="S18" s="14">
        <v>83</v>
      </c>
      <c r="T18" s="14">
        <v>78</v>
      </c>
      <c r="U18" s="14">
        <v>80</v>
      </c>
      <c r="V18" s="14">
        <v>78</v>
      </c>
      <c r="W18" s="14">
        <v>82</v>
      </c>
      <c r="X18" s="14">
        <v>85</v>
      </c>
      <c r="Y18" s="14">
        <v>82</v>
      </c>
      <c r="Z18" s="14">
        <v>85</v>
      </c>
      <c r="AA18" s="14">
        <v>77</v>
      </c>
      <c r="AB18" s="15">
        <v>85</v>
      </c>
      <c r="AC18" s="15">
        <v>83</v>
      </c>
      <c r="AD18" s="14">
        <v>84</v>
      </c>
      <c r="AE18" s="14">
        <v>84</v>
      </c>
      <c r="AF18" s="14">
        <v>83</v>
      </c>
      <c r="AG18" s="14">
        <v>80</v>
      </c>
      <c r="AH18" s="14">
        <v>74</v>
      </c>
      <c r="AI18" s="14">
        <v>71</v>
      </c>
      <c r="AJ18" s="14">
        <v>82</v>
      </c>
      <c r="AK18" s="14">
        <v>80</v>
      </c>
      <c r="AL18" s="15">
        <v>78</v>
      </c>
      <c r="AM18" s="15">
        <v>70</v>
      </c>
      <c r="AN18" s="14">
        <v>72</v>
      </c>
      <c r="AO18" s="14">
        <v>74</v>
      </c>
      <c r="AP18" s="14">
        <v>75</v>
      </c>
      <c r="AQ18" s="14">
        <v>80</v>
      </c>
      <c r="AR18" s="14">
        <v>82</v>
      </c>
      <c r="AS18" s="14">
        <v>81</v>
      </c>
      <c r="AT18" s="14">
        <v>79</v>
      </c>
      <c r="AU18" s="14">
        <v>80</v>
      </c>
      <c r="AV18" s="14">
        <v>80</v>
      </c>
      <c r="AW18" s="14">
        <v>80</v>
      </c>
      <c r="AX18" s="15">
        <v>82</v>
      </c>
      <c r="AY18" s="15">
        <v>83</v>
      </c>
      <c r="AZ18" s="14">
        <v>88</v>
      </c>
      <c r="BA18" s="14">
        <v>79</v>
      </c>
      <c r="BB18" s="14">
        <v>86</v>
      </c>
      <c r="BC18" s="14">
        <v>78</v>
      </c>
      <c r="BD18" s="14">
        <v>78</v>
      </c>
      <c r="BE18" s="37">
        <v>88</v>
      </c>
      <c r="BF18" s="37">
        <v>82</v>
      </c>
      <c r="BG18" s="37">
        <v>80</v>
      </c>
      <c r="BH18" s="14">
        <v>86</v>
      </c>
      <c r="BI18" s="38">
        <v>86</v>
      </c>
      <c r="BJ18" s="38">
        <v>82</v>
      </c>
      <c r="BK18" s="38">
        <v>88</v>
      </c>
      <c r="BL18" s="14">
        <v>86</v>
      </c>
      <c r="BM18" s="38">
        <v>80</v>
      </c>
      <c r="BN18" s="38">
        <v>85</v>
      </c>
      <c r="BO18" s="38">
        <v>85</v>
      </c>
      <c r="BP18" s="14">
        <v>86</v>
      </c>
      <c r="BQ18" s="15">
        <f t="shared" si="0"/>
        <v>84.666666666666671</v>
      </c>
      <c r="BR18" s="15">
        <f t="shared" si="1"/>
        <v>83</v>
      </c>
      <c r="BS18" s="15">
        <f t="shared" si="2"/>
        <v>84.333333333333329</v>
      </c>
      <c r="BT18" s="15">
        <f t="shared" si="3"/>
        <v>86</v>
      </c>
      <c r="BU18" s="15">
        <v>83</v>
      </c>
      <c r="BV18" s="15">
        <v>83</v>
      </c>
      <c r="BW18" s="15">
        <v>90</v>
      </c>
      <c r="BX18" s="15">
        <v>86</v>
      </c>
      <c r="BY18" s="15">
        <v>80</v>
      </c>
      <c r="BZ18" s="15">
        <v>74</v>
      </c>
      <c r="CA18" s="15">
        <v>92</v>
      </c>
      <c r="CB18" s="15">
        <v>80</v>
      </c>
      <c r="CC18" s="15">
        <v>82</v>
      </c>
      <c r="CD18" s="39">
        <v>89</v>
      </c>
      <c r="CE18" s="40">
        <v>85</v>
      </c>
      <c r="CF18" s="40">
        <v>75</v>
      </c>
      <c r="CG18" s="40">
        <v>85</v>
      </c>
      <c r="CH18" s="40">
        <v>77</v>
      </c>
      <c r="CI18" s="40">
        <v>82</v>
      </c>
      <c r="CJ18" s="40">
        <v>83</v>
      </c>
      <c r="CK18" s="39">
        <v>84</v>
      </c>
      <c r="CL18" s="40">
        <v>87</v>
      </c>
      <c r="CM18" s="41">
        <f t="shared" si="4"/>
        <v>91.2</v>
      </c>
      <c r="CN18" s="41">
        <f t="shared" si="5"/>
        <v>74</v>
      </c>
      <c r="CO18" s="41">
        <f t="shared" si="6"/>
        <v>89</v>
      </c>
      <c r="CP18" s="17">
        <f t="shared" si="7"/>
        <v>85.38</v>
      </c>
      <c r="CQ18" s="16">
        <f t="shared" si="8"/>
        <v>91.2</v>
      </c>
      <c r="CR18" s="16">
        <f t="shared" si="9"/>
        <v>80</v>
      </c>
      <c r="CS18" s="16">
        <f t="shared" si="10"/>
        <v>85</v>
      </c>
      <c r="CT18" s="17">
        <f t="shared" si="11"/>
        <v>85.97999999999999</v>
      </c>
      <c r="CU18" s="17">
        <f t="shared" si="12"/>
        <v>82.2</v>
      </c>
      <c r="CV18" s="17">
        <f t="shared" si="13"/>
        <v>78</v>
      </c>
      <c r="CW18" s="17">
        <f t="shared" si="14"/>
        <v>75</v>
      </c>
      <c r="CX18" s="17">
        <f t="shared" si="15"/>
        <v>78.78</v>
      </c>
      <c r="CY18" s="18">
        <f t="shared" si="16"/>
        <v>83.5</v>
      </c>
      <c r="CZ18" s="18">
        <f t="shared" si="17"/>
        <v>83.5</v>
      </c>
      <c r="DA18" s="18">
        <f t="shared" si="18"/>
        <v>82.25</v>
      </c>
      <c r="DB18" s="18">
        <f t="shared" si="19"/>
        <v>82.25</v>
      </c>
      <c r="DC18" s="18">
        <f t="shared" si="20"/>
        <v>83.5</v>
      </c>
      <c r="DD18" s="18">
        <f t="shared" si="21"/>
        <v>83.5</v>
      </c>
      <c r="DE18" s="18">
        <f t="shared" si="22"/>
        <v>76.75</v>
      </c>
      <c r="DF18" s="18">
        <f t="shared" si="23"/>
        <v>76.75</v>
      </c>
      <c r="DG18" s="18">
        <f t="shared" si="24"/>
        <v>80</v>
      </c>
      <c r="DH18" s="18">
        <f t="shared" si="25"/>
        <v>78</v>
      </c>
      <c r="DI18" s="18">
        <f t="shared" si="26"/>
        <v>85</v>
      </c>
      <c r="DJ18" s="17">
        <f t="shared" si="27"/>
        <v>80.900000000000006</v>
      </c>
      <c r="DK18" s="18">
        <f t="shared" si="28"/>
        <v>74.2</v>
      </c>
      <c r="DL18" s="18">
        <f t="shared" si="29"/>
        <v>82</v>
      </c>
      <c r="DM18" s="18">
        <f t="shared" si="30"/>
        <v>77</v>
      </c>
      <c r="DN18" s="17">
        <f t="shared" si="31"/>
        <v>77.38</v>
      </c>
      <c r="DO18" s="18">
        <f t="shared" si="32"/>
        <v>80</v>
      </c>
      <c r="DP18" s="18">
        <f t="shared" si="33"/>
        <v>82</v>
      </c>
      <c r="DQ18" s="18">
        <f t="shared" si="34"/>
        <v>82</v>
      </c>
      <c r="DR18" s="17">
        <f t="shared" si="35"/>
        <v>81.2</v>
      </c>
      <c r="DS18" s="18">
        <f t="shared" si="36"/>
        <v>85.5</v>
      </c>
      <c r="DT18" s="18">
        <f t="shared" si="37"/>
        <v>85.5</v>
      </c>
      <c r="DU18" s="18">
        <f t="shared" si="38"/>
        <v>82.5</v>
      </c>
      <c r="DV18" s="18">
        <f t="shared" si="39"/>
        <v>82.5</v>
      </c>
      <c r="DW18" s="18">
        <f t="shared" si="40"/>
        <v>78</v>
      </c>
      <c r="DX18" s="17">
        <f t="shared" si="41"/>
        <v>78</v>
      </c>
      <c r="DY18" s="18">
        <f t="shared" si="42"/>
        <v>84</v>
      </c>
      <c r="DZ18" s="18">
        <f t="shared" si="43"/>
        <v>86</v>
      </c>
      <c r="EA18" s="18">
        <f t="shared" si="44"/>
        <v>87</v>
      </c>
      <c r="EB18" s="17">
        <f t="shared" si="45"/>
        <v>85.5</v>
      </c>
      <c r="EC18" s="18">
        <f t="shared" si="46"/>
        <v>85.333333333333329</v>
      </c>
      <c r="ED18" s="18">
        <f t="shared" si="47"/>
        <v>86</v>
      </c>
      <c r="EE18" s="18">
        <f t="shared" si="48"/>
        <v>84</v>
      </c>
      <c r="EF18" s="17">
        <f t="shared" si="49"/>
        <v>85.133333333333326</v>
      </c>
      <c r="EG18" s="18">
        <f t="shared" si="50"/>
        <v>80</v>
      </c>
      <c r="EH18" s="18">
        <f t="shared" si="51"/>
        <v>82</v>
      </c>
      <c r="EI18" s="18">
        <f t="shared" si="52"/>
        <v>82</v>
      </c>
      <c r="EJ18" s="18">
        <f t="shared" si="53"/>
        <v>83</v>
      </c>
      <c r="EK18" s="17">
        <f t="shared" si="54"/>
        <v>82.3</v>
      </c>
      <c r="EL18" s="19">
        <f t="shared" si="55"/>
        <v>85.38</v>
      </c>
      <c r="EM18" s="19">
        <f t="shared" si="56"/>
        <v>85.97999999999999</v>
      </c>
      <c r="EN18" s="19">
        <f t="shared" si="57"/>
        <v>78.78</v>
      </c>
      <c r="EO18" s="19">
        <f t="shared" si="58"/>
        <v>83.5</v>
      </c>
      <c r="EP18" s="19">
        <f t="shared" si="59"/>
        <v>82.25</v>
      </c>
      <c r="EQ18" s="19">
        <f t="shared" si="60"/>
        <v>83.5</v>
      </c>
      <c r="ER18" s="19">
        <f t="shared" si="61"/>
        <v>76.75</v>
      </c>
      <c r="ES18" s="19">
        <f t="shared" si="62"/>
        <v>80.900000000000006</v>
      </c>
      <c r="ET18" s="19">
        <f t="shared" si="63"/>
        <v>77.38</v>
      </c>
      <c r="EU18" s="19">
        <f t="shared" si="64"/>
        <v>81.2</v>
      </c>
      <c r="EV18" s="19">
        <f t="shared" si="65"/>
        <v>85.5</v>
      </c>
      <c r="EW18" s="19">
        <f t="shared" si="66"/>
        <v>82.5</v>
      </c>
      <c r="EX18" s="19">
        <f t="shared" si="67"/>
        <v>78</v>
      </c>
      <c r="EY18" s="19">
        <f t="shared" si="68"/>
        <v>85.5</v>
      </c>
      <c r="EZ18" s="19">
        <f t="shared" si="69"/>
        <v>85.133333333333326</v>
      </c>
      <c r="FA18" s="19">
        <f t="shared" si="70"/>
        <v>80</v>
      </c>
      <c r="FB18" s="19">
        <f t="shared" si="71"/>
        <v>82.3</v>
      </c>
      <c r="FC18" s="19">
        <f t="shared" si="72"/>
        <v>82.032549019607828</v>
      </c>
    </row>
    <row r="19" spans="1:159" ht="18">
      <c r="A19" s="11">
        <v>15</v>
      </c>
      <c r="B19" s="12" t="s">
        <v>80</v>
      </c>
      <c r="C19" s="13" t="s">
        <v>81</v>
      </c>
      <c r="D19" s="12" t="s">
        <v>53</v>
      </c>
      <c r="E19" s="14">
        <v>84</v>
      </c>
      <c r="F19" s="14">
        <v>81</v>
      </c>
      <c r="G19" s="14">
        <v>80</v>
      </c>
      <c r="H19" s="14">
        <v>80</v>
      </c>
      <c r="I19" s="14">
        <v>84</v>
      </c>
      <c r="J19" s="14">
        <v>83</v>
      </c>
      <c r="K19" s="14">
        <v>77</v>
      </c>
      <c r="L19" s="14">
        <v>75</v>
      </c>
      <c r="M19" s="14">
        <v>70</v>
      </c>
      <c r="N19" s="14">
        <v>84</v>
      </c>
      <c r="O19" s="14">
        <v>85</v>
      </c>
      <c r="P19" s="15">
        <v>81</v>
      </c>
      <c r="Q19" s="15">
        <v>83</v>
      </c>
      <c r="R19" s="14">
        <v>85</v>
      </c>
      <c r="S19" s="14">
        <v>70</v>
      </c>
      <c r="T19" s="14">
        <v>72</v>
      </c>
      <c r="U19" s="14">
        <v>70</v>
      </c>
      <c r="V19" s="14">
        <v>79</v>
      </c>
      <c r="W19" s="14">
        <v>84</v>
      </c>
      <c r="X19" s="14">
        <v>86</v>
      </c>
      <c r="Y19" s="14">
        <v>84</v>
      </c>
      <c r="Z19" s="14">
        <v>85</v>
      </c>
      <c r="AA19" s="14">
        <v>77</v>
      </c>
      <c r="AB19" s="15">
        <v>79</v>
      </c>
      <c r="AC19" s="15">
        <v>70</v>
      </c>
      <c r="AD19" s="14">
        <v>72</v>
      </c>
      <c r="AE19" s="14">
        <v>82</v>
      </c>
      <c r="AF19" s="14">
        <v>82</v>
      </c>
      <c r="AG19" s="14">
        <v>75</v>
      </c>
      <c r="AH19" s="14">
        <v>70</v>
      </c>
      <c r="AI19" s="14">
        <v>71</v>
      </c>
      <c r="AJ19" s="14">
        <v>80</v>
      </c>
      <c r="AK19" s="14">
        <v>82</v>
      </c>
      <c r="AL19" s="15">
        <v>79</v>
      </c>
      <c r="AM19" s="15">
        <v>70</v>
      </c>
      <c r="AN19" s="14">
        <v>70</v>
      </c>
      <c r="AO19" s="14">
        <v>72</v>
      </c>
      <c r="AP19" s="14">
        <v>73</v>
      </c>
      <c r="AQ19" s="14">
        <v>80</v>
      </c>
      <c r="AR19" s="14">
        <v>80</v>
      </c>
      <c r="AS19" s="14">
        <v>70</v>
      </c>
      <c r="AT19" s="14">
        <v>78</v>
      </c>
      <c r="AU19" s="14">
        <v>78</v>
      </c>
      <c r="AV19" s="14">
        <v>75</v>
      </c>
      <c r="AW19" s="14">
        <v>78</v>
      </c>
      <c r="AX19" s="15">
        <v>80</v>
      </c>
      <c r="AY19" s="15">
        <v>76</v>
      </c>
      <c r="AZ19" s="14">
        <v>79</v>
      </c>
      <c r="BA19" s="14">
        <v>72</v>
      </c>
      <c r="BB19" s="14">
        <v>78</v>
      </c>
      <c r="BC19" s="14">
        <v>70</v>
      </c>
      <c r="BD19" s="14">
        <v>78</v>
      </c>
      <c r="BE19" s="37">
        <v>71</v>
      </c>
      <c r="BF19" s="37">
        <v>71</v>
      </c>
      <c r="BG19" s="37">
        <v>78</v>
      </c>
      <c r="BH19" s="14">
        <v>80</v>
      </c>
      <c r="BI19" s="38">
        <v>71</v>
      </c>
      <c r="BJ19" s="38">
        <v>70</v>
      </c>
      <c r="BK19" s="38">
        <v>80</v>
      </c>
      <c r="BL19" s="14">
        <v>80</v>
      </c>
      <c r="BM19" s="38">
        <v>77</v>
      </c>
      <c r="BN19" s="38">
        <v>77</v>
      </c>
      <c r="BO19" s="38">
        <v>83</v>
      </c>
      <c r="BP19" s="14">
        <v>80</v>
      </c>
      <c r="BQ19" s="15">
        <f t="shared" si="0"/>
        <v>73</v>
      </c>
      <c r="BR19" s="15">
        <f t="shared" si="1"/>
        <v>72.666666666666671</v>
      </c>
      <c r="BS19" s="15">
        <f t="shared" si="2"/>
        <v>80.333333333333329</v>
      </c>
      <c r="BT19" s="15">
        <f t="shared" si="3"/>
        <v>80</v>
      </c>
      <c r="BU19" s="15">
        <v>82</v>
      </c>
      <c r="BV19" s="15">
        <v>82</v>
      </c>
      <c r="BW19" s="15">
        <v>90</v>
      </c>
      <c r="BX19" s="15">
        <v>80</v>
      </c>
      <c r="BY19" s="15">
        <v>81</v>
      </c>
      <c r="BZ19" s="15">
        <v>70</v>
      </c>
      <c r="CA19" s="15">
        <v>76</v>
      </c>
      <c r="CB19" s="15">
        <v>79</v>
      </c>
      <c r="CC19" s="15">
        <v>80</v>
      </c>
      <c r="CD19" s="39">
        <v>81</v>
      </c>
      <c r="CE19" s="40">
        <v>75</v>
      </c>
      <c r="CF19" s="40">
        <v>75</v>
      </c>
      <c r="CG19" s="40">
        <v>92</v>
      </c>
      <c r="CH19" s="40">
        <v>80</v>
      </c>
      <c r="CI19" s="40">
        <v>80</v>
      </c>
      <c r="CJ19" s="40">
        <v>80</v>
      </c>
      <c r="CK19" s="39">
        <v>90</v>
      </c>
      <c r="CL19" s="40">
        <v>87</v>
      </c>
      <c r="CM19" s="41">
        <f t="shared" si="4"/>
        <v>81.8</v>
      </c>
      <c r="CN19" s="41">
        <f t="shared" si="5"/>
        <v>83</v>
      </c>
      <c r="CO19" s="41">
        <f t="shared" si="6"/>
        <v>81</v>
      </c>
      <c r="CP19" s="17">
        <f t="shared" si="7"/>
        <v>81.92</v>
      </c>
      <c r="CQ19" s="16">
        <f t="shared" si="8"/>
        <v>78.2</v>
      </c>
      <c r="CR19" s="16">
        <f t="shared" si="9"/>
        <v>81</v>
      </c>
      <c r="CS19" s="16">
        <f t="shared" si="10"/>
        <v>75</v>
      </c>
      <c r="CT19" s="17">
        <f t="shared" si="11"/>
        <v>78.08</v>
      </c>
      <c r="CU19" s="17">
        <f t="shared" si="12"/>
        <v>76</v>
      </c>
      <c r="CV19" s="17">
        <f t="shared" si="13"/>
        <v>79</v>
      </c>
      <c r="CW19" s="17">
        <f t="shared" si="14"/>
        <v>75</v>
      </c>
      <c r="CX19" s="17">
        <f t="shared" si="15"/>
        <v>76.599999999999994</v>
      </c>
      <c r="CY19" s="18">
        <f t="shared" si="16"/>
        <v>84.75</v>
      </c>
      <c r="CZ19" s="18">
        <f t="shared" si="17"/>
        <v>84.75</v>
      </c>
      <c r="DA19" s="18">
        <f t="shared" si="18"/>
        <v>74.5</v>
      </c>
      <c r="DB19" s="18">
        <f t="shared" si="19"/>
        <v>74.5</v>
      </c>
      <c r="DC19" s="18">
        <f t="shared" si="20"/>
        <v>82</v>
      </c>
      <c r="DD19" s="18">
        <f t="shared" si="21"/>
        <v>82</v>
      </c>
      <c r="DE19" s="18">
        <f t="shared" si="22"/>
        <v>74</v>
      </c>
      <c r="DF19" s="18">
        <f t="shared" si="23"/>
        <v>74</v>
      </c>
      <c r="DG19" s="18">
        <f t="shared" si="24"/>
        <v>82</v>
      </c>
      <c r="DH19" s="18">
        <f t="shared" si="25"/>
        <v>79</v>
      </c>
      <c r="DI19" s="18">
        <f t="shared" si="26"/>
        <v>92</v>
      </c>
      <c r="DJ19" s="17">
        <f t="shared" si="27"/>
        <v>84.1</v>
      </c>
      <c r="DK19" s="18">
        <f t="shared" si="28"/>
        <v>73</v>
      </c>
      <c r="DL19" s="18">
        <f t="shared" si="29"/>
        <v>80</v>
      </c>
      <c r="DM19" s="18">
        <f t="shared" si="30"/>
        <v>80</v>
      </c>
      <c r="DN19" s="17">
        <f t="shared" si="31"/>
        <v>77.2</v>
      </c>
      <c r="DO19" s="18">
        <f t="shared" si="32"/>
        <v>75.8</v>
      </c>
      <c r="DP19" s="18">
        <f t="shared" si="33"/>
        <v>80</v>
      </c>
      <c r="DQ19" s="18">
        <f t="shared" si="34"/>
        <v>80</v>
      </c>
      <c r="DR19" s="17">
        <f t="shared" si="35"/>
        <v>78.320000000000007</v>
      </c>
      <c r="DS19" s="18">
        <f t="shared" si="36"/>
        <v>77.5</v>
      </c>
      <c r="DT19" s="18">
        <f t="shared" si="37"/>
        <v>77.5</v>
      </c>
      <c r="DU19" s="18">
        <f t="shared" si="38"/>
        <v>75</v>
      </c>
      <c r="DV19" s="18">
        <f t="shared" si="39"/>
        <v>75</v>
      </c>
      <c r="DW19" s="18">
        <f t="shared" si="40"/>
        <v>74</v>
      </c>
      <c r="DX19" s="17">
        <f t="shared" si="41"/>
        <v>74</v>
      </c>
      <c r="DY19" s="18">
        <f t="shared" si="42"/>
        <v>75.333333333333329</v>
      </c>
      <c r="DZ19" s="18">
        <f t="shared" si="43"/>
        <v>80</v>
      </c>
      <c r="EA19" s="18">
        <f t="shared" si="44"/>
        <v>87</v>
      </c>
      <c r="EB19" s="17">
        <f t="shared" si="45"/>
        <v>80.23333333333332</v>
      </c>
      <c r="EC19" s="18">
        <f t="shared" si="46"/>
        <v>84.666666666666671</v>
      </c>
      <c r="ED19" s="18">
        <f t="shared" si="47"/>
        <v>80</v>
      </c>
      <c r="EE19" s="18">
        <f t="shared" si="48"/>
        <v>90</v>
      </c>
      <c r="EF19" s="17">
        <f t="shared" si="49"/>
        <v>84.866666666666674</v>
      </c>
      <c r="EG19" s="18">
        <f t="shared" si="50"/>
        <v>81</v>
      </c>
      <c r="EH19" s="18">
        <f t="shared" si="51"/>
        <v>75</v>
      </c>
      <c r="EI19" s="18">
        <f t="shared" si="52"/>
        <v>80</v>
      </c>
      <c r="EJ19" s="18">
        <f t="shared" si="53"/>
        <v>80</v>
      </c>
      <c r="EK19" s="17">
        <f t="shared" si="54"/>
        <v>78</v>
      </c>
      <c r="EL19" s="19">
        <f t="shared" si="55"/>
        <v>81.92</v>
      </c>
      <c r="EM19" s="19">
        <f t="shared" si="56"/>
        <v>78.08</v>
      </c>
      <c r="EN19" s="19">
        <f t="shared" si="57"/>
        <v>76.599999999999994</v>
      </c>
      <c r="EO19" s="19">
        <f t="shared" si="58"/>
        <v>84.75</v>
      </c>
      <c r="EP19" s="19">
        <f t="shared" si="59"/>
        <v>74.5</v>
      </c>
      <c r="EQ19" s="19">
        <f t="shared" si="60"/>
        <v>82</v>
      </c>
      <c r="ER19" s="19">
        <f t="shared" si="61"/>
        <v>74</v>
      </c>
      <c r="ES19" s="19">
        <f t="shared" si="62"/>
        <v>84.1</v>
      </c>
      <c r="ET19" s="19">
        <f t="shared" si="63"/>
        <v>77.2</v>
      </c>
      <c r="EU19" s="19">
        <f t="shared" si="64"/>
        <v>78.320000000000007</v>
      </c>
      <c r="EV19" s="19">
        <f t="shared" si="65"/>
        <v>77.5</v>
      </c>
      <c r="EW19" s="19">
        <f t="shared" si="66"/>
        <v>75</v>
      </c>
      <c r="EX19" s="19">
        <f t="shared" si="67"/>
        <v>74</v>
      </c>
      <c r="EY19" s="19">
        <f t="shared" si="68"/>
        <v>80.23333333333332</v>
      </c>
      <c r="EZ19" s="19">
        <f t="shared" si="69"/>
        <v>84.866666666666674</v>
      </c>
      <c r="FA19" s="19">
        <f t="shared" si="70"/>
        <v>81</v>
      </c>
      <c r="FB19" s="19">
        <f t="shared" si="71"/>
        <v>78</v>
      </c>
      <c r="FC19" s="19">
        <f t="shared" si="72"/>
        <v>78.945294117647066</v>
      </c>
    </row>
    <row r="20" spans="1:159" ht="18">
      <c r="A20" s="11">
        <v>16</v>
      </c>
      <c r="B20" s="12" t="s">
        <v>82</v>
      </c>
      <c r="C20" s="13" t="s">
        <v>83</v>
      </c>
      <c r="D20" s="12" t="s">
        <v>53</v>
      </c>
      <c r="E20" s="14">
        <v>80</v>
      </c>
      <c r="F20" s="14">
        <v>80</v>
      </c>
      <c r="G20" s="14">
        <v>89</v>
      </c>
      <c r="H20" s="14">
        <v>87</v>
      </c>
      <c r="I20" s="14">
        <v>87</v>
      </c>
      <c r="J20" s="14">
        <v>82</v>
      </c>
      <c r="K20" s="14">
        <v>80</v>
      </c>
      <c r="L20" s="14">
        <v>77</v>
      </c>
      <c r="M20" s="14">
        <v>70</v>
      </c>
      <c r="N20" s="14">
        <v>91</v>
      </c>
      <c r="O20" s="14">
        <v>91</v>
      </c>
      <c r="P20" s="15">
        <v>84</v>
      </c>
      <c r="Q20" s="15">
        <v>80</v>
      </c>
      <c r="R20" s="14">
        <v>81</v>
      </c>
      <c r="S20" s="14">
        <v>74</v>
      </c>
      <c r="T20" s="14">
        <v>76</v>
      </c>
      <c r="U20" s="14">
        <v>76</v>
      </c>
      <c r="V20" s="14">
        <v>81</v>
      </c>
      <c r="W20" s="14">
        <v>83</v>
      </c>
      <c r="X20" s="14">
        <v>85</v>
      </c>
      <c r="Y20" s="14">
        <v>80</v>
      </c>
      <c r="Z20" s="14">
        <v>84</v>
      </c>
      <c r="AA20" s="14">
        <v>77</v>
      </c>
      <c r="AB20" s="15">
        <v>79</v>
      </c>
      <c r="AC20" s="15">
        <v>77</v>
      </c>
      <c r="AD20" s="14">
        <v>81</v>
      </c>
      <c r="AE20" s="14">
        <v>82</v>
      </c>
      <c r="AF20" s="14">
        <v>80</v>
      </c>
      <c r="AG20" s="14">
        <v>75</v>
      </c>
      <c r="AH20" s="14">
        <v>74</v>
      </c>
      <c r="AI20" s="14">
        <v>70</v>
      </c>
      <c r="AJ20" s="14">
        <v>83</v>
      </c>
      <c r="AK20" s="14">
        <v>80</v>
      </c>
      <c r="AL20" s="15">
        <v>81</v>
      </c>
      <c r="AM20" s="15">
        <v>70</v>
      </c>
      <c r="AN20" s="14">
        <v>71</v>
      </c>
      <c r="AO20" s="14">
        <v>73</v>
      </c>
      <c r="AP20" s="14">
        <v>74</v>
      </c>
      <c r="AQ20" s="14">
        <v>77</v>
      </c>
      <c r="AR20" s="14">
        <v>80</v>
      </c>
      <c r="AS20" s="14">
        <v>81</v>
      </c>
      <c r="AT20" s="14">
        <v>85</v>
      </c>
      <c r="AU20" s="14">
        <v>82</v>
      </c>
      <c r="AV20" s="14">
        <v>80</v>
      </c>
      <c r="AW20" s="14">
        <v>82</v>
      </c>
      <c r="AX20" s="15">
        <v>80</v>
      </c>
      <c r="AY20" s="15">
        <v>75</v>
      </c>
      <c r="AZ20" s="14">
        <v>82</v>
      </c>
      <c r="BA20" s="14">
        <v>70</v>
      </c>
      <c r="BB20" s="14">
        <v>81</v>
      </c>
      <c r="BC20" s="14">
        <v>79</v>
      </c>
      <c r="BD20" s="14">
        <v>82</v>
      </c>
      <c r="BE20" s="37">
        <v>76</v>
      </c>
      <c r="BF20" s="37">
        <v>70</v>
      </c>
      <c r="BG20" s="37">
        <v>78</v>
      </c>
      <c r="BH20" s="14">
        <v>82</v>
      </c>
      <c r="BI20" s="38">
        <v>77</v>
      </c>
      <c r="BJ20" s="38">
        <v>72</v>
      </c>
      <c r="BK20" s="38">
        <v>79</v>
      </c>
      <c r="BL20" s="14">
        <v>82</v>
      </c>
      <c r="BM20" s="38">
        <v>79</v>
      </c>
      <c r="BN20" s="38">
        <v>76</v>
      </c>
      <c r="BO20" s="38">
        <v>80</v>
      </c>
      <c r="BP20" s="14">
        <v>82</v>
      </c>
      <c r="BQ20" s="15">
        <f t="shared" si="0"/>
        <v>77.333333333333329</v>
      </c>
      <c r="BR20" s="15">
        <f t="shared" si="1"/>
        <v>72.666666666666671</v>
      </c>
      <c r="BS20" s="15">
        <f t="shared" si="2"/>
        <v>79</v>
      </c>
      <c r="BT20" s="15">
        <f t="shared" si="3"/>
        <v>82</v>
      </c>
      <c r="BU20" s="15">
        <v>80</v>
      </c>
      <c r="BV20" s="15">
        <v>81</v>
      </c>
      <c r="BW20" s="15">
        <v>80</v>
      </c>
      <c r="BX20" s="15">
        <v>82</v>
      </c>
      <c r="BY20" s="15">
        <v>82</v>
      </c>
      <c r="BZ20" s="15">
        <v>75</v>
      </c>
      <c r="CA20" s="15">
        <v>77</v>
      </c>
      <c r="CB20" s="15">
        <v>83</v>
      </c>
      <c r="CC20" s="15">
        <v>80</v>
      </c>
      <c r="CD20" s="39">
        <v>90</v>
      </c>
      <c r="CE20" s="40">
        <v>80</v>
      </c>
      <c r="CF20" s="40">
        <v>75</v>
      </c>
      <c r="CG20" s="40">
        <v>72</v>
      </c>
      <c r="CH20" s="40">
        <v>78</v>
      </c>
      <c r="CI20" s="40">
        <v>83</v>
      </c>
      <c r="CJ20" s="40">
        <v>80</v>
      </c>
      <c r="CK20" s="39">
        <v>84</v>
      </c>
      <c r="CL20" s="40">
        <v>70</v>
      </c>
      <c r="CM20" s="41">
        <f t="shared" si="4"/>
        <v>84.6</v>
      </c>
      <c r="CN20" s="41">
        <f t="shared" si="5"/>
        <v>82</v>
      </c>
      <c r="CO20" s="41">
        <f t="shared" si="6"/>
        <v>90</v>
      </c>
      <c r="CP20" s="17">
        <f t="shared" si="7"/>
        <v>85.44</v>
      </c>
      <c r="CQ20" s="16">
        <f t="shared" si="8"/>
        <v>81.8</v>
      </c>
      <c r="CR20" s="16">
        <f t="shared" si="9"/>
        <v>84</v>
      </c>
      <c r="CS20" s="16">
        <f t="shared" si="10"/>
        <v>80</v>
      </c>
      <c r="CT20" s="17">
        <f t="shared" si="11"/>
        <v>81.92</v>
      </c>
      <c r="CU20" s="17">
        <f t="shared" si="12"/>
        <v>77.400000000000006</v>
      </c>
      <c r="CV20" s="17">
        <f t="shared" si="13"/>
        <v>81</v>
      </c>
      <c r="CW20" s="17">
        <f t="shared" si="14"/>
        <v>75</v>
      </c>
      <c r="CX20" s="17">
        <f t="shared" si="15"/>
        <v>77.760000000000005</v>
      </c>
      <c r="CY20" s="18">
        <f t="shared" si="16"/>
        <v>83</v>
      </c>
      <c r="CZ20" s="18">
        <f t="shared" si="17"/>
        <v>83</v>
      </c>
      <c r="DA20" s="18">
        <f t="shared" si="18"/>
        <v>78.5</v>
      </c>
      <c r="DB20" s="18">
        <f t="shared" si="19"/>
        <v>78.5</v>
      </c>
      <c r="DC20" s="18">
        <f t="shared" si="20"/>
        <v>81</v>
      </c>
      <c r="DD20" s="18">
        <f t="shared" si="21"/>
        <v>81</v>
      </c>
      <c r="DE20" s="18">
        <f t="shared" si="22"/>
        <v>75.5</v>
      </c>
      <c r="DF20" s="18">
        <f t="shared" si="23"/>
        <v>75.5</v>
      </c>
      <c r="DG20" s="18">
        <f t="shared" si="24"/>
        <v>80</v>
      </c>
      <c r="DH20" s="18">
        <f t="shared" si="25"/>
        <v>81</v>
      </c>
      <c r="DI20" s="18">
        <f t="shared" si="26"/>
        <v>72</v>
      </c>
      <c r="DJ20" s="17">
        <f t="shared" si="27"/>
        <v>77.900000000000006</v>
      </c>
      <c r="DK20" s="18">
        <f t="shared" si="28"/>
        <v>73</v>
      </c>
      <c r="DL20" s="18">
        <f t="shared" si="29"/>
        <v>80</v>
      </c>
      <c r="DM20" s="18">
        <f t="shared" si="30"/>
        <v>78</v>
      </c>
      <c r="DN20" s="17">
        <f t="shared" si="31"/>
        <v>76.599999999999994</v>
      </c>
      <c r="DO20" s="18">
        <f t="shared" si="32"/>
        <v>82</v>
      </c>
      <c r="DP20" s="18">
        <f t="shared" si="33"/>
        <v>80</v>
      </c>
      <c r="DQ20" s="18">
        <f t="shared" si="34"/>
        <v>83</v>
      </c>
      <c r="DR20" s="17">
        <f t="shared" si="35"/>
        <v>81.7</v>
      </c>
      <c r="DS20" s="18">
        <f t="shared" si="36"/>
        <v>78.5</v>
      </c>
      <c r="DT20" s="18">
        <f t="shared" si="37"/>
        <v>78.5</v>
      </c>
      <c r="DU20" s="18">
        <f t="shared" si="38"/>
        <v>75.5</v>
      </c>
      <c r="DV20" s="18">
        <f t="shared" si="39"/>
        <v>75.5</v>
      </c>
      <c r="DW20" s="18">
        <f t="shared" si="40"/>
        <v>80.5</v>
      </c>
      <c r="DX20" s="17">
        <f t="shared" si="41"/>
        <v>80.5</v>
      </c>
      <c r="DY20" s="18">
        <f t="shared" si="42"/>
        <v>76.333333333333329</v>
      </c>
      <c r="DZ20" s="18">
        <f t="shared" si="43"/>
        <v>82</v>
      </c>
      <c r="EA20" s="18">
        <f t="shared" si="44"/>
        <v>70</v>
      </c>
      <c r="EB20" s="17">
        <f t="shared" si="45"/>
        <v>76.133333333333326</v>
      </c>
      <c r="EC20" s="18">
        <f t="shared" si="46"/>
        <v>80.333333333333329</v>
      </c>
      <c r="ED20" s="18">
        <f t="shared" si="47"/>
        <v>82</v>
      </c>
      <c r="EE20" s="18">
        <f t="shared" si="48"/>
        <v>84</v>
      </c>
      <c r="EF20" s="17">
        <f t="shared" si="49"/>
        <v>81.933333333333323</v>
      </c>
      <c r="EG20" s="18">
        <f t="shared" si="50"/>
        <v>82</v>
      </c>
      <c r="EH20" s="18">
        <f t="shared" si="51"/>
        <v>78.333333333333329</v>
      </c>
      <c r="EI20" s="18">
        <f t="shared" si="52"/>
        <v>80</v>
      </c>
      <c r="EJ20" s="18">
        <f t="shared" si="53"/>
        <v>80</v>
      </c>
      <c r="EK20" s="17">
        <f t="shared" si="54"/>
        <v>79.333333333333329</v>
      </c>
      <c r="EL20" s="19">
        <f t="shared" si="55"/>
        <v>85.44</v>
      </c>
      <c r="EM20" s="19">
        <f t="shared" si="56"/>
        <v>81.92</v>
      </c>
      <c r="EN20" s="19">
        <f t="shared" si="57"/>
        <v>77.760000000000005</v>
      </c>
      <c r="EO20" s="19">
        <f t="shared" si="58"/>
        <v>83</v>
      </c>
      <c r="EP20" s="19">
        <f t="shared" si="59"/>
        <v>78.5</v>
      </c>
      <c r="EQ20" s="19">
        <f t="shared" si="60"/>
        <v>81</v>
      </c>
      <c r="ER20" s="19">
        <f t="shared" si="61"/>
        <v>75.5</v>
      </c>
      <c r="ES20" s="19">
        <f t="shared" si="62"/>
        <v>77.900000000000006</v>
      </c>
      <c r="ET20" s="19">
        <f t="shared" si="63"/>
        <v>76.599999999999994</v>
      </c>
      <c r="EU20" s="19">
        <f t="shared" si="64"/>
        <v>81.7</v>
      </c>
      <c r="EV20" s="19">
        <f t="shared" si="65"/>
        <v>78.5</v>
      </c>
      <c r="EW20" s="19">
        <f t="shared" si="66"/>
        <v>75.5</v>
      </c>
      <c r="EX20" s="19">
        <f t="shared" si="67"/>
        <v>80.5</v>
      </c>
      <c r="EY20" s="19">
        <f t="shared" si="68"/>
        <v>76.133333333333326</v>
      </c>
      <c r="EZ20" s="19">
        <f t="shared" si="69"/>
        <v>81.933333333333323</v>
      </c>
      <c r="FA20" s="19">
        <f t="shared" si="70"/>
        <v>82</v>
      </c>
      <c r="FB20" s="19">
        <f t="shared" si="71"/>
        <v>79.333333333333329</v>
      </c>
      <c r="FC20" s="19">
        <f t="shared" si="72"/>
        <v>79.601176470588243</v>
      </c>
    </row>
    <row r="21" spans="1:159" ht="18">
      <c r="A21" s="11">
        <v>17</v>
      </c>
      <c r="B21" s="12" t="s">
        <v>84</v>
      </c>
      <c r="C21" s="13" t="s">
        <v>85</v>
      </c>
      <c r="D21" s="12" t="s">
        <v>53</v>
      </c>
      <c r="E21" s="14">
        <v>81</v>
      </c>
      <c r="F21" s="14">
        <v>82</v>
      </c>
      <c r="G21" s="14">
        <v>88</v>
      </c>
      <c r="H21" s="14">
        <v>85</v>
      </c>
      <c r="I21" s="14">
        <v>91</v>
      </c>
      <c r="J21" s="14">
        <v>78</v>
      </c>
      <c r="K21" s="14">
        <v>77</v>
      </c>
      <c r="L21" s="14">
        <v>86</v>
      </c>
      <c r="M21" s="14">
        <v>93</v>
      </c>
      <c r="N21" s="14">
        <v>95</v>
      </c>
      <c r="O21" s="14">
        <v>95</v>
      </c>
      <c r="P21" s="15">
        <v>78</v>
      </c>
      <c r="Q21" s="15">
        <v>80</v>
      </c>
      <c r="R21" s="14">
        <v>86</v>
      </c>
      <c r="S21" s="14">
        <v>82</v>
      </c>
      <c r="T21" s="14">
        <v>85</v>
      </c>
      <c r="U21" s="14">
        <v>87</v>
      </c>
      <c r="V21" s="14">
        <v>77</v>
      </c>
      <c r="W21" s="14">
        <v>83</v>
      </c>
      <c r="X21" s="14">
        <v>85</v>
      </c>
      <c r="Y21" s="14">
        <v>83</v>
      </c>
      <c r="Z21" s="14">
        <v>85</v>
      </c>
      <c r="AA21" s="14">
        <v>83</v>
      </c>
      <c r="AB21" s="15">
        <v>86</v>
      </c>
      <c r="AC21" s="15">
        <v>84</v>
      </c>
      <c r="AD21" s="14">
        <v>85</v>
      </c>
      <c r="AE21" s="14">
        <v>83</v>
      </c>
      <c r="AF21" s="14">
        <v>81</v>
      </c>
      <c r="AG21" s="14">
        <v>75</v>
      </c>
      <c r="AH21" s="14">
        <v>77</v>
      </c>
      <c r="AI21" s="14">
        <v>74</v>
      </c>
      <c r="AJ21" s="14">
        <v>84</v>
      </c>
      <c r="AK21" s="14">
        <v>84</v>
      </c>
      <c r="AL21" s="15">
        <v>77</v>
      </c>
      <c r="AM21" s="15">
        <v>72</v>
      </c>
      <c r="AN21" s="14">
        <v>73</v>
      </c>
      <c r="AO21" s="14">
        <v>74</v>
      </c>
      <c r="AP21" s="14">
        <v>76</v>
      </c>
      <c r="AQ21" s="14">
        <v>82</v>
      </c>
      <c r="AR21" s="14">
        <v>74</v>
      </c>
      <c r="AS21" s="14">
        <v>74</v>
      </c>
      <c r="AT21" s="14">
        <v>78</v>
      </c>
      <c r="AU21" s="14">
        <v>80</v>
      </c>
      <c r="AV21" s="14">
        <v>80</v>
      </c>
      <c r="AW21" s="14">
        <v>80</v>
      </c>
      <c r="AX21" s="15">
        <v>74</v>
      </c>
      <c r="AY21" s="15">
        <v>89</v>
      </c>
      <c r="AZ21" s="14">
        <v>86</v>
      </c>
      <c r="BA21" s="14">
        <v>74</v>
      </c>
      <c r="BB21" s="14">
        <v>86</v>
      </c>
      <c r="BC21" s="14">
        <v>80</v>
      </c>
      <c r="BD21" s="14">
        <v>82</v>
      </c>
      <c r="BE21" s="37">
        <v>87</v>
      </c>
      <c r="BF21" s="37">
        <v>84</v>
      </c>
      <c r="BG21" s="37">
        <v>84</v>
      </c>
      <c r="BH21" s="14">
        <v>74</v>
      </c>
      <c r="BI21" s="38">
        <v>86</v>
      </c>
      <c r="BJ21" s="38">
        <v>85</v>
      </c>
      <c r="BK21" s="38">
        <v>89</v>
      </c>
      <c r="BL21" s="14">
        <v>74</v>
      </c>
      <c r="BM21" s="38">
        <v>80</v>
      </c>
      <c r="BN21" s="38">
        <v>80</v>
      </c>
      <c r="BO21" s="38">
        <v>85</v>
      </c>
      <c r="BP21" s="14">
        <v>74</v>
      </c>
      <c r="BQ21" s="15">
        <f t="shared" si="0"/>
        <v>84.333333333333329</v>
      </c>
      <c r="BR21" s="15">
        <f t="shared" si="1"/>
        <v>83</v>
      </c>
      <c r="BS21" s="15">
        <f t="shared" si="2"/>
        <v>86</v>
      </c>
      <c r="BT21" s="15">
        <f t="shared" si="3"/>
        <v>74</v>
      </c>
      <c r="BU21" s="15">
        <v>84</v>
      </c>
      <c r="BV21" s="15">
        <v>84</v>
      </c>
      <c r="BW21" s="15">
        <v>90</v>
      </c>
      <c r="BX21" s="15">
        <v>74</v>
      </c>
      <c r="BY21" s="15">
        <v>76</v>
      </c>
      <c r="BZ21" s="15">
        <v>78</v>
      </c>
      <c r="CA21" s="15">
        <v>85</v>
      </c>
      <c r="CB21" s="15">
        <v>80</v>
      </c>
      <c r="CC21" s="15">
        <v>74</v>
      </c>
      <c r="CD21" s="39">
        <v>88</v>
      </c>
      <c r="CE21" s="40">
        <v>90</v>
      </c>
      <c r="CF21" s="40">
        <v>83</v>
      </c>
      <c r="CG21" s="40">
        <v>87</v>
      </c>
      <c r="CH21" s="40">
        <v>83</v>
      </c>
      <c r="CI21" s="40">
        <v>85</v>
      </c>
      <c r="CJ21" s="40">
        <v>85</v>
      </c>
      <c r="CK21" s="39">
        <v>89</v>
      </c>
      <c r="CL21" s="40">
        <v>95</v>
      </c>
      <c r="CM21" s="41">
        <f t="shared" si="4"/>
        <v>85.4</v>
      </c>
      <c r="CN21" s="41">
        <f t="shared" si="5"/>
        <v>78</v>
      </c>
      <c r="CO21" s="41">
        <f t="shared" si="6"/>
        <v>88</v>
      </c>
      <c r="CP21" s="17">
        <f t="shared" si="7"/>
        <v>83.960000000000008</v>
      </c>
      <c r="CQ21" s="16">
        <f t="shared" si="8"/>
        <v>89.2</v>
      </c>
      <c r="CR21" s="16">
        <f t="shared" si="9"/>
        <v>78</v>
      </c>
      <c r="CS21" s="16">
        <f t="shared" si="10"/>
        <v>90</v>
      </c>
      <c r="CT21" s="17">
        <f t="shared" si="11"/>
        <v>86.08</v>
      </c>
      <c r="CU21" s="17">
        <f t="shared" si="12"/>
        <v>84</v>
      </c>
      <c r="CV21" s="17">
        <f t="shared" si="13"/>
        <v>77</v>
      </c>
      <c r="CW21" s="17">
        <f t="shared" si="14"/>
        <v>83</v>
      </c>
      <c r="CX21" s="17">
        <f t="shared" si="15"/>
        <v>81.599999999999994</v>
      </c>
      <c r="CY21" s="18">
        <f t="shared" si="16"/>
        <v>84</v>
      </c>
      <c r="CZ21" s="18">
        <f t="shared" si="17"/>
        <v>84</v>
      </c>
      <c r="DA21" s="18">
        <f t="shared" si="18"/>
        <v>84.5</v>
      </c>
      <c r="DB21" s="18">
        <f t="shared" si="19"/>
        <v>84.5</v>
      </c>
      <c r="DC21" s="18">
        <f t="shared" si="20"/>
        <v>82</v>
      </c>
      <c r="DD21" s="18">
        <f t="shared" si="21"/>
        <v>82</v>
      </c>
      <c r="DE21" s="18">
        <f t="shared" si="22"/>
        <v>77.5</v>
      </c>
      <c r="DF21" s="18">
        <f t="shared" si="23"/>
        <v>77.5</v>
      </c>
      <c r="DG21" s="18">
        <f t="shared" si="24"/>
        <v>84</v>
      </c>
      <c r="DH21" s="18">
        <f t="shared" si="25"/>
        <v>77</v>
      </c>
      <c r="DI21" s="18">
        <f t="shared" si="26"/>
        <v>87</v>
      </c>
      <c r="DJ21" s="17">
        <f t="shared" si="27"/>
        <v>82.8</v>
      </c>
      <c r="DK21" s="18">
        <f t="shared" si="28"/>
        <v>75.400000000000006</v>
      </c>
      <c r="DL21" s="18">
        <f t="shared" si="29"/>
        <v>74</v>
      </c>
      <c r="DM21" s="18">
        <f t="shared" si="30"/>
        <v>83</v>
      </c>
      <c r="DN21" s="17">
        <f t="shared" si="31"/>
        <v>77.260000000000005</v>
      </c>
      <c r="DO21" s="18">
        <f t="shared" si="32"/>
        <v>78.400000000000006</v>
      </c>
      <c r="DP21" s="18">
        <f t="shared" si="33"/>
        <v>74</v>
      </c>
      <c r="DQ21" s="18">
        <f t="shared" si="34"/>
        <v>85</v>
      </c>
      <c r="DR21" s="17">
        <f t="shared" si="35"/>
        <v>79.06</v>
      </c>
      <c r="DS21" s="18">
        <f t="shared" si="36"/>
        <v>87.5</v>
      </c>
      <c r="DT21" s="18">
        <f t="shared" si="37"/>
        <v>87.5</v>
      </c>
      <c r="DU21" s="18">
        <f t="shared" si="38"/>
        <v>80</v>
      </c>
      <c r="DV21" s="18">
        <f t="shared" si="39"/>
        <v>80</v>
      </c>
      <c r="DW21" s="18">
        <f t="shared" si="40"/>
        <v>81</v>
      </c>
      <c r="DX21" s="17">
        <f t="shared" si="41"/>
        <v>81</v>
      </c>
      <c r="DY21" s="18">
        <f t="shared" si="42"/>
        <v>84.444444444444443</v>
      </c>
      <c r="DZ21" s="18">
        <f t="shared" si="43"/>
        <v>74</v>
      </c>
      <c r="EA21" s="18">
        <f t="shared" si="44"/>
        <v>95</v>
      </c>
      <c r="EB21" s="17">
        <f t="shared" si="45"/>
        <v>84.477777777777789</v>
      </c>
      <c r="EC21" s="18">
        <f t="shared" si="46"/>
        <v>86</v>
      </c>
      <c r="ED21" s="18">
        <f t="shared" si="47"/>
        <v>74</v>
      </c>
      <c r="EE21" s="18">
        <f t="shared" si="48"/>
        <v>89</v>
      </c>
      <c r="EF21" s="17">
        <f t="shared" si="49"/>
        <v>83.3</v>
      </c>
      <c r="EG21" s="18">
        <f t="shared" si="50"/>
        <v>76</v>
      </c>
      <c r="EH21" s="18">
        <f t="shared" si="51"/>
        <v>81</v>
      </c>
      <c r="EI21" s="18">
        <f t="shared" si="52"/>
        <v>74</v>
      </c>
      <c r="EJ21" s="18">
        <f t="shared" si="53"/>
        <v>85</v>
      </c>
      <c r="EK21" s="17">
        <f t="shared" si="54"/>
        <v>80.099999999999994</v>
      </c>
      <c r="EL21" s="19">
        <f t="shared" si="55"/>
        <v>83.960000000000008</v>
      </c>
      <c r="EM21" s="19">
        <f t="shared" si="56"/>
        <v>86.08</v>
      </c>
      <c r="EN21" s="19">
        <f t="shared" si="57"/>
        <v>81.599999999999994</v>
      </c>
      <c r="EO21" s="19">
        <f t="shared" si="58"/>
        <v>84</v>
      </c>
      <c r="EP21" s="19">
        <f t="shared" si="59"/>
        <v>84.5</v>
      </c>
      <c r="EQ21" s="19">
        <f t="shared" si="60"/>
        <v>82</v>
      </c>
      <c r="ER21" s="19">
        <f t="shared" si="61"/>
        <v>77.5</v>
      </c>
      <c r="ES21" s="19">
        <f t="shared" si="62"/>
        <v>82.8</v>
      </c>
      <c r="ET21" s="19">
        <f t="shared" si="63"/>
        <v>77.260000000000005</v>
      </c>
      <c r="EU21" s="19">
        <f t="shared" si="64"/>
        <v>79.06</v>
      </c>
      <c r="EV21" s="19">
        <f t="shared" si="65"/>
        <v>87.5</v>
      </c>
      <c r="EW21" s="19">
        <f t="shared" si="66"/>
        <v>80</v>
      </c>
      <c r="EX21" s="19">
        <f t="shared" si="67"/>
        <v>81</v>
      </c>
      <c r="EY21" s="19">
        <f t="shared" si="68"/>
        <v>84.477777777777789</v>
      </c>
      <c r="EZ21" s="19">
        <f t="shared" si="69"/>
        <v>83.3</v>
      </c>
      <c r="FA21" s="19">
        <f t="shared" si="70"/>
        <v>76</v>
      </c>
      <c r="FB21" s="19">
        <f t="shared" si="71"/>
        <v>80.099999999999994</v>
      </c>
      <c r="FC21" s="19">
        <f t="shared" si="72"/>
        <v>81.831633986928097</v>
      </c>
    </row>
    <row r="22" spans="1:159" ht="18">
      <c r="A22" s="11">
        <v>18</v>
      </c>
      <c r="B22" s="12" t="s">
        <v>86</v>
      </c>
      <c r="C22" s="13" t="s">
        <v>87</v>
      </c>
      <c r="D22" s="12" t="s">
        <v>53</v>
      </c>
      <c r="E22" s="14">
        <v>80</v>
      </c>
      <c r="F22" s="14">
        <v>90</v>
      </c>
      <c r="G22" s="14">
        <v>89</v>
      </c>
      <c r="H22" s="14">
        <v>87</v>
      </c>
      <c r="I22" s="14">
        <v>87</v>
      </c>
      <c r="J22" s="14">
        <v>77</v>
      </c>
      <c r="K22" s="14">
        <v>78</v>
      </c>
      <c r="L22" s="14">
        <v>77</v>
      </c>
      <c r="M22" s="14">
        <v>90</v>
      </c>
      <c r="N22" s="14">
        <v>91</v>
      </c>
      <c r="O22" s="14">
        <v>93</v>
      </c>
      <c r="P22" s="15">
        <v>77</v>
      </c>
      <c r="Q22" s="15">
        <v>85</v>
      </c>
      <c r="R22" s="14">
        <v>86</v>
      </c>
      <c r="S22" s="14">
        <v>84</v>
      </c>
      <c r="T22" s="14">
        <v>87</v>
      </c>
      <c r="U22" s="14">
        <v>80</v>
      </c>
      <c r="V22" s="14">
        <v>77</v>
      </c>
      <c r="W22" s="14">
        <v>84</v>
      </c>
      <c r="X22" s="14">
        <v>85</v>
      </c>
      <c r="Y22" s="14">
        <v>83</v>
      </c>
      <c r="Z22" s="14">
        <v>85</v>
      </c>
      <c r="AA22" s="14">
        <v>77</v>
      </c>
      <c r="AB22" s="15">
        <v>79</v>
      </c>
      <c r="AC22" s="15">
        <v>76</v>
      </c>
      <c r="AD22" s="14">
        <v>81</v>
      </c>
      <c r="AE22" s="14">
        <v>82</v>
      </c>
      <c r="AF22" s="14">
        <v>83</v>
      </c>
      <c r="AG22" s="14">
        <v>80</v>
      </c>
      <c r="AH22" s="14">
        <v>70</v>
      </c>
      <c r="AI22" s="14">
        <v>74</v>
      </c>
      <c r="AJ22" s="14">
        <v>84</v>
      </c>
      <c r="AK22" s="14">
        <v>80</v>
      </c>
      <c r="AL22" s="15">
        <v>77</v>
      </c>
      <c r="AM22" s="15">
        <v>72</v>
      </c>
      <c r="AN22" s="14">
        <v>73</v>
      </c>
      <c r="AO22" s="14">
        <v>75</v>
      </c>
      <c r="AP22" s="14">
        <v>76</v>
      </c>
      <c r="AQ22" s="14">
        <v>80</v>
      </c>
      <c r="AR22" s="14">
        <v>78</v>
      </c>
      <c r="AS22" s="14">
        <v>73</v>
      </c>
      <c r="AT22" s="14">
        <v>78</v>
      </c>
      <c r="AU22" s="14">
        <v>80</v>
      </c>
      <c r="AV22" s="14">
        <v>80</v>
      </c>
      <c r="AW22" s="14">
        <v>80</v>
      </c>
      <c r="AX22" s="15">
        <v>78</v>
      </c>
      <c r="AY22" s="15">
        <v>85</v>
      </c>
      <c r="AZ22" s="14">
        <v>84</v>
      </c>
      <c r="BA22" s="14">
        <v>73</v>
      </c>
      <c r="BB22" s="14">
        <v>85</v>
      </c>
      <c r="BC22" s="14">
        <v>73</v>
      </c>
      <c r="BD22" s="14">
        <v>82</v>
      </c>
      <c r="BE22" s="37">
        <v>87</v>
      </c>
      <c r="BF22" s="37">
        <v>83</v>
      </c>
      <c r="BG22" s="37">
        <v>80</v>
      </c>
      <c r="BH22" s="14">
        <v>78</v>
      </c>
      <c r="BI22" s="38">
        <v>77</v>
      </c>
      <c r="BJ22" s="38">
        <v>83</v>
      </c>
      <c r="BK22" s="38">
        <v>80</v>
      </c>
      <c r="BL22" s="14">
        <v>78</v>
      </c>
      <c r="BM22" s="38">
        <v>77</v>
      </c>
      <c r="BN22" s="38">
        <v>80</v>
      </c>
      <c r="BO22" s="38">
        <v>83</v>
      </c>
      <c r="BP22" s="14">
        <v>78</v>
      </c>
      <c r="BQ22" s="15">
        <f t="shared" si="0"/>
        <v>80.333333333333329</v>
      </c>
      <c r="BR22" s="15">
        <f t="shared" si="1"/>
        <v>82</v>
      </c>
      <c r="BS22" s="15">
        <f t="shared" si="2"/>
        <v>81</v>
      </c>
      <c r="BT22" s="15">
        <f t="shared" si="3"/>
        <v>78</v>
      </c>
      <c r="BU22" s="15">
        <v>86</v>
      </c>
      <c r="BV22" s="15">
        <v>86</v>
      </c>
      <c r="BW22" s="15">
        <v>86</v>
      </c>
      <c r="BX22" s="15">
        <v>78</v>
      </c>
      <c r="BY22" s="15">
        <v>77</v>
      </c>
      <c r="BZ22" s="15">
        <v>77</v>
      </c>
      <c r="CA22" s="15">
        <v>84</v>
      </c>
      <c r="CB22" s="15">
        <v>82</v>
      </c>
      <c r="CC22" s="15">
        <v>78</v>
      </c>
      <c r="CD22" s="39">
        <v>87</v>
      </c>
      <c r="CE22" s="40">
        <v>85</v>
      </c>
      <c r="CF22" s="40">
        <v>84</v>
      </c>
      <c r="CG22" s="40">
        <v>85</v>
      </c>
      <c r="CH22" s="40">
        <v>80</v>
      </c>
      <c r="CI22" s="40">
        <v>85</v>
      </c>
      <c r="CJ22" s="40">
        <v>82</v>
      </c>
      <c r="CK22" s="39">
        <v>87</v>
      </c>
      <c r="CL22" s="40">
        <v>82</v>
      </c>
      <c r="CM22" s="41">
        <f t="shared" si="4"/>
        <v>86.6</v>
      </c>
      <c r="CN22" s="41">
        <f t="shared" si="5"/>
        <v>77</v>
      </c>
      <c r="CO22" s="41">
        <f t="shared" si="6"/>
        <v>87</v>
      </c>
      <c r="CP22" s="17">
        <f t="shared" si="7"/>
        <v>83.84</v>
      </c>
      <c r="CQ22" s="16">
        <f t="shared" si="8"/>
        <v>85.8</v>
      </c>
      <c r="CR22" s="16">
        <f t="shared" si="9"/>
        <v>77</v>
      </c>
      <c r="CS22" s="16">
        <f t="shared" si="10"/>
        <v>85</v>
      </c>
      <c r="CT22" s="17">
        <f t="shared" si="11"/>
        <v>82.92</v>
      </c>
      <c r="CU22" s="17">
        <f t="shared" si="12"/>
        <v>84.4</v>
      </c>
      <c r="CV22" s="17">
        <f t="shared" si="13"/>
        <v>77</v>
      </c>
      <c r="CW22" s="17">
        <f t="shared" si="14"/>
        <v>84</v>
      </c>
      <c r="CX22" s="17">
        <f t="shared" si="15"/>
        <v>82.06</v>
      </c>
      <c r="CY22" s="18">
        <f t="shared" si="16"/>
        <v>84.25</v>
      </c>
      <c r="CZ22" s="18">
        <f t="shared" si="17"/>
        <v>84.25</v>
      </c>
      <c r="DA22" s="18">
        <f t="shared" si="18"/>
        <v>78.25</v>
      </c>
      <c r="DB22" s="18">
        <f t="shared" si="19"/>
        <v>78.25</v>
      </c>
      <c r="DC22" s="18">
        <f t="shared" si="20"/>
        <v>82.5</v>
      </c>
      <c r="DD22" s="18">
        <f t="shared" si="21"/>
        <v>82.5</v>
      </c>
      <c r="DE22" s="18">
        <f t="shared" si="22"/>
        <v>77</v>
      </c>
      <c r="DF22" s="18">
        <f t="shared" si="23"/>
        <v>77</v>
      </c>
      <c r="DG22" s="18">
        <f t="shared" si="24"/>
        <v>80</v>
      </c>
      <c r="DH22" s="18">
        <f t="shared" si="25"/>
        <v>77</v>
      </c>
      <c r="DI22" s="18">
        <f t="shared" si="26"/>
        <v>85</v>
      </c>
      <c r="DJ22" s="17">
        <f t="shared" si="27"/>
        <v>80.599999999999994</v>
      </c>
      <c r="DK22" s="18">
        <f t="shared" si="28"/>
        <v>75.2</v>
      </c>
      <c r="DL22" s="18">
        <f t="shared" si="29"/>
        <v>78</v>
      </c>
      <c r="DM22" s="18">
        <f t="shared" si="30"/>
        <v>80</v>
      </c>
      <c r="DN22" s="17">
        <f t="shared" si="31"/>
        <v>77.47999999999999</v>
      </c>
      <c r="DO22" s="18">
        <f t="shared" si="32"/>
        <v>78.2</v>
      </c>
      <c r="DP22" s="18">
        <f t="shared" si="33"/>
        <v>78</v>
      </c>
      <c r="DQ22" s="18">
        <f t="shared" si="34"/>
        <v>85</v>
      </c>
      <c r="DR22" s="17">
        <f t="shared" si="35"/>
        <v>80.179999999999993</v>
      </c>
      <c r="DS22" s="18">
        <f t="shared" si="36"/>
        <v>84.5</v>
      </c>
      <c r="DT22" s="18">
        <f t="shared" si="37"/>
        <v>84.5</v>
      </c>
      <c r="DU22" s="18">
        <f t="shared" si="38"/>
        <v>79</v>
      </c>
      <c r="DV22" s="18">
        <f t="shared" si="39"/>
        <v>79</v>
      </c>
      <c r="DW22" s="18">
        <f t="shared" si="40"/>
        <v>77.5</v>
      </c>
      <c r="DX22" s="17">
        <f t="shared" si="41"/>
        <v>77.5</v>
      </c>
      <c r="DY22" s="18">
        <f t="shared" si="42"/>
        <v>81.1111111111111</v>
      </c>
      <c r="DZ22" s="18">
        <f t="shared" si="43"/>
        <v>78</v>
      </c>
      <c r="EA22" s="18">
        <f t="shared" si="44"/>
        <v>82</v>
      </c>
      <c r="EB22" s="17">
        <f t="shared" si="45"/>
        <v>80.444444444444429</v>
      </c>
      <c r="EC22" s="18">
        <f t="shared" si="46"/>
        <v>86</v>
      </c>
      <c r="ED22" s="18">
        <f t="shared" si="47"/>
        <v>78</v>
      </c>
      <c r="EE22" s="18">
        <f t="shared" si="48"/>
        <v>87</v>
      </c>
      <c r="EF22" s="17">
        <f t="shared" si="49"/>
        <v>83.9</v>
      </c>
      <c r="EG22" s="18">
        <f t="shared" si="50"/>
        <v>77</v>
      </c>
      <c r="EH22" s="18">
        <f t="shared" si="51"/>
        <v>81</v>
      </c>
      <c r="EI22" s="18">
        <f t="shared" si="52"/>
        <v>78</v>
      </c>
      <c r="EJ22" s="18">
        <f t="shared" si="53"/>
        <v>82</v>
      </c>
      <c r="EK22" s="17">
        <f t="shared" si="54"/>
        <v>80.400000000000006</v>
      </c>
      <c r="EL22" s="19">
        <f t="shared" si="55"/>
        <v>83.84</v>
      </c>
      <c r="EM22" s="19">
        <f t="shared" si="56"/>
        <v>82.92</v>
      </c>
      <c r="EN22" s="19">
        <f t="shared" si="57"/>
        <v>82.06</v>
      </c>
      <c r="EO22" s="19">
        <f t="shared" si="58"/>
        <v>84.25</v>
      </c>
      <c r="EP22" s="19">
        <f t="shared" si="59"/>
        <v>78.25</v>
      </c>
      <c r="EQ22" s="19">
        <f t="shared" si="60"/>
        <v>82.5</v>
      </c>
      <c r="ER22" s="19">
        <f t="shared" si="61"/>
        <v>77</v>
      </c>
      <c r="ES22" s="19">
        <f t="shared" si="62"/>
        <v>80.599999999999994</v>
      </c>
      <c r="ET22" s="19">
        <f t="shared" si="63"/>
        <v>77.47999999999999</v>
      </c>
      <c r="EU22" s="19">
        <f t="shared" si="64"/>
        <v>80.179999999999993</v>
      </c>
      <c r="EV22" s="19">
        <f t="shared" si="65"/>
        <v>84.5</v>
      </c>
      <c r="EW22" s="19">
        <f t="shared" si="66"/>
        <v>79</v>
      </c>
      <c r="EX22" s="19">
        <f t="shared" si="67"/>
        <v>77.5</v>
      </c>
      <c r="EY22" s="19">
        <f t="shared" si="68"/>
        <v>80.444444444444429</v>
      </c>
      <c r="EZ22" s="19">
        <f t="shared" si="69"/>
        <v>83.9</v>
      </c>
      <c r="FA22" s="19">
        <f t="shared" si="70"/>
        <v>77</v>
      </c>
      <c r="FB22" s="19">
        <f t="shared" si="71"/>
        <v>80.400000000000006</v>
      </c>
      <c r="FC22" s="19">
        <f t="shared" si="72"/>
        <v>80.695555555555558</v>
      </c>
    </row>
    <row r="23" spans="1:159" ht="18">
      <c r="A23" s="11">
        <v>19</v>
      </c>
      <c r="B23" s="12" t="s">
        <v>88</v>
      </c>
      <c r="C23" s="13" t="s">
        <v>89</v>
      </c>
      <c r="D23" s="12" t="s">
        <v>53</v>
      </c>
      <c r="E23" s="14">
        <v>94</v>
      </c>
      <c r="F23" s="14">
        <v>82</v>
      </c>
      <c r="G23" s="14">
        <v>89</v>
      </c>
      <c r="H23" s="14">
        <v>86</v>
      </c>
      <c r="I23" s="14">
        <v>88</v>
      </c>
      <c r="J23" s="14">
        <v>90</v>
      </c>
      <c r="K23" s="14">
        <v>81</v>
      </c>
      <c r="L23" s="14">
        <v>80</v>
      </c>
      <c r="M23" s="14">
        <v>95</v>
      </c>
      <c r="N23" s="14">
        <v>95</v>
      </c>
      <c r="O23" s="14">
        <v>95</v>
      </c>
      <c r="P23" s="15">
        <v>90</v>
      </c>
      <c r="Q23" s="15">
        <v>86</v>
      </c>
      <c r="R23" s="14">
        <v>87</v>
      </c>
      <c r="S23" s="14">
        <v>79</v>
      </c>
      <c r="T23" s="14">
        <v>83</v>
      </c>
      <c r="U23" s="14">
        <v>86</v>
      </c>
      <c r="V23" s="14">
        <v>87</v>
      </c>
      <c r="W23" s="14">
        <v>83</v>
      </c>
      <c r="X23" s="14">
        <v>84</v>
      </c>
      <c r="Y23" s="14">
        <v>80</v>
      </c>
      <c r="Z23" s="14">
        <v>85</v>
      </c>
      <c r="AA23" s="14">
        <v>87</v>
      </c>
      <c r="AB23" s="15">
        <v>85</v>
      </c>
      <c r="AC23" s="15">
        <v>81</v>
      </c>
      <c r="AD23" s="14">
        <v>84</v>
      </c>
      <c r="AE23" s="14">
        <v>81</v>
      </c>
      <c r="AF23" s="14">
        <v>85</v>
      </c>
      <c r="AG23" s="14">
        <v>81</v>
      </c>
      <c r="AH23" s="14">
        <v>76</v>
      </c>
      <c r="AI23" s="14">
        <v>73</v>
      </c>
      <c r="AJ23" s="14">
        <v>83</v>
      </c>
      <c r="AK23" s="14">
        <v>82</v>
      </c>
      <c r="AL23" s="15">
        <v>87</v>
      </c>
      <c r="AM23" s="15">
        <v>76</v>
      </c>
      <c r="AN23" s="14">
        <v>76</v>
      </c>
      <c r="AO23" s="14">
        <v>74</v>
      </c>
      <c r="AP23" s="14">
        <v>75</v>
      </c>
      <c r="AQ23" s="14">
        <v>80</v>
      </c>
      <c r="AR23" s="14">
        <v>89</v>
      </c>
      <c r="AS23" s="14">
        <v>77</v>
      </c>
      <c r="AT23" s="14">
        <v>83</v>
      </c>
      <c r="AU23" s="14">
        <v>82</v>
      </c>
      <c r="AV23" s="14">
        <v>83</v>
      </c>
      <c r="AW23" s="14">
        <v>82</v>
      </c>
      <c r="AX23" s="15">
        <v>89</v>
      </c>
      <c r="AY23" s="15">
        <v>83</v>
      </c>
      <c r="AZ23" s="14">
        <v>83</v>
      </c>
      <c r="BA23" s="14">
        <v>81</v>
      </c>
      <c r="BB23" s="14">
        <v>88</v>
      </c>
      <c r="BC23" s="14">
        <v>77</v>
      </c>
      <c r="BD23" s="14">
        <v>82</v>
      </c>
      <c r="BE23" s="37">
        <v>83</v>
      </c>
      <c r="BF23" s="37">
        <v>81</v>
      </c>
      <c r="BG23" s="37">
        <v>81</v>
      </c>
      <c r="BH23" s="14">
        <v>89</v>
      </c>
      <c r="BI23" s="38">
        <v>83</v>
      </c>
      <c r="BJ23" s="38">
        <v>84</v>
      </c>
      <c r="BK23" s="38">
        <v>88</v>
      </c>
      <c r="BL23" s="14">
        <v>89</v>
      </c>
      <c r="BM23" s="38">
        <v>80</v>
      </c>
      <c r="BN23" s="38">
        <v>77</v>
      </c>
      <c r="BO23" s="38">
        <v>84</v>
      </c>
      <c r="BP23" s="14">
        <v>89</v>
      </c>
      <c r="BQ23" s="15">
        <f t="shared" si="0"/>
        <v>82</v>
      </c>
      <c r="BR23" s="15">
        <f t="shared" si="1"/>
        <v>80.666666666666671</v>
      </c>
      <c r="BS23" s="15">
        <f t="shared" si="2"/>
        <v>84.333333333333329</v>
      </c>
      <c r="BT23" s="15">
        <f t="shared" si="3"/>
        <v>89</v>
      </c>
      <c r="BU23" s="15">
        <v>89</v>
      </c>
      <c r="BV23" s="15">
        <v>89</v>
      </c>
      <c r="BW23" s="15">
        <v>90</v>
      </c>
      <c r="BX23" s="15">
        <v>89</v>
      </c>
      <c r="BY23" s="15">
        <v>89</v>
      </c>
      <c r="BZ23" s="15">
        <v>74</v>
      </c>
      <c r="CA23" s="15">
        <v>86</v>
      </c>
      <c r="CB23" s="15">
        <v>87</v>
      </c>
      <c r="CC23" s="15">
        <v>89</v>
      </c>
      <c r="CD23" s="39">
        <v>88</v>
      </c>
      <c r="CE23" s="40">
        <v>88</v>
      </c>
      <c r="CF23" s="40">
        <v>80</v>
      </c>
      <c r="CG23" s="40">
        <v>70</v>
      </c>
      <c r="CH23" s="40">
        <v>81</v>
      </c>
      <c r="CI23" s="40">
        <v>85</v>
      </c>
      <c r="CJ23" s="40">
        <v>80</v>
      </c>
      <c r="CK23" s="39">
        <v>89</v>
      </c>
      <c r="CL23" s="40">
        <v>90</v>
      </c>
      <c r="CM23" s="41">
        <f t="shared" si="4"/>
        <v>87.8</v>
      </c>
      <c r="CN23" s="41">
        <f t="shared" si="5"/>
        <v>90</v>
      </c>
      <c r="CO23" s="41">
        <f t="shared" si="6"/>
        <v>88</v>
      </c>
      <c r="CP23" s="17">
        <f t="shared" si="7"/>
        <v>88.52000000000001</v>
      </c>
      <c r="CQ23" s="16">
        <f t="shared" si="8"/>
        <v>89.2</v>
      </c>
      <c r="CR23" s="16">
        <f t="shared" si="9"/>
        <v>90</v>
      </c>
      <c r="CS23" s="16">
        <f t="shared" si="10"/>
        <v>88</v>
      </c>
      <c r="CT23" s="17">
        <f t="shared" si="11"/>
        <v>89.08</v>
      </c>
      <c r="CU23" s="17">
        <f t="shared" si="12"/>
        <v>84.2</v>
      </c>
      <c r="CV23" s="17">
        <f t="shared" si="13"/>
        <v>87</v>
      </c>
      <c r="CW23" s="17">
        <f t="shared" si="14"/>
        <v>80</v>
      </c>
      <c r="CX23" s="17">
        <f t="shared" si="15"/>
        <v>83.78</v>
      </c>
      <c r="CY23" s="18">
        <f t="shared" si="16"/>
        <v>83</v>
      </c>
      <c r="CZ23" s="18">
        <f t="shared" si="17"/>
        <v>83</v>
      </c>
      <c r="DA23" s="18">
        <f t="shared" si="18"/>
        <v>84.25</v>
      </c>
      <c r="DB23" s="18">
        <f t="shared" si="19"/>
        <v>84.25</v>
      </c>
      <c r="DC23" s="18">
        <f t="shared" si="20"/>
        <v>83</v>
      </c>
      <c r="DD23" s="18">
        <f t="shared" si="21"/>
        <v>83</v>
      </c>
      <c r="DE23" s="18">
        <f t="shared" si="22"/>
        <v>78.25</v>
      </c>
      <c r="DF23" s="18">
        <f t="shared" si="23"/>
        <v>78.25</v>
      </c>
      <c r="DG23" s="18">
        <f t="shared" si="24"/>
        <v>82</v>
      </c>
      <c r="DH23" s="18">
        <f t="shared" si="25"/>
        <v>87</v>
      </c>
      <c r="DI23" s="18">
        <f t="shared" si="26"/>
        <v>70</v>
      </c>
      <c r="DJ23" s="17">
        <f t="shared" si="27"/>
        <v>79.900000000000006</v>
      </c>
      <c r="DK23" s="18">
        <f t="shared" si="28"/>
        <v>76.2</v>
      </c>
      <c r="DL23" s="18">
        <f t="shared" si="29"/>
        <v>89</v>
      </c>
      <c r="DM23" s="18">
        <f t="shared" si="30"/>
        <v>81</v>
      </c>
      <c r="DN23" s="17">
        <f t="shared" si="31"/>
        <v>81.47999999999999</v>
      </c>
      <c r="DO23" s="18">
        <f t="shared" si="32"/>
        <v>81.400000000000006</v>
      </c>
      <c r="DP23" s="18">
        <f t="shared" si="33"/>
        <v>89</v>
      </c>
      <c r="DQ23" s="18">
        <f t="shared" si="34"/>
        <v>85</v>
      </c>
      <c r="DR23" s="17">
        <f t="shared" si="35"/>
        <v>84.76</v>
      </c>
      <c r="DS23" s="18">
        <f t="shared" si="36"/>
        <v>83</v>
      </c>
      <c r="DT23" s="18">
        <f t="shared" si="37"/>
        <v>83</v>
      </c>
      <c r="DU23" s="18">
        <f t="shared" si="38"/>
        <v>84.5</v>
      </c>
      <c r="DV23" s="18">
        <f t="shared" si="39"/>
        <v>84.5</v>
      </c>
      <c r="DW23" s="18">
        <f t="shared" si="40"/>
        <v>79.5</v>
      </c>
      <c r="DX23" s="17">
        <f t="shared" si="41"/>
        <v>79.5</v>
      </c>
      <c r="DY23" s="18">
        <f t="shared" si="42"/>
        <v>82.333333333333329</v>
      </c>
      <c r="DZ23" s="18">
        <f t="shared" si="43"/>
        <v>89</v>
      </c>
      <c r="EA23" s="18">
        <f t="shared" si="44"/>
        <v>90</v>
      </c>
      <c r="EB23" s="17">
        <f t="shared" si="45"/>
        <v>86.633333333333326</v>
      </c>
      <c r="EC23" s="18">
        <f t="shared" si="46"/>
        <v>89.333333333333329</v>
      </c>
      <c r="ED23" s="18">
        <f t="shared" si="47"/>
        <v>89</v>
      </c>
      <c r="EE23" s="18">
        <f t="shared" si="48"/>
        <v>89</v>
      </c>
      <c r="EF23" s="17">
        <f t="shared" si="49"/>
        <v>89.133333333333326</v>
      </c>
      <c r="EG23" s="18">
        <f t="shared" si="50"/>
        <v>89</v>
      </c>
      <c r="EH23" s="18">
        <f t="shared" si="51"/>
        <v>82.333333333333329</v>
      </c>
      <c r="EI23" s="18">
        <f t="shared" si="52"/>
        <v>89</v>
      </c>
      <c r="EJ23" s="18">
        <f t="shared" si="53"/>
        <v>80</v>
      </c>
      <c r="EK23" s="17">
        <f t="shared" si="54"/>
        <v>83.633333333333326</v>
      </c>
      <c r="EL23" s="19">
        <f t="shared" si="55"/>
        <v>88.52000000000001</v>
      </c>
      <c r="EM23" s="19">
        <f t="shared" si="56"/>
        <v>89.08</v>
      </c>
      <c r="EN23" s="19">
        <f t="shared" si="57"/>
        <v>83.78</v>
      </c>
      <c r="EO23" s="19">
        <f t="shared" si="58"/>
        <v>83</v>
      </c>
      <c r="EP23" s="19">
        <f t="shared" si="59"/>
        <v>84.25</v>
      </c>
      <c r="EQ23" s="19">
        <f t="shared" si="60"/>
        <v>83</v>
      </c>
      <c r="ER23" s="19">
        <f t="shared" si="61"/>
        <v>78.25</v>
      </c>
      <c r="ES23" s="19">
        <f t="shared" si="62"/>
        <v>79.900000000000006</v>
      </c>
      <c r="ET23" s="19">
        <f t="shared" si="63"/>
        <v>81.47999999999999</v>
      </c>
      <c r="EU23" s="19">
        <f t="shared" si="64"/>
        <v>84.76</v>
      </c>
      <c r="EV23" s="19">
        <f t="shared" si="65"/>
        <v>83</v>
      </c>
      <c r="EW23" s="19">
        <f t="shared" si="66"/>
        <v>84.5</v>
      </c>
      <c r="EX23" s="19">
        <f t="shared" si="67"/>
        <v>79.5</v>
      </c>
      <c r="EY23" s="19">
        <f t="shared" si="68"/>
        <v>86.633333333333326</v>
      </c>
      <c r="EZ23" s="19">
        <f t="shared" si="69"/>
        <v>89.133333333333326</v>
      </c>
      <c r="FA23" s="19">
        <f t="shared" si="70"/>
        <v>89</v>
      </c>
      <c r="FB23" s="19">
        <f t="shared" si="71"/>
        <v>83.633333333333326</v>
      </c>
      <c r="FC23" s="19">
        <f t="shared" si="72"/>
        <v>84.201176470588209</v>
      </c>
    </row>
    <row r="24" spans="1:159" ht="18">
      <c r="A24" s="11">
        <v>20</v>
      </c>
      <c r="B24" s="12" t="s">
        <v>90</v>
      </c>
      <c r="C24" s="13" t="s">
        <v>91</v>
      </c>
      <c r="D24" s="12" t="s">
        <v>53</v>
      </c>
      <c r="E24" s="14">
        <v>85</v>
      </c>
      <c r="F24" s="14">
        <v>92</v>
      </c>
      <c r="G24" s="14">
        <v>88</v>
      </c>
      <c r="H24" s="14">
        <v>84</v>
      </c>
      <c r="I24" s="14">
        <v>84</v>
      </c>
      <c r="J24" s="14">
        <v>95</v>
      </c>
      <c r="K24" s="14">
        <v>81</v>
      </c>
      <c r="L24" s="14">
        <v>81</v>
      </c>
      <c r="M24" s="14">
        <v>81</v>
      </c>
      <c r="N24" s="14">
        <v>87</v>
      </c>
      <c r="O24" s="14">
        <v>91</v>
      </c>
      <c r="P24" s="15">
        <v>95</v>
      </c>
      <c r="Q24" s="15">
        <v>84</v>
      </c>
      <c r="R24" s="14">
        <v>86</v>
      </c>
      <c r="S24" s="14">
        <v>84</v>
      </c>
      <c r="T24" s="14">
        <v>85</v>
      </c>
      <c r="U24" s="14">
        <v>82</v>
      </c>
      <c r="V24" s="14">
        <v>89</v>
      </c>
      <c r="W24" s="14">
        <v>82</v>
      </c>
      <c r="X24" s="14">
        <v>84</v>
      </c>
      <c r="Y24" s="14">
        <v>80</v>
      </c>
      <c r="Z24" s="14">
        <v>85</v>
      </c>
      <c r="AA24" s="14">
        <v>82</v>
      </c>
      <c r="AB24" s="15">
        <v>79</v>
      </c>
      <c r="AC24" s="15">
        <v>85</v>
      </c>
      <c r="AD24" s="14">
        <v>85</v>
      </c>
      <c r="AE24" s="14">
        <v>83</v>
      </c>
      <c r="AF24" s="14">
        <v>82</v>
      </c>
      <c r="AG24" s="14">
        <v>75</v>
      </c>
      <c r="AH24" s="14">
        <v>75</v>
      </c>
      <c r="AI24" s="14">
        <v>74</v>
      </c>
      <c r="AJ24" s="14">
        <v>81</v>
      </c>
      <c r="AK24" s="14">
        <v>80</v>
      </c>
      <c r="AL24" s="15">
        <v>89</v>
      </c>
      <c r="AM24" s="15">
        <v>71</v>
      </c>
      <c r="AN24" s="14">
        <v>73</v>
      </c>
      <c r="AO24" s="14">
        <v>75</v>
      </c>
      <c r="AP24" s="14">
        <v>76</v>
      </c>
      <c r="AQ24" s="14">
        <v>79</v>
      </c>
      <c r="AR24" s="14">
        <v>95</v>
      </c>
      <c r="AS24" s="14">
        <v>76</v>
      </c>
      <c r="AT24" s="14">
        <v>80</v>
      </c>
      <c r="AU24" s="14">
        <v>80</v>
      </c>
      <c r="AV24" s="14">
        <v>83</v>
      </c>
      <c r="AW24" s="14">
        <v>80</v>
      </c>
      <c r="AX24" s="15">
        <v>95</v>
      </c>
      <c r="AY24" s="15">
        <v>92</v>
      </c>
      <c r="AZ24" s="14">
        <v>89</v>
      </c>
      <c r="BA24" s="14">
        <v>84</v>
      </c>
      <c r="BB24" s="14">
        <v>91</v>
      </c>
      <c r="BC24" s="14">
        <v>81</v>
      </c>
      <c r="BD24" s="14">
        <v>80</v>
      </c>
      <c r="BE24" s="37">
        <v>86</v>
      </c>
      <c r="BF24" s="37">
        <v>90</v>
      </c>
      <c r="BG24" s="37">
        <v>82</v>
      </c>
      <c r="BH24" s="14">
        <v>95</v>
      </c>
      <c r="BI24" s="38">
        <v>83</v>
      </c>
      <c r="BJ24" s="38">
        <v>87</v>
      </c>
      <c r="BK24" s="38">
        <v>89</v>
      </c>
      <c r="BL24" s="14">
        <v>95</v>
      </c>
      <c r="BM24" s="38">
        <v>79</v>
      </c>
      <c r="BN24" s="38">
        <v>83</v>
      </c>
      <c r="BO24" s="38">
        <v>84</v>
      </c>
      <c r="BP24" s="14">
        <v>95</v>
      </c>
      <c r="BQ24" s="15">
        <f t="shared" si="0"/>
        <v>82.666666666666671</v>
      </c>
      <c r="BR24" s="15">
        <f t="shared" si="1"/>
        <v>86.666666666666671</v>
      </c>
      <c r="BS24" s="15">
        <f t="shared" si="2"/>
        <v>85</v>
      </c>
      <c r="BT24" s="15">
        <f t="shared" si="3"/>
        <v>95</v>
      </c>
      <c r="BU24" s="15">
        <v>88</v>
      </c>
      <c r="BV24" s="15">
        <v>88</v>
      </c>
      <c r="BW24" s="15">
        <v>90</v>
      </c>
      <c r="BX24" s="15">
        <v>95</v>
      </c>
      <c r="BY24" s="15">
        <v>94</v>
      </c>
      <c r="BZ24" s="15">
        <v>77</v>
      </c>
      <c r="CA24" s="15">
        <v>88</v>
      </c>
      <c r="CB24" s="15">
        <v>80</v>
      </c>
      <c r="CC24" s="15">
        <v>95</v>
      </c>
      <c r="CD24" s="39">
        <v>87</v>
      </c>
      <c r="CE24" s="40">
        <v>88</v>
      </c>
      <c r="CF24" s="40">
        <v>88</v>
      </c>
      <c r="CG24" s="40">
        <v>85</v>
      </c>
      <c r="CH24" s="40">
        <v>80</v>
      </c>
      <c r="CI24" s="40">
        <v>85</v>
      </c>
      <c r="CJ24" s="40">
        <v>88</v>
      </c>
      <c r="CK24" s="39">
        <v>88</v>
      </c>
      <c r="CL24" s="40">
        <v>90</v>
      </c>
      <c r="CM24" s="41">
        <f t="shared" si="4"/>
        <v>86.6</v>
      </c>
      <c r="CN24" s="41">
        <f t="shared" si="5"/>
        <v>95</v>
      </c>
      <c r="CO24" s="41">
        <f t="shared" si="6"/>
        <v>87</v>
      </c>
      <c r="CP24" s="17">
        <f t="shared" si="7"/>
        <v>89.24</v>
      </c>
      <c r="CQ24" s="16">
        <f t="shared" si="8"/>
        <v>84.2</v>
      </c>
      <c r="CR24" s="16">
        <f t="shared" si="9"/>
        <v>95</v>
      </c>
      <c r="CS24" s="16">
        <f t="shared" si="10"/>
        <v>88</v>
      </c>
      <c r="CT24" s="17">
        <f t="shared" si="11"/>
        <v>88.58</v>
      </c>
      <c r="CU24" s="17">
        <f t="shared" si="12"/>
        <v>84.2</v>
      </c>
      <c r="CV24" s="17">
        <f t="shared" si="13"/>
        <v>89</v>
      </c>
      <c r="CW24" s="17">
        <f t="shared" si="14"/>
        <v>88</v>
      </c>
      <c r="CX24" s="17">
        <f t="shared" si="15"/>
        <v>86.78</v>
      </c>
      <c r="CY24" s="18">
        <f t="shared" si="16"/>
        <v>82.75</v>
      </c>
      <c r="CZ24" s="18">
        <f t="shared" si="17"/>
        <v>82.75</v>
      </c>
      <c r="DA24" s="18">
        <f t="shared" si="18"/>
        <v>82.75</v>
      </c>
      <c r="DB24" s="18">
        <f t="shared" si="19"/>
        <v>82.75</v>
      </c>
      <c r="DC24" s="18">
        <f t="shared" si="20"/>
        <v>82.5</v>
      </c>
      <c r="DD24" s="18">
        <f t="shared" si="21"/>
        <v>82.5</v>
      </c>
      <c r="DE24" s="18">
        <f t="shared" si="22"/>
        <v>76.25</v>
      </c>
      <c r="DF24" s="18">
        <f t="shared" si="23"/>
        <v>76.25</v>
      </c>
      <c r="DG24" s="18">
        <f t="shared" si="24"/>
        <v>80</v>
      </c>
      <c r="DH24" s="18">
        <f t="shared" si="25"/>
        <v>89</v>
      </c>
      <c r="DI24" s="18">
        <f t="shared" si="26"/>
        <v>85</v>
      </c>
      <c r="DJ24" s="17">
        <f t="shared" si="27"/>
        <v>84.2</v>
      </c>
      <c r="DK24" s="18">
        <f t="shared" si="28"/>
        <v>74.8</v>
      </c>
      <c r="DL24" s="18">
        <f t="shared" si="29"/>
        <v>95</v>
      </c>
      <c r="DM24" s="18">
        <f t="shared" si="30"/>
        <v>80</v>
      </c>
      <c r="DN24" s="17">
        <f t="shared" si="31"/>
        <v>82.42</v>
      </c>
      <c r="DO24" s="18">
        <f t="shared" si="32"/>
        <v>79.8</v>
      </c>
      <c r="DP24" s="18">
        <f t="shared" si="33"/>
        <v>95</v>
      </c>
      <c r="DQ24" s="18">
        <f t="shared" si="34"/>
        <v>85</v>
      </c>
      <c r="DR24" s="17">
        <f t="shared" si="35"/>
        <v>85.92</v>
      </c>
      <c r="DS24" s="18">
        <f t="shared" si="36"/>
        <v>90.5</v>
      </c>
      <c r="DT24" s="18">
        <f t="shared" si="37"/>
        <v>90.5</v>
      </c>
      <c r="DU24" s="18">
        <f t="shared" si="38"/>
        <v>87.5</v>
      </c>
      <c r="DV24" s="18">
        <f t="shared" si="39"/>
        <v>87.5</v>
      </c>
      <c r="DW24" s="18">
        <f t="shared" si="40"/>
        <v>80.5</v>
      </c>
      <c r="DX24" s="17">
        <f t="shared" si="41"/>
        <v>80.5</v>
      </c>
      <c r="DY24" s="18">
        <f t="shared" si="42"/>
        <v>84.777777777777786</v>
      </c>
      <c r="DZ24" s="18">
        <f t="shared" si="43"/>
        <v>95</v>
      </c>
      <c r="EA24" s="18">
        <f t="shared" si="44"/>
        <v>90</v>
      </c>
      <c r="EB24" s="17">
        <f t="shared" si="45"/>
        <v>89.411111111111111</v>
      </c>
      <c r="EC24" s="18">
        <f t="shared" si="46"/>
        <v>88.666666666666671</v>
      </c>
      <c r="ED24" s="18">
        <f t="shared" si="47"/>
        <v>95</v>
      </c>
      <c r="EE24" s="18">
        <f t="shared" si="48"/>
        <v>88</v>
      </c>
      <c r="EF24" s="17">
        <f t="shared" si="49"/>
        <v>90.366666666666674</v>
      </c>
      <c r="EG24" s="18">
        <f t="shared" si="50"/>
        <v>94</v>
      </c>
      <c r="EH24" s="18">
        <f t="shared" si="51"/>
        <v>81.666666666666671</v>
      </c>
      <c r="EI24" s="18">
        <f t="shared" si="52"/>
        <v>95</v>
      </c>
      <c r="EJ24" s="18">
        <f t="shared" si="53"/>
        <v>88</v>
      </c>
      <c r="EK24" s="17">
        <f t="shared" si="54"/>
        <v>87.566666666666677</v>
      </c>
      <c r="EL24" s="19">
        <f t="shared" si="55"/>
        <v>89.24</v>
      </c>
      <c r="EM24" s="19">
        <f t="shared" si="56"/>
        <v>88.58</v>
      </c>
      <c r="EN24" s="19">
        <f t="shared" si="57"/>
        <v>86.78</v>
      </c>
      <c r="EO24" s="19">
        <f t="shared" si="58"/>
        <v>82.75</v>
      </c>
      <c r="EP24" s="19">
        <f t="shared" si="59"/>
        <v>82.75</v>
      </c>
      <c r="EQ24" s="19">
        <f t="shared" si="60"/>
        <v>82.5</v>
      </c>
      <c r="ER24" s="19">
        <f t="shared" si="61"/>
        <v>76.25</v>
      </c>
      <c r="ES24" s="19">
        <f t="shared" si="62"/>
        <v>84.2</v>
      </c>
      <c r="ET24" s="19">
        <f t="shared" si="63"/>
        <v>82.42</v>
      </c>
      <c r="EU24" s="19">
        <f t="shared" si="64"/>
        <v>85.92</v>
      </c>
      <c r="EV24" s="19">
        <f t="shared" si="65"/>
        <v>90.5</v>
      </c>
      <c r="EW24" s="19">
        <f t="shared" si="66"/>
        <v>87.5</v>
      </c>
      <c r="EX24" s="19">
        <f t="shared" si="67"/>
        <v>80.5</v>
      </c>
      <c r="EY24" s="19">
        <f t="shared" si="68"/>
        <v>89.411111111111111</v>
      </c>
      <c r="EZ24" s="19">
        <f t="shared" si="69"/>
        <v>90.366666666666674</v>
      </c>
      <c r="FA24" s="19">
        <f t="shared" si="70"/>
        <v>94</v>
      </c>
      <c r="FB24" s="19">
        <f t="shared" si="71"/>
        <v>87.566666666666677</v>
      </c>
      <c r="FC24" s="19">
        <f t="shared" si="72"/>
        <v>85.954967320261431</v>
      </c>
    </row>
    <row r="25" spans="1:159" ht="18">
      <c r="A25" s="11">
        <v>21</v>
      </c>
      <c r="B25" s="12" t="s">
        <v>92</v>
      </c>
      <c r="C25" s="13" t="s">
        <v>93</v>
      </c>
      <c r="D25" s="12" t="s">
        <v>53</v>
      </c>
      <c r="E25" s="14">
        <v>96</v>
      </c>
      <c r="F25" s="14">
        <v>90</v>
      </c>
      <c r="G25" s="14">
        <v>90</v>
      </c>
      <c r="H25" s="14">
        <v>89</v>
      </c>
      <c r="I25" s="14">
        <v>84</v>
      </c>
      <c r="J25" s="14">
        <v>89</v>
      </c>
      <c r="K25" s="14">
        <v>82</v>
      </c>
      <c r="L25" s="14">
        <v>80</v>
      </c>
      <c r="M25" s="14">
        <v>95</v>
      </c>
      <c r="N25" s="14">
        <v>95</v>
      </c>
      <c r="O25" s="14">
        <v>95</v>
      </c>
      <c r="P25" s="15">
        <v>95</v>
      </c>
      <c r="Q25" s="15">
        <v>85</v>
      </c>
      <c r="R25" s="14">
        <v>87</v>
      </c>
      <c r="S25" s="14">
        <v>90</v>
      </c>
      <c r="T25" s="14">
        <v>91</v>
      </c>
      <c r="U25" s="14">
        <v>89</v>
      </c>
      <c r="V25" s="14">
        <v>86</v>
      </c>
      <c r="W25" s="14">
        <v>81</v>
      </c>
      <c r="X25" s="14">
        <v>85</v>
      </c>
      <c r="Y25" s="14">
        <v>81</v>
      </c>
      <c r="Z25" s="14">
        <v>85</v>
      </c>
      <c r="AA25" s="14">
        <v>84</v>
      </c>
      <c r="AB25" s="15">
        <v>80</v>
      </c>
      <c r="AC25" s="15">
        <v>84</v>
      </c>
      <c r="AD25" s="14">
        <v>86</v>
      </c>
      <c r="AE25" s="14">
        <v>83</v>
      </c>
      <c r="AF25" s="14">
        <v>82</v>
      </c>
      <c r="AG25" s="14">
        <v>75</v>
      </c>
      <c r="AH25" s="14">
        <v>73</v>
      </c>
      <c r="AI25" s="14">
        <v>72</v>
      </c>
      <c r="AJ25" s="14">
        <v>84</v>
      </c>
      <c r="AK25" s="14">
        <v>80</v>
      </c>
      <c r="AL25" s="15">
        <v>86</v>
      </c>
      <c r="AM25" s="15">
        <v>82</v>
      </c>
      <c r="AN25" s="14">
        <v>84</v>
      </c>
      <c r="AO25" s="14">
        <v>77</v>
      </c>
      <c r="AP25" s="14">
        <v>77</v>
      </c>
      <c r="AQ25" s="14">
        <v>86</v>
      </c>
      <c r="AR25" s="14">
        <v>95</v>
      </c>
      <c r="AS25" s="14">
        <v>74</v>
      </c>
      <c r="AT25" s="14">
        <v>80</v>
      </c>
      <c r="AU25" s="14">
        <v>80</v>
      </c>
      <c r="AV25" s="14">
        <v>88</v>
      </c>
      <c r="AW25" s="14">
        <v>80</v>
      </c>
      <c r="AX25" s="15">
        <v>95</v>
      </c>
      <c r="AY25" s="15">
        <v>83</v>
      </c>
      <c r="AZ25" s="14">
        <v>87</v>
      </c>
      <c r="BA25" s="14">
        <v>82</v>
      </c>
      <c r="BB25" s="14">
        <v>92</v>
      </c>
      <c r="BC25" s="14">
        <v>82</v>
      </c>
      <c r="BD25" s="14">
        <v>85</v>
      </c>
      <c r="BE25" s="37">
        <v>86</v>
      </c>
      <c r="BF25" s="37">
        <v>89</v>
      </c>
      <c r="BG25" s="37">
        <v>82</v>
      </c>
      <c r="BH25" s="14">
        <v>95</v>
      </c>
      <c r="BI25" s="38">
        <v>86</v>
      </c>
      <c r="BJ25" s="38">
        <v>87</v>
      </c>
      <c r="BK25" s="38">
        <v>88</v>
      </c>
      <c r="BL25" s="14">
        <v>95</v>
      </c>
      <c r="BM25" s="38">
        <v>78</v>
      </c>
      <c r="BN25" s="38">
        <v>84</v>
      </c>
      <c r="BO25" s="38">
        <v>85</v>
      </c>
      <c r="BP25" s="14">
        <v>95</v>
      </c>
      <c r="BQ25" s="15">
        <f t="shared" si="0"/>
        <v>83.333333333333329</v>
      </c>
      <c r="BR25" s="15">
        <f t="shared" si="1"/>
        <v>86.666666666666671</v>
      </c>
      <c r="BS25" s="15">
        <f t="shared" si="2"/>
        <v>85</v>
      </c>
      <c r="BT25" s="15">
        <f t="shared" si="3"/>
        <v>95</v>
      </c>
      <c r="BU25" s="15">
        <v>87</v>
      </c>
      <c r="BV25" s="15">
        <v>87</v>
      </c>
      <c r="BW25" s="15">
        <v>90</v>
      </c>
      <c r="BX25" s="15">
        <v>95</v>
      </c>
      <c r="BY25" s="15">
        <v>92</v>
      </c>
      <c r="BZ25" s="15">
        <v>77</v>
      </c>
      <c r="CA25" s="15">
        <v>94</v>
      </c>
      <c r="CB25" s="15">
        <v>90</v>
      </c>
      <c r="CC25" s="15">
        <v>95</v>
      </c>
      <c r="CD25" s="39">
        <v>88</v>
      </c>
      <c r="CE25" s="40">
        <v>85</v>
      </c>
      <c r="CF25" s="40">
        <v>84</v>
      </c>
      <c r="CG25" s="40">
        <v>70</v>
      </c>
      <c r="CH25" s="40">
        <v>87</v>
      </c>
      <c r="CI25" s="40">
        <v>85</v>
      </c>
      <c r="CJ25" s="40">
        <v>82</v>
      </c>
      <c r="CK25" s="39">
        <v>84</v>
      </c>
      <c r="CL25" s="40">
        <v>75</v>
      </c>
      <c r="CM25" s="41">
        <f t="shared" si="4"/>
        <v>89.8</v>
      </c>
      <c r="CN25" s="41">
        <f t="shared" si="5"/>
        <v>89</v>
      </c>
      <c r="CO25" s="41">
        <f t="shared" si="6"/>
        <v>88</v>
      </c>
      <c r="CP25" s="17">
        <f t="shared" si="7"/>
        <v>89.02000000000001</v>
      </c>
      <c r="CQ25" s="16">
        <f t="shared" si="8"/>
        <v>89.4</v>
      </c>
      <c r="CR25" s="16">
        <f t="shared" si="9"/>
        <v>95</v>
      </c>
      <c r="CS25" s="16">
        <f t="shared" si="10"/>
        <v>85</v>
      </c>
      <c r="CT25" s="17">
        <f t="shared" si="11"/>
        <v>89.76</v>
      </c>
      <c r="CU25" s="17">
        <f t="shared" si="12"/>
        <v>88.4</v>
      </c>
      <c r="CV25" s="17">
        <f t="shared" si="13"/>
        <v>86</v>
      </c>
      <c r="CW25" s="17">
        <f t="shared" si="14"/>
        <v>84</v>
      </c>
      <c r="CX25" s="17">
        <f t="shared" si="15"/>
        <v>86.36</v>
      </c>
      <c r="CY25" s="18">
        <f t="shared" si="16"/>
        <v>83</v>
      </c>
      <c r="CZ25" s="18">
        <f t="shared" si="17"/>
        <v>83</v>
      </c>
      <c r="DA25" s="18">
        <f t="shared" si="18"/>
        <v>83.5</v>
      </c>
      <c r="DB25" s="18">
        <f t="shared" si="19"/>
        <v>83.5</v>
      </c>
      <c r="DC25" s="18">
        <f t="shared" si="20"/>
        <v>82.5</v>
      </c>
      <c r="DD25" s="18">
        <f t="shared" si="21"/>
        <v>82.5</v>
      </c>
      <c r="DE25" s="18">
        <f t="shared" si="22"/>
        <v>76</v>
      </c>
      <c r="DF25" s="18">
        <f t="shared" si="23"/>
        <v>76</v>
      </c>
      <c r="DG25" s="18">
        <f t="shared" si="24"/>
        <v>80</v>
      </c>
      <c r="DH25" s="18">
        <f t="shared" si="25"/>
        <v>86</v>
      </c>
      <c r="DI25" s="18">
        <f t="shared" si="26"/>
        <v>70</v>
      </c>
      <c r="DJ25" s="17">
        <f t="shared" si="27"/>
        <v>78.8</v>
      </c>
      <c r="DK25" s="18">
        <f t="shared" si="28"/>
        <v>81.2</v>
      </c>
      <c r="DL25" s="18">
        <f t="shared" si="29"/>
        <v>95</v>
      </c>
      <c r="DM25" s="18">
        <f t="shared" si="30"/>
        <v>87</v>
      </c>
      <c r="DN25" s="17">
        <f t="shared" si="31"/>
        <v>87.08</v>
      </c>
      <c r="DO25" s="18">
        <f t="shared" si="32"/>
        <v>80.400000000000006</v>
      </c>
      <c r="DP25" s="18">
        <f t="shared" si="33"/>
        <v>95</v>
      </c>
      <c r="DQ25" s="18">
        <f t="shared" si="34"/>
        <v>85</v>
      </c>
      <c r="DR25" s="17">
        <f t="shared" si="35"/>
        <v>86.16</v>
      </c>
      <c r="DS25" s="18">
        <f t="shared" si="36"/>
        <v>85</v>
      </c>
      <c r="DT25" s="18">
        <f t="shared" si="37"/>
        <v>85</v>
      </c>
      <c r="DU25" s="18">
        <f t="shared" si="38"/>
        <v>87</v>
      </c>
      <c r="DV25" s="18">
        <f t="shared" si="39"/>
        <v>87</v>
      </c>
      <c r="DW25" s="18">
        <f t="shared" si="40"/>
        <v>83.5</v>
      </c>
      <c r="DX25" s="17">
        <f t="shared" si="41"/>
        <v>83.5</v>
      </c>
      <c r="DY25" s="18">
        <f t="shared" si="42"/>
        <v>85</v>
      </c>
      <c r="DZ25" s="18">
        <f t="shared" si="43"/>
        <v>95</v>
      </c>
      <c r="EA25" s="18">
        <f t="shared" si="44"/>
        <v>75</v>
      </c>
      <c r="EB25" s="17">
        <f t="shared" si="45"/>
        <v>85</v>
      </c>
      <c r="EC25" s="18">
        <f t="shared" si="46"/>
        <v>88</v>
      </c>
      <c r="ED25" s="18">
        <f t="shared" si="47"/>
        <v>95</v>
      </c>
      <c r="EE25" s="18">
        <f t="shared" si="48"/>
        <v>84</v>
      </c>
      <c r="EF25" s="17">
        <f t="shared" si="49"/>
        <v>88.9</v>
      </c>
      <c r="EG25" s="18">
        <f t="shared" si="50"/>
        <v>92</v>
      </c>
      <c r="EH25" s="18">
        <f t="shared" si="51"/>
        <v>87</v>
      </c>
      <c r="EI25" s="18">
        <f t="shared" si="52"/>
        <v>95</v>
      </c>
      <c r="EJ25" s="18">
        <f t="shared" si="53"/>
        <v>82</v>
      </c>
      <c r="EK25" s="17">
        <f t="shared" si="54"/>
        <v>87.9</v>
      </c>
      <c r="EL25" s="19">
        <f t="shared" si="55"/>
        <v>89.02000000000001</v>
      </c>
      <c r="EM25" s="19">
        <f t="shared" si="56"/>
        <v>89.76</v>
      </c>
      <c r="EN25" s="19">
        <f t="shared" si="57"/>
        <v>86.36</v>
      </c>
      <c r="EO25" s="19">
        <f t="shared" si="58"/>
        <v>83</v>
      </c>
      <c r="EP25" s="19">
        <f t="shared" si="59"/>
        <v>83.5</v>
      </c>
      <c r="EQ25" s="19">
        <f t="shared" si="60"/>
        <v>82.5</v>
      </c>
      <c r="ER25" s="19">
        <f t="shared" si="61"/>
        <v>76</v>
      </c>
      <c r="ES25" s="19">
        <f t="shared" si="62"/>
        <v>78.8</v>
      </c>
      <c r="ET25" s="19">
        <f t="shared" si="63"/>
        <v>87.08</v>
      </c>
      <c r="EU25" s="19">
        <f t="shared" si="64"/>
        <v>86.16</v>
      </c>
      <c r="EV25" s="19">
        <f t="shared" si="65"/>
        <v>85</v>
      </c>
      <c r="EW25" s="19">
        <f t="shared" si="66"/>
        <v>87</v>
      </c>
      <c r="EX25" s="19">
        <f t="shared" si="67"/>
        <v>83.5</v>
      </c>
      <c r="EY25" s="19">
        <f t="shared" si="68"/>
        <v>85</v>
      </c>
      <c r="EZ25" s="19">
        <f t="shared" si="69"/>
        <v>88.9</v>
      </c>
      <c r="FA25" s="19">
        <f t="shared" si="70"/>
        <v>92</v>
      </c>
      <c r="FB25" s="19">
        <f t="shared" si="71"/>
        <v>87.9</v>
      </c>
      <c r="FC25" s="19">
        <f t="shared" si="72"/>
        <v>85.381176470588244</v>
      </c>
    </row>
    <row r="26" spans="1:159" ht="18">
      <c r="A26" s="11">
        <v>22</v>
      </c>
      <c r="B26" s="12" t="s">
        <v>94</v>
      </c>
      <c r="C26" s="13" t="s">
        <v>95</v>
      </c>
      <c r="D26" s="12" t="s">
        <v>53</v>
      </c>
      <c r="E26" s="14">
        <v>95</v>
      </c>
      <c r="F26" s="14">
        <v>80</v>
      </c>
      <c r="G26" s="14">
        <v>89</v>
      </c>
      <c r="H26" s="14">
        <v>83</v>
      </c>
      <c r="I26" s="14">
        <v>88</v>
      </c>
      <c r="J26" s="14">
        <v>90</v>
      </c>
      <c r="K26" s="14">
        <v>81</v>
      </c>
      <c r="L26" s="14">
        <v>76</v>
      </c>
      <c r="M26" s="14">
        <v>75</v>
      </c>
      <c r="N26" s="14">
        <v>82</v>
      </c>
      <c r="O26" s="14">
        <v>90</v>
      </c>
      <c r="P26" s="15">
        <v>90</v>
      </c>
      <c r="Q26" s="15">
        <v>89</v>
      </c>
      <c r="R26" s="14">
        <v>84</v>
      </c>
      <c r="S26" s="14">
        <v>80</v>
      </c>
      <c r="T26" s="14">
        <v>81</v>
      </c>
      <c r="U26" s="14">
        <v>79</v>
      </c>
      <c r="V26" s="14">
        <v>85</v>
      </c>
      <c r="W26" s="14">
        <v>83</v>
      </c>
      <c r="X26" s="14">
        <v>84</v>
      </c>
      <c r="Y26" s="14">
        <v>80</v>
      </c>
      <c r="Z26" s="14">
        <v>85</v>
      </c>
      <c r="AA26" s="14">
        <v>78</v>
      </c>
      <c r="AB26" s="15">
        <v>80</v>
      </c>
      <c r="AC26" s="15">
        <v>80</v>
      </c>
      <c r="AD26" s="14">
        <v>83</v>
      </c>
      <c r="AE26" s="14">
        <v>84</v>
      </c>
      <c r="AF26" s="14">
        <v>82</v>
      </c>
      <c r="AG26" s="14">
        <v>84</v>
      </c>
      <c r="AH26" s="14">
        <v>80</v>
      </c>
      <c r="AI26" s="14">
        <v>75</v>
      </c>
      <c r="AJ26" s="14">
        <v>84</v>
      </c>
      <c r="AK26" s="14">
        <v>80</v>
      </c>
      <c r="AL26" s="15">
        <v>85</v>
      </c>
      <c r="AM26" s="15">
        <v>73</v>
      </c>
      <c r="AN26" s="14">
        <v>73</v>
      </c>
      <c r="AO26" s="14">
        <v>73</v>
      </c>
      <c r="AP26" s="14">
        <v>74</v>
      </c>
      <c r="AQ26" s="14">
        <v>79</v>
      </c>
      <c r="AR26" s="14">
        <v>90</v>
      </c>
      <c r="AS26" s="14">
        <v>73</v>
      </c>
      <c r="AT26" s="14">
        <v>80</v>
      </c>
      <c r="AU26" s="14">
        <v>80</v>
      </c>
      <c r="AV26" s="14">
        <v>85</v>
      </c>
      <c r="AW26" s="14">
        <v>80</v>
      </c>
      <c r="AX26" s="15">
        <v>90</v>
      </c>
      <c r="AY26" s="15">
        <v>79</v>
      </c>
      <c r="AZ26" s="14">
        <v>85</v>
      </c>
      <c r="BA26" s="14">
        <v>85</v>
      </c>
      <c r="BB26" s="14">
        <v>86</v>
      </c>
      <c r="BC26" s="14">
        <v>78</v>
      </c>
      <c r="BD26" s="14">
        <v>82</v>
      </c>
      <c r="BE26" s="37">
        <v>80</v>
      </c>
      <c r="BF26" s="37">
        <v>81</v>
      </c>
      <c r="BG26" s="37">
        <v>79</v>
      </c>
      <c r="BH26" s="14">
        <v>90</v>
      </c>
      <c r="BI26" s="38">
        <v>80</v>
      </c>
      <c r="BJ26" s="38">
        <v>75</v>
      </c>
      <c r="BK26" s="38">
        <v>88</v>
      </c>
      <c r="BL26" s="14">
        <v>90</v>
      </c>
      <c r="BM26" s="38">
        <v>78</v>
      </c>
      <c r="BN26" s="38">
        <v>77</v>
      </c>
      <c r="BO26" s="38">
        <v>84</v>
      </c>
      <c r="BP26" s="14">
        <v>90</v>
      </c>
      <c r="BQ26" s="15">
        <f t="shared" si="0"/>
        <v>79.333333333333329</v>
      </c>
      <c r="BR26" s="15">
        <f t="shared" si="1"/>
        <v>77.666666666666671</v>
      </c>
      <c r="BS26" s="15">
        <f t="shared" si="2"/>
        <v>83.666666666666671</v>
      </c>
      <c r="BT26" s="15">
        <f t="shared" si="3"/>
        <v>90</v>
      </c>
      <c r="BU26" s="15">
        <v>86</v>
      </c>
      <c r="BV26" s="15">
        <v>86</v>
      </c>
      <c r="BW26" s="15">
        <v>90</v>
      </c>
      <c r="BX26" s="15">
        <v>90</v>
      </c>
      <c r="BY26" s="15">
        <v>89</v>
      </c>
      <c r="BZ26" s="15">
        <v>72</v>
      </c>
      <c r="CA26" s="15">
        <v>80</v>
      </c>
      <c r="CB26" s="15">
        <v>73</v>
      </c>
      <c r="CC26" s="15">
        <v>90</v>
      </c>
      <c r="CD26" s="39">
        <v>81</v>
      </c>
      <c r="CE26" s="40">
        <v>80</v>
      </c>
      <c r="CF26" s="40">
        <v>80</v>
      </c>
      <c r="CG26" s="40">
        <v>80</v>
      </c>
      <c r="CH26" s="40">
        <v>80</v>
      </c>
      <c r="CI26" s="40">
        <v>83</v>
      </c>
      <c r="CJ26" s="40">
        <v>80</v>
      </c>
      <c r="CK26" s="39">
        <v>85</v>
      </c>
      <c r="CL26" s="40">
        <v>70</v>
      </c>
      <c r="CM26" s="41">
        <f t="shared" si="4"/>
        <v>87</v>
      </c>
      <c r="CN26" s="41">
        <f t="shared" si="5"/>
        <v>90</v>
      </c>
      <c r="CO26" s="41">
        <f t="shared" si="6"/>
        <v>81</v>
      </c>
      <c r="CP26" s="17">
        <f t="shared" si="7"/>
        <v>86.1</v>
      </c>
      <c r="CQ26" s="16">
        <f t="shared" si="8"/>
        <v>80.8</v>
      </c>
      <c r="CR26" s="16">
        <f t="shared" si="9"/>
        <v>90</v>
      </c>
      <c r="CS26" s="16">
        <f t="shared" si="10"/>
        <v>80</v>
      </c>
      <c r="CT26" s="17">
        <f t="shared" si="11"/>
        <v>83.320000000000007</v>
      </c>
      <c r="CU26" s="17">
        <f t="shared" si="12"/>
        <v>82.6</v>
      </c>
      <c r="CV26" s="17">
        <f t="shared" si="13"/>
        <v>85</v>
      </c>
      <c r="CW26" s="17">
        <f t="shared" si="14"/>
        <v>80</v>
      </c>
      <c r="CX26" s="17">
        <f t="shared" si="15"/>
        <v>82.539999999999992</v>
      </c>
      <c r="CY26" s="18">
        <f t="shared" si="16"/>
        <v>83</v>
      </c>
      <c r="CZ26" s="18">
        <f t="shared" si="17"/>
        <v>83</v>
      </c>
      <c r="DA26" s="18">
        <f t="shared" si="18"/>
        <v>80.25</v>
      </c>
      <c r="DB26" s="18">
        <f t="shared" si="19"/>
        <v>80.25</v>
      </c>
      <c r="DC26" s="18">
        <f t="shared" si="20"/>
        <v>83</v>
      </c>
      <c r="DD26" s="18">
        <f t="shared" si="21"/>
        <v>83</v>
      </c>
      <c r="DE26" s="18">
        <f t="shared" si="22"/>
        <v>80.75</v>
      </c>
      <c r="DF26" s="18">
        <f t="shared" si="23"/>
        <v>80.75</v>
      </c>
      <c r="DG26" s="18">
        <f t="shared" si="24"/>
        <v>80</v>
      </c>
      <c r="DH26" s="18">
        <f t="shared" si="25"/>
        <v>85</v>
      </c>
      <c r="DI26" s="18">
        <f t="shared" si="26"/>
        <v>80</v>
      </c>
      <c r="DJ26" s="17">
        <f t="shared" si="27"/>
        <v>81.5</v>
      </c>
      <c r="DK26" s="18">
        <f t="shared" si="28"/>
        <v>74.400000000000006</v>
      </c>
      <c r="DL26" s="18">
        <f t="shared" si="29"/>
        <v>90</v>
      </c>
      <c r="DM26" s="18">
        <f t="shared" si="30"/>
        <v>80</v>
      </c>
      <c r="DN26" s="17">
        <f t="shared" si="31"/>
        <v>80.760000000000005</v>
      </c>
      <c r="DO26" s="18">
        <f t="shared" si="32"/>
        <v>79.599999999999994</v>
      </c>
      <c r="DP26" s="18">
        <f t="shared" si="33"/>
        <v>90</v>
      </c>
      <c r="DQ26" s="18">
        <f t="shared" si="34"/>
        <v>83</v>
      </c>
      <c r="DR26" s="17">
        <f t="shared" si="35"/>
        <v>83.74</v>
      </c>
      <c r="DS26" s="18">
        <f t="shared" si="36"/>
        <v>82</v>
      </c>
      <c r="DT26" s="18">
        <f t="shared" si="37"/>
        <v>82</v>
      </c>
      <c r="DU26" s="18">
        <f t="shared" si="38"/>
        <v>85.5</v>
      </c>
      <c r="DV26" s="18">
        <f t="shared" si="39"/>
        <v>85.5</v>
      </c>
      <c r="DW26" s="18">
        <f t="shared" si="40"/>
        <v>80</v>
      </c>
      <c r="DX26" s="17">
        <f t="shared" si="41"/>
        <v>80</v>
      </c>
      <c r="DY26" s="18">
        <f t="shared" si="42"/>
        <v>80.222222222222229</v>
      </c>
      <c r="DZ26" s="18">
        <f t="shared" si="43"/>
        <v>90</v>
      </c>
      <c r="EA26" s="18">
        <f t="shared" si="44"/>
        <v>70</v>
      </c>
      <c r="EB26" s="17">
        <f t="shared" si="45"/>
        <v>80.088888888888889</v>
      </c>
      <c r="EC26" s="18">
        <f t="shared" si="46"/>
        <v>87.333333333333329</v>
      </c>
      <c r="ED26" s="18">
        <f t="shared" si="47"/>
        <v>90</v>
      </c>
      <c r="EE26" s="18">
        <f t="shared" si="48"/>
        <v>85</v>
      </c>
      <c r="EF26" s="17">
        <f t="shared" si="49"/>
        <v>87.433333333333323</v>
      </c>
      <c r="EG26" s="18">
        <f t="shared" si="50"/>
        <v>89</v>
      </c>
      <c r="EH26" s="18">
        <f t="shared" si="51"/>
        <v>75</v>
      </c>
      <c r="EI26" s="18">
        <f t="shared" si="52"/>
        <v>90</v>
      </c>
      <c r="EJ26" s="18">
        <f t="shared" si="53"/>
        <v>80</v>
      </c>
      <c r="EK26" s="17">
        <f t="shared" si="54"/>
        <v>81</v>
      </c>
      <c r="EL26" s="19">
        <f t="shared" si="55"/>
        <v>86.1</v>
      </c>
      <c r="EM26" s="19">
        <f t="shared" si="56"/>
        <v>83.320000000000007</v>
      </c>
      <c r="EN26" s="19">
        <f t="shared" si="57"/>
        <v>82.539999999999992</v>
      </c>
      <c r="EO26" s="19">
        <f t="shared" si="58"/>
        <v>83</v>
      </c>
      <c r="EP26" s="19">
        <f t="shared" si="59"/>
        <v>80.25</v>
      </c>
      <c r="EQ26" s="19">
        <f t="shared" si="60"/>
        <v>83</v>
      </c>
      <c r="ER26" s="19">
        <f t="shared" si="61"/>
        <v>80.75</v>
      </c>
      <c r="ES26" s="19">
        <f t="shared" si="62"/>
        <v>81.5</v>
      </c>
      <c r="ET26" s="19">
        <f t="shared" si="63"/>
        <v>80.760000000000005</v>
      </c>
      <c r="EU26" s="19">
        <f t="shared" si="64"/>
        <v>83.74</v>
      </c>
      <c r="EV26" s="19">
        <f t="shared" si="65"/>
        <v>82</v>
      </c>
      <c r="EW26" s="19">
        <f t="shared" si="66"/>
        <v>85.5</v>
      </c>
      <c r="EX26" s="19">
        <f t="shared" si="67"/>
        <v>80</v>
      </c>
      <c r="EY26" s="19">
        <f t="shared" si="68"/>
        <v>80.088888888888889</v>
      </c>
      <c r="EZ26" s="19">
        <f t="shared" si="69"/>
        <v>87.433333333333323</v>
      </c>
      <c r="FA26" s="19">
        <f t="shared" si="70"/>
        <v>89</v>
      </c>
      <c r="FB26" s="19">
        <f t="shared" si="71"/>
        <v>81</v>
      </c>
      <c r="FC26" s="19">
        <f t="shared" si="72"/>
        <v>82.940130718954265</v>
      </c>
    </row>
    <row r="27" spans="1:159" ht="18">
      <c r="A27" s="11">
        <v>23</v>
      </c>
      <c r="B27" s="12" t="s">
        <v>96</v>
      </c>
      <c r="C27" s="13" t="s">
        <v>97</v>
      </c>
      <c r="D27" s="12" t="s">
        <v>53</v>
      </c>
      <c r="E27" s="14">
        <v>95</v>
      </c>
      <c r="F27" s="14">
        <v>96</v>
      </c>
      <c r="G27" s="14">
        <v>87</v>
      </c>
      <c r="H27" s="14">
        <v>86</v>
      </c>
      <c r="I27" s="14">
        <v>90</v>
      </c>
      <c r="J27" s="14">
        <v>86</v>
      </c>
      <c r="K27" s="14">
        <v>86</v>
      </c>
      <c r="L27" s="14">
        <v>86</v>
      </c>
      <c r="M27" s="14">
        <v>89</v>
      </c>
      <c r="N27" s="14">
        <v>93</v>
      </c>
      <c r="O27" s="14">
        <v>94</v>
      </c>
      <c r="P27" s="15">
        <v>85</v>
      </c>
      <c r="Q27" s="15">
        <v>87</v>
      </c>
      <c r="R27" s="14">
        <v>86</v>
      </c>
      <c r="S27" s="14">
        <v>80</v>
      </c>
      <c r="T27" s="14">
        <v>88</v>
      </c>
      <c r="U27" s="14">
        <v>80</v>
      </c>
      <c r="V27" s="14">
        <v>83</v>
      </c>
      <c r="W27" s="14">
        <v>84</v>
      </c>
      <c r="X27" s="14">
        <v>85</v>
      </c>
      <c r="Y27" s="14">
        <v>80</v>
      </c>
      <c r="Z27" s="14">
        <v>85</v>
      </c>
      <c r="AA27" s="14">
        <v>77</v>
      </c>
      <c r="AB27" s="15">
        <v>84</v>
      </c>
      <c r="AC27" s="15">
        <v>85</v>
      </c>
      <c r="AD27" s="14">
        <v>86</v>
      </c>
      <c r="AE27" s="14">
        <v>84</v>
      </c>
      <c r="AF27" s="14">
        <v>85</v>
      </c>
      <c r="AG27" s="14">
        <v>81</v>
      </c>
      <c r="AH27" s="14">
        <v>77</v>
      </c>
      <c r="AI27" s="14">
        <v>74</v>
      </c>
      <c r="AJ27" s="14">
        <v>84</v>
      </c>
      <c r="AK27" s="14">
        <v>80</v>
      </c>
      <c r="AL27" s="15">
        <v>83</v>
      </c>
      <c r="AM27" s="15">
        <v>75</v>
      </c>
      <c r="AN27" s="14">
        <v>76</v>
      </c>
      <c r="AO27" s="14">
        <v>74</v>
      </c>
      <c r="AP27" s="14">
        <v>76</v>
      </c>
      <c r="AQ27" s="14">
        <v>80</v>
      </c>
      <c r="AR27" s="14">
        <v>80</v>
      </c>
      <c r="AS27" s="14">
        <v>78</v>
      </c>
      <c r="AT27" s="14">
        <v>78</v>
      </c>
      <c r="AU27" s="14">
        <v>80</v>
      </c>
      <c r="AV27" s="14">
        <v>82</v>
      </c>
      <c r="AW27" s="14">
        <v>80</v>
      </c>
      <c r="AX27" s="15">
        <v>80</v>
      </c>
      <c r="AY27" s="15">
        <v>92</v>
      </c>
      <c r="AZ27" s="14">
        <v>90</v>
      </c>
      <c r="BA27" s="14">
        <v>81</v>
      </c>
      <c r="BB27" s="14">
        <v>93</v>
      </c>
      <c r="BC27" s="14">
        <v>78</v>
      </c>
      <c r="BD27" s="14">
        <v>85</v>
      </c>
      <c r="BE27" s="37">
        <v>86</v>
      </c>
      <c r="BF27" s="37">
        <v>88</v>
      </c>
      <c r="BG27" s="37">
        <v>82</v>
      </c>
      <c r="BH27" s="14">
        <v>85</v>
      </c>
      <c r="BI27" s="38">
        <v>86</v>
      </c>
      <c r="BJ27" s="38">
        <v>84</v>
      </c>
      <c r="BK27" s="38">
        <v>88</v>
      </c>
      <c r="BL27" s="14">
        <v>85</v>
      </c>
      <c r="BM27" s="38">
        <v>80</v>
      </c>
      <c r="BN27" s="38">
        <v>81</v>
      </c>
      <c r="BO27" s="38">
        <v>84</v>
      </c>
      <c r="BP27" s="14">
        <v>85</v>
      </c>
      <c r="BQ27" s="15">
        <f t="shared" si="0"/>
        <v>84</v>
      </c>
      <c r="BR27" s="15">
        <f t="shared" si="1"/>
        <v>84.333333333333329</v>
      </c>
      <c r="BS27" s="15">
        <f t="shared" si="2"/>
        <v>84.666666666666671</v>
      </c>
      <c r="BT27" s="15">
        <f t="shared" si="3"/>
        <v>85</v>
      </c>
      <c r="BU27" s="15">
        <v>84</v>
      </c>
      <c r="BV27" s="15">
        <v>84</v>
      </c>
      <c r="BW27" s="15">
        <v>86</v>
      </c>
      <c r="BX27" s="15">
        <v>85</v>
      </c>
      <c r="BY27" s="15">
        <v>84</v>
      </c>
      <c r="BZ27" s="15">
        <v>76</v>
      </c>
      <c r="CA27" s="15">
        <v>91</v>
      </c>
      <c r="CB27" s="15">
        <v>88</v>
      </c>
      <c r="CC27" s="15">
        <v>80</v>
      </c>
      <c r="CD27" s="39">
        <v>91</v>
      </c>
      <c r="CE27" s="40">
        <v>90</v>
      </c>
      <c r="CF27" s="40">
        <v>86</v>
      </c>
      <c r="CG27" s="40">
        <v>90</v>
      </c>
      <c r="CH27" s="40">
        <v>80</v>
      </c>
      <c r="CI27" s="40">
        <v>83</v>
      </c>
      <c r="CJ27" s="40">
        <v>82</v>
      </c>
      <c r="CK27" s="39">
        <v>87</v>
      </c>
      <c r="CL27" s="40">
        <v>95</v>
      </c>
      <c r="CM27" s="41">
        <f t="shared" si="4"/>
        <v>90.8</v>
      </c>
      <c r="CN27" s="41">
        <f t="shared" si="5"/>
        <v>86</v>
      </c>
      <c r="CO27" s="41">
        <f t="shared" si="6"/>
        <v>91</v>
      </c>
      <c r="CP27" s="17">
        <f t="shared" si="7"/>
        <v>89.42</v>
      </c>
      <c r="CQ27" s="16">
        <f t="shared" si="8"/>
        <v>89.6</v>
      </c>
      <c r="CR27" s="16">
        <f t="shared" si="9"/>
        <v>85</v>
      </c>
      <c r="CS27" s="16">
        <f t="shared" si="10"/>
        <v>90</v>
      </c>
      <c r="CT27" s="17">
        <f t="shared" si="11"/>
        <v>88.34</v>
      </c>
      <c r="CU27" s="17">
        <f t="shared" si="12"/>
        <v>84.2</v>
      </c>
      <c r="CV27" s="17">
        <f t="shared" si="13"/>
        <v>83</v>
      </c>
      <c r="CW27" s="17">
        <f t="shared" si="14"/>
        <v>86</v>
      </c>
      <c r="CX27" s="17">
        <f t="shared" si="15"/>
        <v>84.38</v>
      </c>
      <c r="CY27" s="18">
        <f t="shared" si="16"/>
        <v>83.5</v>
      </c>
      <c r="CZ27" s="18">
        <f t="shared" si="17"/>
        <v>83.5</v>
      </c>
      <c r="DA27" s="18">
        <f t="shared" si="18"/>
        <v>83</v>
      </c>
      <c r="DB27" s="18">
        <f t="shared" si="19"/>
        <v>83</v>
      </c>
      <c r="DC27" s="18">
        <f t="shared" si="20"/>
        <v>84.5</v>
      </c>
      <c r="DD27" s="18">
        <f t="shared" si="21"/>
        <v>84.5</v>
      </c>
      <c r="DE27" s="18">
        <f t="shared" si="22"/>
        <v>79</v>
      </c>
      <c r="DF27" s="18">
        <f t="shared" si="23"/>
        <v>79</v>
      </c>
      <c r="DG27" s="18">
        <f t="shared" si="24"/>
        <v>80</v>
      </c>
      <c r="DH27" s="18">
        <f t="shared" si="25"/>
        <v>83</v>
      </c>
      <c r="DI27" s="18">
        <f t="shared" si="26"/>
        <v>90</v>
      </c>
      <c r="DJ27" s="17">
        <f t="shared" si="27"/>
        <v>83.9</v>
      </c>
      <c r="DK27" s="18">
        <f t="shared" si="28"/>
        <v>76.2</v>
      </c>
      <c r="DL27" s="18">
        <f t="shared" si="29"/>
        <v>80</v>
      </c>
      <c r="DM27" s="18">
        <f t="shared" si="30"/>
        <v>80</v>
      </c>
      <c r="DN27" s="17">
        <f t="shared" si="31"/>
        <v>78.47999999999999</v>
      </c>
      <c r="DO27" s="18">
        <f t="shared" si="32"/>
        <v>79.599999999999994</v>
      </c>
      <c r="DP27" s="18">
        <f t="shared" si="33"/>
        <v>80</v>
      </c>
      <c r="DQ27" s="18">
        <f t="shared" si="34"/>
        <v>83</v>
      </c>
      <c r="DR27" s="17">
        <f t="shared" si="35"/>
        <v>80.739999999999995</v>
      </c>
      <c r="DS27" s="18">
        <f t="shared" si="36"/>
        <v>91</v>
      </c>
      <c r="DT27" s="18">
        <f t="shared" si="37"/>
        <v>91</v>
      </c>
      <c r="DU27" s="18">
        <f t="shared" si="38"/>
        <v>87</v>
      </c>
      <c r="DV27" s="18">
        <f t="shared" si="39"/>
        <v>87</v>
      </c>
      <c r="DW27" s="18">
        <f t="shared" si="40"/>
        <v>81.5</v>
      </c>
      <c r="DX27" s="17">
        <f t="shared" si="41"/>
        <v>81.5</v>
      </c>
      <c r="DY27" s="18">
        <f t="shared" si="42"/>
        <v>84.333333333333329</v>
      </c>
      <c r="DZ27" s="18">
        <f t="shared" si="43"/>
        <v>85</v>
      </c>
      <c r="EA27" s="18">
        <f t="shared" si="44"/>
        <v>95</v>
      </c>
      <c r="EB27" s="17">
        <f t="shared" si="45"/>
        <v>87.73333333333332</v>
      </c>
      <c r="EC27" s="18">
        <f t="shared" si="46"/>
        <v>84.666666666666671</v>
      </c>
      <c r="ED27" s="18">
        <f t="shared" si="47"/>
        <v>85</v>
      </c>
      <c r="EE27" s="18">
        <f t="shared" si="48"/>
        <v>87</v>
      </c>
      <c r="EF27" s="17">
        <f t="shared" si="49"/>
        <v>85.466666666666669</v>
      </c>
      <c r="EG27" s="18">
        <f t="shared" si="50"/>
        <v>84</v>
      </c>
      <c r="EH27" s="18">
        <f t="shared" si="51"/>
        <v>85</v>
      </c>
      <c r="EI27" s="18">
        <f t="shared" si="52"/>
        <v>80</v>
      </c>
      <c r="EJ27" s="18">
        <f t="shared" si="53"/>
        <v>82</v>
      </c>
      <c r="EK27" s="17">
        <f t="shared" si="54"/>
        <v>82.6</v>
      </c>
      <c r="EL27" s="19">
        <f t="shared" si="55"/>
        <v>89.42</v>
      </c>
      <c r="EM27" s="19">
        <f t="shared" si="56"/>
        <v>88.34</v>
      </c>
      <c r="EN27" s="19">
        <f t="shared" si="57"/>
        <v>84.38</v>
      </c>
      <c r="EO27" s="19">
        <f t="shared" si="58"/>
        <v>83.5</v>
      </c>
      <c r="EP27" s="19">
        <f t="shared" si="59"/>
        <v>83</v>
      </c>
      <c r="EQ27" s="19">
        <f t="shared" si="60"/>
        <v>84.5</v>
      </c>
      <c r="ER27" s="19">
        <f t="shared" si="61"/>
        <v>79</v>
      </c>
      <c r="ES27" s="19">
        <f t="shared" si="62"/>
        <v>83.9</v>
      </c>
      <c r="ET27" s="19">
        <f t="shared" si="63"/>
        <v>78.47999999999999</v>
      </c>
      <c r="EU27" s="19">
        <f t="shared" si="64"/>
        <v>80.739999999999995</v>
      </c>
      <c r="EV27" s="19">
        <f t="shared" si="65"/>
        <v>91</v>
      </c>
      <c r="EW27" s="19">
        <f t="shared" si="66"/>
        <v>87</v>
      </c>
      <c r="EX27" s="19">
        <f t="shared" si="67"/>
        <v>81.5</v>
      </c>
      <c r="EY27" s="19">
        <f t="shared" si="68"/>
        <v>87.73333333333332</v>
      </c>
      <c r="EZ27" s="19">
        <f t="shared" si="69"/>
        <v>85.466666666666669</v>
      </c>
      <c r="FA27" s="19">
        <f t="shared" si="70"/>
        <v>84</v>
      </c>
      <c r="FB27" s="19">
        <f t="shared" si="71"/>
        <v>82.6</v>
      </c>
      <c r="FC27" s="19">
        <f t="shared" si="72"/>
        <v>84.385882352941167</v>
      </c>
    </row>
    <row r="28" spans="1:159" ht="18">
      <c r="A28" s="11">
        <v>24</v>
      </c>
      <c r="B28" s="12" t="s">
        <v>98</v>
      </c>
      <c r="C28" s="13" t="s">
        <v>99</v>
      </c>
      <c r="D28" s="12" t="s">
        <v>53</v>
      </c>
      <c r="E28" s="14">
        <v>87</v>
      </c>
      <c r="F28" s="14">
        <v>89</v>
      </c>
      <c r="G28" s="14">
        <v>89</v>
      </c>
      <c r="H28" s="14">
        <v>84</v>
      </c>
      <c r="I28" s="14">
        <v>89</v>
      </c>
      <c r="J28" s="14">
        <v>90</v>
      </c>
      <c r="K28" s="14">
        <v>77</v>
      </c>
      <c r="L28" s="14">
        <v>79</v>
      </c>
      <c r="M28" s="14">
        <v>95</v>
      </c>
      <c r="N28" s="14">
        <v>95</v>
      </c>
      <c r="O28" s="14">
        <v>95</v>
      </c>
      <c r="P28" s="15">
        <v>89</v>
      </c>
      <c r="Q28" s="15">
        <v>81</v>
      </c>
      <c r="R28" s="14">
        <v>86</v>
      </c>
      <c r="S28" s="14">
        <v>85</v>
      </c>
      <c r="T28" s="14">
        <v>84</v>
      </c>
      <c r="U28" s="14">
        <v>80</v>
      </c>
      <c r="V28" s="14">
        <v>86</v>
      </c>
      <c r="W28" s="14">
        <v>82</v>
      </c>
      <c r="X28" s="14">
        <v>85</v>
      </c>
      <c r="Y28" s="14">
        <v>82</v>
      </c>
      <c r="Z28" s="14">
        <v>85</v>
      </c>
      <c r="AA28" s="14">
        <v>77</v>
      </c>
      <c r="AB28" s="15">
        <v>82</v>
      </c>
      <c r="AC28" s="15">
        <v>84</v>
      </c>
      <c r="AD28" s="14">
        <v>84</v>
      </c>
      <c r="AE28" s="14">
        <v>83</v>
      </c>
      <c r="AF28" s="14">
        <v>83</v>
      </c>
      <c r="AG28" s="14">
        <v>75</v>
      </c>
      <c r="AH28" s="14">
        <v>75</v>
      </c>
      <c r="AI28" s="14">
        <v>72</v>
      </c>
      <c r="AJ28" s="14">
        <v>84</v>
      </c>
      <c r="AK28" s="14">
        <v>80</v>
      </c>
      <c r="AL28" s="15">
        <v>86</v>
      </c>
      <c r="AM28" s="15">
        <v>72</v>
      </c>
      <c r="AN28" s="14">
        <v>73</v>
      </c>
      <c r="AO28" s="14">
        <v>73</v>
      </c>
      <c r="AP28" s="14">
        <v>74</v>
      </c>
      <c r="AQ28" s="14">
        <v>79</v>
      </c>
      <c r="AR28" s="14">
        <v>90</v>
      </c>
      <c r="AS28" s="14">
        <v>82</v>
      </c>
      <c r="AT28" s="14">
        <v>80</v>
      </c>
      <c r="AU28" s="14">
        <v>80</v>
      </c>
      <c r="AV28" s="14">
        <v>84</v>
      </c>
      <c r="AW28" s="14">
        <v>80</v>
      </c>
      <c r="AX28" s="15">
        <v>90</v>
      </c>
      <c r="AY28" s="15">
        <v>83</v>
      </c>
      <c r="AZ28" s="14">
        <v>92</v>
      </c>
      <c r="BA28" s="14">
        <v>75</v>
      </c>
      <c r="BB28" s="14">
        <v>90</v>
      </c>
      <c r="BC28" s="14">
        <v>81</v>
      </c>
      <c r="BD28" s="14">
        <v>80</v>
      </c>
      <c r="BE28" s="37">
        <v>87</v>
      </c>
      <c r="BF28" s="37">
        <v>86</v>
      </c>
      <c r="BG28" s="37">
        <v>80</v>
      </c>
      <c r="BH28" s="14">
        <v>90</v>
      </c>
      <c r="BI28" s="38">
        <v>85</v>
      </c>
      <c r="BJ28" s="38">
        <v>82</v>
      </c>
      <c r="BK28" s="38">
        <v>88</v>
      </c>
      <c r="BL28" s="14">
        <v>90</v>
      </c>
      <c r="BM28" s="38">
        <v>78</v>
      </c>
      <c r="BN28" s="38">
        <v>78</v>
      </c>
      <c r="BO28" s="38">
        <v>84</v>
      </c>
      <c r="BP28" s="14">
        <v>90</v>
      </c>
      <c r="BQ28" s="15">
        <f t="shared" si="0"/>
        <v>83.333333333333329</v>
      </c>
      <c r="BR28" s="15">
        <f t="shared" si="1"/>
        <v>82</v>
      </c>
      <c r="BS28" s="15">
        <f t="shared" si="2"/>
        <v>84</v>
      </c>
      <c r="BT28" s="15">
        <f t="shared" si="3"/>
        <v>90</v>
      </c>
      <c r="BU28" s="15">
        <v>86</v>
      </c>
      <c r="BV28" s="15">
        <v>83</v>
      </c>
      <c r="BW28" s="15">
        <v>88</v>
      </c>
      <c r="BX28" s="15">
        <v>90</v>
      </c>
      <c r="BY28" s="15">
        <v>89</v>
      </c>
      <c r="BZ28" s="15">
        <v>75</v>
      </c>
      <c r="CA28" s="15">
        <v>89</v>
      </c>
      <c r="CB28" s="15">
        <v>80</v>
      </c>
      <c r="CC28" s="15">
        <v>90</v>
      </c>
      <c r="CD28" s="39">
        <v>91</v>
      </c>
      <c r="CE28" s="40">
        <v>93</v>
      </c>
      <c r="CF28" s="40">
        <v>85</v>
      </c>
      <c r="CG28" s="40">
        <v>92</v>
      </c>
      <c r="CH28" s="40">
        <v>80</v>
      </c>
      <c r="CI28" s="40">
        <v>85</v>
      </c>
      <c r="CJ28" s="40">
        <v>80</v>
      </c>
      <c r="CK28" s="39">
        <v>89</v>
      </c>
      <c r="CL28" s="40">
        <v>80</v>
      </c>
      <c r="CM28" s="41">
        <f t="shared" si="4"/>
        <v>87.6</v>
      </c>
      <c r="CN28" s="41">
        <f t="shared" si="5"/>
        <v>90</v>
      </c>
      <c r="CO28" s="41">
        <f t="shared" si="6"/>
        <v>91</v>
      </c>
      <c r="CP28" s="17">
        <f t="shared" si="7"/>
        <v>89.34</v>
      </c>
      <c r="CQ28" s="16">
        <f t="shared" si="8"/>
        <v>88.2</v>
      </c>
      <c r="CR28" s="16">
        <f t="shared" si="9"/>
        <v>89</v>
      </c>
      <c r="CS28" s="16">
        <f t="shared" si="10"/>
        <v>93</v>
      </c>
      <c r="CT28" s="17">
        <f t="shared" si="11"/>
        <v>89.88</v>
      </c>
      <c r="CU28" s="17">
        <f t="shared" si="12"/>
        <v>83.2</v>
      </c>
      <c r="CV28" s="17">
        <f t="shared" si="13"/>
        <v>86</v>
      </c>
      <c r="CW28" s="17">
        <f t="shared" si="14"/>
        <v>85</v>
      </c>
      <c r="CX28" s="17">
        <f t="shared" si="15"/>
        <v>84.58</v>
      </c>
      <c r="CY28" s="18">
        <f t="shared" si="16"/>
        <v>83.5</v>
      </c>
      <c r="CZ28" s="18">
        <f t="shared" si="17"/>
        <v>83.5</v>
      </c>
      <c r="DA28" s="18">
        <f t="shared" si="18"/>
        <v>81.75</v>
      </c>
      <c r="DB28" s="18">
        <f t="shared" si="19"/>
        <v>81.75</v>
      </c>
      <c r="DC28" s="18">
        <f t="shared" si="20"/>
        <v>83</v>
      </c>
      <c r="DD28" s="18">
        <f t="shared" si="21"/>
        <v>83</v>
      </c>
      <c r="DE28" s="18">
        <f t="shared" si="22"/>
        <v>76.5</v>
      </c>
      <c r="DF28" s="18">
        <f t="shared" si="23"/>
        <v>76.5</v>
      </c>
      <c r="DG28" s="18">
        <f t="shared" si="24"/>
        <v>80</v>
      </c>
      <c r="DH28" s="18">
        <f t="shared" si="25"/>
        <v>86</v>
      </c>
      <c r="DI28" s="18">
        <f t="shared" si="26"/>
        <v>92</v>
      </c>
      <c r="DJ28" s="17">
        <f t="shared" si="27"/>
        <v>85.4</v>
      </c>
      <c r="DK28" s="18">
        <f t="shared" si="28"/>
        <v>74.2</v>
      </c>
      <c r="DL28" s="18">
        <f t="shared" si="29"/>
        <v>90</v>
      </c>
      <c r="DM28" s="18">
        <f t="shared" si="30"/>
        <v>80</v>
      </c>
      <c r="DN28" s="17">
        <f t="shared" si="31"/>
        <v>80.679999999999993</v>
      </c>
      <c r="DO28" s="18">
        <f t="shared" si="32"/>
        <v>81.2</v>
      </c>
      <c r="DP28" s="18">
        <f t="shared" si="33"/>
        <v>90</v>
      </c>
      <c r="DQ28" s="18">
        <f t="shared" si="34"/>
        <v>85</v>
      </c>
      <c r="DR28" s="17">
        <f t="shared" si="35"/>
        <v>84.97999999999999</v>
      </c>
      <c r="DS28" s="18">
        <f t="shared" si="36"/>
        <v>87.5</v>
      </c>
      <c r="DT28" s="18">
        <f t="shared" si="37"/>
        <v>87.5</v>
      </c>
      <c r="DU28" s="18">
        <f t="shared" si="38"/>
        <v>82.5</v>
      </c>
      <c r="DV28" s="18">
        <f t="shared" si="39"/>
        <v>82.5</v>
      </c>
      <c r="DW28" s="18">
        <f t="shared" si="40"/>
        <v>80.5</v>
      </c>
      <c r="DX28" s="17">
        <f t="shared" si="41"/>
        <v>80.5</v>
      </c>
      <c r="DY28" s="18">
        <f t="shared" si="42"/>
        <v>83.1111111111111</v>
      </c>
      <c r="DZ28" s="18">
        <f t="shared" si="43"/>
        <v>90</v>
      </c>
      <c r="EA28" s="18">
        <f t="shared" si="44"/>
        <v>80</v>
      </c>
      <c r="EB28" s="17">
        <f t="shared" si="45"/>
        <v>84.24444444444444</v>
      </c>
      <c r="EC28" s="18">
        <f t="shared" si="46"/>
        <v>85.666666666666671</v>
      </c>
      <c r="ED28" s="18">
        <f t="shared" si="47"/>
        <v>90</v>
      </c>
      <c r="EE28" s="18">
        <f t="shared" si="48"/>
        <v>89</v>
      </c>
      <c r="EF28" s="17">
        <f t="shared" si="49"/>
        <v>87.966666666666669</v>
      </c>
      <c r="EG28" s="18">
        <f t="shared" si="50"/>
        <v>89</v>
      </c>
      <c r="EH28" s="18">
        <f t="shared" si="51"/>
        <v>81.333333333333329</v>
      </c>
      <c r="EI28" s="18">
        <f t="shared" si="52"/>
        <v>90</v>
      </c>
      <c r="EJ28" s="18">
        <f t="shared" si="53"/>
        <v>80</v>
      </c>
      <c r="EK28" s="17">
        <f t="shared" si="54"/>
        <v>83.533333333333331</v>
      </c>
      <c r="EL28" s="19">
        <f t="shared" si="55"/>
        <v>89.34</v>
      </c>
      <c r="EM28" s="19">
        <f t="shared" si="56"/>
        <v>89.88</v>
      </c>
      <c r="EN28" s="19">
        <f t="shared" si="57"/>
        <v>84.58</v>
      </c>
      <c r="EO28" s="19">
        <f t="shared" si="58"/>
        <v>83.5</v>
      </c>
      <c r="EP28" s="19">
        <f t="shared" si="59"/>
        <v>81.75</v>
      </c>
      <c r="EQ28" s="19">
        <f t="shared" si="60"/>
        <v>83</v>
      </c>
      <c r="ER28" s="19">
        <f t="shared" si="61"/>
        <v>76.5</v>
      </c>
      <c r="ES28" s="19">
        <f t="shared" si="62"/>
        <v>85.4</v>
      </c>
      <c r="ET28" s="19">
        <f t="shared" si="63"/>
        <v>80.679999999999993</v>
      </c>
      <c r="EU28" s="19">
        <f t="shared" si="64"/>
        <v>84.97999999999999</v>
      </c>
      <c r="EV28" s="19">
        <f t="shared" si="65"/>
        <v>87.5</v>
      </c>
      <c r="EW28" s="19">
        <f t="shared" si="66"/>
        <v>82.5</v>
      </c>
      <c r="EX28" s="19">
        <f t="shared" si="67"/>
        <v>80.5</v>
      </c>
      <c r="EY28" s="19">
        <f t="shared" si="68"/>
        <v>84.24444444444444</v>
      </c>
      <c r="EZ28" s="19">
        <f t="shared" si="69"/>
        <v>87.966666666666669</v>
      </c>
      <c r="FA28" s="19">
        <f t="shared" si="70"/>
        <v>89</v>
      </c>
      <c r="FB28" s="19">
        <f t="shared" si="71"/>
        <v>83.533333333333331</v>
      </c>
      <c r="FC28" s="19">
        <f t="shared" si="72"/>
        <v>84.403202614379083</v>
      </c>
    </row>
    <row r="29" spans="1:159" ht="18">
      <c r="A29" s="11">
        <v>25</v>
      </c>
      <c r="B29" s="12" t="s">
        <v>100</v>
      </c>
      <c r="C29" s="13" t="s">
        <v>101</v>
      </c>
      <c r="D29" s="12" t="s">
        <v>53</v>
      </c>
      <c r="E29" s="14">
        <v>80</v>
      </c>
      <c r="F29" s="14">
        <v>80</v>
      </c>
      <c r="G29" s="14">
        <v>89</v>
      </c>
      <c r="H29" s="14">
        <v>84</v>
      </c>
      <c r="I29" s="14">
        <v>88</v>
      </c>
      <c r="J29" s="14">
        <v>86</v>
      </c>
      <c r="K29" s="14">
        <v>78</v>
      </c>
      <c r="L29" s="14">
        <v>76</v>
      </c>
      <c r="M29" s="14">
        <v>74</v>
      </c>
      <c r="N29" s="14">
        <v>84</v>
      </c>
      <c r="O29" s="14">
        <v>85</v>
      </c>
      <c r="P29" s="15">
        <v>90</v>
      </c>
      <c r="Q29" s="15">
        <v>90</v>
      </c>
      <c r="R29" s="14">
        <v>87</v>
      </c>
      <c r="S29" s="14">
        <v>78</v>
      </c>
      <c r="T29" s="14">
        <v>78</v>
      </c>
      <c r="U29" s="14">
        <v>75</v>
      </c>
      <c r="V29" s="14">
        <v>79</v>
      </c>
      <c r="W29" s="14">
        <v>82</v>
      </c>
      <c r="X29" s="14">
        <v>84</v>
      </c>
      <c r="Y29" s="14">
        <v>80</v>
      </c>
      <c r="Z29" s="14">
        <v>85</v>
      </c>
      <c r="AA29" s="14">
        <v>77</v>
      </c>
      <c r="AB29" s="15">
        <v>80</v>
      </c>
      <c r="AC29" s="15">
        <v>82</v>
      </c>
      <c r="AD29" s="14">
        <v>83</v>
      </c>
      <c r="AE29" s="14">
        <v>82</v>
      </c>
      <c r="AF29" s="14">
        <v>81</v>
      </c>
      <c r="AG29" s="14">
        <v>79</v>
      </c>
      <c r="AH29" s="14">
        <v>70</v>
      </c>
      <c r="AI29" s="14">
        <v>71</v>
      </c>
      <c r="AJ29" s="14">
        <v>81</v>
      </c>
      <c r="AK29" s="14">
        <v>80</v>
      </c>
      <c r="AL29" s="15">
        <v>79</v>
      </c>
      <c r="AM29" s="15">
        <v>73</v>
      </c>
      <c r="AN29" s="14">
        <v>73</v>
      </c>
      <c r="AO29" s="14">
        <v>72</v>
      </c>
      <c r="AP29" s="14">
        <v>73</v>
      </c>
      <c r="AQ29" s="14">
        <v>77</v>
      </c>
      <c r="AR29" s="14">
        <v>80</v>
      </c>
      <c r="AS29" s="14">
        <v>72</v>
      </c>
      <c r="AT29" s="14">
        <v>80</v>
      </c>
      <c r="AU29" s="14">
        <v>80</v>
      </c>
      <c r="AV29" s="14">
        <v>83</v>
      </c>
      <c r="AW29" s="14">
        <v>80</v>
      </c>
      <c r="AX29" s="15">
        <v>80</v>
      </c>
      <c r="AY29" s="15">
        <v>75</v>
      </c>
      <c r="AZ29" s="14">
        <v>76</v>
      </c>
      <c r="BA29" s="14">
        <v>75</v>
      </c>
      <c r="BB29" s="14">
        <v>78</v>
      </c>
      <c r="BC29" s="14">
        <v>78</v>
      </c>
      <c r="BD29" s="14">
        <v>80</v>
      </c>
      <c r="BE29" s="37">
        <v>83</v>
      </c>
      <c r="BF29" s="37">
        <v>82</v>
      </c>
      <c r="BG29" s="37">
        <v>78</v>
      </c>
      <c r="BH29" s="14">
        <v>85</v>
      </c>
      <c r="BI29" s="38">
        <v>81</v>
      </c>
      <c r="BJ29" s="38">
        <v>80</v>
      </c>
      <c r="BK29" s="38">
        <v>82</v>
      </c>
      <c r="BL29" s="14">
        <v>85</v>
      </c>
      <c r="BM29" s="38">
        <v>79</v>
      </c>
      <c r="BN29" s="38">
        <v>76</v>
      </c>
      <c r="BO29" s="38">
        <v>83</v>
      </c>
      <c r="BP29" s="14">
        <v>85</v>
      </c>
      <c r="BQ29" s="15">
        <f t="shared" si="0"/>
        <v>81</v>
      </c>
      <c r="BR29" s="15">
        <f t="shared" si="1"/>
        <v>79.333333333333329</v>
      </c>
      <c r="BS29" s="15">
        <f t="shared" si="2"/>
        <v>81</v>
      </c>
      <c r="BT29" s="15">
        <f t="shared" si="3"/>
        <v>85</v>
      </c>
      <c r="BU29" s="15">
        <v>87</v>
      </c>
      <c r="BV29" s="15">
        <v>87</v>
      </c>
      <c r="BW29" s="15">
        <v>90</v>
      </c>
      <c r="BX29" s="15">
        <v>85</v>
      </c>
      <c r="BY29" s="15">
        <v>84</v>
      </c>
      <c r="BZ29" s="15">
        <v>70</v>
      </c>
      <c r="CA29" s="15">
        <v>81</v>
      </c>
      <c r="CB29" s="15">
        <v>80</v>
      </c>
      <c r="CC29" s="15">
        <v>80</v>
      </c>
      <c r="CD29" s="39">
        <v>83</v>
      </c>
      <c r="CE29" s="40">
        <v>80</v>
      </c>
      <c r="CF29" s="40">
        <v>78</v>
      </c>
      <c r="CG29" s="40">
        <v>70</v>
      </c>
      <c r="CH29" s="40">
        <v>78</v>
      </c>
      <c r="CI29" s="40">
        <v>83</v>
      </c>
      <c r="CJ29" s="40">
        <v>80</v>
      </c>
      <c r="CK29" s="39">
        <v>84</v>
      </c>
      <c r="CL29" s="40">
        <v>70</v>
      </c>
      <c r="CM29" s="41">
        <f t="shared" si="4"/>
        <v>84.2</v>
      </c>
      <c r="CN29" s="41">
        <f t="shared" si="5"/>
        <v>86</v>
      </c>
      <c r="CO29" s="41">
        <f t="shared" si="6"/>
        <v>83</v>
      </c>
      <c r="CP29" s="17">
        <f t="shared" si="7"/>
        <v>84.38</v>
      </c>
      <c r="CQ29" s="16">
        <f t="shared" si="8"/>
        <v>79.400000000000006</v>
      </c>
      <c r="CR29" s="16">
        <f t="shared" si="9"/>
        <v>90</v>
      </c>
      <c r="CS29" s="16">
        <f t="shared" si="10"/>
        <v>80</v>
      </c>
      <c r="CT29" s="17">
        <f t="shared" si="11"/>
        <v>82.76</v>
      </c>
      <c r="CU29" s="17">
        <f t="shared" si="12"/>
        <v>81.599999999999994</v>
      </c>
      <c r="CV29" s="17">
        <f t="shared" si="13"/>
        <v>79</v>
      </c>
      <c r="CW29" s="17">
        <f t="shared" si="14"/>
        <v>78</v>
      </c>
      <c r="CX29" s="17">
        <f t="shared" si="15"/>
        <v>79.739999999999995</v>
      </c>
      <c r="CY29" s="18">
        <f t="shared" si="16"/>
        <v>82.75</v>
      </c>
      <c r="CZ29" s="18">
        <f t="shared" si="17"/>
        <v>82.75</v>
      </c>
      <c r="DA29" s="18">
        <f t="shared" si="18"/>
        <v>80.5</v>
      </c>
      <c r="DB29" s="18">
        <f t="shared" si="19"/>
        <v>80.5</v>
      </c>
      <c r="DC29" s="18">
        <f t="shared" si="20"/>
        <v>81.5</v>
      </c>
      <c r="DD29" s="18">
        <f t="shared" si="21"/>
        <v>81.5</v>
      </c>
      <c r="DE29" s="18">
        <f t="shared" si="22"/>
        <v>75.25</v>
      </c>
      <c r="DF29" s="18">
        <f t="shared" si="23"/>
        <v>75.25</v>
      </c>
      <c r="DG29" s="18">
        <f t="shared" si="24"/>
        <v>80</v>
      </c>
      <c r="DH29" s="18">
        <f t="shared" si="25"/>
        <v>79</v>
      </c>
      <c r="DI29" s="18">
        <f t="shared" si="26"/>
        <v>70</v>
      </c>
      <c r="DJ29" s="17">
        <f t="shared" si="27"/>
        <v>76.7</v>
      </c>
      <c r="DK29" s="18">
        <f t="shared" si="28"/>
        <v>73.599999999999994</v>
      </c>
      <c r="DL29" s="18">
        <f t="shared" si="29"/>
        <v>80</v>
      </c>
      <c r="DM29" s="18">
        <f t="shared" si="30"/>
        <v>78</v>
      </c>
      <c r="DN29" s="17">
        <f t="shared" si="31"/>
        <v>76.84</v>
      </c>
      <c r="DO29" s="18">
        <f t="shared" si="32"/>
        <v>79</v>
      </c>
      <c r="DP29" s="18">
        <f t="shared" si="33"/>
        <v>80</v>
      </c>
      <c r="DQ29" s="18">
        <f t="shared" si="34"/>
        <v>83</v>
      </c>
      <c r="DR29" s="17">
        <f t="shared" si="35"/>
        <v>80.5</v>
      </c>
      <c r="DS29" s="18">
        <f t="shared" si="36"/>
        <v>75.5</v>
      </c>
      <c r="DT29" s="18">
        <f t="shared" si="37"/>
        <v>75.5</v>
      </c>
      <c r="DU29" s="18">
        <f t="shared" si="38"/>
        <v>76.5</v>
      </c>
      <c r="DV29" s="18">
        <f t="shared" si="39"/>
        <v>76.5</v>
      </c>
      <c r="DW29" s="18">
        <f t="shared" si="40"/>
        <v>79</v>
      </c>
      <c r="DX29" s="17">
        <f t="shared" si="41"/>
        <v>79</v>
      </c>
      <c r="DY29" s="18">
        <f t="shared" si="42"/>
        <v>80.444444444444443</v>
      </c>
      <c r="DZ29" s="18">
        <f t="shared" si="43"/>
        <v>85</v>
      </c>
      <c r="EA29" s="18">
        <f t="shared" si="44"/>
        <v>70</v>
      </c>
      <c r="EB29" s="17">
        <f t="shared" si="45"/>
        <v>78.677777777777777</v>
      </c>
      <c r="EC29" s="18">
        <f t="shared" si="46"/>
        <v>88</v>
      </c>
      <c r="ED29" s="18">
        <f t="shared" si="47"/>
        <v>85</v>
      </c>
      <c r="EE29" s="18">
        <f t="shared" si="48"/>
        <v>84</v>
      </c>
      <c r="EF29" s="17">
        <f t="shared" si="49"/>
        <v>85.9</v>
      </c>
      <c r="EG29" s="18">
        <f t="shared" si="50"/>
        <v>84</v>
      </c>
      <c r="EH29" s="18">
        <f t="shared" si="51"/>
        <v>77</v>
      </c>
      <c r="EI29" s="18">
        <f t="shared" si="52"/>
        <v>80</v>
      </c>
      <c r="EJ29" s="18">
        <f t="shared" si="53"/>
        <v>80</v>
      </c>
      <c r="EK29" s="17">
        <f t="shared" si="54"/>
        <v>78.8</v>
      </c>
      <c r="EL29" s="19">
        <f t="shared" si="55"/>
        <v>84.38</v>
      </c>
      <c r="EM29" s="19">
        <f t="shared" si="56"/>
        <v>82.76</v>
      </c>
      <c r="EN29" s="19">
        <f t="shared" si="57"/>
        <v>79.739999999999995</v>
      </c>
      <c r="EO29" s="19">
        <f t="shared" si="58"/>
        <v>82.75</v>
      </c>
      <c r="EP29" s="19">
        <f t="shared" si="59"/>
        <v>80.5</v>
      </c>
      <c r="EQ29" s="19">
        <f t="shared" si="60"/>
        <v>81.5</v>
      </c>
      <c r="ER29" s="19">
        <f t="shared" si="61"/>
        <v>75.25</v>
      </c>
      <c r="ES29" s="19">
        <f t="shared" si="62"/>
        <v>76.7</v>
      </c>
      <c r="ET29" s="19">
        <f t="shared" si="63"/>
        <v>76.84</v>
      </c>
      <c r="EU29" s="19">
        <f t="shared" si="64"/>
        <v>80.5</v>
      </c>
      <c r="EV29" s="19">
        <f t="shared" si="65"/>
        <v>75.5</v>
      </c>
      <c r="EW29" s="19">
        <f t="shared" si="66"/>
        <v>76.5</v>
      </c>
      <c r="EX29" s="19">
        <f t="shared" si="67"/>
        <v>79</v>
      </c>
      <c r="EY29" s="19">
        <f t="shared" si="68"/>
        <v>78.677777777777777</v>
      </c>
      <c r="EZ29" s="19">
        <f t="shared" si="69"/>
        <v>85.9</v>
      </c>
      <c r="FA29" s="19">
        <f t="shared" si="70"/>
        <v>84</v>
      </c>
      <c r="FB29" s="19">
        <f t="shared" si="71"/>
        <v>78.8</v>
      </c>
      <c r="FC29" s="19">
        <f t="shared" si="72"/>
        <v>79.958692810457521</v>
      </c>
    </row>
    <row r="30" spans="1:159" ht="18">
      <c r="A30" s="11">
        <v>26</v>
      </c>
      <c r="B30" s="12" t="s">
        <v>102</v>
      </c>
      <c r="C30" s="13" t="s">
        <v>103</v>
      </c>
      <c r="D30" s="12" t="s">
        <v>53</v>
      </c>
      <c r="E30" s="14">
        <v>90</v>
      </c>
      <c r="F30" s="14">
        <v>97</v>
      </c>
      <c r="G30" s="14">
        <v>89</v>
      </c>
      <c r="H30" s="14">
        <v>84</v>
      </c>
      <c r="I30" s="14">
        <v>93</v>
      </c>
      <c r="J30" s="14">
        <v>92</v>
      </c>
      <c r="K30" s="14">
        <v>81</v>
      </c>
      <c r="L30" s="14">
        <v>77</v>
      </c>
      <c r="M30" s="14">
        <v>89</v>
      </c>
      <c r="N30" s="14">
        <v>93</v>
      </c>
      <c r="O30" s="14">
        <v>94</v>
      </c>
      <c r="P30" s="15">
        <v>95</v>
      </c>
      <c r="Q30" s="15">
        <v>90</v>
      </c>
      <c r="R30" s="14">
        <v>88</v>
      </c>
      <c r="S30" s="14">
        <v>83</v>
      </c>
      <c r="T30" s="14">
        <v>83</v>
      </c>
      <c r="U30" s="14">
        <v>84</v>
      </c>
      <c r="V30" s="14">
        <v>88</v>
      </c>
      <c r="W30" s="14">
        <v>82</v>
      </c>
      <c r="X30" s="14">
        <v>84</v>
      </c>
      <c r="Y30" s="14">
        <v>80</v>
      </c>
      <c r="Z30" s="14">
        <v>85</v>
      </c>
      <c r="AA30" s="14">
        <v>86</v>
      </c>
      <c r="AB30" s="15">
        <v>88</v>
      </c>
      <c r="AC30" s="15">
        <v>85</v>
      </c>
      <c r="AD30" s="14">
        <v>86</v>
      </c>
      <c r="AE30" s="14">
        <v>84</v>
      </c>
      <c r="AF30" s="14">
        <v>84</v>
      </c>
      <c r="AG30" s="14">
        <v>78</v>
      </c>
      <c r="AH30" s="14">
        <v>78</v>
      </c>
      <c r="AI30" s="14">
        <v>76</v>
      </c>
      <c r="AJ30" s="14">
        <v>84</v>
      </c>
      <c r="AK30" s="14">
        <v>82</v>
      </c>
      <c r="AL30" s="15">
        <v>88</v>
      </c>
      <c r="AM30" s="15">
        <v>72</v>
      </c>
      <c r="AN30" s="14">
        <v>76</v>
      </c>
      <c r="AO30" s="14">
        <v>75</v>
      </c>
      <c r="AP30" s="14">
        <v>76</v>
      </c>
      <c r="AQ30" s="14">
        <v>80</v>
      </c>
      <c r="AR30" s="14">
        <v>90</v>
      </c>
      <c r="AS30" s="14">
        <v>75</v>
      </c>
      <c r="AT30" s="14">
        <v>80</v>
      </c>
      <c r="AU30" s="14">
        <v>80</v>
      </c>
      <c r="AV30" s="14">
        <v>83</v>
      </c>
      <c r="AW30" s="14">
        <v>83</v>
      </c>
      <c r="AX30" s="15">
        <v>90</v>
      </c>
      <c r="AY30" s="15">
        <v>87</v>
      </c>
      <c r="AZ30" s="14">
        <v>89</v>
      </c>
      <c r="BA30" s="14">
        <v>79</v>
      </c>
      <c r="BB30" s="14">
        <v>87</v>
      </c>
      <c r="BC30" s="14">
        <v>80</v>
      </c>
      <c r="BD30" s="14">
        <v>82</v>
      </c>
      <c r="BE30" s="37">
        <v>88</v>
      </c>
      <c r="BF30" s="37">
        <v>90</v>
      </c>
      <c r="BG30" s="37">
        <v>80</v>
      </c>
      <c r="BH30" s="14">
        <v>95</v>
      </c>
      <c r="BI30" s="38">
        <v>86</v>
      </c>
      <c r="BJ30" s="38">
        <v>85</v>
      </c>
      <c r="BK30" s="38">
        <v>88</v>
      </c>
      <c r="BL30" s="14">
        <v>95</v>
      </c>
      <c r="BM30" s="38">
        <v>79</v>
      </c>
      <c r="BN30" s="38">
        <v>82</v>
      </c>
      <c r="BO30" s="38">
        <v>84</v>
      </c>
      <c r="BP30" s="14">
        <v>95</v>
      </c>
      <c r="BQ30" s="15">
        <f t="shared" si="0"/>
        <v>84.333333333333329</v>
      </c>
      <c r="BR30" s="15">
        <f t="shared" si="1"/>
        <v>85.666666666666671</v>
      </c>
      <c r="BS30" s="15">
        <f t="shared" si="2"/>
        <v>84</v>
      </c>
      <c r="BT30" s="15">
        <f t="shared" si="3"/>
        <v>95</v>
      </c>
      <c r="BU30" s="15">
        <v>89</v>
      </c>
      <c r="BV30" s="15">
        <v>91</v>
      </c>
      <c r="BW30" s="15">
        <v>90</v>
      </c>
      <c r="BX30" s="15">
        <v>95</v>
      </c>
      <c r="BY30" s="15">
        <v>92</v>
      </c>
      <c r="BZ30" s="15">
        <v>76</v>
      </c>
      <c r="CA30" s="15">
        <v>88</v>
      </c>
      <c r="CB30" s="15">
        <v>80</v>
      </c>
      <c r="CC30" s="15">
        <v>90</v>
      </c>
      <c r="CD30" s="39">
        <v>88</v>
      </c>
      <c r="CE30" s="40">
        <v>94</v>
      </c>
      <c r="CF30" s="40">
        <v>84</v>
      </c>
      <c r="CG30" s="40">
        <v>90</v>
      </c>
      <c r="CH30" s="40">
        <v>81</v>
      </c>
      <c r="CI30" s="40">
        <v>82</v>
      </c>
      <c r="CJ30" s="40">
        <v>85</v>
      </c>
      <c r="CK30" s="39">
        <v>88</v>
      </c>
      <c r="CL30" s="40">
        <v>80</v>
      </c>
      <c r="CM30" s="41">
        <f t="shared" si="4"/>
        <v>90.6</v>
      </c>
      <c r="CN30" s="41">
        <f t="shared" si="5"/>
        <v>92</v>
      </c>
      <c r="CO30" s="41">
        <f t="shared" si="6"/>
        <v>88</v>
      </c>
      <c r="CP30" s="17">
        <f t="shared" si="7"/>
        <v>90.24</v>
      </c>
      <c r="CQ30" s="16">
        <f t="shared" si="8"/>
        <v>86.8</v>
      </c>
      <c r="CR30" s="16">
        <f t="shared" si="9"/>
        <v>95</v>
      </c>
      <c r="CS30" s="16">
        <f t="shared" si="10"/>
        <v>94</v>
      </c>
      <c r="CT30" s="17">
        <f t="shared" si="11"/>
        <v>91.42</v>
      </c>
      <c r="CU30" s="17">
        <f t="shared" si="12"/>
        <v>85.6</v>
      </c>
      <c r="CV30" s="17">
        <f t="shared" si="13"/>
        <v>88</v>
      </c>
      <c r="CW30" s="17">
        <f t="shared" si="14"/>
        <v>84</v>
      </c>
      <c r="CX30" s="17">
        <f t="shared" si="15"/>
        <v>85.84</v>
      </c>
      <c r="CY30" s="18">
        <f t="shared" si="16"/>
        <v>82.75</v>
      </c>
      <c r="CZ30" s="18">
        <f t="shared" si="17"/>
        <v>82.75</v>
      </c>
      <c r="DA30" s="18">
        <f t="shared" si="18"/>
        <v>86.25</v>
      </c>
      <c r="DB30" s="18">
        <f t="shared" si="19"/>
        <v>86.25</v>
      </c>
      <c r="DC30" s="18">
        <f t="shared" si="20"/>
        <v>84</v>
      </c>
      <c r="DD30" s="18">
        <f t="shared" si="21"/>
        <v>84</v>
      </c>
      <c r="DE30" s="18">
        <f t="shared" si="22"/>
        <v>79</v>
      </c>
      <c r="DF30" s="18">
        <f t="shared" si="23"/>
        <v>79</v>
      </c>
      <c r="DG30" s="18">
        <f t="shared" si="24"/>
        <v>82</v>
      </c>
      <c r="DH30" s="18">
        <f t="shared" si="25"/>
        <v>88</v>
      </c>
      <c r="DI30" s="18">
        <f t="shared" si="26"/>
        <v>90</v>
      </c>
      <c r="DJ30" s="17">
        <f t="shared" si="27"/>
        <v>86.2</v>
      </c>
      <c r="DK30" s="18">
        <f t="shared" si="28"/>
        <v>75.8</v>
      </c>
      <c r="DL30" s="18">
        <f t="shared" si="29"/>
        <v>90</v>
      </c>
      <c r="DM30" s="18">
        <f t="shared" si="30"/>
        <v>81</v>
      </c>
      <c r="DN30" s="17">
        <f t="shared" si="31"/>
        <v>81.62</v>
      </c>
      <c r="DO30" s="18">
        <f t="shared" si="32"/>
        <v>80.2</v>
      </c>
      <c r="DP30" s="18">
        <f t="shared" si="33"/>
        <v>90</v>
      </c>
      <c r="DQ30" s="18">
        <f t="shared" si="34"/>
        <v>82</v>
      </c>
      <c r="DR30" s="17">
        <f t="shared" si="35"/>
        <v>83.679999999999993</v>
      </c>
      <c r="DS30" s="18">
        <f t="shared" si="36"/>
        <v>88</v>
      </c>
      <c r="DT30" s="18">
        <f t="shared" si="37"/>
        <v>88</v>
      </c>
      <c r="DU30" s="18">
        <f t="shared" si="38"/>
        <v>83</v>
      </c>
      <c r="DV30" s="18">
        <f t="shared" si="39"/>
        <v>83</v>
      </c>
      <c r="DW30" s="18">
        <f t="shared" si="40"/>
        <v>81</v>
      </c>
      <c r="DX30" s="17">
        <f t="shared" si="41"/>
        <v>81</v>
      </c>
      <c r="DY30" s="18">
        <f t="shared" si="42"/>
        <v>84.666666666666671</v>
      </c>
      <c r="DZ30" s="18">
        <f t="shared" si="43"/>
        <v>95</v>
      </c>
      <c r="EA30" s="18">
        <f t="shared" si="44"/>
        <v>80</v>
      </c>
      <c r="EB30" s="17">
        <f t="shared" si="45"/>
        <v>86.366666666666674</v>
      </c>
      <c r="EC30" s="18">
        <f t="shared" si="46"/>
        <v>90</v>
      </c>
      <c r="ED30" s="18">
        <f t="shared" si="47"/>
        <v>95</v>
      </c>
      <c r="EE30" s="18">
        <f t="shared" si="48"/>
        <v>88</v>
      </c>
      <c r="EF30" s="17">
        <f t="shared" si="49"/>
        <v>90.9</v>
      </c>
      <c r="EG30" s="18">
        <f t="shared" si="50"/>
        <v>92</v>
      </c>
      <c r="EH30" s="18">
        <f t="shared" si="51"/>
        <v>81.333333333333329</v>
      </c>
      <c r="EI30" s="18">
        <f t="shared" si="52"/>
        <v>90</v>
      </c>
      <c r="EJ30" s="18">
        <f t="shared" si="53"/>
        <v>85</v>
      </c>
      <c r="EK30" s="17">
        <f t="shared" si="54"/>
        <v>85.033333333333331</v>
      </c>
      <c r="EL30" s="19">
        <f t="shared" si="55"/>
        <v>90.24</v>
      </c>
      <c r="EM30" s="19">
        <f t="shared" si="56"/>
        <v>91.42</v>
      </c>
      <c r="EN30" s="19">
        <f t="shared" si="57"/>
        <v>85.84</v>
      </c>
      <c r="EO30" s="19">
        <f t="shared" si="58"/>
        <v>82.75</v>
      </c>
      <c r="EP30" s="19">
        <f t="shared" si="59"/>
        <v>86.25</v>
      </c>
      <c r="EQ30" s="19">
        <f t="shared" si="60"/>
        <v>84</v>
      </c>
      <c r="ER30" s="19">
        <f t="shared" si="61"/>
        <v>79</v>
      </c>
      <c r="ES30" s="19">
        <f t="shared" si="62"/>
        <v>86.2</v>
      </c>
      <c r="ET30" s="19">
        <f t="shared" si="63"/>
        <v>81.62</v>
      </c>
      <c r="EU30" s="19">
        <f t="shared" si="64"/>
        <v>83.679999999999993</v>
      </c>
      <c r="EV30" s="19">
        <f t="shared" si="65"/>
        <v>88</v>
      </c>
      <c r="EW30" s="19">
        <f t="shared" si="66"/>
        <v>83</v>
      </c>
      <c r="EX30" s="19">
        <f t="shared" si="67"/>
        <v>81</v>
      </c>
      <c r="EY30" s="19">
        <f t="shared" si="68"/>
        <v>86.366666666666674</v>
      </c>
      <c r="EZ30" s="19">
        <f t="shared" si="69"/>
        <v>90.9</v>
      </c>
      <c r="FA30" s="19">
        <f t="shared" si="70"/>
        <v>92</v>
      </c>
      <c r="FB30" s="19">
        <f t="shared" si="71"/>
        <v>85.033333333333331</v>
      </c>
      <c r="FC30" s="19">
        <f t="shared" si="72"/>
        <v>85.723529411764716</v>
      </c>
    </row>
    <row r="31" spans="1:159" ht="18">
      <c r="A31" s="11">
        <v>27</v>
      </c>
      <c r="B31" s="12" t="s">
        <v>104</v>
      </c>
      <c r="C31" s="13" t="s">
        <v>105</v>
      </c>
      <c r="D31" s="12" t="s">
        <v>53</v>
      </c>
      <c r="E31" s="14">
        <v>89</v>
      </c>
      <c r="F31" s="14">
        <v>82</v>
      </c>
      <c r="G31" s="14">
        <v>90</v>
      </c>
      <c r="H31" s="14">
        <v>85</v>
      </c>
      <c r="I31" s="14">
        <v>93</v>
      </c>
      <c r="J31" s="14">
        <v>89</v>
      </c>
      <c r="K31" s="14">
        <v>81</v>
      </c>
      <c r="L31" s="14">
        <v>80</v>
      </c>
      <c r="M31" s="14">
        <v>95</v>
      </c>
      <c r="N31" s="14">
        <v>95</v>
      </c>
      <c r="O31" s="14">
        <v>95</v>
      </c>
      <c r="P31" s="15">
        <v>95</v>
      </c>
      <c r="Q31" s="15">
        <v>80</v>
      </c>
      <c r="R31" s="14">
        <v>87</v>
      </c>
      <c r="S31" s="14">
        <v>78</v>
      </c>
      <c r="T31" s="14">
        <v>81</v>
      </c>
      <c r="U31" s="14">
        <v>81</v>
      </c>
      <c r="V31" s="14">
        <v>86</v>
      </c>
      <c r="W31" s="14">
        <v>82</v>
      </c>
      <c r="X31" s="14">
        <v>84</v>
      </c>
      <c r="Y31" s="14">
        <v>83</v>
      </c>
      <c r="Z31" s="14">
        <v>85</v>
      </c>
      <c r="AA31" s="14">
        <v>86</v>
      </c>
      <c r="AB31" s="15">
        <v>86</v>
      </c>
      <c r="AC31" s="15">
        <v>85</v>
      </c>
      <c r="AD31" s="14">
        <v>86</v>
      </c>
      <c r="AE31" s="14">
        <v>84</v>
      </c>
      <c r="AF31" s="14">
        <v>84</v>
      </c>
      <c r="AG31" s="14">
        <v>81</v>
      </c>
      <c r="AH31" s="14">
        <v>77</v>
      </c>
      <c r="AI31" s="14">
        <v>73</v>
      </c>
      <c r="AJ31" s="14">
        <v>84</v>
      </c>
      <c r="AK31" s="14">
        <v>81</v>
      </c>
      <c r="AL31" s="15">
        <v>86</v>
      </c>
      <c r="AM31" s="15">
        <v>75</v>
      </c>
      <c r="AN31" s="14">
        <v>76</v>
      </c>
      <c r="AO31" s="14">
        <v>77</v>
      </c>
      <c r="AP31" s="14">
        <v>78</v>
      </c>
      <c r="AQ31" s="14">
        <v>81</v>
      </c>
      <c r="AR31" s="14">
        <v>95</v>
      </c>
      <c r="AS31" s="14">
        <v>75</v>
      </c>
      <c r="AT31" s="14">
        <v>80</v>
      </c>
      <c r="AU31" s="14">
        <v>80</v>
      </c>
      <c r="AV31" s="14">
        <v>85</v>
      </c>
      <c r="AW31" s="14">
        <v>82</v>
      </c>
      <c r="AX31" s="15">
        <v>95</v>
      </c>
      <c r="AY31" s="15">
        <v>89</v>
      </c>
      <c r="AZ31" s="14">
        <v>96</v>
      </c>
      <c r="BA31" s="14">
        <v>82</v>
      </c>
      <c r="BB31" s="14">
        <v>92</v>
      </c>
      <c r="BC31" s="14">
        <v>80</v>
      </c>
      <c r="BD31" s="14">
        <v>82</v>
      </c>
      <c r="BE31" s="37">
        <v>88</v>
      </c>
      <c r="BF31" s="37">
        <v>88</v>
      </c>
      <c r="BG31" s="37">
        <v>82</v>
      </c>
      <c r="BH31" s="14">
        <v>95</v>
      </c>
      <c r="BI31" s="38">
        <v>86</v>
      </c>
      <c r="BJ31" s="38">
        <v>84</v>
      </c>
      <c r="BK31" s="38">
        <v>88</v>
      </c>
      <c r="BL31" s="14">
        <v>95</v>
      </c>
      <c r="BM31" s="38">
        <v>78</v>
      </c>
      <c r="BN31" s="38">
        <v>80</v>
      </c>
      <c r="BO31" s="38">
        <v>85</v>
      </c>
      <c r="BP31" s="14">
        <v>95</v>
      </c>
      <c r="BQ31" s="15">
        <f t="shared" si="0"/>
        <v>84</v>
      </c>
      <c r="BR31" s="15">
        <f t="shared" si="1"/>
        <v>84</v>
      </c>
      <c r="BS31" s="15">
        <f t="shared" si="2"/>
        <v>85</v>
      </c>
      <c r="BT31" s="15">
        <f t="shared" si="3"/>
        <v>95</v>
      </c>
      <c r="BU31" s="15">
        <v>88</v>
      </c>
      <c r="BV31" s="15">
        <v>88</v>
      </c>
      <c r="BW31" s="15">
        <v>90</v>
      </c>
      <c r="BX31" s="15">
        <v>95</v>
      </c>
      <c r="BY31" s="15">
        <v>92</v>
      </c>
      <c r="BZ31" s="15">
        <v>78</v>
      </c>
      <c r="CA31" s="15">
        <v>91</v>
      </c>
      <c r="CB31" s="15">
        <v>90</v>
      </c>
      <c r="CC31" s="15">
        <v>95</v>
      </c>
      <c r="CD31" s="39">
        <v>85</v>
      </c>
      <c r="CE31" s="40">
        <v>90</v>
      </c>
      <c r="CF31" s="40">
        <v>82</v>
      </c>
      <c r="CG31" s="40">
        <v>72</v>
      </c>
      <c r="CH31" s="40">
        <v>81</v>
      </c>
      <c r="CI31" s="40">
        <v>86</v>
      </c>
      <c r="CJ31" s="40">
        <v>82</v>
      </c>
      <c r="CK31" s="39">
        <v>84</v>
      </c>
      <c r="CL31" s="40">
        <v>70</v>
      </c>
      <c r="CM31" s="41">
        <f t="shared" si="4"/>
        <v>87.8</v>
      </c>
      <c r="CN31" s="41">
        <f t="shared" si="5"/>
        <v>89</v>
      </c>
      <c r="CO31" s="41">
        <f t="shared" si="6"/>
        <v>85</v>
      </c>
      <c r="CP31" s="17">
        <f t="shared" si="7"/>
        <v>87.320000000000007</v>
      </c>
      <c r="CQ31" s="16">
        <f t="shared" si="8"/>
        <v>89.2</v>
      </c>
      <c r="CR31" s="16">
        <f t="shared" si="9"/>
        <v>95</v>
      </c>
      <c r="CS31" s="16">
        <f t="shared" si="10"/>
        <v>90</v>
      </c>
      <c r="CT31" s="17">
        <f t="shared" si="11"/>
        <v>91.179999999999993</v>
      </c>
      <c r="CU31" s="17">
        <f t="shared" si="12"/>
        <v>81.400000000000006</v>
      </c>
      <c r="CV31" s="17">
        <f t="shared" si="13"/>
        <v>86</v>
      </c>
      <c r="CW31" s="17">
        <f t="shared" si="14"/>
        <v>82</v>
      </c>
      <c r="CX31" s="17">
        <f t="shared" si="15"/>
        <v>82.960000000000008</v>
      </c>
      <c r="CY31" s="18">
        <f t="shared" si="16"/>
        <v>83.5</v>
      </c>
      <c r="CZ31" s="18">
        <f t="shared" si="17"/>
        <v>83.5</v>
      </c>
      <c r="DA31" s="18">
        <f t="shared" si="18"/>
        <v>85.75</v>
      </c>
      <c r="DB31" s="18">
        <f t="shared" si="19"/>
        <v>85.75</v>
      </c>
      <c r="DC31" s="18">
        <f t="shared" si="20"/>
        <v>84</v>
      </c>
      <c r="DD31" s="18">
        <f t="shared" si="21"/>
        <v>84</v>
      </c>
      <c r="DE31" s="18">
        <f t="shared" si="22"/>
        <v>78.75</v>
      </c>
      <c r="DF31" s="18">
        <f t="shared" si="23"/>
        <v>78.75</v>
      </c>
      <c r="DG31" s="18">
        <f t="shared" si="24"/>
        <v>81</v>
      </c>
      <c r="DH31" s="18">
        <f t="shared" si="25"/>
        <v>86</v>
      </c>
      <c r="DI31" s="18">
        <f t="shared" si="26"/>
        <v>72</v>
      </c>
      <c r="DJ31" s="17">
        <f t="shared" si="27"/>
        <v>79.8</v>
      </c>
      <c r="DK31" s="18">
        <f t="shared" si="28"/>
        <v>77.400000000000006</v>
      </c>
      <c r="DL31" s="18">
        <f t="shared" si="29"/>
        <v>95</v>
      </c>
      <c r="DM31" s="18">
        <f t="shared" si="30"/>
        <v>81</v>
      </c>
      <c r="DN31" s="17">
        <f t="shared" si="31"/>
        <v>83.76</v>
      </c>
      <c r="DO31" s="18">
        <f t="shared" si="32"/>
        <v>80.400000000000006</v>
      </c>
      <c r="DP31" s="18">
        <f t="shared" si="33"/>
        <v>95</v>
      </c>
      <c r="DQ31" s="18">
        <f t="shared" si="34"/>
        <v>86</v>
      </c>
      <c r="DR31" s="17">
        <f t="shared" si="35"/>
        <v>86.460000000000008</v>
      </c>
      <c r="DS31" s="18">
        <f t="shared" si="36"/>
        <v>92.5</v>
      </c>
      <c r="DT31" s="18">
        <f t="shared" si="37"/>
        <v>92.5</v>
      </c>
      <c r="DU31" s="18">
        <f t="shared" si="38"/>
        <v>87</v>
      </c>
      <c r="DV31" s="18">
        <f t="shared" si="39"/>
        <v>87</v>
      </c>
      <c r="DW31" s="18">
        <f t="shared" si="40"/>
        <v>81</v>
      </c>
      <c r="DX31" s="17">
        <f t="shared" si="41"/>
        <v>81</v>
      </c>
      <c r="DY31" s="18">
        <f t="shared" si="42"/>
        <v>84.333333333333329</v>
      </c>
      <c r="DZ31" s="18">
        <f t="shared" si="43"/>
        <v>95</v>
      </c>
      <c r="EA31" s="18">
        <f t="shared" si="44"/>
        <v>70</v>
      </c>
      <c r="EB31" s="17">
        <f t="shared" si="45"/>
        <v>83.23333333333332</v>
      </c>
      <c r="EC31" s="18">
        <f t="shared" si="46"/>
        <v>88.666666666666671</v>
      </c>
      <c r="ED31" s="18">
        <f t="shared" si="47"/>
        <v>95</v>
      </c>
      <c r="EE31" s="18">
        <f t="shared" si="48"/>
        <v>84</v>
      </c>
      <c r="EF31" s="17">
        <f t="shared" si="49"/>
        <v>89.166666666666671</v>
      </c>
      <c r="EG31" s="18">
        <f t="shared" si="50"/>
        <v>92</v>
      </c>
      <c r="EH31" s="18">
        <f t="shared" si="51"/>
        <v>86.333333333333329</v>
      </c>
      <c r="EI31" s="18">
        <f t="shared" si="52"/>
        <v>95</v>
      </c>
      <c r="EJ31" s="18">
        <f t="shared" si="53"/>
        <v>82</v>
      </c>
      <c r="EK31" s="17">
        <f t="shared" si="54"/>
        <v>87.633333333333326</v>
      </c>
      <c r="EL31" s="19">
        <f t="shared" si="55"/>
        <v>87.320000000000007</v>
      </c>
      <c r="EM31" s="19">
        <f t="shared" si="56"/>
        <v>91.179999999999993</v>
      </c>
      <c r="EN31" s="19">
        <f t="shared" si="57"/>
        <v>82.960000000000008</v>
      </c>
      <c r="EO31" s="19">
        <f t="shared" si="58"/>
        <v>83.5</v>
      </c>
      <c r="EP31" s="19">
        <f t="shared" si="59"/>
        <v>85.75</v>
      </c>
      <c r="EQ31" s="19">
        <f t="shared" si="60"/>
        <v>84</v>
      </c>
      <c r="ER31" s="19">
        <f t="shared" si="61"/>
        <v>78.75</v>
      </c>
      <c r="ES31" s="19">
        <f t="shared" si="62"/>
        <v>79.8</v>
      </c>
      <c r="ET31" s="19">
        <f t="shared" si="63"/>
        <v>83.76</v>
      </c>
      <c r="EU31" s="19">
        <f t="shared" si="64"/>
        <v>86.460000000000008</v>
      </c>
      <c r="EV31" s="19">
        <f t="shared" si="65"/>
        <v>92.5</v>
      </c>
      <c r="EW31" s="19">
        <f t="shared" si="66"/>
        <v>87</v>
      </c>
      <c r="EX31" s="19">
        <f t="shared" si="67"/>
        <v>81</v>
      </c>
      <c r="EY31" s="19">
        <f t="shared" si="68"/>
        <v>83.23333333333332</v>
      </c>
      <c r="EZ31" s="19">
        <f t="shared" si="69"/>
        <v>89.166666666666671</v>
      </c>
      <c r="FA31" s="19">
        <f t="shared" si="70"/>
        <v>92</v>
      </c>
      <c r="FB31" s="19">
        <f t="shared" si="71"/>
        <v>87.633333333333326</v>
      </c>
      <c r="FC31" s="19">
        <f t="shared" si="72"/>
        <v>85.647843137254895</v>
      </c>
    </row>
    <row r="32" spans="1:159" ht="18">
      <c r="A32" s="11">
        <v>28</v>
      </c>
      <c r="B32" s="12" t="s">
        <v>106</v>
      </c>
      <c r="C32" s="13" t="s">
        <v>107</v>
      </c>
      <c r="D32" s="12" t="s">
        <v>53</v>
      </c>
      <c r="E32" s="14">
        <v>80</v>
      </c>
      <c r="F32" s="14">
        <v>81</v>
      </c>
      <c r="G32" s="14">
        <v>89</v>
      </c>
      <c r="H32" s="14">
        <v>84</v>
      </c>
      <c r="I32" s="14">
        <v>91</v>
      </c>
      <c r="J32" s="14">
        <v>84</v>
      </c>
      <c r="K32" s="14">
        <v>80</v>
      </c>
      <c r="L32" s="14">
        <v>76</v>
      </c>
      <c r="M32" s="14">
        <v>79</v>
      </c>
      <c r="N32" s="14">
        <v>87</v>
      </c>
      <c r="O32" s="14">
        <v>91</v>
      </c>
      <c r="P32" s="15">
        <v>85</v>
      </c>
      <c r="Q32" s="15">
        <v>83</v>
      </c>
      <c r="R32" s="14">
        <v>87</v>
      </c>
      <c r="S32" s="14">
        <v>85</v>
      </c>
      <c r="T32" s="14">
        <v>88</v>
      </c>
      <c r="U32" s="14">
        <v>81</v>
      </c>
      <c r="V32" s="14">
        <v>82</v>
      </c>
      <c r="W32" s="14">
        <v>82</v>
      </c>
      <c r="X32" s="14">
        <v>84</v>
      </c>
      <c r="Y32" s="14">
        <v>81</v>
      </c>
      <c r="Z32" s="14">
        <v>84</v>
      </c>
      <c r="AA32" s="14">
        <v>77</v>
      </c>
      <c r="AB32" s="15">
        <v>85</v>
      </c>
      <c r="AC32" s="15">
        <v>80</v>
      </c>
      <c r="AD32" s="14">
        <v>83</v>
      </c>
      <c r="AE32" s="14">
        <v>81</v>
      </c>
      <c r="AF32" s="14">
        <v>82</v>
      </c>
      <c r="AG32" s="14">
        <v>80</v>
      </c>
      <c r="AH32" s="14">
        <v>72</v>
      </c>
      <c r="AI32" s="14">
        <v>73</v>
      </c>
      <c r="AJ32" s="14">
        <v>83</v>
      </c>
      <c r="AK32" s="14">
        <v>80</v>
      </c>
      <c r="AL32" s="15">
        <v>82</v>
      </c>
      <c r="AM32" s="15">
        <v>71</v>
      </c>
      <c r="AN32" s="14">
        <v>72</v>
      </c>
      <c r="AO32" s="14">
        <v>75</v>
      </c>
      <c r="AP32" s="14">
        <v>76</v>
      </c>
      <c r="AQ32" s="14">
        <v>77</v>
      </c>
      <c r="AR32" s="14">
        <v>83</v>
      </c>
      <c r="AS32" s="14">
        <v>73</v>
      </c>
      <c r="AT32" s="14">
        <v>80</v>
      </c>
      <c r="AU32" s="14">
        <v>78</v>
      </c>
      <c r="AV32" s="14">
        <v>82</v>
      </c>
      <c r="AW32" s="14">
        <v>78</v>
      </c>
      <c r="AX32" s="15">
        <v>83</v>
      </c>
      <c r="AY32" s="15">
        <v>75</v>
      </c>
      <c r="AZ32" s="14">
        <v>81</v>
      </c>
      <c r="BA32" s="14">
        <v>77</v>
      </c>
      <c r="BB32" s="14">
        <v>84</v>
      </c>
      <c r="BC32" s="14">
        <v>78</v>
      </c>
      <c r="BD32" s="14">
        <v>80</v>
      </c>
      <c r="BE32" s="37">
        <v>79</v>
      </c>
      <c r="BF32" s="37">
        <v>76</v>
      </c>
      <c r="BG32" s="37">
        <v>80</v>
      </c>
      <c r="BH32" s="14">
        <v>83</v>
      </c>
      <c r="BI32" s="38">
        <v>80</v>
      </c>
      <c r="BJ32" s="38">
        <v>72</v>
      </c>
      <c r="BK32" s="38">
        <v>84</v>
      </c>
      <c r="BL32" s="14">
        <v>83</v>
      </c>
      <c r="BM32" s="38">
        <v>79</v>
      </c>
      <c r="BN32" s="38">
        <v>80</v>
      </c>
      <c r="BO32" s="38">
        <v>83</v>
      </c>
      <c r="BP32" s="14">
        <v>83</v>
      </c>
      <c r="BQ32" s="15">
        <f t="shared" si="0"/>
        <v>79.333333333333329</v>
      </c>
      <c r="BR32" s="15">
        <f t="shared" si="1"/>
        <v>76</v>
      </c>
      <c r="BS32" s="15">
        <f t="shared" si="2"/>
        <v>82.333333333333329</v>
      </c>
      <c r="BT32" s="15">
        <f t="shared" si="3"/>
        <v>83</v>
      </c>
      <c r="BU32" s="15">
        <v>87</v>
      </c>
      <c r="BV32" s="15">
        <v>85</v>
      </c>
      <c r="BW32" s="15">
        <v>86</v>
      </c>
      <c r="BX32" s="15">
        <v>83</v>
      </c>
      <c r="BY32" s="15">
        <v>83</v>
      </c>
      <c r="BZ32" s="15">
        <v>70</v>
      </c>
      <c r="CA32" s="15">
        <v>75</v>
      </c>
      <c r="CB32" s="15">
        <v>80</v>
      </c>
      <c r="CC32" s="15">
        <v>83</v>
      </c>
      <c r="CD32" s="39">
        <v>83</v>
      </c>
      <c r="CE32" s="40">
        <v>85</v>
      </c>
      <c r="CF32" s="40">
        <v>80</v>
      </c>
      <c r="CG32" s="40">
        <v>93</v>
      </c>
      <c r="CH32" s="40">
        <v>77</v>
      </c>
      <c r="CI32" s="40">
        <v>85</v>
      </c>
      <c r="CJ32" s="40">
        <v>82</v>
      </c>
      <c r="CK32" s="39">
        <v>88</v>
      </c>
      <c r="CL32" s="40">
        <v>72</v>
      </c>
      <c r="CM32" s="41">
        <f t="shared" si="4"/>
        <v>85</v>
      </c>
      <c r="CN32" s="41">
        <f t="shared" si="5"/>
        <v>84</v>
      </c>
      <c r="CO32" s="41">
        <f t="shared" si="6"/>
        <v>83</v>
      </c>
      <c r="CP32" s="17">
        <f t="shared" si="7"/>
        <v>84.1</v>
      </c>
      <c r="CQ32" s="16">
        <f t="shared" si="8"/>
        <v>82.6</v>
      </c>
      <c r="CR32" s="16">
        <f t="shared" si="9"/>
        <v>85</v>
      </c>
      <c r="CS32" s="16">
        <f t="shared" si="10"/>
        <v>85</v>
      </c>
      <c r="CT32" s="17">
        <f t="shared" si="11"/>
        <v>84.039999999999992</v>
      </c>
      <c r="CU32" s="17">
        <f t="shared" si="12"/>
        <v>84.8</v>
      </c>
      <c r="CV32" s="17">
        <f t="shared" si="13"/>
        <v>82</v>
      </c>
      <c r="CW32" s="17">
        <f t="shared" si="14"/>
        <v>80</v>
      </c>
      <c r="CX32" s="17">
        <f t="shared" si="15"/>
        <v>82.52000000000001</v>
      </c>
      <c r="CY32" s="18">
        <f t="shared" si="16"/>
        <v>82.75</v>
      </c>
      <c r="CZ32" s="18">
        <f t="shared" si="17"/>
        <v>82.75</v>
      </c>
      <c r="DA32" s="18">
        <f t="shared" si="18"/>
        <v>81.25</v>
      </c>
      <c r="DB32" s="18">
        <f t="shared" si="19"/>
        <v>81.25</v>
      </c>
      <c r="DC32" s="18">
        <f t="shared" si="20"/>
        <v>81.5</v>
      </c>
      <c r="DD32" s="18">
        <f t="shared" si="21"/>
        <v>81.5</v>
      </c>
      <c r="DE32" s="18">
        <f t="shared" si="22"/>
        <v>77</v>
      </c>
      <c r="DF32" s="18">
        <f t="shared" si="23"/>
        <v>77</v>
      </c>
      <c r="DG32" s="18">
        <f t="shared" si="24"/>
        <v>80</v>
      </c>
      <c r="DH32" s="18">
        <f t="shared" si="25"/>
        <v>82</v>
      </c>
      <c r="DI32" s="18">
        <f t="shared" si="26"/>
        <v>93</v>
      </c>
      <c r="DJ32" s="17">
        <f t="shared" si="27"/>
        <v>84.5</v>
      </c>
      <c r="DK32" s="18">
        <f t="shared" si="28"/>
        <v>74.2</v>
      </c>
      <c r="DL32" s="18">
        <f t="shared" si="29"/>
        <v>83</v>
      </c>
      <c r="DM32" s="18">
        <f t="shared" si="30"/>
        <v>77</v>
      </c>
      <c r="DN32" s="17">
        <f t="shared" si="31"/>
        <v>77.679999999999993</v>
      </c>
      <c r="DO32" s="18">
        <f t="shared" si="32"/>
        <v>78.2</v>
      </c>
      <c r="DP32" s="18">
        <f t="shared" si="33"/>
        <v>83</v>
      </c>
      <c r="DQ32" s="18">
        <f t="shared" si="34"/>
        <v>85</v>
      </c>
      <c r="DR32" s="17">
        <f t="shared" si="35"/>
        <v>81.679999999999993</v>
      </c>
      <c r="DS32" s="18">
        <f t="shared" si="36"/>
        <v>78</v>
      </c>
      <c r="DT32" s="18">
        <f t="shared" si="37"/>
        <v>78</v>
      </c>
      <c r="DU32" s="18">
        <f t="shared" si="38"/>
        <v>80.5</v>
      </c>
      <c r="DV32" s="18">
        <f t="shared" si="39"/>
        <v>80.5</v>
      </c>
      <c r="DW32" s="18">
        <f t="shared" si="40"/>
        <v>79</v>
      </c>
      <c r="DX32" s="17">
        <f t="shared" si="41"/>
        <v>79</v>
      </c>
      <c r="DY32" s="18">
        <f t="shared" si="42"/>
        <v>79.222222222222214</v>
      </c>
      <c r="DZ32" s="18">
        <f t="shared" si="43"/>
        <v>83</v>
      </c>
      <c r="EA32" s="18">
        <f t="shared" si="44"/>
        <v>72</v>
      </c>
      <c r="EB32" s="17">
        <f t="shared" si="45"/>
        <v>78.188888888888897</v>
      </c>
      <c r="EC32" s="18">
        <f t="shared" si="46"/>
        <v>86</v>
      </c>
      <c r="ED32" s="18">
        <f t="shared" si="47"/>
        <v>83</v>
      </c>
      <c r="EE32" s="18">
        <f t="shared" si="48"/>
        <v>88</v>
      </c>
      <c r="EF32" s="17">
        <f t="shared" si="49"/>
        <v>85.7</v>
      </c>
      <c r="EG32" s="18">
        <f t="shared" si="50"/>
        <v>83</v>
      </c>
      <c r="EH32" s="18">
        <f t="shared" si="51"/>
        <v>75</v>
      </c>
      <c r="EI32" s="18">
        <f t="shared" si="52"/>
        <v>83</v>
      </c>
      <c r="EJ32" s="18">
        <f t="shared" si="53"/>
        <v>82</v>
      </c>
      <c r="EK32" s="17">
        <f t="shared" si="54"/>
        <v>79.5</v>
      </c>
      <c r="EL32" s="19">
        <f t="shared" si="55"/>
        <v>84.1</v>
      </c>
      <c r="EM32" s="19">
        <f t="shared" si="56"/>
        <v>84.039999999999992</v>
      </c>
      <c r="EN32" s="19">
        <f t="shared" si="57"/>
        <v>82.52000000000001</v>
      </c>
      <c r="EO32" s="19">
        <f t="shared" si="58"/>
        <v>82.75</v>
      </c>
      <c r="EP32" s="19">
        <f t="shared" si="59"/>
        <v>81.25</v>
      </c>
      <c r="EQ32" s="19">
        <f t="shared" si="60"/>
        <v>81.5</v>
      </c>
      <c r="ER32" s="19">
        <f t="shared" si="61"/>
        <v>77</v>
      </c>
      <c r="ES32" s="19">
        <f t="shared" si="62"/>
        <v>84.5</v>
      </c>
      <c r="ET32" s="19">
        <f t="shared" si="63"/>
        <v>77.679999999999993</v>
      </c>
      <c r="EU32" s="19">
        <f t="shared" si="64"/>
        <v>81.679999999999993</v>
      </c>
      <c r="EV32" s="19">
        <f t="shared" si="65"/>
        <v>78</v>
      </c>
      <c r="EW32" s="19">
        <f t="shared" si="66"/>
        <v>80.5</v>
      </c>
      <c r="EX32" s="19">
        <f t="shared" si="67"/>
        <v>79</v>
      </c>
      <c r="EY32" s="19">
        <f t="shared" si="68"/>
        <v>78.188888888888897</v>
      </c>
      <c r="EZ32" s="19">
        <f t="shared" si="69"/>
        <v>85.7</v>
      </c>
      <c r="FA32" s="19">
        <f t="shared" si="70"/>
        <v>83</v>
      </c>
      <c r="FB32" s="19">
        <f t="shared" si="71"/>
        <v>79.5</v>
      </c>
      <c r="FC32" s="19">
        <f t="shared" si="72"/>
        <v>81.22993464052287</v>
      </c>
    </row>
    <row r="33" spans="1:159" ht="18">
      <c r="A33" s="11">
        <v>29</v>
      </c>
      <c r="B33" s="12" t="s">
        <v>108</v>
      </c>
      <c r="C33" s="13" t="s">
        <v>109</v>
      </c>
      <c r="D33" s="12" t="s">
        <v>53</v>
      </c>
      <c r="E33" s="14">
        <v>91</v>
      </c>
      <c r="F33" s="14">
        <v>87</v>
      </c>
      <c r="G33" s="14">
        <v>88</v>
      </c>
      <c r="H33" s="14">
        <v>84</v>
      </c>
      <c r="I33" s="14">
        <v>94</v>
      </c>
      <c r="J33" s="14">
        <v>93</v>
      </c>
      <c r="K33" s="14">
        <v>80</v>
      </c>
      <c r="L33" s="14">
        <v>82</v>
      </c>
      <c r="M33" s="14">
        <v>89</v>
      </c>
      <c r="N33" s="14">
        <v>92</v>
      </c>
      <c r="O33" s="14">
        <v>95</v>
      </c>
      <c r="P33" s="15">
        <v>93</v>
      </c>
      <c r="Q33" s="15">
        <v>96</v>
      </c>
      <c r="R33" s="14">
        <v>90</v>
      </c>
      <c r="S33" s="14">
        <v>86</v>
      </c>
      <c r="T33" s="14">
        <v>82</v>
      </c>
      <c r="U33" s="14">
        <v>89</v>
      </c>
      <c r="V33" s="14">
        <v>84</v>
      </c>
      <c r="W33" s="14">
        <v>83</v>
      </c>
      <c r="X33" s="14">
        <v>85</v>
      </c>
      <c r="Y33" s="14">
        <v>81</v>
      </c>
      <c r="Z33" s="14">
        <v>85</v>
      </c>
      <c r="AA33" s="14">
        <v>89</v>
      </c>
      <c r="AB33" s="15">
        <v>84</v>
      </c>
      <c r="AC33" s="15">
        <v>80</v>
      </c>
      <c r="AD33" s="14">
        <v>84</v>
      </c>
      <c r="AE33" s="14">
        <v>84</v>
      </c>
      <c r="AF33" s="14">
        <v>84</v>
      </c>
      <c r="AG33" s="14">
        <v>82</v>
      </c>
      <c r="AH33" s="14">
        <v>77</v>
      </c>
      <c r="AI33" s="14">
        <v>75</v>
      </c>
      <c r="AJ33" s="14">
        <v>83</v>
      </c>
      <c r="AK33" s="14">
        <v>81</v>
      </c>
      <c r="AL33" s="15">
        <v>84</v>
      </c>
      <c r="AM33" s="15">
        <v>71</v>
      </c>
      <c r="AN33" s="14">
        <v>72</v>
      </c>
      <c r="AO33" s="14">
        <v>73</v>
      </c>
      <c r="AP33" s="14">
        <v>74</v>
      </c>
      <c r="AQ33" s="14">
        <v>81</v>
      </c>
      <c r="AR33" s="14">
        <v>82</v>
      </c>
      <c r="AS33" s="14">
        <v>84</v>
      </c>
      <c r="AT33" s="14">
        <v>80</v>
      </c>
      <c r="AU33" s="14">
        <v>80</v>
      </c>
      <c r="AV33" s="14">
        <v>85</v>
      </c>
      <c r="AW33" s="14">
        <v>85</v>
      </c>
      <c r="AX33" s="15">
        <v>82</v>
      </c>
      <c r="AY33" s="15">
        <v>80</v>
      </c>
      <c r="AZ33" s="14">
        <v>90</v>
      </c>
      <c r="BA33" s="14">
        <v>80</v>
      </c>
      <c r="BB33" s="14">
        <v>89</v>
      </c>
      <c r="BC33" s="14">
        <v>87</v>
      </c>
      <c r="BD33" s="14">
        <v>80</v>
      </c>
      <c r="BE33" s="37">
        <v>86</v>
      </c>
      <c r="BF33" s="37">
        <v>84</v>
      </c>
      <c r="BG33" s="37">
        <v>80</v>
      </c>
      <c r="BH33" s="14">
        <v>84</v>
      </c>
      <c r="BI33" s="38">
        <v>86</v>
      </c>
      <c r="BJ33" s="38">
        <v>85</v>
      </c>
      <c r="BK33" s="38">
        <v>89</v>
      </c>
      <c r="BL33" s="14">
        <v>84</v>
      </c>
      <c r="BM33" s="38">
        <v>80</v>
      </c>
      <c r="BN33" s="38">
        <v>83</v>
      </c>
      <c r="BO33" s="38">
        <v>85</v>
      </c>
      <c r="BP33" s="14">
        <v>84</v>
      </c>
      <c r="BQ33" s="15">
        <f t="shared" si="0"/>
        <v>84</v>
      </c>
      <c r="BR33" s="15">
        <f t="shared" si="1"/>
        <v>84</v>
      </c>
      <c r="BS33" s="15">
        <f t="shared" si="2"/>
        <v>84.666666666666671</v>
      </c>
      <c r="BT33" s="15">
        <f t="shared" si="3"/>
        <v>84</v>
      </c>
      <c r="BU33" s="15">
        <v>83</v>
      </c>
      <c r="BV33" s="15">
        <v>83</v>
      </c>
      <c r="BW33" s="15">
        <v>90</v>
      </c>
      <c r="BX33" s="15">
        <v>84</v>
      </c>
      <c r="BY33" s="15">
        <v>87</v>
      </c>
      <c r="BZ33" s="15">
        <v>73</v>
      </c>
      <c r="CA33" s="15">
        <v>89</v>
      </c>
      <c r="CB33" s="15">
        <v>80</v>
      </c>
      <c r="CC33" s="15">
        <v>82</v>
      </c>
      <c r="CD33" s="39">
        <v>90</v>
      </c>
      <c r="CE33" s="40">
        <v>95</v>
      </c>
      <c r="CF33" s="40">
        <v>81</v>
      </c>
      <c r="CG33" s="40">
        <v>92</v>
      </c>
      <c r="CH33" s="40">
        <v>81</v>
      </c>
      <c r="CI33" s="40">
        <v>88</v>
      </c>
      <c r="CJ33" s="40">
        <v>82</v>
      </c>
      <c r="CK33" s="39">
        <v>88</v>
      </c>
      <c r="CL33" s="40">
        <v>92</v>
      </c>
      <c r="CM33" s="41">
        <f t="shared" si="4"/>
        <v>88.8</v>
      </c>
      <c r="CN33" s="41">
        <f t="shared" si="5"/>
        <v>93</v>
      </c>
      <c r="CO33" s="41">
        <f t="shared" si="6"/>
        <v>90</v>
      </c>
      <c r="CP33" s="17">
        <f t="shared" si="7"/>
        <v>90.42</v>
      </c>
      <c r="CQ33" s="16">
        <f t="shared" si="8"/>
        <v>87.6</v>
      </c>
      <c r="CR33" s="16">
        <f t="shared" si="9"/>
        <v>93</v>
      </c>
      <c r="CS33" s="16">
        <f t="shared" si="10"/>
        <v>95</v>
      </c>
      <c r="CT33" s="17">
        <f t="shared" si="11"/>
        <v>91.44</v>
      </c>
      <c r="CU33" s="17">
        <f t="shared" si="12"/>
        <v>88.6</v>
      </c>
      <c r="CV33" s="17">
        <f t="shared" si="13"/>
        <v>84</v>
      </c>
      <c r="CW33" s="17">
        <f t="shared" si="14"/>
        <v>81</v>
      </c>
      <c r="CX33" s="17">
        <f t="shared" si="15"/>
        <v>84.94</v>
      </c>
      <c r="CY33" s="18">
        <f t="shared" si="16"/>
        <v>83.5</v>
      </c>
      <c r="CZ33" s="18">
        <f t="shared" si="17"/>
        <v>83.5</v>
      </c>
      <c r="DA33" s="18">
        <f t="shared" si="18"/>
        <v>84.25</v>
      </c>
      <c r="DB33" s="18">
        <f t="shared" si="19"/>
        <v>84.25</v>
      </c>
      <c r="DC33" s="18">
        <f t="shared" si="20"/>
        <v>84</v>
      </c>
      <c r="DD33" s="18">
        <f t="shared" si="21"/>
        <v>84</v>
      </c>
      <c r="DE33" s="18">
        <f t="shared" si="22"/>
        <v>79.25</v>
      </c>
      <c r="DF33" s="18">
        <f t="shared" si="23"/>
        <v>79.25</v>
      </c>
      <c r="DG33" s="18">
        <f t="shared" si="24"/>
        <v>81</v>
      </c>
      <c r="DH33" s="18">
        <f t="shared" si="25"/>
        <v>84</v>
      </c>
      <c r="DI33" s="18">
        <f t="shared" si="26"/>
        <v>92</v>
      </c>
      <c r="DJ33" s="17">
        <f t="shared" si="27"/>
        <v>85.2</v>
      </c>
      <c r="DK33" s="18">
        <f t="shared" si="28"/>
        <v>74.2</v>
      </c>
      <c r="DL33" s="18">
        <f t="shared" si="29"/>
        <v>82</v>
      </c>
      <c r="DM33" s="18">
        <f t="shared" si="30"/>
        <v>81</v>
      </c>
      <c r="DN33" s="17">
        <f t="shared" si="31"/>
        <v>78.58</v>
      </c>
      <c r="DO33" s="18">
        <f t="shared" si="32"/>
        <v>82.8</v>
      </c>
      <c r="DP33" s="18">
        <f t="shared" si="33"/>
        <v>82</v>
      </c>
      <c r="DQ33" s="18">
        <f t="shared" si="34"/>
        <v>88</v>
      </c>
      <c r="DR33" s="17">
        <f t="shared" si="35"/>
        <v>84.12</v>
      </c>
      <c r="DS33" s="18">
        <f t="shared" si="36"/>
        <v>85</v>
      </c>
      <c r="DT33" s="18">
        <f t="shared" si="37"/>
        <v>85</v>
      </c>
      <c r="DU33" s="18">
        <f t="shared" si="38"/>
        <v>84.5</v>
      </c>
      <c r="DV33" s="18">
        <f t="shared" si="39"/>
        <v>84.5</v>
      </c>
      <c r="DW33" s="18">
        <f t="shared" si="40"/>
        <v>83.5</v>
      </c>
      <c r="DX33" s="17">
        <f t="shared" si="41"/>
        <v>83.5</v>
      </c>
      <c r="DY33" s="18">
        <f t="shared" si="42"/>
        <v>84.222222222222229</v>
      </c>
      <c r="DZ33" s="18">
        <f t="shared" si="43"/>
        <v>84</v>
      </c>
      <c r="EA33" s="18">
        <f t="shared" si="44"/>
        <v>92</v>
      </c>
      <c r="EB33" s="17">
        <f t="shared" si="45"/>
        <v>86.488888888888894</v>
      </c>
      <c r="EC33" s="18">
        <f t="shared" si="46"/>
        <v>85.333333333333329</v>
      </c>
      <c r="ED33" s="18">
        <f t="shared" si="47"/>
        <v>84</v>
      </c>
      <c r="EE33" s="18">
        <f t="shared" si="48"/>
        <v>88</v>
      </c>
      <c r="EF33" s="17">
        <f t="shared" si="49"/>
        <v>85.73333333333332</v>
      </c>
      <c r="EG33" s="18">
        <f t="shared" si="50"/>
        <v>87</v>
      </c>
      <c r="EH33" s="18">
        <f t="shared" si="51"/>
        <v>80.666666666666671</v>
      </c>
      <c r="EI33" s="18">
        <f t="shared" si="52"/>
        <v>82</v>
      </c>
      <c r="EJ33" s="18">
        <f t="shared" si="53"/>
        <v>82</v>
      </c>
      <c r="EK33" s="17">
        <f t="shared" si="54"/>
        <v>81.466666666666669</v>
      </c>
      <c r="EL33" s="19">
        <f t="shared" si="55"/>
        <v>90.42</v>
      </c>
      <c r="EM33" s="19">
        <f t="shared" si="56"/>
        <v>91.44</v>
      </c>
      <c r="EN33" s="19">
        <f t="shared" si="57"/>
        <v>84.94</v>
      </c>
      <c r="EO33" s="19">
        <f t="shared" si="58"/>
        <v>83.5</v>
      </c>
      <c r="EP33" s="19">
        <f t="shared" si="59"/>
        <v>84.25</v>
      </c>
      <c r="EQ33" s="19">
        <f t="shared" si="60"/>
        <v>84</v>
      </c>
      <c r="ER33" s="19">
        <f t="shared" si="61"/>
        <v>79.25</v>
      </c>
      <c r="ES33" s="19">
        <f t="shared" si="62"/>
        <v>85.2</v>
      </c>
      <c r="ET33" s="19">
        <f t="shared" si="63"/>
        <v>78.58</v>
      </c>
      <c r="EU33" s="19">
        <f t="shared" si="64"/>
        <v>84.12</v>
      </c>
      <c r="EV33" s="19">
        <f t="shared" si="65"/>
        <v>85</v>
      </c>
      <c r="EW33" s="19">
        <f t="shared" si="66"/>
        <v>84.5</v>
      </c>
      <c r="EX33" s="19">
        <f t="shared" si="67"/>
        <v>83.5</v>
      </c>
      <c r="EY33" s="19">
        <f t="shared" si="68"/>
        <v>86.488888888888894</v>
      </c>
      <c r="EZ33" s="19">
        <f t="shared" si="69"/>
        <v>85.73333333333332</v>
      </c>
      <c r="FA33" s="19">
        <f t="shared" si="70"/>
        <v>87</v>
      </c>
      <c r="FB33" s="19">
        <f t="shared" si="71"/>
        <v>81.466666666666669</v>
      </c>
      <c r="FC33" s="19">
        <f t="shared" si="72"/>
        <v>84.669934640522882</v>
      </c>
    </row>
    <row r="34" spans="1:159" ht="20.100000000000001" customHeight="1">
      <c r="A34" s="11">
        <v>30</v>
      </c>
      <c r="B34" s="12" t="s">
        <v>110</v>
      </c>
      <c r="C34" s="13" t="s">
        <v>111</v>
      </c>
      <c r="D34" s="12" t="s">
        <v>53</v>
      </c>
      <c r="E34" s="14">
        <v>93</v>
      </c>
      <c r="F34" s="14">
        <v>98</v>
      </c>
      <c r="G34" s="14">
        <v>92</v>
      </c>
      <c r="H34" s="14">
        <v>89</v>
      </c>
      <c r="I34" s="14">
        <v>90</v>
      </c>
      <c r="J34" s="14">
        <v>93</v>
      </c>
      <c r="K34" s="14">
        <v>83</v>
      </c>
      <c r="L34" s="14">
        <v>83</v>
      </c>
      <c r="M34" s="14">
        <v>95</v>
      </c>
      <c r="N34" s="14">
        <v>95</v>
      </c>
      <c r="O34" s="14">
        <v>95</v>
      </c>
      <c r="P34" s="15">
        <v>93</v>
      </c>
      <c r="Q34" s="15">
        <v>85</v>
      </c>
      <c r="R34" s="14">
        <v>91</v>
      </c>
      <c r="S34" s="14">
        <v>88</v>
      </c>
      <c r="T34" s="14">
        <v>94</v>
      </c>
      <c r="U34" s="14">
        <v>90</v>
      </c>
      <c r="V34" s="14">
        <v>87</v>
      </c>
      <c r="W34" s="14">
        <v>81</v>
      </c>
      <c r="X34" s="14">
        <v>84</v>
      </c>
      <c r="Y34" s="14">
        <v>81</v>
      </c>
      <c r="Z34" s="14">
        <v>85</v>
      </c>
      <c r="AA34" s="14">
        <v>89</v>
      </c>
      <c r="AB34" s="15">
        <v>85</v>
      </c>
      <c r="AC34" s="15">
        <v>85</v>
      </c>
      <c r="AD34" s="14">
        <v>86</v>
      </c>
      <c r="AE34" s="14">
        <v>84</v>
      </c>
      <c r="AF34" s="14">
        <v>83</v>
      </c>
      <c r="AG34" s="14">
        <v>80</v>
      </c>
      <c r="AH34" s="14">
        <v>80</v>
      </c>
      <c r="AI34" s="14">
        <v>78</v>
      </c>
      <c r="AJ34" s="14">
        <v>85</v>
      </c>
      <c r="AK34" s="14">
        <v>89</v>
      </c>
      <c r="AL34" s="15">
        <v>87</v>
      </c>
      <c r="AM34" s="15">
        <v>80</v>
      </c>
      <c r="AN34" s="14">
        <v>85</v>
      </c>
      <c r="AO34" s="14">
        <v>85</v>
      </c>
      <c r="AP34" s="14">
        <v>86</v>
      </c>
      <c r="AQ34" s="14">
        <v>84</v>
      </c>
      <c r="AR34" s="14">
        <v>74</v>
      </c>
      <c r="AS34" s="14">
        <v>81</v>
      </c>
      <c r="AT34" s="14">
        <v>80</v>
      </c>
      <c r="AU34" s="14">
        <v>80</v>
      </c>
      <c r="AV34" s="14">
        <v>83</v>
      </c>
      <c r="AW34" s="14">
        <v>83</v>
      </c>
      <c r="AX34" s="15">
        <v>74</v>
      </c>
      <c r="AY34" s="15">
        <v>92</v>
      </c>
      <c r="AZ34" s="14">
        <v>91</v>
      </c>
      <c r="BA34" s="14">
        <v>94</v>
      </c>
      <c r="BB34" s="14">
        <v>96</v>
      </c>
      <c r="BC34" s="14">
        <v>88</v>
      </c>
      <c r="BD34" s="14">
        <v>90</v>
      </c>
      <c r="BE34" s="37">
        <v>88</v>
      </c>
      <c r="BF34" s="37">
        <v>90</v>
      </c>
      <c r="BG34" s="37">
        <v>84</v>
      </c>
      <c r="BH34" s="14">
        <v>82</v>
      </c>
      <c r="BI34" s="38">
        <v>92</v>
      </c>
      <c r="BJ34" s="38">
        <v>91</v>
      </c>
      <c r="BK34" s="38">
        <v>92</v>
      </c>
      <c r="BL34" s="14">
        <v>82</v>
      </c>
      <c r="BM34" s="38">
        <v>79</v>
      </c>
      <c r="BN34" s="38">
        <v>85</v>
      </c>
      <c r="BO34" s="38">
        <v>85</v>
      </c>
      <c r="BP34" s="14">
        <v>82</v>
      </c>
      <c r="BQ34" s="15">
        <f t="shared" si="0"/>
        <v>86.333333333333329</v>
      </c>
      <c r="BR34" s="15">
        <f t="shared" si="1"/>
        <v>88.666666666666671</v>
      </c>
      <c r="BS34" s="15">
        <f t="shared" si="2"/>
        <v>87</v>
      </c>
      <c r="BT34" s="15">
        <f t="shared" si="3"/>
        <v>82</v>
      </c>
      <c r="BU34" s="15">
        <v>86</v>
      </c>
      <c r="BV34" s="15">
        <v>86</v>
      </c>
      <c r="BW34" s="15">
        <v>90</v>
      </c>
      <c r="BX34" s="15">
        <v>82</v>
      </c>
      <c r="BY34" s="15">
        <v>86</v>
      </c>
      <c r="BZ34" s="15">
        <v>85</v>
      </c>
      <c r="CA34" s="15">
        <v>95</v>
      </c>
      <c r="CB34" s="15">
        <v>80</v>
      </c>
      <c r="CC34" s="15">
        <v>74</v>
      </c>
      <c r="CD34" s="39">
        <v>86</v>
      </c>
      <c r="CE34" s="40">
        <v>88</v>
      </c>
      <c r="CF34" s="40">
        <v>90</v>
      </c>
      <c r="CG34" s="40">
        <v>87</v>
      </c>
      <c r="CH34" s="40">
        <v>85</v>
      </c>
      <c r="CI34" s="40">
        <v>87</v>
      </c>
      <c r="CJ34" s="40">
        <v>82</v>
      </c>
      <c r="CK34" s="39">
        <v>84</v>
      </c>
      <c r="CL34" s="40">
        <v>85</v>
      </c>
      <c r="CM34" s="41">
        <f t="shared" si="4"/>
        <v>92.4</v>
      </c>
      <c r="CN34" s="41">
        <f t="shared" si="5"/>
        <v>93</v>
      </c>
      <c r="CO34" s="41">
        <f t="shared" si="6"/>
        <v>86</v>
      </c>
      <c r="CP34" s="17">
        <f t="shared" si="7"/>
        <v>90.66</v>
      </c>
      <c r="CQ34" s="16">
        <f t="shared" si="8"/>
        <v>90.2</v>
      </c>
      <c r="CR34" s="16">
        <f t="shared" si="9"/>
        <v>93</v>
      </c>
      <c r="CS34" s="16">
        <f t="shared" si="10"/>
        <v>88</v>
      </c>
      <c r="CT34" s="17">
        <f t="shared" si="11"/>
        <v>90.38</v>
      </c>
      <c r="CU34" s="17">
        <f t="shared" si="12"/>
        <v>89.6</v>
      </c>
      <c r="CV34" s="17">
        <f t="shared" si="13"/>
        <v>87</v>
      </c>
      <c r="CW34" s="17">
        <f t="shared" si="14"/>
        <v>90</v>
      </c>
      <c r="CX34" s="17">
        <f t="shared" si="15"/>
        <v>88.94</v>
      </c>
      <c r="CY34" s="18">
        <f t="shared" si="16"/>
        <v>82.75</v>
      </c>
      <c r="CZ34" s="18">
        <f t="shared" si="17"/>
        <v>82.75</v>
      </c>
      <c r="DA34" s="18">
        <f t="shared" si="18"/>
        <v>86.25</v>
      </c>
      <c r="DB34" s="18">
        <f t="shared" si="19"/>
        <v>86.25</v>
      </c>
      <c r="DC34" s="18">
        <f t="shared" si="20"/>
        <v>83.5</v>
      </c>
      <c r="DD34" s="18">
        <f t="shared" si="21"/>
        <v>83.5</v>
      </c>
      <c r="DE34" s="18">
        <f t="shared" si="22"/>
        <v>80.75</v>
      </c>
      <c r="DF34" s="18">
        <f t="shared" si="23"/>
        <v>80.75</v>
      </c>
      <c r="DG34" s="18">
        <f t="shared" si="24"/>
        <v>89</v>
      </c>
      <c r="DH34" s="18">
        <f t="shared" si="25"/>
        <v>87</v>
      </c>
      <c r="DI34" s="18">
        <f t="shared" si="26"/>
        <v>87</v>
      </c>
      <c r="DJ34" s="17">
        <f t="shared" si="27"/>
        <v>87.8</v>
      </c>
      <c r="DK34" s="18">
        <f t="shared" si="28"/>
        <v>84</v>
      </c>
      <c r="DL34" s="18">
        <f t="shared" si="29"/>
        <v>74</v>
      </c>
      <c r="DM34" s="18">
        <f t="shared" si="30"/>
        <v>85</v>
      </c>
      <c r="DN34" s="17">
        <f t="shared" si="31"/>
        <v>81.3</v>
      </c>
      <c r="DO34" s="18">
        <f t="shared" si="32"/>
        <v>81.400000000000006</v>
      </c>
      <c r="DP34" s="18">
        <f t="shared" si="33"/>
        <v>74</v>
      </c>
      <c r="DQ34" s="18">
        <f t="shared" si="34"/>
        <v>87</v>
      </c>
      <c r="DR34" s="17">
        <f t="shared" si="35"/>
        <v>80.86</v>
      </c>
      <c r="DS34" s="18">
        <f t="shared" si="36"/>
        <v>91.5</v>
      </c>
      <c r="DT34" s="18">
        <f t="shared" si="37"/>
        <v>91.5</v>
      </c>
      <c r="DU34" s="18">
        <f t="shared" si="38"/>
        <v>95</v>
      </c>
      <c r="DV34" s="18">
        <f t="shared" si="39"/>
        <v>95</v>
      </c>
      <c r="DW34" s="18">
        <f t="shared" si="40"/>
        <v>89</v>
      </c>
      <c r="DX34" s="17">
        <f t="shared" si="41"/>
        <v>89</v>
      </c>
      <c r="DY34" s="18">
        <f t="shared" si="42"/>
        <v>87.333333333333329</v>
      </c>
      <c r="DZ34" s="18">
        <f t="shared" si="43"/>
        <v>82</v>
      </c>
      <c r="EA34" s="18">
        <f t="shared" si="44"/>
        <v>85</v>
      </c>
      <c r="EB34" s="17">
        <f t="shared" si="45"/>
        <v>85.033333333333331</v>
      </c>
      <c r="EC34" s="18">
        <f t="shared" si="46"/>
        <v>87.333333333333329</v>
      </c>
      <c r="ED34" s="18">
        <f t="shared" si="47"/>
        <v>82</v>
      </c>
      <c r="EE34" s="18">
        <f t="shared" si="48"/>
        <v>84</v>
      </c>
      <c r="EF34" s="17">
        <f t="shared" si="49"/>
        <v>84.73333333333332</v>
      </c>
      <c r="EG34" s="18">
        <f t="shared" si="50"/>
        <v>86</v>
      </c>
      <c r="EH34" s="18">
        <f t="shared" si="51"/>
        <v>86.666666666666671</v>
      </c>
      <c r="EI34" s="18">
        <f t="shared" si="52"/>
        <v>74</v>
      </c>
      <c r="EJ34" s="18">
        <f t="shared" si="53"/>
        <v>82</v>
      </c>
      <c r="EK34" s="17">
        <f t="shared" si="54"/>
        <v>81.466666666666669</v>
      </c>
      <c r="EL34" s="19">
        <f t="shared" si="55"/>
        <v>90.66</v>
      </c>
      <c r="EM34" s="19">
        <f t="shared" si="56"/>
        <v>90.38</v>
      </c>
      <c r="EN34" s="19">
        <f t="shared" si="57"/>
        <v>88.94</v>
      </c>
      <c r="EO34" s="19">
        <f t="shared" si="58"/>
        <v>82.75</v>
      </c>
      <c r="EP34" s="19">
        <f t="shared" si="59"/>
        <v>86.25</v>
      </c>
      <c r="EQ34" s="19">
        <f t="shared" si="60"/>
        <v>83.5</v>
      </c>
      <c r="ER34" s="19">
        <f t="shared" si="61"/>
        <v>80.75</v>
      </c>
      <c r="ES34" s="19">
        <f t="shared" si="62"/>
        <v>87.8</v>
      </c>
      <c r="ET34" s="19">
        <f t="shared" si="63"/>
        <v>81.3</v>
      </c>
      <c r="EU34" s="19">
        <f t="shared" si="64"/>
        <v>80.86</v>
      </c>
      <c r="EV34" s="19">
        <f t="shared" si="65"/>
        <v>91.5</v>
      </c>
      <c r="EW34" s="19">
        <f t="shared" si="66"/>
        <v>95</v>
      </c>
      <c r="EX34" s="19">
        <f t="shared" si="67"/>
        <v>89</v>
      </c>
      <c r="EY34" s="19">
        <f t="shared" si="68"/>
        <v>85.033333333333331</v>
      </c>
      <c r="EZ34" s="19">
        <f t="shared" si="69"/>
        <v>84.73333333333332</v>
      </c>
      <c r="FA34" s="19">
        <f t="shared" si="70"/>
        <v>86</v>
      </c>
      <c r="FB34" s="19">
        <f t="shared" si="71"/>
        <v>81.466666666666669</v>
      </c>
      <c r="FC34" s="19">
        <f t="shared" si="72"/>
        <v>86.230784313725493</v>
      </c>
    </row>
    <row r="35" spans="1:159" ht="20.100000000000001" customHeight="1">
      <c r="A35" s="11">
        <v>31</v>
      </c>
      <c r="B35" s="12" t="s">
        <v>112</v>
      </c>
      <c r="C35" s="13" t="s">
        <v>113</v>
      </c>
      <c r="D35" s="12" t="s">
        <v>53</v>
      </c>
      <c r="E35" s="14">
        <v>82</v>
      </c>
      <c r="F35" s="14">
        <v>83</v>
      </c>
      <c r="G35" s="14">
        <v>90</v>
      </c>
      <c r="H35" s="14">
        <v>86</v>
      </c>
      <c r="I35" s="14">
        <v>92</v>
      </c>
      <c r="J35" s="14">
        <v>93</v>
      </c>
      <c r="K35" s="14">
        <v>82</v>
      </c>
      <c r="L35" s="14">
        <v>82</v>
      </c>
      <c r="M35" s="14">
        <v>84</v>
      </c>
      <c r="N35" s="14">
        <v>86</v>
      </c>
      <c r="O35" s="14">
        <v>91</v>
      </c>
      <c r="P35" s="15">
        <v>95</v>
      </c>
      <c r="Q35" s="15">
        <v>87</v>
      </c>
      <c r="R35" s="14">
        <v>86</v>
      </c>
      <c r="S35" s="14">
        <v>78</v>
      </c>
      <c r="T35" s="14">
        <v>80</v>
      </c>
      <c r="U35" s="14">
        <v>81</v>
      </c>
      <c r="V35" s="14">
        <v>82</v>
      </c>
      <c r="W35" s="14">
        <v>82</v>
      </c>
      <c r="X35" s="14">
        <v>85</v>
      </c>
      <c r="Y35" s="14">
        <v>80</v>
      </c>
      <c r="Z35" s="14">
        <v>85</v>
      </c>
      <c r="AA35" s="14">
        <v>75</v>
      </c>
      <c r="AB35" s="15">
        <v>82</v>
      </c>
      <c r="AC35" s="15">
        <v>83</v>
      </c>
      <c r="AD35" s="14">
        <v>85</v>
      </c>
      <c r="AE35" s="14">
        <v>81</v>
      </c>
      <c r="AF35" s="14">
        <v>84</v>
      </c>
      <c r="AG35" s="14">
        <v>80</v>
      </c>
      <c r="AH35" s="14">
        <v>74</v>
      </c>
      <c r="AI35" s="14">
        <v>70</v>
      </c>
      <c r="AJ35" s="14">
        <v>84</v>
      </c>
      <c r="AK35" s="14">
        <v>80</v>
      </c>
      <c r="AL35" s="15">
        <v>82</v>
      </c>
      <c r="AM35" s="15">
        <v>72</v>
      </c>
      <c r="AN35" s="14">
        <v>73</v>
      </c>
      <c r="AO35" s="14">
        <v>74</v>
      </c>
      <c r="AP35" s="14">
        <v>75</v>
      </c>
      <c r="AQ35" s="14">
        <v>78</v>
      </c>
      <c r="AR35" s="14">
        <v>74</v>
      </c>
      <c r="AS35" s="14">
        <v>78</v>
      </c>
      <c r="AT35" s="14">
        <v>80</v>
      </c>
      <c r="AU35" s="14">
        <v>80</v>
      </c>
      <c r="AV35" s="14">
        <v>82</v>
      </c>
      <c r="AW35" s="14">
        <v>80</v>
      </c>
      <c r="AX35" s="15">
        <v>74</v>
      </c>
      <c r="AY35" s="15">
        <v>89</v>
      </c>
      <c r="AZ35" s="14">
        <v>87</v>
      </c>
      <c r="BA35" s="14">
        <v>72</v>
      </c>
      <c r="BB35" s="14">
        <v>84</v>
      </c>
      <c r="BC35" s="14">
        <v>74</v>
      </c>
      <c r="BD35" s="14">
        <v>82</v>
      </c>
      <c r="BE35" s="37">
        <v>87</v>
      </c>
      <c r="BF35" s="37">
        <v>86</v>
      </c>
      <c r="BG35" s="37">
        <v>82</v>
      </c>
      <c r="BH35" s="14">
        <v>74</v>
      </c>
      <c r="BI35" s="37">
        <v>88</v>
      </c>
      <c r="BJ35" s="37">
        <v>85</v>
      </c>
      <c r="BK35" s="37">
        <v>88</v>
      </c>
      <c r="BL35" s="14">
        <v>74</v>
      </c>
      <c r="BM35" s="37">
        <v>78</v>
      </c>
      <c r="BN35" s="37">
        <v>80</v>
      </c>
      <c r="BO35" s="37">
        <v>85</v>
      </c>
      <c r="BP35" s="14">
        <v>74</v>
      </c>
      <c r="BQ35" s="15">
        <f t="shared" si="0"/>
        <v>84.333333333333329</v>
      </c>
      <c r="BR35" s="15">
        <f t="shared" si="1"/>
        <v>83.666666666666671</v>
      </c>
      <c r="BS35" s="15">
        <f t="shared" si="2"/>
        <v>85</v>
      </c>
      <c r="BT35" s="15">
        <f t="shared" si="3"/>
        <v>74</v>
      </c>
      <c r="BU35" s="15">
        <v>87</v>
      </c>
      <c r="BV35" s="15">
        <v>87</v>
      </c>
      <c r="BW35" s="15">
        <v>86</v>
      </c>
      <c r="BX35" s="15">
        <v>74</v>
      </c>
      <c r="BY35" s="15">
        <v>84</v>
      </c>
      <c r="BZ35" s="15">
        <v>72</v>
      </c>
      <c r="CA35" s="15">
        <v>87</v>
      </c>
      <c r="CB35" s="15">
        <v>80</v>
      </c>
      <c r="CC35" s="15">
        <v>74</v>
      </c>
      <c r="CD35" s="39">
        <v>89</v>
      </c>
      <c r="CE35" s="40">
        <v>88</v>
      </c>
      <c r="CF35" s="40">
        <v>83</v>
      </c>
      <c r="CG35" s="40">
        <v>93</v>
      </c>
      <c r="CH35" s="40">
        <v>79</v>
      </c>
      <c r="CI35" s="40">
        <v>83</v>
      </c>
      <c r="CJ35" s="40">
        <v>82</v>
      </c>
      <c r="CK35" s="39">
        <v>85</v>
      </c>
      <c r="CL35" s="40">
        <v>92</v>
      </c>
      <c r="CM35" s="41">
        <f t="shared" si="4"/>
        <v>86.6</v>
      </c>
      <c r="CN35" s="41">
        <f t="shared" si="5"/>
        <v>93</v>
      </c>
      <c r="CO35" s="41">
        <f t="shared" si="6"/>
        <v>89</v>
      </c>
      <c r="CP35" s="17">
        <f t="shared" si="7"/>
        <v>89.24</v>
      </c>
      <c r="CQ35" s="16">
        <f t="shared" si="8"/>
        <v>85</v>
      </c>
      <c r="CR35" s="16">
        <f t="shared" si="9"/>
        <v>95</v>
      </c>
      <c r="CS35" s="16">
        <f t="shared" si="10"/>
        <v>88</v>
      </c>
      <c r="CT35" s="17">
        <f t="shared" si="11"/>
        <v>88.9</v>
      </c>
      <c r="CU35" s="17">
        <f t="shared" si="12"/>
        <v>82.4</v>
      </c>
      <c r="CV35" s="17">
        <f t="shared" si="13"/>
        <v>82</v>
      </c>
      <c r="CW35" s="17">
        <f t="shared" si="14"/>
        <v>83</v>
      </c>
      <c r="CX35" s="17">
        <f t="shared" si="15"/>
        <v>82.460000000000008</v>
      </c>
      <c r="CY35" s="18">
        <f t="shared" si="16"/>
        <v>83</v>
      </c>
      <c r="CZ35" s="18">
        <f t="shared" si="17"/>
        <v>83</v>
      </c>
      <c r="DA35" s="18">
        <f t="shared" si="18"/>
        <v>81.25</v>
      </c>
      <c r="DB35" s="18">
        <f t="shared" si="19"/>
        <v>81.25</v>
      </c>
      <c r="DC35" s="18">
        <f t="shared" si="20"/>
        <v>82.5</v>
      </c>
      <c r="DD35" s="18">
        <f t="shared" si="21"/>
        <v>82.5</v>
      </c>
      <c r="DE35" s="18">
        <f t="shared" si="22"/>
        <v>77</v>
      </c>
      <c r="DF35" s="18">
        <f t="shared" si="23"/>
        <v>77</v>
      </c>
      <c r="DG35" s="18">
        <f t="shared" si="24"/>
        <v>80</v>
      </c>
      <c r="DH35" s="18">
        <f t="shared" si="25"/>
        <v>82</v>
      </c>
      <c r="DI35" s="18">
        <f t="shared" si="26"/>
        <v>93</v>
      </c>
      <c r="DJ35" s="17">
        <f t="shared" si="27"/>
        <v>84.5</v>
      </c>
      <c r="DK35" s="18">
        <f t="shared" si="28"/>
        <v>74.400000000000006</v>
      </c>
      <c r="DL35" s="18">
        <f t="shared" si="29"/>
        <v>74</v>
      </c>
      <c r="DM35" s="18">
        <f t="shared" si="30"/>
        <v>79</v>
      </c>
      <c r="DN35" s="17">
        <f t="shared" si="31"/>
        <v>75.66</v>
      </c>
      <c r="DO35" s="18">
        <f t="shared" si="32"/>
        <v>80</v>
      </c>
      <c r="DP35" s="18">
        <f t="shared" si="33"/>
        <v>74</v>
      </c>
      <c r="DQ35" s="18">
        <f t="shared" si="34"/>
        <v>83</v>
      </c>
      <c r="DR35" s="17">
        <f t="shared" si="35"/>
        <v>79.099999999999994</v>
      </c>
      <c r="DS35" s="18">
        <f t="shared" si="36"/>
        <v>88</v>
      </c>
      <c r="DT35" s="18">
        <f t="shared" si="37"/>
        <v>88</v>
      </c>
      <c r="DU35" s="18">
        <f t="shared" si="38"/>
        <v>78</v>
      </c>
      <c r="DV35" s="18">
        <f t="shared" si="39"/>
        <v>78</v>
      </c>
      <c r="DW35" s="18">
        <f t="shared" si="40"/>
        <v>78</v>
      </c>
      <c r="DX35" s="17">
        <f t="shared" si="41"/>
        <v>78</v>
      </c>
      <c r="DY35" s="18">
        <f t="shared" si="42"/>
        <v>84.333333333333329</v>
      </c>
      <c r="DZ35" s="18">
        <f t="shared" si="43"/>
        <v>74</v>
      </c>
      <c r="EA35" s="18">
        <f t="shared" si="44"/>
        <v>92</v>
      </c>
      <c r="EB35" s="17">
        <f t="shared" si="45"/>
        <v>83.533333333333331</v>
      </c>
      <c r="EC35" s="18">
        <f t="shared" si="46"/>
        <v>86.666666666666671</v>
      </c>
      <c r="ED35" s="18">
        <f t="shared" si="47"/>
        <v>74</v>
      </c>
      <c r="EE35" s="18">
        <f t="shared" si="48"/>
        <v>85</v>
      </c>
      <c r="EF35" s="17">
        <f t="shared" si="49"/>
        <v>82.366666666666674</v>
      </c>
      <c r="EG35" s="18">
        <f t="shared" si="50"/>
        <v>84</v>
      </c>
      <c r="EH35" s="18">
        <f t="shared" si="51"/>
        <v>79.666666666666671</v>
      </c>
      <c r="EI35" s="18">
        <f t="shared" si="52"/>
        <v>74</v>
      </c>
      <c r="EJ35" s="18">
        <f t="shared" si="53"/>
        <v>82</v>
      </c>
      <c r="EK35" s="17">
        <f t="shared" si="54"/>
        <v>78.666666666666671</v>
      </c>
      <c r="EL35" s="19">
        <f t="shared" si="55"/>
        <v>89.24</v>
      </c>
      <c r="EM35" s="19">
        <f t="shared" si="56"/>
        <v>88.9</v>
      </c>
      <c r="EN35" s="19">
        <f t="shared" si="57"/>
        <v>82.460000000000008</v>
      </c>
      <c r="EO35" s="19">
        <f t="shared" si="58"/>
        <v>83</v>
      </c>
      <c r="EP35" s="19">
        <f t="shared" si="59"/>
        <v>81.25</v>
      </c>
      <c r="EQ35" s="19">
        <f t="shared" si="60"/>
        <v>82.5</v>
      </c>
      <c r="ER35" s="19">
        <f t="shared" si="61"/>
        <v>77</v>
      </c>
      <c r="ES35" s="19">
        <f t="shared" si="62"/>
        <v>84.5</v>
      </c>
      <c r="ET35" s="19">
        <f t="shared" si="63"/>
        <v>75.66</v>
      </c>
      <c r="EU35" s="19">
        <f t="shared" si="64"/>
        <v>79.099999999999994</v>
      </c>
      <c r="EV35" s="19">
        <f t="shared" si="65"/>
        <v>88</v>
      </c>
      <c r="EW35" s="19">
        <f t="shared" si="66"/>
        <v>78</v>
      </c>
      <c r="EX35" s="19">
        <f t="shared" si="67"/>
        <v>78</v>
      </c>
      <c r="EY35" s="19">
        <f t="shared" si="68"/>
        <v>83.533333333333331</v>
      </c>
      <c r="EZ35" s="19">
        <f t="shared" si="69"/>
        <v>82.366666666666674</v>
      </c>
      <c r="FA35" s="19">
        <f t="shared" si="70"/>
        <v>84</v>
      </c>
      <c r="FB35" s="19">
        <f t="shared" si="71"/>
        <v>78.666666666666671</v>
      </c>
      <c r="FC35" s="19">
        <f t="shared" si="72"/>
        <v>82.128039215686286</v>
      </c>
    </row>
    <row r="36" spans="1:159" ht="20.100000000000001" customHeight="1">
      <c r="A36" s="11">
        <v>32</v>
      </c>
      <c r="B36" s="12" t="s">
        <v>114</v>
      </c>
      <c r="C36" s="13" t="s">
        <v>115</v>
      </c>
      <c r="D36" s="12" t="s">
        <v>53</v>
      </c>
      <c r="E36" s="14">
        <v>87</v>
      </c>
      <c r="F36" s="14">
        <v>80</v>
      </c>
      <c r="G36" s="14">
        <v>87</v>
      </c>
      <c r="H36" s="14">
        <v>83</v>
      </c>
      <c r="I36" s="14">
        <v>83</v>
      </c>
      <c r="J36" s="14">
        <v>75</v>
      </c>
      <c r="K36" s="14">
        <v>81</v>
      </c>
      <c r="L36" s="14">
        <v>76</v>
      </c>
      <c r="M36" s="14">
        <v>71</v>
      </c>
      <c r="N36" s="14">
        <v>79</v>
      </c>
      <c r="O36" s="14">
        <v>80</v>
      </c>
      <c r="P36" s="15">
        <v>90</v>
      </c>
      <c r="Q36" s="15">
        <v>84</v>
      </c>
      <c r="R36" s="14">
        <v>86</v>
      </c>
      <c r="S36" s="14">
        <v>79</v>
      </c>
      <c r="T36" s="14">
        <v>79</v>
      </c>
      <c r="U36" s="14">
        <v>75</v>
      </c>
      <c r="V36" s="14">
        <v>86</v>
      </c>
      <c r="W36" s="14">
        <v>80</v>
      </c>
      <c r="X36" s="14">
        <v>83</v>
      </c>
      <c r="Y36" s="14">
        <v>81</v>
      </c>
      <c r="Z36" s="14">
        <v>85</v>
      </c>
      <c r="AA36" s="14">
        <v>85</v>
      </c>
      <c r="AB36" s="15">
        <v>82</v>
      </c>
      <c r="AC36" s="15">
        <v>74</v>
      </c>
      <c r="AD36" s="14">
        <v>72</v>
      </c>
      <c r="AE36" s="14">
        <v>82</v>
      </c>
      <c r="AF36" s="14">
        <v>81</v>
      </c>
      <c r="AG36" s="14">
        <v>72</v>
      </c>
      <c r="AH36" s="14">
        <v>71</v>
      </c>
      <c r="AI36" s="14">
        <v>71</v>
      </c>
      <c r="AJ36" s="14">
        <v>80</v>
      </c>
      <c r="AK36" s="14">
        <v>80</v>
      </c>
      <c r="AL36" s="15">
        <v>86</v>
      </c>
      <c r="AM36" s="15">
        <v>70</v>
      </c>
      <c r="AN36" s="14">
        <v>72</v>
      </c>
      <c r="AO36" s="14">
        <v>72</v>
      </c>
      <c r="AP36" s="14">
        <v>73</v>
      </c>
      <c r="AQ36" s="14">
        <v>77</v>
      </c>
      <c r="AR36" s="14">
        <v>80</v>
      </c>
      <c r="AS36" s="14">
        <v>70</v>
      </c>
      <c r="AT36" s="14">
        <v>78</v>
      </c>
      <c r="AU36" s="14">
        <v>78</v>
      </c>
      <c r="AV36" s="14">
        <v>75</v>
      </c>
      <c r="AW36" s="14">
        <v>78</v>
      </c>
      <c r="AX36" s="15">
        <v>80</v>
      </c>
      <c r="AY36" s="15">
        <v>72</v>
      </c>
      <c r="AZ36" s="14">
        <v>75</v>
      </c>
      <c r="BA36" s="14">
        <v>77</v>
      </c>
      <c r="BB36" s="14">
        <v>78</v>
      </c>
      <c r="BC36" s="14">
        <v>70</v>
      </c>
      <c r="BD36" s="14">
        <v>78</v>
      </c>
      <c r="BE36" s="37">
        <v>77</v>
      </c>
      <c r="BF36" s="37">
        <v>70</v>
      </c>
      <c r="BG36" s="37">
        <v>80</v>
      </c>
      <c r="BH36" s="14">
        <v>77</v>
      </c>
      <c r="BI36" s="37">
        <v>71</v>
      </c>
      <c r="BJ36" s="37">
        <v>70</v>
      </c>
      <c r="BK36" s="37">
        <v>71</v>
      </c>
      <c r="BL36" s="14">
        <v>77</v>
      </c>
      <c r="BM36" s="37">
        <v>77</v>
      </c>
      <c r="BN36" s="37">
        <v>75</v>
      </c>
      <c r="BO36" s="37">
        <v>80</v>
      </c>
      <c r="BP36" s="14">
        <v>77</v>
      </c>
      <c r="BQ36" s="15">
        <f t="shared" si="0"/>
        <v>75</v>
      </c>
      <c r="BR36" s="15">
        <f t="shared" si="1"/>
        <v>71.666666666666671</v>
      </c>
      <c r="BS36" s="15">
        <f t="shared" si="2"/>
        <v>77</v>
      </c>
      <c r="BT36" s="15">
        <f t="shared" si="3"/>
        <v>77</v>
      </c>
      <c r="BU36" s="15">
        <v>83</v>
      </c>
      <c r="BV36" s="15">
        <v>83</v>
      </c>
      <c r="BW36" s="15">
        <v>80</v>
      </c>
      <c r="BX36" s="15">
        <v>77</v>
      </c>
      <c r="BY36" s="15">
        <v>82</v>
      </c>
      <c r="BZ36" s="15">
        <v>71</v>
      </c>
      <c r="CA36" s="15">
        <v>74</v>
      </c>
      <c r="CB36" s="15">
        <v>72</v>
      </c>
      <c r="CC36" s="15">
        <v>80</v>
      </c>
      <c r="CD36" s="39">
        <v>80</v>
      </c>
      <c r="CE36" s="40">
        <v>85</v>
      </c>
      <c r="CF36" s="40">
        <v>80</v>
      </c>
      <c r="CG36" s="40">
        <v>75</v>
      </c>
      <c r="CH36" s="40">
        <v>77</v>
      </c>
      <c r="CI36" s="40">
        <v>80</v>
      </c>
      <c r="CJ36" s="40">
        <v>80</v>
      </c>
      <c r="CK36" s="39">
        <v>89</v>
      </c>
      <c r="CL36" s="40">
        <v>95</v>
      </c>
      <c r="CM36" s="41">
        <f t="shared" si="4"/>
        <v>84</v>
      </c>
      <c r="CN36" s="41">
        <f t="shared" si="5"/>
        <v>75</v>
      </c>
      <c r="CO36" s="41">
        <f t="shared" si="6"/>
        <v>80</v>
      </c>
      <c r="CP36" s="17">
        <f t="shared" si="7"/>
        <v>80.099999999999994</v>
      </c>
      <c r="CQ36" s="16">
        <f t="shared" si="8"/>
        <v>77.400000000000006</v>
      </c>
      <c r="CR36" s="16">
        <f t="shared" si="9"/>
        <v>90</v>
      </c>
      <c r="CS36" s="16">
        <f t="shared" si="10"/>
        <v>85</v>
      </c>
      <c r="CT36" s="17">
        <f t="shared" si="11"/>
        <v>83.460000000000008</v>
      </c>
      <c r="CU36" s="17">
        <f t="shared" si="12"/>
        <v>80.599999999999994</v>
      </c>
      <c r="CV36" s="17">
        <f t="shared" si="13"/>
        <v>86</v>
      </c>
      <c r="CW36" s="17">
        <f t="shared" si="14"/>
        <v>80</v>
      </c>
      <c r="CX36" s="17">
        <f t="shared" si="15"/>
        <v>82.039999999999992</v>
      </c>
      <c r="CY36" s="18">
        <f t="shared" si="16"/>
        <v>82.25</v>
      </c>
      <c r="CZ36" s="18">
        <f t="shared" si="17"/>
        <v>82.25</v>
      </c>
      <c r="DA36" s="18">
        <f t="shared" si="18"/>
        <v>78.25</v>
      </c>
      <c r="DB36" s="18">
        <f t="shared" si="19"/>
        <v>78.25</v>
      </c>
      <c r="DC36" s="18">
        <f t="shared" si="20"/>
        <v>81.5</v>
      </c>
      <c r="DD36" s="18">
        <f t="shared" si="21"/>
        <v>81.5</v>
      </c>
      <c r="DE36" s="18">
        <f t="shared" si="22"/>
        <v>73.5</v>
      </c>
      <c r="DF36" s="18">
        <f t="shared" si="23"/>
        <v>73.5</v>
      </c>
      <c r="DG36" s="18">
        <f t="shared" si="24"/>
        <v>80</v>
      </c>
      <c r="DH36" s="18">
        <f t="shared" si="25"/>
        <v>86</v>
      </c>
      <c r="DI36" s="18">
        <f t="shared" si="26"/>
        <v>75</v>
      </c>
      <c r="DJ36" s="17">
        <f t="shared" si="27"/>
        <v>80.3</v>
      </c>
      <c r="DK36" s="18">
        <f t="shared" si="28"/>
        <v>72.8</v>
      </c>
      <c r="DL36" s="18">
        <f t="shared" si="29"/>
        <v>80</v>
      </c>
      <c r="DM36" s="18">
        <f t="shared" si="30"/>
        <v>77</v>
      </c>
      <c r="DN36" s="17">
        <f t="shared" si="31"/>
        <v>76.22</v>
      </c>
      <c r="DO36" s="18">
        <f t="shared" si="32"/>
        <v>75.8</v>
      </c>
      <c r="DP36" s="18">
        <f t="shared" si="33"/>
        <v>80</v>
      </c>
      <c r="DQ36" s="18">
        <f t="shared" si="34"/>
        <v>80</v>
      </c>
      <c r="DR36" s="17">
        <f t="shared" si="35"/>
        <v>78.320000000000007</v>
      </c>
      <c r="DS36" s="18">
        <f t="shared" si="36"/>
        <v>73.5</v>
      </c>
      <c r="DT36" s="18">
        <f t="shared" si="37"/>
        <v>73.5</v>
      </c>
      <c r="DU36" s="18">
        <f t="shared" si="38"/>
        <v>77.5</v>
      </c>
      <c r="DV36" s="18">
        <f t="shared" si="39"/>
        <v>77.5</v>
      </c>
      <c r="DW36" s="18">
        <f t="shared" si="40"/>
        <v>74</v>
      </c>
      <c r="DX36" s="17">
        <f t="shared" si="41"/>
        <v>74</v>
      </c>
      <c r="DY36" s="18">
        <f t="shared" si="42"/>
        <v>74.555555555555557</v>
      </c>
      <c r="DZ36" s="18">
        <f t="shared" si="43"/>
        <v>77</v>
      </c>
      <c r="EA36" s="18">
        <f t="shared" si="44"/>
        <v>95</v>
      </c>
      <c r="EB36" s="17">
        <f t="shared" si="45"/>
        <v>81.422222222222217</v>
      </c>
      <c r="EC36" s="18">
        <f t="shared" si="46"/>
        <v>82</v>
      </c>
      <c r="ED36" s="18">
        <f t="shared" si="47"/>
        <v>77</v>
      </c>
      <c r="EE36" s="18">
        <f t="shared" si="48"/>
        <v>89</v>
      </c>
      <c r="EF36" s="17">
        <f t="shared" si="49"/>
        <v>82.6</v>
      </c>
      <c r="EG36" s="18">
        <f t="shared" si="50"/>
        <v>82</v>
      </c>
      <c r="EH36" s="18">
        <f t="shared" si="51"/>
        <v>72.333333333333329</v>
      </c>
      <c r="EI36" s="18">
        <f t="shared" si="52"/>
        <v>80</v>
      </c>
      <c r="EJ36" s="18">
        <f t="shared" si="53"/>
        <v>80</v>
      </c>
      <c r="EK36" s="17">
        <f t="shared" si="54"/>
        <v>76.933333333333323</v>
      </c>
      <c r="EL36" s="19">
        <f t="shared" si="55"/>
        <v>80.099999999999994</v>
      </c>
      <c r="EM36" s="19">
        <f t="shared" si="56"/>
        <v>83.460000000000008</v>
      </c>
      <c r="EN36" s="19">
        <f t="shared" si="57"/>
        <v>82.039999999999992</v>
      </c>
      <c r="EO36" s="19">
        <f t="shared" si="58"/>
        <v>82.25</v>
      </c>
      <c r="EP36" s="19">
        <f t="shared" si="59"/>
        <v>78.25</v>
      </c>
      <c r="EQ36" s="19">
        <f t="shared" si="60"/>
        <v>81.5</v>
      </c>
      <c r="ER36" s="19">
        <f t="shared" si="61"/>
        <v>73.5</v>
      </c>
      <c r="ES36" s="19">
        <f t="shared" si="62"/>
        <v>80.3</v>
      </c>
      <c r="ET36" s="19">
        <f t="shared" si="63"/>
        <v>76.22</v>
      </c>
      <c r="EU36" s="19">
        <f t="shared" si="64"/>
        <v>78.320000000000007</v>
      </c>
      <c r="EV36" s="19">
        <f t="shared" si="65"/>
        <v>73.5</v>
      </c>
      <c r="EW36" s="19">
        <f t="shared" si="66"/>
        <v>77.5</v>
      </c>
      <c r="EX36" s="19">
        <f t="shared" si="67"/>
        <v>74</v>
      </c>
      <c r="EY36" s="19">
        <f t="shared" si="68"/>
        <v>81.422222222222217</v>
      </c>
      <c r="EZ36" s="19">
        <f t="shared" si="69"/>
        <v>82.6</v>
      </c>
      <c r="FA36" s="19">
        <f t="shared" si="70"/>
        <v>82</v>
      </c>
      <c r="FB36" s="19">
        <f t="shared" si="71"/>
        <v>76.933333333333323</v>
      </c>
      <c r="FC36" s="19">
        <f t="shared" si="72"/>
        <v>79.052679738562091</v>
      </c>
    </row>
    <row r="37" spans="1:159" ht="20.100000000000001" customHeight="1">
      <c r="A37" s="11">
        <v>33</v>
      </c>
      <c r="B37" s="12" t="s">
        <v>116</v>
      </c>
      <c r="C37" s="13" t="s">
        <v>117</v>
      </c>
      <c r="D37" s="12" t="s">
        <v>53</v>
      </c>
      <c r="E37" s="14">
        <v>80</v>
      </c>
      <c r="F37" s="14">
        <v>81</v>
      </c>
      <c r="G37" s="14">
        <v>87</v>
      </c>
      <c r="H37" s="14">
        <v>83</v>
      </c>
      <c r="I37" s="14">
        <v>90</v>
      </c>
      <c r="J37" s="14">
        <v>85</v>
      </c>
      <c r="K37" s="14">
        <v>80</v>
      </c>
      <c r="L37" s="14">
        <v>81</v>
      </c>
      <c r="M37" s="14">
        <v>91</v>
      </c>
      <c r="N37" s="14">
        <v>86</v>
      </c>
      <c r="O37" s="14">
        <v>90</v>
      </c>
      <c r="P37" s="15">
        <v>87</v>
      </c>
      <c r="Q37" s="15">
        <v>84</v>
      </c>
      <c r="R37" s="14">
        <v>91</v>
      </c>
      <c r="S37" s="14">
        <v>90</v>
      </c>
      <c r="T37" s="14">
        <v>90</v>
      </c>
      <c r="U37" s="14">
        <v>86</v>
      </c>
      <c r="V37" s="14">
        <v>88</v>
      </c>
      <c r="W37" s="14">
        <v>82</v>
      </c>
      <c r="X37" s="14">
        <v>85</v>
      </c>
      <c r="Y37" s="14">
        <v>81</v>
      </c>
      <c r="Z37" s="14">
        <v>85</v>
      </c>
      <c r="AA37" s="14">
        <v>89</v>
      </c>
      <c r="AB37" s="15">
        <v>86</v>
      </c>
      <c r="AC37" s="15">
        <v>82</v>
      </c>
      <c r="AD37" s="14">
        <v>84</v>
      </c>
      <c r="AE37" s="14">
        <v>81</v>
      </c>
      <c r="AF37" s="14">
        <v>82</v>
      </c>
      <c r="AG37" s="14">
        <v>78</v>
      </c>
      <c r="AH37" s="14">
        <v>76</v>
      </c>
      <c r="AI37" s="14">
        <v>71</v>
      </c>
      <c r="AJ37" s="14">
        <v>84</v>
      </c>
      <c r="AK37" s="14">
        <v>80</v>
      </c>
      <c r="AL37" s="15">
        <v>88</v>
      </c>
      <c r="AM37" s="15">
        <v>71</v>
      </c>
      <c r="AN37" s="14">
        <v>71</v>
      </c>
      <c r="AO37" s="14">
        <v>74</v>
      </c>
      <c r="AP37" s="14">
        <v>75</v>
      </c>
      <c r="AQ37" s="14">
        <v>79</v>
      </c>
      <c r="AR37" s="14">
        <v>85</v>
      </c>
      <c r="AS37" s="14">
        <v>82</v>
      </c>
      <c r="AT37" s="14">
        <v>88</v>
      </c>
      <c r="AU37" s="14">
        <v>88</v>
      </c>
      <c r="AV37" s="14">
        <v>88</v>
      </c>
      <c r="AW37" s="14">
        <v>88</v>
      </c>
      <c r="AX37" s="15">
        <v>85</v>
      </c>
      <c r="AY37" s="15">
        <v>79</v>
      </c>
      <c r="AZ37" s="14">
        <v>97</v>
      </c>
      <c r="BA37" s="14">
        <v>78</v>
      </c>
      <c r="BB37" s="14">
        <v>86</v>
      </c>
      <c r="BC37" s="14">
        <v>87</v>
      </c>
      <c r="BD37" s="14">
        <v>83</v>
      </c>
      <c r="BE37" s="37">
        <v>88</v>
      </c>
      <c r="BF37" s="37">
        <v>90</v>
      </c>
      <c r="BG37" s="37">
        <v>84</v>
      </c>
      <c r="BH37" s="14">
        <v>90</v>
      </c>
      <c r="BI37" s="37">
        <v>92</v>
      </c>
      <c r="BJ37" s="37">
        <v>88</v>
      </c>
      <c r="BK37" s="37">
        <v>88</v>
      </c>
      <c r="BL37" s="14">
        <v>90</v>
      </c>
      <c r="BM37" s="37">
        <v>79</v>
      </c>
      <c r="BN37" s="37">
        <v>85</v>
      </c>
      <c r="BO37" s="37">
        <v>85</v>
      </c>
      <c r="BP37" s="14">
        <v>90</v>
      </c>
      <c r="BQ37" s="15">
        <f t="shared" si="0"/>
        <v>86.333333333333329</v>
      </c>
      <c r="BR37" s="15">
        <f t="shared" si="1"/>
        <v>87.666666666666671</v>
      </c>
      <c r="BS37" s="15">
        <f t="shared" si="2"/>
        <v>85.666666666666671</v>
      </c>
      <c r="BT37" s="15">
        <f t="shared" si="3"/>
        <v>90</v>
      </c>
      <c r="BU37" s="15">
        <v>82</v>
      </c>
      <c r="BV37" s="15">
        <v>82</v>
      </c>
      <c r="BW37" s="15">
        <v>88</v>
      </c>
      <c r="BX37" s="15">
        <v>90</v>
      </c>
      <c r="BY37" s="15">
        <v>87</v>
      </c>
      <c r="BZ37" s="15">
        <v>81</v>
      </c>
      <c r="CA37" s="15">
        <v>90</v>
      </c>
      <c r="CB37" s="15">
        <v>85</v>
      </c>
      <c r="CC37" s="15">
        <v>85</v>
      </c>
      <c r="CD37" s="39">
        <v>89</v>
      </c>
      <c r="CE37" s="40">
        <v>93</v>
      </c>
      <c r="CF37" s="40">
        <v>84</v>
      </c>
      <c r="CG37" s="40">
        <v>82</v>
      </c>
      <c r="CH37" s="40">
        <v>77</v>
      </c>
      <c r="CI37" s="40">
        <v>88</v>
      </c>
      <c r="CJ37" s="40">
        <v>85</v>
      </c>
      <c r="CK37" s="39">
        <v>84</v>
      </c>
      <c r="CL37" s="40">
        <v>77</v>
      </c>
      <c r="CM37" s="41">
        <f t="shared" si="4"/>
        <v>84.2</v>
      </c>
      <c r="CN37" s="41">
        <f t="shared" si="5"/>
        <v>85</v>
      </c>
      <c r="CO37" s="41">
        <f t="shared" si="6"/>
        <v>89</v>
      </c>
      <c r="CP37" s="17">
        <f t="shared" si="7"/>
        <v>85.88</v>
      </c>
      <c r="CQ37" s="16">
        <f t="shared" si="8"/>
        <v>85.6</v>
      </c>
      <c r="CR37" s="16">
        <f t="shared" si="9"/>
        <v>87</v>
      </c>
      <c r="CS37" s="16">
        <f t="shared" si="10"/>
        <v>93</v>
      </c>
      <c r="CT37" s="17">
        <f t="shared" si="11"/>
        <v>88.24</v>
      </c>
      <c r="CU37" s="17">
        <f t="shared" si="12"/>
        <v>88.2</v>
      </c>
      <c r="CV37" s="17">
        <f t="shared" si="13"/>
        <v>88</v>
      </c>
      <c r="CW37" s="17">
        <f t="shared" si="14"/>
        <v>84</v>
      </c>
      <c r="CX37" s="17">
        <f t="shared" si="15"/>
        <v>86.88</v>
      </c>
      <c r="CY37" s="18">
        <f t="shared" si="16"/>
        <v>83.25</v>
      </c>
      <c r="CZ37" s="18">
        <f t="shared" si="17"/>
        <v>83.25</v>
      </c>
      <c r="DA37" s="18">
        <f t="shared" si="18"/>
        <v>85.25</v>
      </c>
      <c r="DB37" s="18">
        <f t="shared" si="19"/>
        <v>85.25</v>
      </c>
      <c r="DC37" s="18">
        <f t="shared" si="20"/>
        <v>81.5</v>
      </c>
      <c r="DD37" s="18">
        <f t="shared" si="21"/>
        <v>81.5</v>
      </c>
      <c r="DE37" s="18">
        <f t="shared" si="22"/>
        <v>77.25</v>
      </c>
      <c r="DF37" s="18">
        <f t="shared" si="23"/>
        <v>77.25</v>
      </c>
      <c r="DG37" s="18">
        <f t="shared" si="24"/>
        <v>80</v>
      </c>
      <c r="DH37" s="18">
        <f t="shared" si="25"/>
        <v>88</v>
      </c>
      <c r="DI37" s="18">
        <f t="shared" si="26"/>
        <v>82</v>
      </c>
      <c r="DJ37" s="17">
        <f t="shared" si="27"/>
        <v>83</v>
      </c>
      <c r="DK37" s="18">
        <f t="shared" si="28"/>
        <v>74</v>
      </c>
      <c r="DL37" s="18">
        <f t="shared" si="29"/>
        <v>85</v>
      </c>
      <c r="DM37" s="18">
        <f t="shared" si="30"/>
        <v>77</v>
      </c>
      <c r="DN37" s="17">
        <f t="shared" si="31"/>
        <v>78.2</v>
      </c>
      <c r="DO37" s="18">
        <f t="shared" si="32"/>
        <v>86.8</v>
      </c>
      <c r="DP37" s="18">
        <f t="shared" si="33"/>
        <v>85</v>
      </c>
      <c r="DQ37" s="18">
        <f t="shared" si="34"/>
        <v>88</v>
      </c>
      <c r="DR37" s="17">
        <f t="shared" si="35"/>
        <v>86.62</v>
      </c>
      <c r="DS37" s="18">
        <f t="shared" si="36"/>
        <v>88</v>
      </c>
      <c r="DT37" s="18">
        <f t="shared" si="37"/>
        <v>88</v>
      </c>
      <c r="DU37" s="18">
        <f t="shared" si="38"/>
        <v>82</v>
      </c>
      <c r="DV37" s="18">
        <f t="shared" si="39"/>
        <v>82</v>
      </c>
      <c r="DW37" s="18">
        <f t="shared" si="40"/>
        <v>85</v>
      </c>
      <c r="DX37" s="17">
        <f t="shared" si="41"/>
        <v>85</v>
      </c>
      <c r="DY37" s="18">
        <f t="shared" si="42"/>
        <v>86.555555555555557</v>
      </c>
      <c r="DZ37" s="18">
        <f t="shared" si="43"/>
        <v>90</v>
      </c>
      <c r="EA37" s="18">
        <f t="shared" si="44"/>
        <v>77</v>
      </c>
      <c r="EB37" s="17">
        <f t="shared" si="45"/>
        <v>84.722222222222214</v>
      </c>
      <c r="EC37" s="18">
        <f t="shared" si="46"/>
        <v>84</v>
      </c>
      <c r="ED37" s="18">
        <f t="shared" si="47"/>
        <v>90</v>
      </c>
      <c r="EE37" s="18">
        <f t="shared" si="48"/>
        <v>84</v>
      </c>
      <c r="EF37" s="17">
        <f t="shared" si="49"/>
        <v>85.8</v>
      </c>
      <c r="EG37" s="18">
        <f t="shared" si="50"/>
        <v>87</v>
      </c>
      <c r="EH37" s="18">
        <f t="shared" si="51"/>
        <v>85.333333333333329</v>
      </c>
      <c r="EI37" s="18">
        <f t="shared" si="52"/>
        <v>85</v>
      </c>
      <c r="EJ37" s="18">
        <f t="shared" si="53"/>
        <v>85</v>
      </c>
      <c r="EK37" s="17">
        <f t="shared" si="54"/>
        <v>85.133333333333326</v>
      </c>
      <c r="EL37" s="19">
        <f t="shared" si="55"/>
        <v>85.88</v>
      </c>
      <c r="EM37" s="19">
        <f t="shared" si="56"/>
        <v>88.24</v>
      </c>
      <c r="EN37" s="19">
        <f t="shared" si="57"/>
        <v>86.88</v>
      </c>
      <c r="EO37" s="19">
        <f t="shared" si="58"/>
        <v>83.25</v>
      </c>
      <c r="EP37" s="19">
        <f t="shared" si="59"/>
        <v>85.25</v>
      </c>
      <c r="EQ37" s="19">
        <f t="shared" si="60"/>
        <v>81.5</v>
      </c>
      <c r="ER37" s="19">
        <f t="shared" si="61"/>
        <v>77.25</v>
      </c>
      <c r="ES37" s="19">
        <f t="shared" si="62"/>
        <v>83</v>
      </c>
      <c r="ET37" s="19">
        <f t="shared" si="63"/>
        <v>78.2</v>
      </c>
      <c r="EU37" s="19">
        <f t="shared" si="64"/>
        <v>86.62</v>
      </c>
      <c r="EV37" s="19">
        <f t="shared" si="65"/>
        <v>88</v>
      </c>
      <c r="EW37" s="19">
        <f t="shared" si="66"/>
        <v>82</v>
      </c>
      <c r="EX37" s="19">
        <f t="shared" si="67"/>
        <v>85</v>
      </c>
      <c r="EY37" s="19">
        <f t="shared" si="68"/>
        <v>84.722222222222214</v>
      </c>
      <c r="EZ37" s="19">
        <f t="shared" si="69"/>
        <v>85.8</v>
      </c>
      <c r="FA37" s="19">
        <f t="shared" si="70"/>
        <v>87</v>
      </c>
      <c r="FB37" s="19">
        <f t="shared" si="71"/>
        <v>85.133333333333326</v>
      </c>
      <c r="FC37" s="19">
        <f t="shared" si="72"/>
        <v>84.336797385620926</v>
      </c>
    </row>
    <row r="38" spans="1:159" ht="20.100000000000001" customHeight="1">
      <c r="A38" s="11">
        <v>34</v>
      </c>
      <c r="B38" s="12" t="s">
        <v>118</v>
      </c>
      <c r="C38" s="13" t="s">
        <v>119</v>
      </c>
      <c r="D38" s="12" t="s">
        <v>53</v>
      </c>
      <c r="E38" s="14">
        <v>87</v>
      </c>
      <c r="F38" s="14">
        <v>80</v>
      </c>
      <c r="G38" s="14">
        <v>88</v>
      </c>
      <c r="H38" s="14">
        <v>83</v>
      </c>
      <c r="I38" s="14">
        <v>93</v>
      </c>
      <c r="J38" s="14">
        <v>85</v>
      </c>
      <c r="K38" s="14">
        <v>80</v>
      </c>
      <c r="L38" s="14">
        <v>83</v>
      </c>
      <c r="M38" s="14">
        <v>90</v>
      </c>
      <c r="N38" s="14">
        <v>95</v>
      </c>
      <c r="O38" s="14">
        <v>95</v>
      </c>
      <c r="P38" s="15">
        <v>85</v>
      </c>
      <c r="Q38" s="15">
        <v>83</v>
      </c>
      <c r="R38" s="14">
        <v>87</v>
      </c>
      <c r="S38" s="14">
        <v>81</v>
      </c>
      <c r="T38" s="14">
        <v>83</v>
      </c>
      <c r="U38" s="14">
        <v>86</v>
      </c>
      <c r="V38" s="14">
        <v>83</v>
      </c>
      <c r="W38" s="14">
        <v>83</v>
      </c>
      <c r="X38" s="14">
        <v>85</v>
      </c>
      <c r="Y38" s="14">
        <v>80</v>
      </c>
      <c r="Z38" s="14">
        <v>85</v>
      </c>
      <c r="AA38" s="14">
        <v>81</v>
      </c>
      <c r="AB38" s="15">
        <v>88</v>
      </c>
      <c r="AC38" s="15">
        <v>82</v>
      </c>
      <c r="AD38" s="14">
        <v>84</v>
      </c>
      <c r="AE38" s="14">
        <v>84</v>
      </c>
      <c r="AF38" s="14">
        <v>81</v>
      </c>
      <c r="AG38" s="14">
        <v>80</v>
      </c>
      <c r="AH38" s="14">
        <v>79</v>
      </c>
      <c r="AI38" s="14">
        <v>72</v>
      </c>
      <c r="AJ38" s="14">
        <v>82</v>
      </c>
      <c r="AK38" s="14">
        <v>80</v>
      </c>
      <c r="AL38" s="15">
        <v>83</v>
      </c>
      <c r="AM38" s="15">
        <v>70</v>
      </c>
      <c r="AN38" s="14">
        <v>72</v>
      </c>
      <c r="AO38" s="14">
        <v>73</v>
      </c>
      <c r="AP38" s="14">
        <v>74</v>
      </c>
      <c r="AQ38" s="14">
        <v>80</v>
      </c>
      <c r="AR38" s="14">
        <v>73</v>
      </c>
      <c r="AS38" s="14">
        <v>79</v>
      </c>
      <c r="AT38" s="14">
        <v>80</v>
      </c>
      <c r="AU38" s="14">
        <v>83</v>
      </c>
      <c r="AV38" s="14">
        <v>88</v>
      </c>
      <c r="AW38" s="14">
        <v>83</v>
      </c>
      <c r="AX38" s="15">
        <v>73</v>
      </c>
      <c r="AY38" s="15">
        <v>79</v>
      </c>
      <c r="AZ38" s="14">
        <v>88</v>
      </c>
      <c r="BA38" s="14">
        <v>82</v>
      </c>
      <c r="BB38" s="14">
        <v>85</v>
      </c>
      <c r="BC38" s="14">
        <v>78</v>
      </c>
      <c r="BD38" s="14">
        <v>80</v>
      </c>
      <c r="BE38" s="37">
        <v>87</v>
      </c>
      <c r="BF38" s="37">
        <v>85</v>
      </c>
      <c r="BG38" s="37">
        <v>83</v>
      </c>
      <c r="BH38" s="14">
        <v>74</v>
      </c>
      <c r="BI38" s="37">
        <v>80</v>
      </c>
      <c r="BJ38" s="37">
        <v>85</v>
      </c>
      <c r="BK38" s="37">
        <v>88</v>
      </c>
      <c r="BL38" s="14">
        <v>74</v>
      </c>
      <c r="BM38" s="37">
        <v>80</v>
      </c>
      <c r="BN38" s="37">
        <v>78</v>
      </c>
      <c r="BO38" s="37">
        <v>85</v>
      </c>
      <c r="BP38" s="14">
        <v>74</v>
      </c>
      <c r="BQ38" s="15">
        <f t="shared" si="0"/>
        <v>82.333333333333329</v>
      </c>
      <c r="BR38" s="15">
        <f t="shared" si="1"/>
        <v>82.666666666666671</v>
      </c>
      <c r="BS38" s="15">
        <f t="shared" si="2"/>
        <v>85.333333333333329</v>
      </c>
      <c r="BT38" s="15">
        <f t="shared" si="3"/>
        <v>74</v>
      </c>
      <c r="BU38" s="15">
        <v>83</v>
      </c>
      <c r="BV38" s="15">
        <v>83</v>
      </c>
      <c r="BW38" s="15">
        <v>88</v>
      </c>
      <c r="BX38" s="15">
        <v>74</v>
      </c>
      <c r="BY38" s="15">
        <v>80</v>
      </c>
      <c r="BZ38" s="15">
        <v>74</v>
      </c>
      <c r="CA38" s="15">
        <v>85</v>
      </c>
      <c r="CB38" s="15">
        <v>80</v>
      </c>
      <c r="CC38" s="15">
        <v>73</v>
      </c>
      <c r="CD38" s="39">
        <v>89</v>
      </c>
      <c r="CE38" s="40">
        <v>94</v>
      </c>
      <c r="CF38" s="40">
        <v>78</v>
      </c>
      <c r="CG38" s="40">
        <v>90</v>
      </c>
      <c r="CH38" s="40">
        <v>79</v>
      </c>
      <c r="CI38" s="40">
        <v>88</v>
      </c>
      <c r="CJ38" s="40">
        <v>80</v>
      </c>
      <c r="CK38" s="39">
        <v>89</v>
      </c>
      <c r="CL38" s="40">
        <v>87</v>
      </c>
      <c r="CM38" s="41">
        <f t="shared" si="4"/>
        <v>86.2</v>
      </c>
      <c r="CN38" s="41">
        <f t="shared" si="5"/>
        <v>85</v>
      </c>
      <c r="CO38" s="41">
        <f t="shared" si="6"/>
        <v>89</v>
      </c>
      <c r="CP38" s="17">
        <f t="shared" si="7"/>
        <v>86.679999999999993</v>
      </c>
      <c r="CQ38" s="16">
        <f t="shared" si="8"/>
        <v>88.6</v>
      </c>
      <c r="CR38" s="16">
        <f t="shared" si="9"/>
        <v>85</v>
      </c>
      <c r="CS38" s="16">
        <f t="shared" si="10"/>
        <v>94</v>
      </c>
      <c r="CT38" s="17">
        <f t="shared" si="11"/>
        <v>89.14</v>
      </c>
      <c r="CU38" s="17">
        <f t="shared" si="12"/>
        <v>84</v>
      </c>
      <c r="CV38" s="17">
        <f t="shared" si="13"/>
        <v>83</v>
      </c>
      <c r="CW38" s="17">
        <f t="shared" si="14"/>
        <v>78</v>
      </c>
      <c r="CX38" s="17">
        <f t="shared" si="15"/>
        <v>81.900000000000006</v>
      </c>
      <c r="CY38" s="18">
        <f t="shared" si="16"/>
        <v>83.25</v>
      </c>
      <c r="CZ38" s="18">
        <f t="shared" si="17"/>
        <v>83.25</v>
      </c>
      <c r="DA38" s="18">
        <f t="shared" si="18"/>
        <v>83.75</v>
      </c>
      <c r="DB38" s="18">
        <f t="shared" si="19"/>
        <v>83.75</v>
      </c>
      <c r="DC38" s="18">
        <f t="shared" si="20"/>
        <v>82.5</v>
      </c>
      <c r="DD38" s="18">
        <f t="shared" si="21"/>
        <v>82.5</v>
      </c>
      <c r="DE38" s="18">
        <f t="shared" si="22"/>
        <v>78.25</v>
      </c>
      <c r="DF38" s="18">
        <f t="shared" si="23"/>
        <v>78.25</v>
      </c>
      <c r="DG38" s="18">
        <f t="shared" si="24"/>
        <v>80</v>
      </c>
      <c r="DH38" s="18">
        <f t="shared" si="25"/>
        <v>83</v>
      </c>
      <c r="DI38" s="18">
        <f t="shared" si="26"/>
        <v>90</v>
      </c>
      <c r="DJ38" s="17">
        <f t="shared" si="27"/>
        <v>83.9</v>
      </c>
      <c r="DK38" s="18">
        <f t="shared" si="28"/>
        <v>73.8</v>
      </c>
      <c r="DL38" s="18">
        <f t="shared" si="29"/>
        <v>73</v>
      </c>
      <c r="DM38" s="18">
        <f t="shared" si="30"/>
        <v>79</v>
      </c>
      <c r="DN38" s="17">
        <f t="shared" si="31"/>
        <v>75.12</v>
      </c>
      <c r="DO38" s="18">
        <f t="shared" si="32"/>
        <v>82.6</v>
      </c>
      <c r="DP38" s="18">
        <f t="shared" si="33"/>
        <v>73</v>
      </c>
      <c r="DQ38" s="18">
        <f t="shared" si="34"/>
        <v>88</v>
      </c>
      <c r="DR38" s="17">
        <f t="shared" si="35"/>
        <v>81.34</v>
      </c>
      <c r="DS38" s="18">
        <f t="shared" si="36"/>
        <v>83.5</v>
      </c>
      <c r="DT38" s="18">
        <f t="shared" si="37"/>
        <v>83.5</v>
      </c>
      <c r="DU38" s="18">
        <f t="shared" si="38"/>
        <v>83.5</v>
      </c>
      <c r="DV38" s="18">
        <f t="shared" si="39"/>
        <v>83.5</v>
      </c>
      <c r="DW38" s="18">
        <f t="shared" si="40"/>
        <v>79</v>
      </c>
      <c r="DX38" s="17">
        <f t="shared" si="41"/>
        <v>79</v>
      </c>
      <c r="DY38" s="18">
        <f t="shared" si="42"/>
        <v>83.444444444444443</v>
      </c>
      <c r="DZ38" s="18">
        <f t="shared" si="43"/>
        <v>74</v>
      </c>
      <c r="EA38" s="18">
        <f t="shared" si="44"/>
        <v>87</v>
      </c>
      <c r="EB38" s="17">
        <f t="shared" si="45"/>
        <v>81.677777777777777</v>
      </c>
      <c r="EC38" s="18">
        <f t="shared" si="46"/>
        <v>84.666666666666671</v>
      </c>
      <c r="ED38" s="18">
        <f t="shared" si="47"/>
        <v>74</v>
      </c>
      <c r="EE38" s="18">
        <f t="shared" si="48"/>
        <v>89</v>
      </c>
      <c r="EF38" s="17">
        <f t="shared" si="49"/>
        <v>82.76666666666668</v>
      </c>
      <c r="EG38" s="18">
        <f t="shared" si="50"/>
        <v>80</v>
      </c>
      <c r="EH38" s="18">
        <f t="shared" si="51"/>
        <v>79.666666666666671</v>
      </c>
      <c r="EI38" s="18">
        <f t="shared" si="52"/>
        <v>73</v>
      </c>
      <c r="EJ38" s="18">
        <f t="shared" si="53"/>
        <v>80</v>
      </c>
      <c r="EK38" s="17">
        <f t="shared" si="54"/>
        <v>77.76666666666668</v>
      </c>
      <c r="EL38" s="19">
        <f t="shared" si="55"/>
        <v>86.679999999999993</v>
      </c>
      <c r="EM38" s="19">
        <f t="shared" si="56"/>
        <v>89.14</v>
      </c>
      <c r="EN38" s="19">
        <f t="shared" si="57"/>
        <v>81.900000000000006</v>
      </c>
      <c r="EO38" s="19">
        <f t="shared" si="58"/>
        <v>83.25</v>
      </c>
      <c r="EP38" s="19">
        <f t="shared" si="59"/>
        <v>83.75</v>
      </c>
      <c r="EQ38" s="19">
        <f t="shared" si="60"/>
        <v>82.5</v>
      </c>
      <c r="ER38" s="19">
        <f t="shared" si="61"/>
        <v>78.25</v>
      </c>
      <c r="ES38" s="19">
        <f t="shared" si="62"/>
        <v>83.9</v>
      </c>
      <c r="ET38" s="19">
        <f t="shared" si="63"/>
        <v>75.12</v>
      </c>
      <c r="EU38" s="19">
        <f t="shared" si="64"/>
        <v>81.34</v>
      </c>
      <c r="EV38" s="19">
        <f t="shared" si="65"/>
        <v>83.5</v>
      </c>
      <c r="EW38" s="19">
        <f t="shared" si="66"/>
        <v>83.5</v>
      </c>
      <c r="EX38" s="19">
        <f t="shared" si="67"/>
        <v>79</v>
      </c>
      <c r="EY38" s="19">
        <f t="shared" si="68"/>
        <v>81.677777777777777</v>
      </c>
      <c r="EZ38" s="19">
        <f t="shared" si="69"/>
        <v>82.76666666666668</v>
      </c>
      <c r="FA38" s="19">
        <f t="shared" si="70"/>
        <v>80</v>
      </c>
      <c r="FB38" s="19">
        <f t="shared" si="71"/>
        <v>77.76666666666668</v>
      </c>
      <c r="FC38" s="19">
        <f t="shared" si="72"/>
        <v>82.002418300653588</v>
      </c>
    </row>
    <row r="39" spans="1:159" ht="20.100000000000001" customHeight="1">
      <c r="A39" s="11">
        <v>35</v>
      </c>
      <c r="B39" s="12" t="s">
        <v>120</v>
      </c>
      <c r="C39" s="13" t="s">
        <v>121</v>
      </c>
      <c r="D39" s="12" t="s">
        <v>53</v>
      </c>
      <c r="E39" s="14">
        <v>85</v>
      </c>
      <c r="F39" s="14">
        <v>84</v>
      </c>
      <c r="G39" s="14">
        <v>90</v>
      </c>
      <c r="H39" s="14">
        <v>84</v>
      </c>
      <c r="I39" s="14">
        <v>90</v>
      </c>
      <c r="J39" s="14">
        <v>74</v>
      </c>
      <c r="K39" s="14">
        <v>86</v>
      </c>
      <c r="L39" s="14">
        <v>76</v>
      </c>
      <c r="M39" s="14">
        <v>88</v>
      </c>
      <c r="N39" s="14">
        <v>88</v>
      </c>
      <c r="O39" s="14">
        <v>92</v>
      </c>
      <c r="P39" s="15">
        <v>95</v>
      </c>
      <c r="Q39" s="15">
        <v>80</v>
      </c>
      <c r="R39" s="14">
        <v>89</v>
      </c>
      <c r="S39" s="14">
        <v>81</v>
      </c>
      <c r="T39" s="14">
        <v>84</v>
      </c>
      <c r="U39" s="14">
        <v>73</v>
      </c>
      <c r="V39" s="14">
        <v>89</v>
      </c>
      <c r="W39" s="14">
        <v>82</v>
      </c>
      <c r="X39" s="14">
        <v>85</v>
      </c>
      <c r="Y39" s="14">
        <v>82</v>
      </c>
      <c r="Z39" s="14">
        <v>86</v>
      </c>
      <c r="AA39" s="14">
        <v>80</v>
      </c>
      <c r="AB39" s="15">
        <v>82</v>
      </c>
      <c r="AC39" s="15">
        <v>82</v>
      </c>
      <c r="AD39" s="14">
        <v>85</v>
      </c>
      <c r="AE39" s="14">
        <v>84</v>
      </c>
      <c r="AF39" s="14">
        <v>80</v>
      </c>
      <c r="AG39" s="14">
        <v>79</v>
      </c>
      <c r="AH39" s="14">
        <v>77</v>
      </c>
      <c r="AI39" s="14">
        <v>72</v>
      </c>
      <c r="AJ39" s="14">
        <v>84</v>
      </c>
      <c r="AK39" s="14">
        <v>80</v>
      </c>
      <c r="AL39" s="15">
        <v>89</v>
      </c>
      <c r="AM39" s="15">
        <v>76</v>
      </c>
      <c r="AN39" s="14">
        <v>78</v>
      </c>
      <c r="AO39" s="14">
        <v>75</v>
      </c>
      <c r="AP39" s="14">
        <v>76</v>
      </c>
      <c r="AQ39" s="14">
        <v>80</v>
      </c>
      <c r="AR39" s="14">
        <v>85</v>
      </c>
      <c r="AS39" s="14">
        <v>71</v>
      </c>
      <c r="AT39" s="14">
        <v>83</v>
      </c>
      <c r="AU39" s="14">
        <v>83</v>
      </c>
      <c r="AV39" s="14">
        <v>85</v>
      </c>
      <c r="AW39" s="14">
        <v>83</v>
      </c>
      <c r="AX39" s="15">
        <v>85</v>
      </c>
      <c r="AY39" s="15">
        <v>87</v>
      </c>
      <c r="AZ39" s="14">
        <v>90</v>
      </c>
      <c r="BA39" s="14">
        <v>85</v>
      </c>
      <c r="BB39" s="14">
        <v>82</v>
      </c>
      <c r="BC39" s="14">
        <v>85</v>
      </c>
      <c r="BD39" s="14">
        <v>80</v>
      </c>
      <c r="BE39" s="37">
        <v>87</v>
      </c>
      <c r="BF39" s="37">
        <v>87</v>
      </c>
      <c r="BG39" s="37">
        <v>82</v>
      </c>
      <c r="BH39" s="14">
        <v>90</v>
      </c>
      <c r="BI39" s="37">
        <v>80</v>
      </c>
      <c r="BJ39" s="37">
        <v>84</v>
      </c>
      <c r="BK39" s="37">
        <v>88</v>
      </c>
      <c r="BL39" s="14">
        <v>90</v>
      </c>
      <c r="BM39" s="37">
        <v>78</v>
      </c>
      <c r="BN39" s="37">
        <v>80</v>
      </c>
      <c r="BO39" s="37">
        <v>84</v>
      </c>
      <c r="BP39" s="14">
        <v>90</v>
      </c>
      <c r="BQ39" s="15">
        <f t="shared" si="0"/>
        <v>81.666666666666671</v>
      </c>
      <c r="BR39" s="15">
        <f t="shared" si="1"/>
        <v>83.666666666666671</v>
      </c>
      <c r="BS39" s="15">
        <f t="shared" si="2"/>
        <v>84.666666666666671</v>
      </c>
      <c r="BT39" s="15">
        <f t="shared" si="3"/>
        <v>90</v>
      </c>
      <c r="BU39" s="15">
        <v>89</v>
      </c>
      <c r="BV39" s="15">
        <v>89</v>
      </c>
      <c r="BW39" s="15">
        <v>86</v>
      </c>
      <c r="BX39" s="15">
        <v>90</v>
      </c>
      <c r="BY39" s="15">
        <v>87</v>
      </c>
      <c r="BZ39" s="15">
        <v>74</v>
      </c>
      <c r="CA39" s="15">
        <v>86</v>
      </c>
      <c r="CB39" s="15">
        <v>80</v>
      </c>
      <c r="CC39" s="15">
        <v>85</v>
      </c>
      <c r="CD39" s="39">
        <v>86</v>
      </c>
      <c r="CE39" s="40">
        <v>86</v>
      </c>
      <c r="CF39" s="40">
        <v>78</v>
      </c>
      <c r="CG39" s="40">
        <v>92</v>
      </c>
      <c r="CH39" s="40">
        <v>80</v>
      </c>
      <c r="CI39" s="40">
        <v>83</v>
      </c>
      <c r="CJ39" s="40">
        <v>82</v>
      </c>
      <c r="CK39" s="39">
        <v>88</v>
      </c>
      <c r="CL39" s="40">
        <v>85</v>
      </c>
      <c r="CM39" s="41">
        <f t="shared" si="4"/>
        <v>86.6</v>
      </c>
      <c r="CN39" s="41">
        <f t="shared" si="5"/>
        <v>74</v>
      </c>
      <c r="CO39" s="41">
        <f t="shared" si="6"/>
        <v>86</v>
      </c>
      <c r="CP39" s="17">
        <f t="shared" si="7"/>
        <v>82.64</v>
      </c>
      <c r="CQ39" s="16">
        <f t="shared" si="8"/>
        <v>86</v>
      </c>
      <c r="CR39" s="16">
        <f t="shared" si="9"/>
        <v>95</v>
      </c>
      <c r="CS39" s="16">
        <f t="shared" si="10"/>
        <v>86</v>
      </c>
      <c r="CT39" s="17">
        <f t="shared" si="11"/>
        <v>88.7</v>
      </c>
      <c r="CU39" s="17">
        <f t="shared" si="12"/>
        <v>81.400000000000006</v>
      </c>
      <c r="CV39" s="17">
        <f t="shared" si="13"/>
        <v>89</v>
      </c>
      <c r="CW39" s="17">
        <f t="shared" si="14"/>
        <v>78</v>
      </c>
      <c r="CX39" s="17">
        <f t="shared" si="15"/>
        <v>82.66</v>
      </c>
      <c r="CY39" s="18">
        <f t="shared" si="16"/>
        <v>83.75</v>
      </c>
      <c r="CZ39" s="18">
        <f t="shared" si="17"/>
        <v>83.75</v>
      </c>
      <c r="DA39" s="18">
        <f t="shared" si="18"/>
        <v>82.25</v>
      </c>
      <c r="DB39" s="18">
        <f t="shared" si="19"/>
        <v>82.25</v>
      </c>
      <c r="DC39" s="18">
        <f t="shared" si="20"/>
        <v>82</v>
      </c>
      <c r="DD39" s="18">
        <f t="shared" si="21"/>
        <v>82</v>
      </c>
      <c r="DE39" s="18">
        <f t="shared" si="22"/>
        <v>78</v>
      </c>
      <c r="DF39" s="18">
        <f t="shared" si="23"/>
        <v>78</v>
      </c>
      <c r="DG39" s="18">
        <f t="shared" si="24"/>
        <v>80</v>
      </c>
      <c r="DH39" s="18">
        <f t="shared" si="25"/>
        <v>89</v>
      </c>
      <c r="DI39" s="18">
        <f t="shared" si="26"/>
        <v>92</v>
      </c>
      <c r="DJ39" s="17">
        <f t="shared" si="27"/>
        <v>86.3</v>
      </c>
      <c r="DK39" s="18">
        <f t="shared" si="28"/>
        <v>77</v>
      </c>
      <c r="DL39" s="18">
        <f t="shared" si="29"/>
        <v>85</v>
      </c>
      <c r="DM39" s="18">
        <f t="shared" si="30"/>
        <v>80</v>
      </c>
      <c r="DN39" s="17">
        <f t="shared" si="31"/>
        <v>80.3</v>
      </c>
      <c r="DO39" s="18">
        <f t="shared" si="32"/>
        <v>81</v>
      </c>
      <c r="DP39" s="18">
        <f t="shared" si="33"/>
        <v>85</v>
      </c>
      <c r="DQ39" s="18">
        <f t="shared" si="34"/>
        <v>83</v>
      </c>
      <c r="DR39" s="17">
        <f t="shared" si="35"/>
        <v>82.8</v>
      </c>
      <c r="DS39" s="18">
        <f t="shared" si="36"/>
        <v>88.5</v>
      </c>
      <c r="DT39" s="18">
        <f t="shared" si="37"/>
        <v>88.5</v>
      </c>
      <c r="DU39" s="18">
        <f t="shared" si="38"/>
        <v>83.5</v>
      </c>
      <c r="DV39" s="18">
        <f t="shared" si="39"/>
        <v>83.5</v>
      </c>
      <c r="DW39" s="18">
        <f t="shared" si="40"/>
        <v>82.5</v>
      </c>
      <c r="DX39" s="17">
        <f t="shared" si="41"/>
        <v>82.5</v>
      </c>
      <c r="DY39" s="18">
        <f t="shared" si="42"/>
        <v>83.333333333333329</v>
      </c>
      <c r="DZ39" s="18">
        <f t="shared" si="43"/>
        <v>90</v>
      </c>
      <c r="EA39" s="18">
        <f t="shared" si="44"/>
        <v>85</v>
      </c>
      <c r="EB39" s="17">
        <f t="shared" si="45"/>
        <v>85.833333333333329</v>
      </c>
      <c r="EC39" s="18">
        <f t="shared" si="46"/>
        <v>88</v>
      </c>
      <c r="ED39" s="18">
        <f t="shared" si="47"/>
        <v>90</v>
      </c>
      <c r="EE39" s="18">
        <f t="shared" si="48"/>
        <v>88</v>
      </c>
      <c r="EF39" s="17">
        <f t="shared" si="49"/>
        <v>88.6</v>
      </c>
      <c r="EG39" s="18">
        <f t="shared" si="50"/>
        <v>87</v>
      </c>
      <c r="EH39" s="18">
        <f t="shared" si="51"/>
        <v>80</v>
      </c>
      <c r="EI39" s="18">
        <f t="shared" si="52"/>
        <v>85</v>
      </c>
      <c r="EJ39" s="18">
        <f t="shared" si="53"/>
        <v>82</v>
      </c>
      <c r="EK39" s="17">
        <f t="shared" si="54"/>
        <v>82.1</v>
      </c>
      <c r="EL39" s="19">
        <f t="shared" si="55"/>
        <v>82.64</v>
      </c>
      <c r="EM39" s="19">
        <f t="shared" si="56"/>
        <v>88.7</v>
      </c>
      <c r="EN39" s="19">
        <f t="shared" si="57"/>
        <v>82.66</v>
      </c>
      <c r="EO39" s="19">
        <f t="shared" si="58"/>
        <v>83.75</v>
      </c>
      <c r="EP39" s="19">
        <f t="shared" si="59"/>
        <v>82.25</v>
      </c>
      <c r="EQ39" s="19">
        <f t="shared" si="60"/>
        <v>82</v>
      </c>
      <c r="ER39" s="19">
        <f t="shared" si="61"/>
        <v>78</v>
      </c>
      <c r="ES39" s="19">
        <f t="shared" si="62"/>
        <v>86.3</v>
      </c>
      <c r="ET39" s="19">
        <f t="shared" si="63"/>
        <v>80.3</v>
      </c>
      <c r="EU39" s="19">
        <f t="shared" si="64"/>
        <v>82.8</v>
      </c>
      <c r="EV39" s="19">
        <f t="shared" si="65"/>
        <v>88.5</v>
      </c>
      <c r="EW39" s="19">
        <f t="shared" si="66"/>
        <v>83.5</v>
      </c>
      <c r="EX39" s="19">
        <f t="shared" si="67"/>
        <v>82.5</v>
      </c>
      <c r="EY39" s="19">
        <f t="shared" si="68"/>
        <v>85.833333333333329</v>
      </c>
      <c r="EZ39" s="19">
        <f t="shared" si="69"/>
        <v>88.6</v>
      </c>
      <c r="FA39" s="19">
        <f t="shared" si="70"/>
        <v>87</v>
      </c>
      <c r="FB39" s="19">
        <f t="shared" si="71"/>
        <v>82.1</v>
      </c>
      <c r="FC39" s="19">
        <f t="shared" si="72"/>
        <v>83.96666666666664</v>
      </c>
    </row>
    <row r="40" spans="1:159" ht="20.100000000000001" customHeight="1">
      <c r="A40" s="11">
        <v>36</v>
      </c>
      <c r="B40" s="12" t="s">
        <v>122</v>
      </c>
      <c r="C40" s="13" t="s">
        <v>123</v>
      </c>
      <c r="D40" s="12" t="s">
        <v>53</v>
      </c>
      <c r="E40" s="14">
        <v>83</v>
      </c>
      <c r="F40" s="14">
        <v>81</v>
      </c>
      <c r="G40" s="14">
        <v>88</v>
      </c>
      <c r="H40" s="14">
        <v>84</v>
      </c>
      <c r="I40" s="14">
        <v>90</v>
      </c>
      <c r="J40" s="14">
        <v>85</v>
      </c>
      <c r="K40" s="14">
        <v>80</v>
      </c>
      <c r="L40" s="14">
        <v>82</v>
      </c>
      <c r="M40" s="14">
        <v>77</v>
      </c>
      <c r="N40" s="14">
        <v>83</v>
      </c>
      <c r="O40" s="14">
        <v>85</v>
      </c>
      <c r="P40" s="15">
        <v>83</v>
      </c>
      <c r="Q40" s="15">
        <v>80</v>
      </c>
      <c r="R40" s="14">
        <v>87</v>
      </c>
      <c r="S40" s="14">
        <v>75</v>
      </c>
      <c r="T40" s="14">
        <v>74</v>
      </c>
      <c r="U40" s="14">
        <v>72</v>
      </c>
      <c r="V40" s="14">
        <v>83</v>
      </c>
      <c r="W40" s="14">
        <v>81</v>
      </c>
      <c r="X40" s="14">
        <v>84</v>
      </c>
      <c r="Y40" s="14">
        <v>80</v>
      </c>
      <c r="Z40" s="14">
        <v>84</v>
      </c>
      <c r="AA40" s="14">
        <v>77</v>
      </c>
      <c r="AB40" s="15">
        <v>84</v>
      </c>
      <c r="AC40" s="15">
        <v>82</v>
      </c>
      <c r="AD40" s="14">
        <v>82</v>
      </c>
      <c r="AE40" s="14">
        <v>83</v>
      </c>
      <c r="AF40" s="14">
        <v>83</v>
      </c>
      <c r="AG40" s="14">
        <v>75</v>
      </c>
      <c r="AH40" s="14">
        <v>76</v>
      </c>
      <c r="AI40" s="14">
        <v>75</v>
      </c>
      <c r="AJ40" s="14">
        <v>82</v>
      </c>
      <c r="AK40" s="14">
        <v>80</v>
      </c>
      <c r="AL40" s="15">
        <v>83</v>
      </c>
      <c r="AM40" s="15">
        <v>71</v>
      </c>
      <c r="AN40" s="14">
        <v>73</v>
      </c>
      <c r="AO40" s="14">
        <v>73</v>
      </c>
      <c r="AP40" s="14">
        <v>74</v>
      </c>
      <c r="AQ40" s="14">
        <v>78</v>
      </c>
      <c r="AR40" s="14">
        <v>80</v>
      </c>
      <c r="AS40" s="14">
        <v>80</v>
      </c>
      <c r="AT40" s="14">
        <v>85</v>
      </c>
      <c r="AU40" s="14">
        <v>80</v>
      </c>
      <c r="AV40" s="14">
        <v>83</v>
      </c>
      <c r="AW40" s="14">
        <v>80</v>
      </c>
      <c r="AX40" s="15">
        <v>80</v>
      </c>
      <c r="AY40" s="15">
        <v>76</v>
      </c>
      <c r="AZ40" s="14">
        <v>79</v>
      </c>
      <c r="BA40" s="14">
        <v>71</v>
      </c>
      <c r="BB40" s="14">
        <v>78</v>
      </c>
      <c r="BC40" s="14">
        <v>80</v>
      </c>
      <c r="BD40" s="14">
        <v>80</v>
      </c>
      <c r="BE40" s="37">
        <v>83</v>
      </c>
      <c r="BF40" s="37">
        <v>76</v>
      </c>
      <c r="BG40" s="37">
        <v>79</v>
      </c>
      <c r="BH40" s="14">
        <v>83</v>
      </c>
      <c r="BI40" s="37">
        <v>80</v>
      </c>
      <c r="BJ40" s="37">
        <v>73</v>
      </c>
      <c r="BK40" s="37">
        <v>80</v>
      </c>
      <c r="BL40" s="14">
        <v>83</v>
      </c>
      <c r="BM40" s="37">
        <v>79</v>
      </c>
      <c r="BN40" s="37">
        <v>77</v>
      </c>
      <c r="BO40" s="37">
        <v>82</v>
      </c>
      <c r="BP40" s="14">
        <v>83</v>
      </c>
      <c r="BQ40" s="15">
        <f t="shared" si="0"/>
        <v>80.666666666666671</v>
      </c>
      <c r="BR40" s="15">
        <f t="shared" si="1"/>
        <v>75.333333333333329</v>
      </c>
      <c r="BS40" s="15">
        <f t="shared" si="2"/>
        <v>80.333333333333329</v>
      </c>
      <c r="BT40" s="15">
        <f t="shared" si="3"/>
        <v>83</v>
      </c>
      <c r="BU40" s="15">
        <v>81</v>
      </c>
      <c r="BV40" s="15">
        <v>81</v>
      </c>
      <c r="BW40" s="15">
        <v>86</v>
      </c>
      <c r="BX40" s="15">
        <v>83</v>
      </c>
      <c r="BY40" s="15">
        <v>83</v>
      </c>
      <c r="BZ40" s="15">
        <v>73</v>
      </c>
      <c r="CA40" s="15">
        <v>84</v>
      </c>
      <c r="CB40" s="15">
        <v>73</v>
      </c>
      <c r="CC40" s="15">
        <v>80</v>
      </c>
      <c r="CD40" s="39">
        <v>81</v>
      </c>
      <c r="CE40" s="40">
        <v>80</v>
      </c>
      <c r="CF40" s="40">
        <v>78</v>
      </c>
      <c r="CG40" s="40">
        <v>85</v>
      </c>
      <c r="CH40" s="40">
        <v>78</v>
      </c>
      <c r="CI40" s="40">
        <v>80</v>
      </c>
      <c r="CJ40" s="40">
        <v>80</v>
      </c>
      <c r="CK40" s="39">
        <v>84</v>
      </c>
      <c r="CL40" s="40">
        <v>77</v>
      </c>
      <c r="CM40" s="41">
        <f t="shared" si="4"/>
        <v>85.2</v>
      </c>
      <c r="CN40" s="41">
        <f t="shared" si="5"/>
        <v>85</v>
      </c>
      <c r="CO40" s="41">
        <f t="shared" si="6"/>
        <v>81</v>
      </c>
      <c r="CP40" s="17">
        <f t="shared" si="7"/>
        <v>83.88</v>
      </c>
      <c r="CQ40" s="16">
        <f t="shared" si="8"/>
        <v>81.400000000000006</v>
      </c>
      <c r="CR40" s="16">
        <f t="shared" si="9"/>
        <v>83</v>
      </c>
      <c r="CS40" s="16">
        <f t="shared" si="10"/>
        <v>80</v>
      </c>
      <c r="CT40" s="17">
        <f t="shared" si="11"/>
        <v>81.460000000000008</v>
      </c>
      <c r="CU40" s="17">
        <f t="shared" si="12"/>
        <v>77.599999999999994</v>
      </c>
      <c r="CV40" s="17">
        <f t="shared" si="13"/>
        <v>83</v>
      </c>
      <c r="CW40" s="17">
        <f t="shared" si="14"/>
        <v>78</v>
      </c>
      <c r="CX40" s="17">
        <f t="shared" si="15"/>
        <v>79.34</v>
      </c>
      <c r="CY40" s="18">
        <f t="shared" si="16"/>
        <v>82.25</v>
      </c>
      <c r="CZ40" s="18">
        <f t="shared" si="17"/>
        <v>82.25</v>
      </c>
      <c r="DA40" s="18">
        <f t="shared" si="18"/>
        <v>81.25</v>
      </c>
      <c r="DB40" s="18">
        <f t="shared" si="19"/>
        <v>81.25</v>
      </c>
      <c r="DC40" s="18">
        <f t="shared" si="20"/>
        <v>83</v>
      </c>
      <c r="DD40" s="18">
        <f t="shared" si="21"/>
        <v>83</v>
      </c>
      <c r="DE40" s="18">
        <f t="shared" si="22"/>
        <v>77</v>
      </c>
      <c r="DF40" s="18">
        <f t="shared" si="23"/>
        <v>77</v>
      </c>
      <c r="DG40" s="18">
        <f t="shared" si="24"/>
        <v>80</v>
      </c>
      <c r="DH40" s="18">
        <f t="shared" si="25"/>
        <v>83</v>
      </c>
      <c r="DI40" s="18">
        <f t="shared" si="26"/>
        <v>85</v>
      </c>
      <c r="DJ40" s="17">
        <f t="shared" si="27"/>
        <v>82.4</v>
      </c>
      <c r="DK40" s="18">
        <f t="shared" si="28"/>
        <v>73.8</v>
      </c>
      <c r="DL40" s="18">
        <f t="shared" si="29"/>
        <v>80</v>
      </c>
      <c r="DM40" s="18">
        <f t="shared" si="30"/>
        <v>78</v>
      </c>
      <c r="DN40" s="17">
        <f t="shared" si="31"/>
        <v>76.92</v>
      </c>
      <c r="DO40" s="18">
        <f t="shared" si="32"/>
        <v>81.599999999999994</v>
      </c>
      <c r="DP40" s="18">
        <f t="shared" si="33"/>
        <v>80</v>
      </c>
      <c r="DQ40" s="18">
        <f t="shared" si="34"/>
        <v>80</v>
      </c>
      <c r="DR40" s="17">
        <f t="shared" si="35"/>
        <v>80.64</v>
      </c>
      <c r="DS40" s="18">
        <f t="shared" si="36"/>
        <v>77.5</v>
      </c>
      <c r="DT40" s="18">
        <f t="shared" si="37"/>
        <v>77.5</v>
      </c>
      <c r="DU40" s="18">
        <f t="shared" si="38"/>
        <v>74.5</v>
      </c>
      <c r="DV40" s="18">
        <f t="shared" si="39"/>
        <v>74.5</v>
      </c>
      <c r="DW40" s="18">
        <f t="shared" si="40"/>
        <v>80</v>
      </c>
      <c r="DX40" s="17">
        <f t="shared" si="41"/>
        <v>80</v>
      </c>
      <c r="DY40" s="18">
        <f t="shared" si="42"/>
        <v>78.777777777777771</v>
      </c>
      <c r="DZ40" s="18">
        <f t="shared" si="43"/>
        <v>83</v>
      </c>
      <c r="EA40" s="18">
        <f t="shared" si="44"/>
        <v>77</v>
      </c>
      <c r="EB40" s="17">
        <f t="shared" si="45"/>
        <v>79.511111111111106</v>
      </c>
      <c r="EC40" s="18">
        <f t="shared" si="46"/>
        <v>82.666666666666671</v>
      </c>
      <c r="ED40" s="18">
        <f t="shared" si="47"/>
        <v>83</v>
      </c>
      <c r="EE40" s="18">
        <f t="shared" si="48"/>
        <v>84</v>
      </c>
      <c r="EF40" s="17">
        <f t="shared" si="49"/>
        <v>83.166666666666671</v>
      </c>
      <c r="EG40" s="18">
        <f t="shared" si="50"/>
        <v>83</v>
      </c>
      <c r="EH40" s="18">
        <f t="shared" si="51"/>
        <v>76.666666666666671</v>
      </c>
      <c r="EI40" s="18">
        <f t="shared" si="52"/>
        <v>80</v>
      </c>
      <c r="EJ40" s="18">
        <f t="shared" si="53"/>
        <v>80</v>
      </c>
      <c r="EK40" s="17">
        <f t="shared" si="54"/>
        <v>78.666666666666671</v>
      </c>
      <c r="EL40" s="19">
        <f t="shared" si="55"/>
        <v>83.88</v>
      </c>
      <c r="EM40" s="19">
        <f t="shared" si="56"/>
        <v>81.460000000000008</v>
      </c>
      <c r="EN40" s="19">
        <f t="shared" si="57"/>
        <v>79.34</v>
      </c>
      <c r="EO40" s="19">
        <f t="shared" si="58"/>
        <v>82.25</v>
      </c>
      <c r="EP40" s="19">
        <f t="shared" si="59"/>
        <v>81.25</v>
      </c>
      <c r="EQ40" s="19">
        <f t="shared" si="60"/>
        <v>83</v>
      </c>
      <c r="ER40" s="19">
        <f t="shared" si="61"/>
        <v>77</v>
      </c>
      <c r="ES40" s="19">
        <f t="shared" si="62"/>
        <v>82.4</v>
      </c>
      <c r="ET40" s="19">
        <f t="shared" si="63"/>
        <v>76.92</v>
      </c>
      <c r="EU40" s="19">
        <f t="shared" si="64"/>
        <v>80.64</v>
      </c>
      <c r="EV40" s="19">
        <f t="shared" si="65"/>
        <v>77.5</v>
      </c>
      <c r="EW40" s="19">
        <f t="shared" si="66"/>
        <v>74.5</v>
      </c>
      <c r="EX40" s="19">
        <f t="shared" si="67"/>
        <v>80</v>
      </c>
      <c r="EY40" s="19">
        <f t="shared" si="68"/>
        <v>79.511111111111106</v>
      </c>
      <c r="EZ40" s="19">
        <f t="shared" si="69"/>
        <v>83.166666666666671</v>
      </c>
      <c r="FA40" s="19">
        <f t="shared" si="70"/>
        <v>83</v>
      </c>
      <c r="FB40" s="19">
        <f t="shared" si="71"/>
        <v>78.666666666666671</v>
      </c>
      <c r="FC40" s="19">
        <f t="shared" si="72"/>
        <v>80.263790849673214</v>
      </c>
    </row>
    <row r="41" spans="1:159" ht="20.100000000000001" customHeight="1">
      <c r="A41" s="11">
        <v>37</v>
      </c>
      <c r="B41" s="22" t="s">
        <v>124</v>
      </c>
      <c r="C41" s="23" t="s">
        <v>125</v>
      </c>
      <c r="D41" s="24" t="s">
        <v>126</v>
      </c>
      <c r="E41" s="14">
        <v>92</v>
      </c>
      <c r="F41" s="14">
        <v>82</v>
      </c>
      <c r="G41" s="14">
        <v>88</v>
      </c>
      <c r="H41" s="14">
        <v>84</v>
      </c>
      <c r="I41" s="14">
        <v>93</v>
      </c>
      <c r="J41" s="14">
        <v>85</v>
      </c>
      <c r="K41" s="14">
        <v>80</v>
      </c>
      <c r="L41" s="14">
        <v>81</v>
      </c>
      <c r="M41" s="14">
        <v>89</v>
      </c>
      <c r="N41" s="14">
        <v>92</v>
      </c>
      <c r="O41" s="14">
        <v>92</v>
      </c>
      <c r="P41" s="15">
        <v>85</v>
      </c>
      <c r="Q41" s="15">
        <v>87</v>
      </c>
      <c r="R41" s="14">
        <v>84</v>
      </c>
      <c r="S41" s="14">
        <v>95</v>
      </c>
      <c r="T41" s="14">
        <v>91</v>
      </c>
      <c r="U41" s="14">
        <v>82</v>
      </c>
      <c r="V41" s="14">
        <v>83</v>
      </c>
      <c r="W41" s="14">
        <v>81</v>
      </c>
      <c r="X41" s="14">
        <v>84</v>
      </c>
      <c r="Y41" s="14">
        <v>80</v>
      </c>
      <c r="Z41" s="14">
        <v>84</v>
      </c>
      <c r="AA41" s="14">
        <v>82</v>
      </c>
      <c r="AB41" s="15">
        <v>85</v>
      </c>
      <c r="AC41" s="15">
        <v>78</v>
      </c>
      <c r="AD41" s="14">
        <v>81</v>
      </c>
      <c r="AE41" s="14">
        <v>82</v>
      </c>
      <c r="AF41" s="14">
        <v>90</v>
      </c>
      <c r="AG41" s="14">
        <v>93</v>
      </c>
      <c r="AH41" s="14">
        <v>80</v>
      </c>
      <c r="AI41" s="14">
        <v>73</v>
      </c>
      <c r="AJ41" s="14">
        <v>84</v>
      </c>
      <c r="AK41" s="14">
        <v>80</v>
      </c>
      <c r="AL41" s="15">
        <v>83</v>
      </c>
      <c r="AM41" s="15">
        <v>71</v>
      </c>
      <c r="AN41" s="14">
        <v>81</v>
      </c>
      <c r="AO41" s="14">
        <v>75</v>
      </c>
      <c r="AP41" s="14">
        <v>76</v>
      </c>
      <c r="AQ41" s="14">
        <v>82</v>
      </c>
      <c r="AR41" s="14">
        <v>85</v>
      </c>
      <c r="AS41" s="14">
        <v>83</v>
      </c>
      <c r="AT41" s="14">
        <v>80</v>
      </c>
      <c r="AU41" s="14">
        <v>82</v>
      </c>
      <c r="AV41" s="14">
        <v>82</v>
      </c>
      <c r="AW41" s="14">
        <v>82</v>
      </c>
      <c r="AX41" s="15">
        <v>85</v>
      </c>
      <c r="AY41" s="15">
        <v>76</v>
      </c>
      <c r="AZ41" s="14">
        <v>84</v>
      </c>
      <c r="BA41" s="14">
        <v>85</v>
      </c>
      <c r="BB41" s="14">
        <v>90</v>
      </c>
      <c r="BC41" s="14">
        <v>83</v>
      </c>
      <c r="BD41" s="14">
        <v>85</v>
      </c>
      <c r="BE41" s="37">
        <v>82</v>
      </c>
      <c r="BF41" s="37">
        <v>83</v>
      </c>
      <c r="BG41" s="37">
        <v>80</v>
      </c>
      <c r="BH41" s="14">
        <v>85</v>
      </c>
      <c r="BI41" s="37">
        <v>82</v>
      </c>
      <c r="BJ41" s="37">
        <v>80</v>
      </c>
      <c r="BK41" s="37">
        <v>89</v>
      </c>
      <c r="BL41" s="14">
        <v>85</v>
      </c>
      <c r="BM41" s="37">
        <v>79</v>
      </c>
      <c r="BN41" s="37">
        <v>75</v>
      </c>
      <c r="BO41" s="37">
        <v>83</v>
      </c>
      <c r="BP41" s="14">
        <v>85</v>
      </c>
      <c r="BQ41" s="15">
        <f t="shared" si="0"/>
        <v>81</v>
      </c>
      <c r="BR41" s="15">
        <f t="shared" si="1"/>
        <v>79.333333333333329</v>
      </c>
      <c r="BS41" s="15">
        <f t="shared" si="2"/>
        <v>84</v>
      </c>
      <c r="BT41" s="15">
        <f t="shared" si="3"/>
        <v>85</v>
      </c>
      <c r="BU41" s="15">
        <v>86</v>
      </c>
      <c r="BV41" s="15">
        <v>86</v>
      </c>
      <c r="BW41" s="15">
        <v>86</v>
      </c>
      <c r="BX41" s="15">
        <v>85</v>
      </c>
      <c r="BY41" s="15">
        <v>85</v>
      </c>
      <c r="BZ41" s="15">
        <v>76</v>
      </c>
      <c r="CA41" s="15">
        <v>85</v>
      </c>
      <c r="CB41" s="15">
        <v>83</v>
      </c>
      <c r="CC41" s="15">
        <v>85</v>
      </c>
      <c r="CD41" s="39">
        <v>88</v>
      </c>
      <c r="CE41" s="40">
        <v>85</v>
      </c>
      <c r="CF41" s="40">
        <v>80</v>
      </c>
      <c r="CG41" s="40">
        <v>87</v>
      </c>
      <c r="CH41" s="40">
        <v>82</v>
      </c>
      <c r="CI41" s="40">
        <v>82</v>
      </c>
      <c r="CJ41" s="40">
        <v>85</v>
      </c>
      <c r="CK41" s="39">
        <v>93</v>
      </c>
      <c r="CL41" s="40">
        <v>75</v>
      </c>
      <c r="CM41" s="41">
        <f t="shared" si="4"/>
        <v>87.8</v>
      </c>
      <c r="CN41" s="41">
        <f t="shared" si="5"/>
        <v>85</v>
      </c>
      <c r="CO41" s="41">
        <f t="shared" si="6"/>
        <v>88</v>
      </c>
      <c r="CP41" s="17">
        <f t="shared" si="7"/>
        <v>87.02000000000001</v>
      </c>
      <c r="CQ41" s="16">
        <f t="shared" si="8"/>
        <v>86.8</v>
      </c>
      <c r="CR41" s="16">
        <f t="shared" si="9"/>
        <v>85</v>
      </c>
      <c r="CS41" s="16">
        <f t="shared" si="10"/>
        <v>85</v>
      </c>
      <c r="CT41" s="17">
        <f t="shared" si="11"/>
        <v>85.72</v>
      </c>
      <c r="CU41" s="17">
        <f t="shared" si="12"/>
        <v>87.8</v>
      </c>
      <c r="CV41" s="17">
        <f t="shared" si="13"/>
        <v>83</v>
      </c>
      <c r="CW41" s="17">
        <f t="shared" si="14"/>
        <v>80</v>
      </c>
      <c r="CX41" s="17">
        <f t="shared" si="15"/>
        <v>84.02000000000001</v>
      </c>
      <c r="CY41" s="18">
        <f t="shared" si="16"/>
        <v>82.25</v>
      </c>
      <c r="CZ41" s="18">
        <f t="shared" si="17"/>
        <v>82.25</v>
      </c>
      <c r="DA41" s="18">
        <f t="shared" si="18"/>
        <v>81.5</v>
      </c>
      <c r="DB41" s="18">
        <f t="shared" si="19"/>
        <v>81.5</v>
      </c>
      <c r="DC41" s="18">
        <f t="shared" si="20"/>
        <v>86</v>
      </c>
      <c r="DD41" s="18">
        <f t="shared" si="21"/>
        <v>86</v>
      </c>
      <c r="DE41" s="18">
        <f t="shared" si="22"/>
        <v>82.5</v>
      </c>
      <c r="DF41" s="18">
        <f t="shared" si="23"/>
        <v>82.5</v>
      </c>
      <c r="DG41" s="18">
        <f t="shared" si="24"/>
        <v>80</v>
      </c>
      <c r="DH41" s="18">
        <f t="shared" si="25"/>
        <v>83</v>
      </c>
      <c r="DI41" s="18">
        <f t="shared" si="26"/>
        <v>87</v>
      </c>
      <c r="DJ41" s="17">
        <f t="shared" si="27"/>
        <v>83</v>
      </c>
      <c r="DK41" s="18">
        <f t="shared" si="28"/>
        <v>77</v>
      </c>
      <c r="DL41" s="18">
        <f t="shared" si="29"/>
        <v>85</v>
      </c>
      <c r="DM41" s="18">
        <f t="shared" si="30"/>
        <v>82</v>
      </c>
      <c r="DN41" s="17">
        <f t="shared" si="31"/>
        <v>80.900000000000006</v>
      </c>
      <c r="DO41" s="18">
        <f t="shared" si="32"/>
        <v>81.8</v>
      </c>
      <c r="DP41" s="18">
        <f t="shared" si="33"/>
        <v>85</v>
      </c>
      <c r="DQ41" s="18">
        <f t="shared" si="34"/>
        <v>82</v>
      </c>
      <c r="DR41" s="17">
        <f t="shared" si="35"/>
        <v>82.820000000000007</v>
      </c>
      <c r="DS41" s="18">
        <f t="shared" si="36"/>
        <v>80</v>
      </c>
      <c r="DT41" s="18">
        <f t="shared" si="37"/>
        <v>80</v>
      </c>
      <c r="DU41" s="18">
        <f t="shared" si="38"/>
        <v>87.5</v>
      </c>
      <c r="DV41" s="18">
        <f t="shared" si="39"/>
        <v>87.5</v>
      </c>
      <c r="DW41" s="18">
        <f t="shared" si="40"/>
        <v>84</v>
      </c>
      <c r="DX41" s="17">
        <f t="shared" si="41"/>
        <v>84</v>
      </c>
      <c r="DY41" s="18">
        <f t="shared" si="42"/>
        <v>81.444444444444443</v>
      </c>
      <c r="DZ41" s="18">
        <f t="shared" si="43"/>
        <v>85</v>
      </c>
      <c r="EA41" s="18">
        <f t="shared" si="44"/>
        <v>75</v>
      </c>
      <c r="EB41" s="17">
        <f t="shared" si="45"/>
        <v>80.577777777777783</v>
      </c>
      <c r="EC41" s="18">
        <f t="shared" si="46"/>
        <v>86</v>
      </c>
      <c r="ED41" s="18">
        <f t="shared" si="47"/>
        <v>85</v>
      </c>
      <c r="EE41" s="18">
        <f t="shared" si="48"/>
        <v>93</v>
      </c>
      <c r="EF41" s="17">
        <f t="shared" si="49"/>
        <v>87.8</v>
      </c>
      <c r="EG41" s="18">
        <f t="shared" si="50"/>
        <v>85</v>
      </c>
      <c r="EH41" s="18">
        <f t="shared" si="51"/>
        <v>81.333333333333329</v>
      </c>
      <c r="EI41" s="18">
        <f t="shared" si="52"/>
        <v>85</v>
      </c>
      <c r="EJ41" s="18">
        <f t="shared" si="53"/>
        <v>85</v>
      </c>
      <c r="EK41" s="17">
        <f t="shared" si="54"/>
        <v>83.533333333333331</v>
      </c>
      <c r="EL41" s="19">
        <f t="shared" si="55"/>
        <v>87.02000000000001</v>
      </c>
      <c r="EM41" s="19">
        <f t="shared" si="56"/>
        <v>85.72</v>
      </c>
      <c r="EN41" s="19">
        <f t="shared" si="57"/>
        <v>84.02000000000001</v>
      </c>
      <c r="EO41" s="19">
        <f t="shared" si="58"/>
        <v>82.25</v>
      </c>
      <c r="EP41" s="19">
        <f t="shared" si="59"/>
        <v>81.5</v>
      </c>
      <c r="EQ41" s="19">
        <f t="shared" si="60"/>
        <v>86</v>
      </c>
      <c r="ER41" s="19">
        <f t="shared" si="61"/>
        <v>82.5</v>
      </c>
      <c r="ES41" s="19">
        <f t="shared" si="62"/>
        <v>83</v>
      </c>
      <c r="ET41" s="19">
        <f t="shared" si="63"/>
        <v>80.900000000000006</v>
      </c>
      <c r="EU41" s="19">
        <f t="shared" si="64"/>
        <v>82.820000000000007</v>
      </c>
      <c r="EV41" s="19">
        <f t="shared" si="65"/>
        <v>80</v>
      </c>
      <c r="EW41" s="19">
        <f t="shared" si="66"/>
        <v>87.5</v>
      </c>
      <c r="EX41" s="19">
        <f t="shared" si="67"/>
        <v>84</v>
      </c>
      <c r="EY41" s="19">
        <f t="shared" si="68"/>
        <v>80.577777777777783</v>
      </c>
      <c r="EZ41" s="19">
        <f t="shared" si="69"/>
        <v>87.8</v>
      </c>
      <c r="FA41" s="19">
        <f t="shared" si="70"/>
        <v>85</v>
      </c>
      <c r="FB41" s="19">
        <f t="shared" si="71"/>
        <v>83.533333333333331</v>
      </c>
      <c r="FC41" s="19">
        <f t="shared" si="72"/>
        <v>83.773006535947715</v>
      </c>
    </row>
    <row r="42" spans="1:159" ht="20.100000000000001" customHeight="1">
      <c r="A42" s="11">
        <v>38</v>
      </c>
      <c r="B42" s="22" t="s">
        <v>127</v>
      </c>
      <c r="C42" s="23" t="s">
        <v>128</v>
      </c>
      <c r="D42" s="24" t="s">
        <v>126</v>
      </c>
      <c r="E42" s="14">
        <v>80</v>
      </c>
      <c r="F42" s="14">
        <v>84</v>
      </c>
      <c r="G42" s="14">
        <v>89</v>
      </c>
      <c r="H42" s="14">
        <v>84</v>
      </c>
      <c r="I42" s="14">
        <v>91</v>
      </c>
      <c r="J42" s="14">
        <v>95</v>
      </c>
      <c r="K42" s="14">
        <v>80</v>
      </c>
      <c r="L42" s="14">
        <v>81</v>
      </c>
      <c r="M42" s="14">
        <v>83</v>
      </c>
      <c r="N42" s="14">
        <v>88</v>
      </c>
      <c r="O42" s="14">
        <v>89</v>
      </c>
      <c r="P42" s="15">
        <v>89</v>
      </c>
      <c r="Q42" s="15">
        <v>80</v>
      </c>
      <c r="R42" s="14">
        <v>83</v>
      </c>
      <c r="S42" s="14">
        <v>81</v>
      </c>
      <c r="T42" s="14">
        <v>82</v>
      </c>
      <c r="U42" s="14">
        <v>80</v>
      </c>
      <c r="V42" s="14">
        <v>88</v>
      </c>
      <c r="W42" s="14">
        <v>82</v>
      </c>
      <c r="X42" s="14">
        <v>85</v>
      </c>
      <c r="Y42" s="14">
        <v>81</v>
      </c>
      <c r="Z42" s="14">
        <v>85</v>
      </c>
      <c r="AA42" s="14">
        <v>73</v>
      </c>
      <c r="AB42" s="15">
        <v>78</v>
      </c>
      <c r="AC42" s="15">
        <v>74</v>
      </c>
      <c r="AD42" s="14">
        <v>81</v>
      </c>
      <c r="AE42" s="14">
        <v>81</v>
      </c>
      <c r="AF42" s="14">
        <v>88</v>
      </c>
      <c r="AG42" s="14">
        <v>78</v>
      </c>
      <c r="AH42" s="14">
        <v>73</v>
      </c>
      <c r="AI42" s="14">
        <v>70</v>
      </c>
      <c r="AJ42" s="14">
        <v>82</v>
      </c>
      <c r="AK42" s="14">
        <v>80</v>
      </c>
      <c r="AL42" s="15">
        <v>88</v>
      </c>
      <c r="AM42" s="15">
        <v>71</v>
      </c>
      <c r="AN42" s="14">
        <v>72</v>
      </c>
      <c r="AO42" s="14">
        <v>73</v>
      </c>
      <c r="AP42" s="14">
        <v>74</v>
      </c>
      <c r="AQ42" s="14">
        <v>80</v>
      </c>
      <c r="AR42" s="14">
        <v>88</v>
      </c>
      <c r="AS42" s="14">
        <v>76</v>
      </c>
      <c r="AT42" s="14">
        <v>79</v>
      </c>
      <c r="AU42" s="14">
        <v>79</v>
      </c>
      <c r="AV42" s="14">
        <v>80</v>
      </c>
      <c r="AW42" s="14">
        <v>80</v>
      </c>
      <c r="AX42" s="15">
        <v>88</v>
      </c>
      <c r="AY42" s="15">
        <v>89</v>
      </c>
      <c r="AZ42" s="14">
        <v>86</v>
      </c>
      <c r="BA42" s="14">
        <v>79</v>
      </c>
      <c r="BB42" s="14">
        <v>84</v>
      </c>
      <c r="BC42" s="14">
        <v>89</v>
      </c>
      <c r="BD42" s="14">
        <v>85</v>
      </c>
      <c r="BE42" s="37">
        <v>76</v>
      </c>
      <c r="BF42" s="37">
        <v>83</v>
      </c>
      <c r="BG42" s="37">
        <v>85</v>
      </c>
      <c r="BH42" s="14">
        <v>89</v>
      </c>
      <c r="BI42" s="37">
        <v>78</v>
      </c>
      <c r="BJ42" s="37">
        <v>81</v>
      </c>
      <c r="BK42" s="37">
        <v>87</v>
      </c>
      <c r="BL42" s="14">
        <v>89</v>
      </c>
      <c r="BM42" s="37">
        <v>77</v>
      </c>
      <c r="BN42" s="37">
        <v>77</v>
      </c>
      <c r="BO42" s="37">
        <v>83</v>
      </c>
      <c r="BP42" s="14">
        <v>89</v>
      </c>
      <c r="BQ42" s="15">
        <f t="shared" si="0"/>
        <v>77</v>
      </c>
      <c r="BR42" s="15">
        <f t="shared" si="1"/>
        <v>80.333333333333329</v>
      </c>
      <c r="BS42" s="15">
        <f t="shared" si="2"/>
        <v>85</v>
      </c>
      <c r="BT42" s="15">
        <f t="shared" si="3"/>
        <v>89</v>
      </c>
      <c r="BU42" s="15">
        <v>85</v>
      </c>
      <c r="BV42" s="15">
        <v>85</v>
      </c>
      <c r="BW42" s="15">
        <v>86</v>
      </c>
      <c r="BX42" s="15">
        <v>89</v>
      </c>
      <c r="BY42" s="15">
        <v>90</v>
      </c>
      <c r="BZ42" s="15">
        <v>78</v>
      </c>
      <c r="CA42" s="15">
        <v>84</v>
      </c>
      <c r="CB42" s="15">
        <v>80</v>
      </c>
      <c r="CC42" s="15">
        <v>88</v>
      </c>
      <c r="CD42" s="39">
        <v>85</v>
      </c>
      <c r="CE42" s="40">
        <v>80</v>
      </c>
      <c r="CF42" s="40">
        <v>82</v>
      </c>
      <c r="CG42" s="40">
        <v>90</v>
      </c>
      <c r="CH42" s="40">
        <v>78</v>
      </c>
      <c r="CI42" s="40">
        <v>80</v>
      </c>
      <c r="CJ42" s="40">
        <v>82</v>
      </c>
      <c r="CK42" s="39">
        <v>93</v>
      </c>
      <c r="CL42" s="40">
        <v>90</v>
      </c>
      <c r="CM42" s="41">
        <f t="shared" si="4"/>
        <v>85.6</v>
      </c>
      <c r="CN42" s="41">
        <f t="shared" si="5"/>
        <v>95</v>
      </c>
      <c r="CO42" s="41">
        <f t="shared" si="6"/>
        <v>85</v>
      </c>
      <c r="CP42" s="17">
        <f t="shared" si="7"/>
        <v>88.24</v>
      </c>
      <c r="CQ42" s="16">
        <f t="shared" si="8"/>
        <v>84.2</v>
      </c>
      <c r="CR42" s="16">
        <f t="shared" si="9"/>
        <v>89</v>
      </c>
      <c r="CS42" s="16">
        <f t="shared" si="10"/>
        <v>80</v>
      </c>
      <c r="CT42" s="17">
        <f t="shared" si="11"/>
        <v>84.38</v>
      </c>
      <c r="CU42" s="17">
        <f t="shared" si="12"/>
        <v>81.2</v>
      </c>
      <c r="CV42" s="17">
        <f t="shared" si="13"/>
        <v>88</v>
      </c>
      <c r="CW42" s="17">
        <f t="shared" si="14"/>
        <v>82</v>
      </c>
      <c r="CX42" s="17">
        <f t="shared" si="15"/>
        <v>83.47999999999999</v>
      </c>
      <c r="CY42" s="18">
        <f t="shared" si="16"/>
        <v>83.25</v>
      </c>
      <c r="CZ42" s="18">
        <f t="shared" si="17"/>
        <v>83.25</v>
      </c>
      <c r="DA42" s="18">
        <f t="shared" si="18"/>
        <v>76.5</v>
      </c>
      <c r="DB42" s="18">
        <f t="shared" si="19"/>
        <v>76.5</v>
      </c>
      <c r="DC42" s="18">
        <f t="shared" si="20"/>
        <v>84.5</v>
      </c>
      <c r="DD42" s="18">
        <f t="shared" si="21"/>
        <v>84.5</v>
      </c>
      <c r="DE42" s="18">
        <f t="shared" si="22"/>
        <v>75.75</v>
      </c>
      <c r="DF42" s="18">
        <f t="shared" si="23"/>
        <v>75.75</v>
      </c>
      <c r="DG42" s="18">
        <f t="shared" si="24"/>
        <v>80</v>
      </c>
      <c r="DH42" s="18">
        <f t="shared" si="25"/>
        <v>88</v>
      </c>
      <c r="DI42" s="18">
        <f t="shared" si="26"/>
        <v>90</v>
      </c>
      <c r="DJ42" s="17">
        <f t="shared" si="27"/>
        <v>85.4</v>
      </c>
      <c r="DK42" s="18">
        <f t="shared" si="28"/>
        <v>74</v>
      </c>
      <c r="DL42" s="18">
        <f t="shared" si="29"/>
        <v>88</v>
      </c>
      <c r="DM42" s="18">
        <f t="shared" si="30"/>
        <v>78</v>
      </c>
      <c r="DN42" s="17">
        <f t="shared" si="31"/>
        <v>79.400000000000006</v>
      </c>
      <c r="DO42" s="18">
        <f t="shared" si="32"/>
        <v>78.8</v>
      </c>
      <c r="DP42" s="18">
        <f t="shared" si="33"/>
        <v>88</v>
      </c>
      <c r="DQ42" s="18">
        <f t="shared" si="34"/>
        <v>80</v>
      </c>
      <c r="DR42" s="17">
        <f t="shared" si="35"/>
        <v>81.92</v>
      </c>
      <c r="DS42" s="18">
        <f t="shared" si="36"/>
        <v>87.5</v>
      </c>
      <c r="DT42" s="18">
        <f t="shared" si="37"/>
        <v>87.5</v>
      </c>
      <c r="DU42" s="18">
        <f t="shared" si="38"/>
        <v>81.5</v>
      </c>
      <c r="DV42" s="18">
        <f t="shared" si="39"/>
        <v>81.5</v>
      </c>
      <c r="DW42" s="18">
        <f t="shared" si="40"/>
        <v>87</v>
      </c>
      <c r="DX42" s="17">
        <f t="shared" si="41"/>
        <v>87</v>
      </c>
      <c r="DY42" s="18">
        <f t="shared" si="42"/>
        <v>80.777777777777771</v>
      </c>
      <c r="DZ42" s="18">
        <f t="shared" si="43"/>
        <v>89</v>
      </c>
      <c r="EA42" s="18">
        <f t="shared" si="44"/>
        <v>90</v>
      </c>
      <c r="EB42" s="17">
        <f t="shared" si="45"/>
        <v>86.011111111111106</v>
      </c>
      <c r="EC42" s="18">
        <f t="shared" si="46"/>
        <v>85.333333333333329</v>
      </c>
      <c r="ED42" s="18">
        <f t="shared" si="47"/>
        <v>89</v>
      </c>
      <c r="EE42" s="18">
        <f t="shared" si="48"/>
        <v>93</v>
      </c>
      <c r="EF42" s="17">
        <f t="shared" si="49"/>
        <v>88.73333333333332</v>
      </c>
      <c r="EG42" s="18">
        <f t="shared" si="50"/>
        <v>90</v>
      </c>
      <c r="EH42" s="18">
        <f t="shared" si="51"/>
        <v>80.666666666666671</v>
      </c>
      <c r="EI42" s="18">
        <f t="shared" si="52"/>
        <v>88</v>
      </c>
      <c r="EJ42" s="18">
        <f t="shared" si="53"/>
        <v>82</v>
      </c>
      <c r="EK42" s="17">
        <f t="shared" si="54"/>
        <v>83.26666666666668</v>
      </c>
      <c r="EL42" s="19">
        <f t="shared" si="55"/>
        <v>88.24</v>
      </c>
      <c r="EM42" s="19">
        <f t="shared" si="56"/>
        <v>84.38</v>
      </c>
      <c r="EN42" s="19">
        <f t="shared" si="57"/>
        <v>83.47999999999999</v>
      </c>
      <c r="EO42" s="19">
        <f t="shared" si="58"/>
        <v>83.25</v>
      </c>
      <c r="EP42" s="19">
        <f t="shared" si="59"/>
        <v>76.5</v>
      </c>
      <c r="EQ42" s="19">
        <f t="shared" si="60"/>
        <v>84.5</v>
      </c>
      <c r="ER42" s="19">
        <f t="shared" si="61"/>
        <v>75.75</v>
      </c>
      <c r="ES42" s="19">
        <f t="shared" si="62"/>
        <v>85.4</v>
      </c>
      <c r="ET42" s="19">
        <f t="shared" si="63"/>
        <v>79.400000000000006</v>
      </c>
      <c r="EU42" s="19">
        <f t="shared" si="64"/>
        <v>81.92</v>
      </c>
      <c r="EV42" s="19">
        <f t="shared" si="65"/>
        <v>87.5</v>
      </c>
      <c r="EW42" s="19">
        <f t="shared" si="66"/>
        <v>81.5</v>
      </c>
      <c r="EX42" s="19">
        <f t="shared" si="67"/>
        <v>87</v>
      </c>
      <c r="EY42" s="19">
        <f t="shared" si="68"/>
        <v>86.011111111111106</v>
      </c>
      <c r="EZ42" s="19">
        <f t="shared" si="69"/>
        <v>88.73333333333332</v>
      </c>
      <c r="FA42" s="19">
        <f t="shared" si="70"/>
        <v>90</v>
      </c>
      <c r="FB42" s="19">
        <f t="shared" si="71"/>
        <v>83.26666666666668</v>
      </c>
      <c r="FC42" s="19">
        <f t="shared" si="72"/>
        <v>83.93124183006536</v>
      </c>
    </row>
    <row r="43" spans="1:159" ht="20.100000000000001" customHeight="1">
      <c r="A43" s="11">
        <v>39</v>
      </c>
      <c r="B43" s="22" t="s">
        <v>129</v>
      </c>
      <c r="C43" s="23" t="s">
        <v>130</v>
      </c>
      <c r="D43" s="24" t="s">
        <v>126</v>
      </c>
      <c r="E43" s="14">
        <v>92</v>
      </c>
      <c r="F43" s="14">
        <v>84</v>
      </c>
      <c r="G43" s="14">
        <v>88</v>
      </c>
      <c r="H43" s="14">
        <v>83</v>
      </c>
      <c r="I43" s="14">
        <v>93</v>
      </c>
      <c r="J43" s="14">
        <v>91</v>
      </c>
      <c r="K43" s="14">
        <v>80</v>
      </c>
      <c r="L43" s="14">
        <v>89</v>
      </c>
      <c r="M43" s="14">
        <v>90</v>
      </c>
      <c r="N43" s="14">
        <v>90</v>
      </c>
      <c r="O43" s="14">
        <v>90</v>
      </c>
      <c r="P43" s="15">
        <v>90</v>
      </c>
      <c r="Q43" s="15">
        <v>90</v>
      </c>
      <c r="R43" s="14">
        <v>85</v>
      </c>
      <c r="S43" s="14">
        <v>83</v>
      </c>
      <c r="T43" s="14">
        <v>85</v>
      </c>
      <c r="U43" s="14">
        <v>80</v>
      </c>
      <c r="V43" s="14">
        <v>87</v>
      </c>
      <c r="W43" s="14">
        <v>81</v>
      </c>
      <c r="X43" s="14">
        <v>84</v>
      </c>
      <c r="Y43" s="14">
        <v>80</v>
      </c>
      <c r="Z43" s="14">
        <v>84</v>
      </c>
      <c r="AA43" s="14">
        <v>78</v>
      </c>
      <c r="AB43" s="15">
        <v>86</v>
      </c>
      <c r="AC43" s="15">
        <v>78</v>
      </c>
      <c r="AD43" s="14">
        <v>81</v>
      </c>
      <c r="AE43" s="14">
        <v>83</v>
      </c>
      <c r="AF43" s="14">
        <v>85</v>
      </c>
      <c r="AG43" s="14">
        <v>87</v>
      </c>
      <c r="AH43" s="14">
        <v>82</v>
      </c>
      <c r="AI43" s="14">
        <v>73</v>
      </c>
      <c r="AJ43" s="14">
        <v>84</v>
      </c>
      <c r="AK43" s="14">
        <v>84</v>
      </c>
      <c r="AL43" s="15">
        <v>87</v>
      </c>
      <c r="AM43" s="15">
        <v>70</v>
      </c>
      <c r="AN43" s="14">
        <v>74</v>
      </c>
      <c r="AO43" s="14">
        <v>74</v>
      </c>
      <c r="AP43" s="14">
        <v>76</v>
      </c>
      <c r="AQ43" s="14">
        <v>81</v>
      </c>
      <c r="AR43" s="14">
        <v>91</v>
      </c>
      <c r="AS43" s="14">
        <v>77</v>
      </c>
      <c r="AT43" s="14">
        <v>80</v>
      </c>
      <c r="AU43" s="14">
        <v>80</v>
      </c>
      <c r="AV43" s="14">
        <v>80</v>
      </c>
      <c r="AW43" s="14">
        <v>80</v>
      </c>
      <c r="AX43" s="15">
        <v>91</v>
      </c>
      <c r="AY43" s="15">
        <v>83</v>
      </c>
      <c r="AZ43" s="14">
        <v>85</v>
      </c>
      <c r="BA43" s="14">
        <v>88</v>
      </c>
      <c r="BB43" s="14">
        <v>91</v>
      </c>
      <c r="BC43" s="14">
        <v>81</v>
      </c>
      <c r="BD43" s="14">
        <v>80</v>
      </c>
      <c r="BE43" s="37">
        <v>85</v>
      </c>
      <c r="BF43" s="37">
        <v>89</v>
      </c>
      <c r="BG43" s="37">
        <v>81</v>
      </c>
      <c r="BH43" s="14">
        <v>92</v>
      </c>
      <c r="BI43" s="37">
        <v>82</v>
      </c>
      <c r="BJ43" s="37">
        <v>84</v>
      </c>
      <c r="BK43" s="37">
        <v>88</v>
      </c>
      <c r="BL43" s="14">
        <v>92</v>
      </c>
      <c r="BM43" s="37">
        <v>78</v>
      </c>
      <c r="BN43" s="37">
        <v>85</v>
      </c>
      <c r="BO43" s="37">
        <v>83</v>
      </c>
      <c r="BP43" s="14">
        <v>92</v>
      </c>
      <c r="BQ43" s="15">
        <f t="shared" si="0"/>
        <v>81.666666666666671</v>
      </c>
      <c r="BR43" s="15">
        <f t="shared" si="1"/>
        <v>86</v>
      </c>
      <c r="BS43" s="15">
        <f t="shared" si="2"/>
        <v>84</v>
      </c>
      <c r="BT43" s="15">
        <f t="shared" si="3"/>
        <v>92</v>
      </c>
      <c r="BU43" s="15">
        <v>86</v>
      </c>
      <c r="BV43" s="15">
        <v>86</v>
      </c>
      <c r="BW43" s="15">
        <v>90</v>
      </c>
      <c r="BX43" s="15">
        <v>92</v>
      </c>
      <c r="BY43" s="15">
        <v>90</v>
      </c>
      <c r="BZ43" s="15">
        <v>78</v>
      </c>
      <c r="CA43" s="15">
        <v>85</v>
      </c>
      <c r="CB43" s="15">
        <v>80</v>
      </c>
      <c r="CC43" s="15">
        <v>91</v>
      </c>
      <c r="CD43" s="39">
        <v>90</v>
      </c>
      <c r="CE43" s="40">
        <v>85</v>
      </c>
      <c r="CF43" s="40">
        <v>80</v>
      </c>
      <c r="CG43" s="40">
        <v>92</v>
      </c>
      <c r="CH43" s="40">
        <v>82</v>
      </c>
      <c r="CI43" s="40">
        <v>83</v>
      </c>
      <c r="CJ43" s="40">
        <v>80</v>
      </c>
      <c r="CK43" s="39">
        <v>93</v>
      </c>
      <c r="CL43" s="40">
        <v>90</v>
      </c>
      <c r="CM43" s="41">
        <f t="shared" si="4"/>
        <v>88</v>
      </c>
      <c r="CN43" s="41">
        <f t="shared" si="5"/>
        <v>91</v>
      </c>
      <c r="CO43" s="41">
        <f t="shared" si="6"/>
        <v>90</v>
      </c>
      <c r="CP43" s="17">
        <f t="shared" si="7"/>
        <v>89.5</v>
      </c>
      <c r="CQ43" s="16">
        <f t="shared" si="8"/>
        <v>87.8</v>
      </c>
      <c r="CR43" s="16">
        <f t="shared" si="9"/>
        <v>90</v>
      </c>
      <c r="CS43" s="16">
        <f t="shared" si="10"/>
        <v>85</v>
      </c>
      <c r="CT43" s="17">
        <f t="shared" si="11"/>
        <v>87.62</v>
      </c>
      <c r="CU43" s="17">
        <f t="shared" si="12"/>
        <v>84.6</v>
      </c>
      <c r="CV43" s="17">
        <f t="shared" si="13"/>
        <v>87</v>
      </c>
      <c r="CW43" s="17">
        <f t="shared" si="14"/>
        <v>80</v>
      </c>
      <c r="CX43" s="17">
        <f t="shared" si="15"/>
        <v>83.94</v>
      </c>
      <c r="CY43" s="18">
        <f t="shared" si="16"/>
        <v>82.25</v>
      </c>
      <c r="CZ43" s="18">
        <f t="shared" si="17"/>
        <v>82.25</v>
      </c>
      <c r="DA43" s="18">
        <f t="shared" si="18"/>
        <v>80.75</v>
      </c>
      <c r="DB43" s="18">
        <f t="shared" si="19"/>
        <v>80.75</v>
      </c>
      <c r="DC43" s="18">
        <f t="shared" si="20"/>
        <v>84</v>
      </c>
      <c r="DD43" s="18">
        <f t="shared" si="21"/>
        <v>84</v>
      </c>
      <c r="DE43" s="18">
        <f t="shared" si="22"/>
        <v>81.5</v>
      </c>
      <c r="DF43" s="18">
        <f t="shared" si="23"/>
        <v>81.5</v>
      </c>
      <c r="DG43" s="18">
        <f t="shared" si="24"/>
        <v>84</v>
      </c>
      <c r="DH43" s="18">
        <f t="shared" si="25"/>
        <v>87</v>
      </c>
      <c r="DI43" s="18">
        <f t="shared" si="26"/>
        <v>92</v>
      </c>
      <c r="DJ43" s="17">
        <f t="shared" si="27"/>
        <v>87.3</v>
      </c>
      <c r="DK43" s="18">
        <f t="shared" si="28"/>
        <v>75</v>
      </c>
      <c r="DL43" s="18">
        <f t="shared" si="29"/>
        <v>91</v>
      </c>
      <c r="DM43" s="18">
        <f t="shared" si="30"/>
        <v>82</v>
      </c>
      <c r="DN43" s="17">
        <f t="shared" si="31"/>
        <v>81.900000000000006</v>
      </c>
      <c r="DO43" s="18">
        <f t="shared" si="32"/>
        <v>79.400000000000006</v>
      </c>
      <c r="DP43" s="18">
        <f t="shared" si="33"/>
        <v>91</v>
      </c>
      <c r="DQ43" s="18">
        <f t="shared" si="34"/>
        <v>83</v>
      </c>
      <c r="DR43" s="17">
        <f t="shared" si="35"/>
        <v>83.960000000000008</v>
      </c>
      <c r="DS43" s="18">
        <f t="shared" si="36"/>
        <v>84</v>
      </c>
      <c r="DT43" s="18">
        <f t="shared" si="37"/>
        <v>84</v>
      </c>
      <c r="DU43" s="18">
        <f t="shared" si="38"/>
        <v>89.5</v>
      </c>
      <c r="DV43" s="18">
        <f t="shared" si="39"/>
        <v>89.5</v>
      </c>
      <c r="DW43" s="18">
        <f t="shared" si="40"/>
        <v>80.5</v>
      </c>
      <c r="DX43" s="17">
        <f t="shared" si="41"/>
        <v>80.5</v>
      </c>
      <c r="DY43" s="18">
        <f t="shared" si="42"/>
        <v>83.8888888888889</v>
      </c>
      <c r="DZ43" s="18">
        <f t="shared" si="43"/>
        <v>92</v>
      </c>
      <c r="EA43" s="18">
        <f t="shared" si="44"/>
        <v>90</v>
      </c>
      <c r="EB43" s="17">
        <f t="shared" si="45"/>
        <v>88.155555555555566</v>
      </c>
      <c r="EC43" s="18">
        <f t="shared" si="46"/>
        <v>87.333333333333329</v>
      </c>
      <c r="ED43" s="18">
        <f t="shared" si="47"/>
        <v>92</v>
      </c>
      <c r="EE43" s="18">
        <f t="shared" si="48"/>
        <v>93</v>
      </c>
      <c r="EF43" s="17">
        <f t="shared" si="49"/>
        <v>90.433333333333323</v>
      </c>
      <c r="EG43" s="18">
        <f t="shared" si="50"/>
        <v>90</v>
      </c>
      <c r="EH43" s="18">
        <f t="shared" si="51"/>
        <v>81</v>
      </c>
      <c r="EI43" s="18">
        <f t="shared" si="52"/>
        <v>91</v>
      </c>
      <c r="EJ43" s="18">
        <f t="shared" si="53"/>
        <v>80</v>
      </c>
      <c r="EK43" s="17">
        <f t="shared" si="54"/>
        <v>83.7</v>
      </c>
      <c r="EL43" s="19">
        <f t="shared" si="55"/>
        <v>89.5</v>
      </c>
      <c r="EM43" s="19">
        <f t="shared" si="56"/>
        <v>87.62</v>
      </c>
      <c r="EN43" s="19">
        <f t="shared" si="57"/>
        <v>83.94</v>
      </c>
      <c r="EO43" s="19">
        <f t="shared" si="58"/>
        <v>82.25</v>
      </c>
      <c r="EP43" s="19">
        <f t="shared" si="59"/>
        <v>80.75</v>
      </c>
      <c r="EQ43" s="19">
        <f t="shared" si="60"/>
        <v>84</v>
      </c>
      <c r="ER43" s="19">
        <f t="shared" si="61"/>
        <v>81.5</v>
      </c>
      <c r="ES43" s="19">
        <f t="shared" si="62"/>
        <v>87.3</v>
      </c>
      <c r="ET43" s="19">
        <f t="shared" si="63"/>
        <v>81.900000000000006</v>
      </c>
      <c r="EU43" s="19">
        <f t="shared" si="64"/>
        <v>83.960000000000008</v>
      </c>
      <c r="EV43" s="19">
        <f t="shared" si="65"/>
        <v>84</v>
      </c>
      <c r="EW43" s="19">
        <f t="shared" si="66"/>
        <v>89.5</v>
      </c>
      <c r="EX43" s="19">
        <f t="shared" si="67"/>
        <v>80.5</v>
      </c>
      <c r="EY43" s="19">
        <f t="shared" si="68"/>
        <v>88.155555555555566</v>
      </c>
      <c r="EZ43" s="19">
        <f t="shared" si="69"/>
        <v>90.433333333333323</v>
      </c>
      <c r="FA43" s="19">
        <f t="shared" si="70"/>
        <v>90</v>
      </c>
      <c r="FB43" s="19">
        <f t="shared" si="71"/>
        <v>83.7</v>
      </c>
      <c r="FC43" s="19">
        <f t="shared" si="72"/>
        <v>85.235816993464042</v>
      </c>
    </row>
    <row r="44" spans="1:159" ht="20.100000000000001" customHeight="1">
      <c r="A44" s="11">
        <v>40</v>
      </c>
      <c r="B44" s="22" t="s">
        <v>131</v>
      </c>
      <c r="C44" s="23" t="s">
        <v>132</v>
      </c>
      <c r="D44" s="24" t="s">
        <v>126</v>
      </c>
      <c r="E44" s="14">
        <v>93</v>
      </c>
      <c r="F44" s="14">
        <v>90</v>
      </c>
      <c r="G44" s="14">
        <v>88</v>
      </c>
      <c r="H44" s="14">
        <v>84</v>
      </c>
      <c r="I44" s="14">
        <v>94</v>
      </c>
      <c r="J44" s="14">
        <v>91</v>
      </c>
      <c r="K44" s="14">
        <v>81</v>
      </c>
      <c r="L44" s="14">
        <v>81</v>
      </c>
      <c r="M44" s="14">
        <v>93</v>
      </c>
      <c r="N44" s="14">
        <v>94</v>
      </c>
      <c r="O44" s="14">
        <v>94</v>
      </c>
      <c r="P44" s="15">
        <v>91</v>
      </c>
      <c r="Q44" s="15">
        <v>90</v>
      </c>
      <c r="R44" s="14">
        <v>85</v>
      </c>
      <c r="S44" s="14">
        <v>83</v>
      </c>
      <c r="T44" s="14">
        <v>86</v>
      </c>
      <c r="U44" s="14">
        <v>80</v>
      </c>
      <c r="V44" s="14">
        <v>87</v>
      </c>
      <c r="W44" s="14">
        <v>82</v>
      </c>
      <c r="X44" s="14">
        <v>83</v>
      </c>
      <c r="Y44" s="14">
        <v>80</v>
      </c>
      <c r="Z44" s="14">
        <v>84</v>
      </c>
      <c r="AA44" s="14">
        <v>80</v>
      </c>
      <c r="AB44" s="15">
        <v>88</v>
      </c>
      <c r="AC44" s="15">
        <v>78</v>
      </c>
      <c r="AD44" s="14">
        <v>81</v>
      </c>
      <c r="AE44" s="14">
        <v>83</v>
      </c>
      <c r="AF44" s="14">
        <v>84</v>
      </c>
      <c r="AG44" s="14">
        <v>87</v>
      </c>
      <c r="AH44" s="14">
        <v>80</v>
      </c>
      <c r="AI44" s="14">
        <v>75</v>
      </c>
      <c r="AJ44" s="14">
        <v>82</v>
      </c>
      <c r="AK44" s="14">
        <v>85</v>
      </c>
      <c r="AL44" s="15">
        <v>87</v>
      </c>
      <c r="AM44" s="15">
        <v>74</v>
      </c>
      <c r="AN44" s="14">
        <v>74</v>
      </c>
      <c r="AO44" s="14">
        <v>75</v>
      </c>
      <c r="AP44" s="14">
        <v>76</v>
      </c>
      <c r="AQ44" s="14">
        <v>83</v>
      </c>
      <c r="AR44" s="14">
        <v>90</v>
      </c>
      <c r="AS44" s="14">
        <v>78</v>
      </c>
      <c r="AT44" s="14">
        <v>80</v>
      </c>
      <c r="AU44" s="14">
        <v>87</v>
      </c>
      <c r="AV44" s="14">
        <v>84</v>
      </c>
      <c r="AW44" s="14">
        <v>87</v>
      </c>
      <c r="AX44" s="15">
        <v>90</v>
      </c>
      <c r="AY44" s="15">
        <v>89</v>
      </c>
      <c r="AZ44" s="14">
        <v>84</v>
      </c>
      <c r="BA44" s="14">
        <v>81</v>
      </c>
      <c r="BB44" s="14">
        <v>90</v>
      </c>
      <c r="BC44" s="14">
        <v>87</v>
      </c>
      <c r="BD44" s="14">
        <v>76</v>
      </c>
      <c r="BE44" s="37">
        <v>85</v>
      </c>
      <c r="BF44" s="37">
        <v>85</v>
      </c>
      <c r="BG44" s="37">
        <v>81</v>
      </c>
      <c r="BH44" s="14">
        <v>92</v>
      </c>
      <c r="BI44" s="37">
        <v>85</v>
      </c>
      <c r="BJ44" s="37">
        <v>83</v>
      </c>
      <c r="BK44" s="37">
        <v>88</v>
      </c>
      <c r="BL44" s="14">
        <v>92</v>
      </c>
      <c r="BM44" s="37">
        <v>79</v>
      </c>
      <c r="BN44" s="37">
        <v>76</v>
      </c>
      <c r="BO44" s="37">
        <v>83</v>
      </c>
      <c r="BP44" s="14">
        <v>92</v>
      </c>
      <c r="BQ44" s="15">
        <f t="shared" si="0"/>
        <v>83</v>
      </c>
      <c r="BR44" s="15">
        <f t="shared" si="1"/>
        <v>81.333333333333329</v>
      </c>
      <c r="BS44" s="15">
        <f t="shared" si="2"/>
        <v>84</v>
      </c>
      <c r="BT44" s="15">
        <f t="shared" si="3"/>
        <v>92</v>
      </c>
      <c r="BU44" s="15">
        <v>86</v>
      </c>
      <c r="BV44" s="15">
        <v>86</v>
      </c>
      <c r="BW44" s="15">
        <v>90</v>
      </c>
      <c r="BX44" s="15">
        <v>92</v>
      </c>
      <c r="BY44" s="15">
        <v>90</v>
      </c>
      <c r="BZ44" s="15">
        <v>71</v>
      </c>
      <c r="CA44" s="15">
        <v>85</v>
      </c>
      <c r="CB44" s="15">
        <v>80</v>
      </c>
      <c r="CC44" s="15">
        <v>90</v>
      </c>
      <c r="CD44" s="39">
        <v>92</v>
      </c>
      <c r="CE44" s="40">
        <v>80</v>
      </c>
      <c r="CF44" s="40">
        <v>80</v>
      </c>
      <c r="CG44" s="40">
        <v>85</v>
      </c>
      <c r="CH44" s="40">
        <v>83</v>
      </c>
      <c r="CI44" s="40">
        <v>87</v>
      </c>
      <c r="CJ44" s="40">
        <v>80</v>
      </c>
      <c r="CK44" s="39">
        <v>93</v>
      </c>
      <c r="CL44" s="40">
        <v>87</v>
      </c>
      <c r="CM44" s="41">
        <f t="shared" si="4"/>
        <v>89.8</v>
      </c>
      <c r="CN44" s="41">
        <f t="shared" si="5"/>
        <v>91</v>
      </c>
      <c r="CO44" s="41">
        <f t="shared" si="6"/>
        <v>92</v>
      </c>
      <c r="CP44" s="17">
        <f t="shared" si="7"/>
        <v>90.820000000000007</v>
      </c>
      <c r="CQ44" s="16">
        <f t="shared" si="8"/>
        <v>88.6</v>
      </c>
      <c r="CR44" s="16">
        <f t="shared" si="9"/>
        <v>91</v>
      </c>
      <c r="CS44" s="16">
        <f t="shared" si="10"/>
        <v>80</v>
      </c>
      <c r="CT44" s="17">
        <f t="shared" si="11"/>
        <v>86.74</v>
      </c>
      <c r="CU44" s="17">
        <f t="shared" si="12"/>
        <v>84.8</v>
      </c>
      <c r="CV44" s="17">
        <f t="shared" si="13"/>
        <v>87</v>
      </c>
      <c r="CW44" s="17">
        <f t="shared" si="14"/>
        <v>80</v>
      </c>
      <c r="CX44" s="17">
        <f t="shared" si="15"/>
        <v>84.02000000000001</v>
      </c>
      <c r="CY44" s="18">
        <f t="shared" si="16"/>
        <v>82.25</v>
      </c>
      <c r="CZ44" s="18">
        <f t="shared" si="17"/>
        <v>82.25</v>
      </c>
      <c r="DA44" s="18">
        <f t="shared" si="18"/>
        <v>81.75</v>
      </c>
      <c r="DB44" s="18">
        <f t="shared" si="19"/>
        <v>81.75</v>
      </c>
      <c r="DC44" s="18">
        <f t="shared" si="20"/>
        <v>83.5</v>
      </c>
      <c r="DD44" s="18">
        <f t="shared" si="21"/>
        <v>83.5</v>
      </c>
      <c r="DE44" s="18">
        <f t="shared" si="22"/>
        <v>81</v>
      </c>
      <c r="DF44" s="18">
        <f t="shared" si="23"/>
        <v>81</v>
      </c>
      <c r="DG44" s="18">
        <f t="shared" si="24"/>
        <v>85</v>
      </c>
      <c r="DH44" s="18">
        <f t="shared" si="25"/>
        <v>87</v>
      </c>
      <c r="DI44" s="18">
        <f t="shared" si="26"/>
        <v>85</v>
      </c>
      <c r="DJ44" s="17">
        <f t="shared" si="27"/>
        <v>85.6</v>
      </c>
      <c r="DK44" s="18">
        <f t="shared" si="28"/>
        <v>76.400000000000006</v>
      </c>
      <c r="DL44" s="18">
        <f t="shared" si="29"/>
        <v>90</v>
      </c>
      <c r="DM44" s="18">
        <f t="shared" si="30"/>
        <v>83</v>
      </c>
      <c r="DN44" s="17">
        <f t="shared" si="31"/>
        <v>82.460000000000008</v>
      </c>
      <c r="DO44" s="18">
        <f t="shared" si="32"/>
        <v>83.2</v>
      </c>
      <c r="DP44" s="18">
        <f t="shared" si="33"/>
        <v>90</v>
      </c>
      <c r="DQ44" s="18">
        <f t="shared" si="34"/>
        <v>87</v>
      </c>
      <c r="DR44" s="17">
        <f t="shared" si="35"/>
        <v>86.38</v>
      </c>
      <c r="DS44" s="18">
        <f t="shared" si="36"/>
        <v>86.5</v>
      </c>
      <c r="DT44" s="18">
        <f t="shared" si="37"/>
        <v>86.5</v>
      </c>
      <c r="DU44" s="18">
        <f t="shared" si="38"/>
        <v>85.5</v>
      </c>
      <c r="DV44" s="18">
        <f t="shared" si="39"/>
        <v>85.5</v>
      </c>
      <c r="DW44" s="18">
        <f t="shared" si="40"/>
        <v>81.5</v>
      </c>
      <c r="DX44" s="17">
        <f t="shared" si="41"/>
        <v>81.5</v>
      </c>
      <c r="DY44" s="18">
        <f t="shared" si="42"/>
        <v>82.777777777777771</v>
      </c>
      <c r="DZ44" s="18">
        <f t="shared" si="43"/>
        <v>92</v>
      </c>
      <c r="EA44" s="18">
        <f t="shared" si="44"/>
        <v>87</v>
      </c>
      <c r="EB44" s="17">
        <f t="shared" si="45"/>
        <v>86.811111111111103</v>
      </c>
      <c r="EC44" s="18">
        <f t="shared" si="46"/>
        <v>87.333333333333329</v>
      </c>
      <c r="ED44" s="18">
        <f t="shared" si="47"/>
        <v>92</v>
      </c>
      <c r="EE44" s="18">
        <f t="shared" si="48"/>
        <v>93</v>
      </c>
      <c r="EF44" s="17">
        <f t="shared" si="49"/>
        <v>90.433333333333323</v>
      </c>
      <c r="EG44" s="18">
        <f t="shared" si="50"/>
        <v>90</v>
      </c>
      <c r="EH44" s="18">
        <f t="shared" si="51"/>
        <v>78.666666666666671</v>
      </c>
      <c r="EI44" s="18">
        <f t="shared" si="52"/>
        <v>90</v>
      </c>
      <c r="EJ44" s="18">
        <f t="shared" si="53"/>
        <v>80</v>
      </c>
      <c r="EK44" s="17">
        <f t="shared" si="54"/>
        <v>82.466666666666669</v>
      </c>
      <c r="EL44" s="19">
        <f t="shared" si="55"/>
        <v>90.820000000000007</v>
      </c>
      <c r="EM44" s="19">
        <f t="shared" si="56"/>
        <v>86.74</v>
      </c>
      <c r="EN44" s="19">
        <f t="shared" si="57"/>
        <v>84.02000000000001</v>
      </c>
      <c r="EO44" s="19">
        <f t="shared" si="58"/>
        <v>82.25</v>
      </c>
      <c r="EP44" s="19">
        <f t="shared" si="59"/>
        <v>81.75</v>
      </c>
      <c r="EQ44" s="19">
        <f t="shared" si="60"/>
        <v>83.5</v>
      </c>
      <c r="ER44" s="19">
        <f t="shared" si="61"/>
        <v>81</v>
      </c>
      <c r="ES44" s="19">
        <f t="shared" si="62"/>
        <v>85.6</v>
      </c>
      <c r="ET44" s="19">
        <f t="shared" si="63"/>
        <v>82.460000000000008</v>
      </c>
      <c r="EU44" s="19">
        <f t="shared" si="64"/>
        <v>86.38</v>
      </c>
      <c r="EV44" s="19">
        <f t="shared" si="65"/>
        <v>86.5</v>
      </c>
      <c r="EW44" s="19">
        <f t="shared" si="66"/>
        <v>85.5</v>
      </c>
      <c r="EX44" s="19">
        <f t="shared" si="67"/>
        <v>81.5</v>
      </c>
      <c r="EY44" s="19">
        <f t="shared" si="68"/>
        <v>86.811111111111103</v>
      </c>
      <c r="EZ44" s="19">
        <f t="shared" si="69"/>
        <v>90.433333333333323</v>
      </c>
      <c r="FA44" s="19">
        <f t="shared" si="70"/>
        <v>90</v>
      </c>
      <c r="FB44" s="19">
        <f t="shared" si="71"/>
        <v>82.466666666666669</v>
      </c>
      <c r="FC44" s="19">
        <f t="shared" si="72"/>
        <v>85.160653594771247</v>
      </c>
    </row>
    <row r="45" spans="1:159" ht="20.100000000000001" customHeight="1">
      <c r="A45" s="11">
        <v>41</v>
      </c>
      <c r="B45" s="22" t="s">
        <v>133</v>
      </c>
      <c r="C45" s="23" t="s">
        <v>134</v>
      </c>
      <c r="D45" s="24" t="s">
        <v>126</v>
      </c>
      <c r="E45" s="14">
        <v>91</v>
      </c>
      <c r="F45" s="14">
        <v>95</v>
      </c>
      <c r="G45" s="14">
        <v>92</v>
      </c>
      <c r="H45" s="14">
        <v>87</v>
      </c>
      <c r="I45" s="14">
        <v>92</v>
      </c>
      <c r="J45" s="14">
        <v>94</v>
      </c>
      <c r="K45" s="14">
        <v>79</v>
      </c>
      <c r="L45" s="14">
        <v>81</v>
      </c>
      <c r="M45" s="14">
        <v>84</v>
      </c>
      <c r="N45" s="14">
        <v>91</v>
      </c>
      <c r="O45" s="14">
        <v>95</v>
      </c>
      <c r="P45" s="15">
        <v>90</v>
      </c>
      <c r="Q45" s="15">
        <v>82</v>
      </c>
      <c r="R45" s="14">
        <v>82</v>
      </c>
      <c r="S45" s="14">
        <v>80</v>
      </c>
      <c r="T45" s="14">
        <v>84</v>
      </c>
      <c r="U45" s="14">
        <v>89</v>
      </c>
      <c r="V45" s="14">
        <v>89</v>
      </c>
      <c r="W45" s="14">
        <v>83</v>
      </c>
      <c r="X45" s="14">
        <v>85</v>
      </c>
      <c r="Y45" s="14">
        <v>81</v>
      </c>
      <c r="Z45" s="14">
        <v>85</v>
      </c>
      <c r="AA45" s="14">
        <v>78</v>
      </c>
      <c r="AB45" s="15">
        <v>80</v>
      </c>
      <c r="AC45" s="15">
        <v>85</v>
      </c>
      <c r="AD45" s="14">
        <v>87</v>
      </c>
      <c r="AE45" s="14">
        <v>84</v>
      </c>
      <c r="AF45" s="14">
        <v>90</v>
      </c>
      <c r="AG45" s="14">
        <v>75</v>
      </c>
      <c r="AH45" s="14">
        <v>74</v>
      </c>
      <c r="AI45" s="14">
        <v>73</v>
      </c>
      <c r="AJ45" s="14">
        <v>83</v>
      </c>
      <c r="AK45" s="14">
        <v>80</v>
      </c>
      <c r="AL45" s="15">
        <v>89</v>
      </c>
      <c r="AM45" s="15">
        <v>76</v>
      </c>
      <c r="AN45" s="14">
        <v>79</v>
      </c>
      <c r="AO45" s="14">
        <v>76</v>
      </c>
      <c r="AP45" s="14">
        <v>77</v>
      </c>
      <c r="AQ45" s="14">
        <v>80</v>
      </c>
      <c r="AR45" s="14">
        <v>80</v>
      </c>
      <c r="AS45" s="14">
        <v>82</v>
      </c>
      <c r="AT45" s="14">
        <v>80</v>
      </c>
      <c r="AU45" s="14">
        <v>82</v>
      </c>
      <c r="AV45" s="14">
        <v>88</v>
      </c>
      <c r="AW45" s="14">
        <v>82</v>
      </c>
      <c r="AX45" s="15">
        <v>80</v>
      </c>
      <c r="AY45" s="15">
        <v>89</v>
      </c>
      <c r="AZ45" s="14">
        <v>77</v>
      </c>
      <c r="BA45" s="14">
        <v>74</v>
      </c>
      <c r="BB45" s="14">
        <v>87</v>
      </c>
      <c r="BC45" s="14">
        <v>85</v>
      </c>
      <c r="BD45" s="14">
        <v>80</v>
      </c>
      <c r="BE45" s="37">
        <v>82</v>
      </c>
      <c r="BF45" s="37">
        <v>81</v>
      </c>
      <c r="BG45" s="37">
        <v>84</v>
      </c>
      <c r="BH45" s="14">
        <v>85</v>
      </c>
      <c r="BI45" s="37">
        <v>82</v>
      </c>
      <c r="BJ45" s="37">
        <v>80</v>
      </c>
      <c r="BK45" s="37">
        <v>88</v>
      </c>
      <c r="BL45" s="14">
        <v>85</v>
      </c>
      <c r="BM45" s="37">
        <v>80</v>
      </c>
      <c r="BN45" s="37">
        <v>83</v>
      </c>
      <c r="BO45" s="37">
        <v>83</v>
      </c>
      <c r="BP45" s="14">
        <v>85</v>
      </c>
      <c r="BQ45" s="15">
        <f t="shared" si="0"/>
        <v>81.333333333333329</v>
      </c>
      <c r="BR45" s="15">
        <f t="shared" si="1"/>
        <v>81.333333333333329</v>
      </c>
      <c r="BS45" s="15">
        <f t="shared" si="2"/>
        <v>85</v>
      </c>
      <c r="BT45" s="15">
        <f t="shared" si="3"/>
        <v>85</v>
      </c>
      <c r="BU45" s="15">
        <v>86</v>
      </c>
      <c r="BV45" s="15">
        <v>86</v>
      </c>
      <c r="BW45" s="15">
        <v>89</v>
      </c>
      <c r="BX45" s="15">
        <v>85</v>
      </c>
      <c r="BY45" s="15">
        <v>88</v>
      </c>
      <c r="BZ45" s="15">
        <v>81</v>
      </c>
      <c r="CA45" s="15">
        <v>88</v>
      </c>
      <c r="CB45" s="15">
        <v>80</v>
      </c>
      <c r="CC45" s="15">
        <v>80</v>
      </c>
      <c r="CD45" s="39">
        <v>91</v>
      </c>
      <c r="CE45" s="40">
        <v>88</v>
      </c>
      <c r="CF45" s="40">
        <v>84</v>
      </c>
      <c r="CG45" s="40">
        <v>95</v>
      </c>
      <c r="CH45" s="40">
        <v>81</v>
      </c>
      <c r="CI45" s="40">
        <v>86</v>
      </c>
      <c r="CJ45" s="40">
        <v>82</v>
      </c>
      <c r="CK45" s="39">
        <v>93</v>
      </c>
      <c r="CL45" s="40">
        <v>95</v>
      </c>
      <c r="CM45" s="41">
        <f t="shared" si="4"/>
        <v>91.4</v>
      </c>
      <c r="CN45" s="41">
        <f t="shared" si="5"/>
        <v>94</v>
      </c>
      <c r="CO45" s="41">
        <f t="shared" si="6"/>
        <v>91</v>
      </c>
      <c r="CP45" s="17">
        <f t="shared" si="7"/>
        <v>92.06</v>
      </c>
      <c r="CQ45" s="16">
        <f t="shared" si="8"/>
        <v>86</v>
      </c>
      <c r="CR45" s="16">
        <f t="shared" si="9"/>
        <v>90</v>
      </c>
      <c r="CS45" s="16">
        <f t="shared" si="10"/>
        <v>88</v>
      </c>
      <c r="CT45" s="17">
        <f t="shared" si="11"/>
        <v>87.8</v>
      </c>
      <c r="CU45" s="17">
        <f t="shared" si="12"/>
        <v>83.4</v>
      </c>
      <c r="CV45" s="17">
        <f t="shared" si="13"/>
        <v>89</v>
      </c>
      <c r="CW45" s="17">
        <f t="shared" si="14"/>
        <v>84</v>
      </c>
      <c r="CX45" s="17">
        <f t="shared" si="15"/>
        <v>85.26</v>
      </c>
      <c r="CY45" s="18">
        <f t="shared" si="16"/>
        <v>83.5</v>
      </c>
      <c r="CZ45" s="18">
        <f t="shared" si="17"/>
        <v>83.5</v>
      </c>
      <c r="DA45" s="18">
        <f t="shared" si="18"/>
        <v>82.5</v>
      </c>
      <c r="DB45" s="18">
        <f t="shared" si="19"/>
        <v>82.5</v>
      </c>
      <c r="DC45" s="18">
        <f t="shared" si="20"/>
        <v>87</v>
      </c>
      <c r="DD45" s="18">
        <f t="shared" si="21"/>
        <v>87</v>
      </c>
      <c r="DE45" s="18">
        <f t="shared" si="22"/>
        <v>76.25</v>
      </c>
      <c r="DF45" s="18">
        <f t="shared" si="23"/>
        <v>76.25</v>
      </c>
      <c r="DG45" s="18">
        <f t="shared" si="24"/>
        <v>80</v>
      </c>
      <c r="DH45" s="18">
        <f t="shared" si="25"/>
        <v>89</v>
      </c>
      <c r="DI45" s="18">
        <f t="shared" si="26"/>
        <v>95</v>
      </c>
      <c r="DJ45" s="17">
        <f t="shared" si="27"/>
        <v>87.2</v>
      </c>
      <c r="DK45" s="18">
        <f t="shared" si="28"/>
        <v>77.599999999999994</v>
      </c>
      <c r="DL45" s="18">
        <f t="shared" si="29"/>
        <v>80</v>
      </c>
      <c r="DM45" s="18">
        <f t="shared" si="30"/>
        <v>81</v>
      </c>
      <c r="DN45" s="17">
        <f t="shared" si="31"/>
        <v>79.34</v>
      </c>
      <c r="DO45" s="18">
        <f t="shared" si="32"/>
        <v>82.8</v>
      </c>
      <c r="DP45" s="18">
        <f t="shared" si="33"/>
        <v>80</v>
      </c>
      <c r="DQ45" s="18">
        <f t="shared" si="34"/>
        <v>86</v>
      </c>
      <c r="DR45" s="17">
        <f t="shared" si="35"/>
        <v>82.92</v>
      </c>
      <c r="DS45" s="18">
        <f t="shared" si="36"/>
        <v>83</v>
      </c>
      <c r="DT45" s="18">
        <f t="shared" si="37"/>
        <v>83</v>
      </c>
      <c r="DU45" s="18">
        <f t="shared" si="38"/>
        <v>80.5</v>
      </c>
      <c r="DV45" s="18">
        <f t="shared" si="39"/>
        <v>80.5</v>
      </c>
      <c r="DW45" s="18">
        <f t="shared" si="40"/>
        <v>82.5</v>
      </c>
      <c r="DX45" s="17">
        <f t="shared" si="41"/>
        <v>82.5</v>
      </c>
      <c r="DY45" s="18">
        <f t="shared" si="42"/>
        <v>82.555555555555557</v>
      </c>
      <c r="DZ45" s="18">
        <f t="shared" si="43"/>
        <v>85</v>
      </c>
      <c r="EA45" s="18">
        <f t="shared" si="44"/>
        <v>95</v>
      </c>
      <c r="EB45" s="17">
        <f t="shared" si="45"/>
        <v>87.022222222222211</v>
      </c>
      <c r="EC45" s="18">
        <f t="shared" si="46"/>
        <v>87</v>
      </c>
      <c r="ED45" s="18">
        <f t="shared" si="47"/>
        <v>85</v>
      </c>
      <c r="EE45" s="18">
        <f t="shared" si="48"/>
        <v>93</v>
      </c>
      <c r="EF45" s="17">
        <f t="shared" si="49"/>
        <v>88.2</v>
      </c>
      <c r="EG45" s="18">
        <f t="shared" si="50"/>
        <v>88</v>
      </c>
      <c r="EH45" s="18">
        <f t="shared" si="51"/>
        <v>83</v>
      </c>
      <c r="EI45" s="18">
        <f t="shared" si="52"/>
        <v>80</v>
      </c>
      <c r="EJ45" s="18">
        <f t="shared" si="53"/>
        <v>82</v>
      </c>
      <c r="EK45" s="17">
        <f t="shared" si="54"/>
        <v>81.8</v>
      </c>
      <c r="EL45" s="19">
        <f t="shared" si="55"/>
        <v>92.06</v>
      </c>
      <c r="EM45" s="19">
        <f t="shared" si="56"/>
        <v>87.8</v>
      </c>
      <c r="EN45" s="19">
        <f t="shared" si="57"/>
        <v>85.26</v>
      </c>
      <c r="EO45" s="19">
        <f t="shared" si="58"/>
        <v>83.5</v>
      </c>
      <c r="EP45" s="19">
        <f t="shared" si="59"/>
        <v>82.5</v>
      </c>
      <c r="EQ45" s="19">
        <f t="shared" si="60"/>
        <v>87</v>
      </c>
      <c r="ER45" s="19">
        <f t="shared" si="61"/>
        <v>76.25</v>
      </c>
      <c r="ES45" s="19">
        <f t="shared" si="62"/>
        <v>87.2</v>
      </c>
      <c r="ET45" s="19">
        <f t="shared" si="63"/>
        <v>79.34</v>
      </c>
      <c r="EU45" s="19">
        <f t="shared" si="64"/>
        <v>82.92</v>
      </c>
      <c r="EV45" s="19">
        <f t="shared" si="65"/>
        <v>83</v>
      </c>
      <c r="EW45" s="19">
        <f t="shared" si="66"/>
        <v>80.5</v>
      </c>
      <c r="EX45" s="19">
        <f t="shared" si="67"/>
        <v>82.5</v>
      </c>
      <c r="EY45" s="19">
        <f t="shared" si="68"/>
        <v>87.022222222222211</v>
      </c>
      <c r="EZ45" s="19">
        <f t="shared" si="69"/>
        <v>88.2</v>
      </c>
      <c r="FA45" s="19">
        <f t="shared" si="70"/>
        <v>88</v>
      </c>
      <c r="FB45" s="19">
        <f t="shared" si="71"/>
        <v>81.8</v>
      </c>
      <c r="FC45" s="19">
        <f t="shared" si="72"/>
        <v>84.40307189542483</v>
      </c>
    </row>
    <row r="46" spans="1:159" ht="20.100000000000001" customHeight="1">
      <c r="A46" s="11">
        <v>42</v>
      </c>
      <c r="B46" s="22" t="s">
        <v>135</v>
      </c>
      <c r="C46" s="23" t="s">
        <v>136</v>
      </c>
      <c r="D46" s="24" t="s">
        <v>126</v>
      </c>
      <c r="E46" s="14">
        <v>85</v>
      </c>
      <c r="F46" s="14">
        <v>90</v>
      </c>
      <c r="G46" s="14">
        <v>89</v>
      </c>
      <c r="H46" s="14">
        <v>88</v>
      </c>
      <c r="I46" s="14">
        <v>94</v>
      </c>
      <c r="J46" s="14">
        <v>93</v>
      </c>
      <c r="K46" s="14">
        <v>84</v>
      </c>
      <c r="L46" s="14">
        <v>87</v>
      </c>
      <c r="M46" s="14">
        <v>87</v>
      </c>
      <c r="N46" s="14">
        <v>88</v>
      </c>
      <c r="O46" s="14">
        <v>89</v>
      </c>
      <c r="P46" s="15">
        <v>91</v>
      </c>
      <c r="Q46" s="15">
        <v>93</v>
      </c>
      <c r="R46" s="14">
        <v>91</v>
      </c>
      <c r="S46" s="14">
        <v>88</v>
      </c>
      <c r="T46" s="14">
        <v>88</v>
      </c>
      <c r="U46" s="14">
        <v>87</v>
      </c>
      <c r="V46" s="14">
        <v>87</v>
      </c>
      <c r="W46" s="14">
        <v>81</v>
      </c>
      <c r="X46" s="14">
        <v>84</v>
      </c>
      <c r="Y46" s="14">
        <v>80</v>
      </c>
      <c r="Z46" s="14">
        <v>84</v>
      </c>
      <c r="AA46" s="14">
        <v>80</v>
      </c>
      <c r="AB46" s="15">
        <v>90</v>
      </c>
      <c r="AC46" s="15">
        <v>78</v>
      </c>
      <c r="AD46" s="14">
        <v>80</v>
      </c>
      <c r="AE46" s="14">
        <v>83</v>
      </c>
      <c r="AF46" s="14">
        <v>85</v>
      </c>
      <c r="AG46" s="14">
        <v>90</v>
      </c>
      <c r="AH46" s="14">
        <v>83</v>
      </c>
      <c r="AI46" s="14">
        <v>78</v>
      </c>
      <c r="AJ46" s="14">
        <v>84</v>
      </c>
      <c r="AK46" s="14">
        <v>88</v>
      </c>
      <c r="AL46" s="15">
        <v>87</v>
      </c>
      <c r="AM46" s="15">
        <v>90</v>
      </c>
      <c r="AN46" s="14">
        <v>89</v>
      </c>
      <c r="AO46" s="14">
        <v>95</v>
      </c>
      <c r="AP46" s="14">
        <v>95</v>
      </c>
      <c r="AQ46" s="14">
        <v>90</v>
      </c>
      <c r="AR46" s="14">
        <v>90</v>
      </c>
      <c r="AS46" s="14">
        <v>81</v>
      </c>
      <c r="AT46" s="14">
        <v>88</v>
      </c>
      <c r="AU46" s="14">
        <v>82</v>
      </c>
      <c r="AV46" s="14">
        <v>86</v>
      </c>
      <c r="AW46" s="14">
        <v>82</v>
      </c>
      <c r="AX46" s="15">
        <v>90</v>
      </c>
      <c r="AY46" s="15">
        <v>92</v>
      </c>
      <c r="AZ46" s="14">
        <v>95</v>
      </c>
      <c r="BA46" s="14">
        <v>92</v>
      </c>
      <c r="BB46" s="14">
        <v>90</v>
      </c>
      <c r="BC46" s="14">
        <v>95</v>
      </c>
      <c r="BD46" s="14">
        <v>86</v>
      </c>
      <c r="BE46" s="37">
        <v>87</v>
      </c>
      <c r="BF46" s="37">
        <v>92</v>
      </c>
      <c r="BG46" s="37">
        <v>92</v>
      </c>
      <c r="BH46" s="14">
        <v>90</v>
      </c>
      <c r="BI46" s="37">
        <v>89</v>
      </c>
      <c r="BJ46" s="37">
        <v>92</v>
      </c>
      <c r="BK46" s="37">
        <v>89</v>
      </c>
      <c r="BL46" s="14">
        <v>90</v>
      </c>
      <c r="BM46" s="37">
        <v>77</v>
      </c>
      <c r="BN46" s="37">
        <v>80</v>
      </c>
      <c r="BO46" s="37">
        <v>86</v>
      </c>
      <c r="BP46" s="14">
        <v>90</v>
      </c>
      <c r="BQ46" s="15">
        <f t="shared" si="0"/>
        <v>84.333333333333329</v>
      </c>
      <c r="BR46" s="15">
        <f t="shared" si="1"/>
        <v>88</v>
      </c>
      <c r="BS46" s="15">
        <f t="shared" si="2"/>
        <v>89</v>
      </c>
      <c r="BT46" s="15">
        <f t="shared" si="3"/>
        <v>90</v>
      </c>
      <c r="BU46" s="15">
        <v>86</v>
      </c>
      <c r="BV46" s="15">
        <v>86</v>
      </c>
      <c r="BW46" s="15">
        <v>90</v>
      </c>
      <c r="BX46" s="15">
        <v>90</v>
      </c>
      <c r="BY46" s="15">
        <v>90</v>
      </c>
      <c r="BZ46" s="15">
        <v>81</v>
      </c>
      <c r="CA46" s="15">
        <v>88</v>
      </c>
      <c r="CB46" s="15">
        <v>80</v>
      </c>
      <c r="CC46" s="15">
        <v>90</v>
      </c>
      <c r="CD46" s="39">
        <v>93</v>
      </c>
      <c r="CE46" s="40">
        <v>95</v>
      </c>
      <c r="CF46" s="40">
        <v>80</v>
      </c>
      <c r="CG46" s="40">
        <v>82</v>
      </c>
      <c r="CH46" s="40">
        <v>92</v>
      </c>
      <c r="CI46" s="40">
        <v>88</v>
      </c>
      <c r="CJ46" s="40">
        <v>92</v>
      </c>
      <c r="CK46" s="39">
        <v>93</v>
      </c>
      <c r="CL46" s="40">
        <v>95</v>
      </c>
      <c r="CM46" s="41">
        <f t="shared" si="4"/>
        <v>89.2</v>
      </c>
      <c r="CN46" s="41">
        <f t="shared" si="5"/>
        <v>93</v>
      </c>
      <c r="CO46" s="41">
        <f t="shared" si="6"/>
        <v>93</v>
      </c>
      <c r="CP46" s="17">
        <f t="shared" si="7"/>
        <v>91.47999999999999</v>
      </c>
      <c r="CQ46" s="16">
        <f t="shared" si="8"/>
        <v>87</v>
      </c>
      <c r="CR46" s="16">
        <f t="shared" si="9"/>
        <v>91</v>
      </c>
      <c r="CS46" s="16">
        <f t="shared" si="10"/>
        <v>95</v>
      </c>
      <c r="CT46" s="17">
        <f t="shared" si="11"/>
        <v>90.6</v>
      </c>
      <c r="CU46" s="17">
        <f t="shared" si="12"/>
        <v>89.4</v>
      </c>
      <c r="CV46" s="17">
        <f t="shared" si="13"/>
        <v>87</v>
      </c>
      <c r="CW46" s="17">
        <f t="shared" si="14"/>
        <v>80</v>
      </c>
      <c r="CX46" s="17">
        <f t="shared" si="15"/>
        <v>85.86</v>
      </c>
      <c r="CY46" s="18">
        <f t="shared" si="16"/>
        <v>82.25</v>
      </c>
      <c r="CZ46" s="18">
        <f t="shared" si="17"/>
        <v>82.25</v>
      </c>
      <c r="DA46" s="18">
        <f t="shared" si="18"/>
        <v>82</v>
      </c>
      <c r="DB46" s="18">
        <f t="shared" si="19"/>
        <v>82</v>
      </c>
      <c r="DC46" s="18">
        <f t="shared" si="20"/>
        <v>84</v>
      </c>
      <c r="DD46" s="18">
        <f t="shared" si="21"/>
        <v>84</v>
      </c>
      <c r="DE46" s="18">
        <f t="shared" si="22"/>
        <v>83.75</v>
      </c>
      <c r="DF46" s="18">
        <f t="shared" si="23"/>
        <v>83.75</v>
      </c>
      <c r="DG46" s="18">
        <f t="shared" si="24"/>
        <v>88</v>
      </c>
      <c r="DH46" s="18">
        <f t="shared" si="25"/>
        <v>87</v>
      </c>
      <c r="DI46" s="18">
        <f t="shared" si="26"/>
        <v>82</v>
      </c>
      <c r="DJ46" s="17">
        <f t="shared" si="27"/>
        <v>85.9</v>
      </c>
      <c r="DK46" s="18">
        <f t="shared" si="28"/>
        <v>91.8</v>
      </c>
      <c r="DL46" s="18">
        <f t="shared" si="29"/>
        <v>90</v>
      </c>
      <c r="DM46" s="18">
        <f t="shared" si="30"/>
        <v>92</v>
      </c>
      <c r="DN46" s="17">
        <f t="shared" si="31"/>
        <v>91.320000000000007</v>
      </c>
      <c r="DO46" s="18">
        <f t="shared" si="32"/>
        <v>83.8</v>
      </c>
      <c r="DP46" s="18">
        <f t="shared" si="33"/>
        <v>90</v>
      </c>
      <c r="DQ46" s="18">
        <f t="shared" si="34"/>
        <v>88</v>
      </c>
      <c r="DR46" s="17">
        <f t="shared" si="35"/>
        <v>86.92</v>
      </c>
      <c r="DS46" s="18">
        <f t="shared" si="36"/>
        <v>93.5</v>
      </c>
      <c r="DT46" s="18">
        <f t="shared" si="37"/>
        <v>93.5</v>
      </c>
      <c r="DU46" s="18">
        <f t="shared" si="38"/>
        <v>91</v>
      </c>
      <c r="DV46" s="18">
        <f t="shared" si="39"/>
        <v>91</v>
      </c>
      <c r="DW46" s="18">
        <f t="shared" si="40"/>
        <v>90.5</v>
      </c>
      <c r="DX46" s="17">
        <f t="shared" si="41"/>
        <v>90.5</v>
      </c>
      <c r="DY46" s="18">
        <f t="shared" si="42"/>
        <v>87.1111111111111</v>
      </c>
      <c r="DZ46" s="18">
        <f t="shared" si="43"/>
        <v>90</v>
      </c>
      <c r="EA46" s="18">
        <f t="shared" si="44"/>
        <v>95</v>
      </c>
      <c r="EB46" s="17">
        <f t="shared" si="45"/>
        <v>90.344444444444434</v>
      </c>
      <c r="EC46" s="18">
        <f t="shared" si="46"/>
        <v>87.333333333333329</v>
      </c>
      <c r="ED46" s="18">
        <f t="shared" si="47"/>
        <v>90</v>
      </c>
      <c r="EE46" s="18">
        <f t="shared" si="48"/>
        <v>93</v>
      </c>
      <c r="EF46" s="17">
        <f t="shared" si="49"/>
        <v>89.833333333333329</v>
      </c>
      <c r="EG46" s="18">
        <f t="shared" si="50"/>
        <v>90</v>
      </c>
      <c r="EH46" s="18">
        <f t="shared" si="51"/>
        <v>83</v>
      </c>
      <c r="EI46" s="18">
        <f t="shared" si="52"/>
        <v>90</v>
      </c>
      <c r="EJ46" s="18">
        <f t="shared" si="53"/>
        <v>92</v>
      </c>
      <c r="EK46" s="17">
        <f t="shared" si="54"/>
        <v>87.8</v>
      </c>
      <c r="EL46" s="19">
        <f t="shared" si="55"/>
        <v>91.47999999999999</v>
      </c>
      <c r="EM46" s="19">
        <f t="shared" si="56"/>
        <v>90.6</v>
      </c>
      <c r="EN46" s="19">
        <f t="shared" si="57"/>
        <v>85.86</v>
      </c>
      <c r="EO46" s="19">
        <f t="shared" si="58"/>
        <v>82.25</v>
      </c>
      <c r="EP46" s="19">
        <f t="shared" si="59"/>
        <v>82</v>
      </c>
      <c r="EQ46" s="19">
        <f t="shared" si="60"/>
        <v>84</v>
      </c>
      <c r="ER46" s="19">
        <f t="shared" si="61"/>
        <v>83.75</v>
      </c>
      <c r="ES46" s="19">
        <f t="shared" si="62"/>
        <v>85.9</v>
      </c>
      <c r="ET46" s="19">
        <f t="shared" si="63"/>
        <v>91.320000000000007</v>
      </c>
      <c r="EU46" s="19">
        <f t="shared" si="64"/>
        <v>86.92</v>
      </c>
      <c r="EV46" s="19">
        <f t="shared" si="65"/>
        <v>93.5</v>
      </c>
      <c r="EW46" s="19">
        <f t="shared" si="66"/>
        <v>91</v>
      </c>
      <c r="EX46" s="19">
        <f t="shared" si="67"/>
        <v>90.5</v>
      </c>
      <c r="EY46" s="19">
        <f t="shared" si="68"/>
        <v>90.344444444444434</v>
      </c>
      <c r="EZ46" s="19">
        <f t="shared" si="69"/>
        <v>89.833333333333329</v>
      </c>
      <c r="FA46" s="19">
        <f t="shared" si="70"/>
        <v>90</v>
      </c>
      <c r="FB46" s="19">
        <f t="shared" si="71"/>
        <v>87.8</v>
      </c>
      <c r="FC46" s="19">
        <f t="shared" si="72"/>
        <v>88.062222222222204</v>
      </c>
    </row>
    <row r="47" spans="1:159" ht="20.100000000000001" customHeight="1">
      <c r="A47" s="11">
        <v>43</v>
      </c>
      <c r="B47" s="22" t="s">
        <v>137</v>
      </c>
      <c r="C47" s="23" t="s">
        <v>138</v>
      </c>
      <c r="D47" s="24" t="s">
        <v>126</v>
      </c>
      <c r="E47" s="14">
        <v>85</v>
      </c>
      <c r="F47" s="14">
        <v>85</v>
      </c>
      <c r="G47" s="14">
        <v>89</v>
      </c>
      <c r="H47" s="14">
        <v>85</v>
      </c>
      <c r="I47" s="14">
        <v>88</v>
      </c>
      <c r="J47" s="14">
        <v>78</v>
      </c>
      <c r="K47" s="14">
        <v>81</v>
      </c>
      <c r="L47" s="14">
        <v>83</v>
      </c>
      <c r="M47" s="14">
        <v>87</v>
      </c>
      <c r="N47" s="14">
        <v>90</v>
      </c>
      <c r="O47" s="14">
        <v>90</v>
      </c>
      <c r="P47" s="15">
        <v>78</v>
      </c>
      <c r="Q47" s="15">
        <v>81</v>
      </c>
      <c r="R47" s="14">
        <v>83</v>
      </c>
      <c r="S47" s="14">
        <v>75</v>
      </c>
      <c r="T47" s="14">
        <v>81</v>
      </c>
      <c r="U47" s="14">
        <v>83</v>
      </c>
      <c r="V47" s="14">
        <v>79</v>
      </c>
      <c r="W47" s="14">
        <v>82</v>
      </c>
      <c r="X47" s="14">
        <v>84</v>
      </c>
      <c r="Y47" s="14">
        <v>81</v>
      </c>
      <c r="Z47" s="14">
        <v>86</v>
      </c>
      <c r="AA47" s="14">
        <v>80</v>
      </c>
      <c r="AB47" s="15">
        <v>78</v>
      </c>
      <c r="AC47" s="15">
        <v>74</v>
      </c>
      <c r="AD47" s="14">
        <v>80</v>
      </c>
      <c r="AE47" s="14">
        <v>84</v>
      </c>
      <c r="AF47" s="14">
        <v>83</v>
      </c>
      <c r="AG47" s="14">
        <v>75</v>
      </c>
      <c r="AH47" s="14">
        <v>78</v>
      </c>
      <c r="AI47" s="14">
        <v>72</v>
      </c>
      <c r="AJ47" s="14">
        <v>84</v>
      </c>
      <c r="AK47" s="14">
        <v>80</v>
      </c>
      <c r="AL47" s="15">
        <v>79</v>
      </c>
      <c r="AM47" s="15">
        <v>78</v>
      </c>
      <c r="AN47" s="14">
        <v>79</v>
      </c>
      <c r="AO47" s="14">
        <v>74</v>
      </c>
      <c r="AP47" s="14">
        <v>75</v>
      </c>
      <c r="AQ47" s="14">
        <v>80</v>
      </c>
      <c r="AR47" s="14">
        <v>79</v>
      </c>
      <c r="AS47" s="14">
        <v>76</v>
      </c>
      <c r="AT47" s="14">
        <v>78</v>
      </c>
      <c r="AU47" s="14">
        <v>82</v>
      </c>
      <c r="AV47" s="14">
        <v>80</v>
      </c>
      <c r="AW47" s="14">
        <v>82</v>
      </c>
      <c r="AX47" s="15">
        <v>79</v>
      </c>
      <c r="AY47" s="15">
        <v>89</v>
      </c>
      <c r="AZ47" s="14">
        <v>84</v>
      </c>
      <c r="BA47" s="14">
        <v>83</v>
      </c>
      <c r="BB47" s="14">
        <v>84</v>
      </c>
      <c r="BC47" s="14">
        <v>83</v>
      </c>
      <c r="BD47" s="14">
        <v>88</v>
      </c>
      <c r="BE47" s="37">
        <v>82</v>
      </c>
      <c r="BF47" s="37">
        <v>80</v>
      </c>
      <c r="BG47" s="37">
        <v>84</v>
      </c>
      <c r="BH47" s="14">
        <v>77</v>
      </c>
      <c r="BI47" s="37">
        <v>78</v>
      </c>
      <c r="BJ47" s="37">
        <v>80</v>
      </c>
      <c r="BK47" s="37">
        <v>88</v>
      </c>
      <c r="BL47" s="14">
        <v>77</v>
      </c>
      <c r="BM47" s="37">
        <v>78</v>
      </c>
      <c r="BN47" s="37">
        <v>78</v>
      </c>
      <c r="BO47" s="37">
        <v>83</v>
      </c>
      <c r="BP47" s="14">
        <v>77</v>
      </c>
      <c r="BQ47" s="15">
        <f t="shared" si="0"/>
        <v>79.333333333333329</v>
      </c>
      <c r="BR47" s="15">
        <f t="shared" si="1"/>
        <v>79.333333333333329</v>
      </c>
      <c r="BS47" s="15">
        <f t="shared" si="2"/>
        <v>85</v>
      </c>
      <c r="BT47" s="15">
        <f t="shared" si="3"/>
        <v>77</v>
      </c>
      <c r="BU47" s="15">
        <v>85</v>
      </c>
      <c r="BV47" s="15">
        <v>85</v>
      </c>
      <c r="BW47" s="15">
        <v>86</v>
      </c>
      <c r="BX47" s="15">
        <v>77</v>
      </c>
      <c r="BY47" s="15">
        <v>78</v>
      </c>
      <c r="BZ47" s="15">
        <v>83</v>
      </c>
      <c r="CA47" s="15">
        <v>90</v>
      </c>
      <c r="CB47" s="15">
        <v>80</v>
      </c>
      <c r="CC47" s="15">
        <v>79</v>
      </c>
      <c r="CD47" s="39">
        <v>83</v>
      </c>
      <c r="CE47" s="40">
        <v>88</v>
      </c>
      <c r="CF47" s="40">
        <v>84</v>
      </c>
      <c r="CG47" s="40">
        <v>82</v>
      </c>
      <c r="CH47" s="40">
        <v>79</v>
      </c>
      <c r="CI47" s="40">
        <v>84</v>
      </c>
      <c r="CJ47" s="40">
        <v>85</v>
      </c>
      <c r="CK47" s="39">
        <v>79</v>
      </c>
      <c r="CL47" s="40">
        <v>95</v>
      </c>
      <c r="CM47" s="41">
        <f t="shared" si="4"/>
        <v>86.4</v>
      </c>
      <c r="CN47" s="41">
        <f t="shared" si="5"/>
        <v>78</v>
      </c>
      <c r="CO47" s="41">
        <f t="shared" si="6"/>
        <v>83</v>
      </c>
      <c r="CP47" s="17">
        <f t="shared" si="7"/>
        <v>82.86</v>
      </c>
      <c r="CQ47" s="16">
        <f t="shared" si="8"/>
        <v>86.2</v>
      </c>
      <c r="CR47" s="16">
        <f t="shared" si="9"/>
        <v>78</v>
      </c>
      <c r="CS47" s="16">
        <f t="shared" si="10"/>
        <v>88</v>
      </c>
      <c r="CT47" s="17">
        <f t="shared" si="11"/>
        <v>84.28</v>
      </c>
      <c r="CU47" s="17">
        <f t="shared" si="12"/>
        <v>80.599999999999994</v>
      </c>
      <c r="CV47" s="17">
        <f t="shared" si="13"/>
        <v>79</v>
      </c>
      <c r="CW47" s="17">
        <f t="shared" si="14"/>
        <v>84</v>
      </c>
      <c r="CX47" s="17">
        <f t="shared" si="15"/>
        <v>81.14</v>
      </c>
      <c r="CY47" s="18">
        <f t="shared" si="16"/>
        <v>83.25</v>
      </c>
      <c r="CZ47" s="18">
        <f t="shared" si="17"/>
        <v>83.25</v>
      </c>
      <c r="DA47" s="18">
        <f t="shared" si="18"/>
        <v>78</v>
      </c>
      <c r="DB47" s="18">
        <f t="shared" si="19"/>
        <v>78</v>
      </c>
      <c r="DC47" s="18">
        <f t="shared" si="20"/>
        <v>83.5</v>
      </c>
      <c r="DD47" s="18">
        <f t="shared" si="21"/>
        <v>83.5</v>
      </c>
      <c r="DE47" s="18">
        <f t="shared" si="22"/>
        <v>77.25</v>
      </c>
      <c r="DF47" s="18">
        <f t="shared" si="23"/>
        <v>77.25</v>
      </c>
      <c r="DG47" s="18">
        <f t="shared" si="24"/>
        <v>80</v>
      </c>
      <c r="DH47" s="18">
        <f t="shared" si="25"/>
        <v>79</v>
      </c>
      <c r="DI47" s="18">
        <f t="shared" si="26"/>
        <v>82</v>
      </c>
      <c r="DJ47" s="17">
        <f t="shared" si="27"/>
        <v>80.3</v>
      </c>
      <c r="DK47" s="18">
        <f t="shared" si="28"/>
        <v>77.2</v>
      </c>
      <c r="DL47" s="18">
        <f t="shared" si="29"/>
        <v>79</v>
      </c>
      <c r="DM47" s="18">
        <f t="shared" si="30"/>
        <v>79</v>
      </c>
      <c r="DN47" s="17">
        <f t="shared" si="31"/>
        <v>78.28</v>
      </c>
      <c r="DO47" s="18">
        <f t="shared" si="32"/>
        <v>79.599999999999994</v>
      </c>
      <c r="DP47" s="18">
        <f t="shared" si="33"/>
        <v>79</v>
      </c>
      <c r="DQ47" s="18">
        <f t="shared" si="34"/>
        <v>84</v>
      </c>
      <c r="DR47" s="17">
        <f t="shared" si="35"/>
        <v>80.739999999999995</v>
      </c>
      <c r="DS47" s="18">
        <f t="shared" si="36"/>
        <v>86.5</v>
      </c>
      <c r="DT47" s="18">
        <f t="shared" si="37"/>
        <v>86.5</v>
      </c>
      <c r="DU47" s="18">
        <f t="shared" si="38"/>
        <v>83.5</v>
      </c>
      <c r="DV47" s="18">
        <f t="shared" si="39"/>
        <v>83.5</v>
      </c>
      <c r="DW47" s="18">
        <f t="shared" si="40"/>
        <v>85.5</v>
      </c>
      <c r="DX47" s="17">
        <f t="shared" si="41"/>
        <v>85.5</v>
      </c>
      <c r="DY47" s="18">
        <f t="shared" si="42"/>
        <v>81.222222222222214</v>
      </c>
      <c r="DZ47" s="18">
        <f t="shared" si="43"/>
        <v>77</v>
      </c>
      <c r="EA47" s="18">
        <f t="shared" si="44"/>
        <v>95</v>
      </c>
      <c r="EB47" s="17">
        <f t="shared" si="45"/>
        <v>84.088888888888889</v>
      </c>
      <c r="EC47" s="18">
        <f t="shared" si="46"/>
        <v>85.333333333333329</v>
      </c>
      <c r="ED47" s="18">
        <f t="shared" si="47"/>
        <v>77</v>
      </c>
      <c r="EE47" s="18">
        <f t="shared" si="48"/>
        <v>79</v>
      </c>
      <c r="EF47" s="17">
        <f t="shared" si="49"/>
        <v>80.933333333333323</v>
      </c>
      <c r="EG47" s="18">
        <f t="shared" si="50"/>
        <v>78</v>
      </c>
      <c r="EH47" s="18">
        <f t="shared" si="51"/>
        <v>84.333333333333329</v>
      </c>
      <c r="EI47" s="18">
        <f t="shared" si="52"/>
        <v>79</v>
      </c>
      <c r="EJ47" s="18">
        <f t="shared" si="53"/>
        <v>85</v>
      </c>
      <c r="EK47" s="17">
        <f t="shared" si="54"/>
        <v>82.933333333333323</v>
      </c>
      <c r="EL47" s="19">
        <f t="shared" si="55"/>
        <v>82.86</v>
      </c>
      <c r="EM47" s="19">
        <f t="shared" si="56"/>
        <v>84.28</v>
      </c>
      <c r="EN47" s="19">
        <f t="shared" si="57"/>
        <v>81.14</v>
      </c>
      <c r="EO47" s="19">
        <f t="shared" si="58"/>
        <v>83.25</v>
      </c>
      <c r="EP47" s="19">
        <f t="shared" si="59"/>
        <v>78</v>
      </c>
      <c r="EQ47" s="19">
        <f t="shared" si="60"/>
        <v>83.5</v>
      </c>
      <c r="ER47" s="19">
        <f t="shared" si="61"/>
        <v>77.25</v>
      </c>
      <c r="ES47" s="19">
        <f t="shared" si="62"/>
        <v>80.3</v>
      </c>
      <c r="ET47" s="19">
        <f t="shared" si="63"/>
        <v>78.28</v>
      </c>
      <c r="EU47" s="19">
        <f t="shared" si="64"/>
        <v>80.739999999999995</v>
      </c>
      <c r="EV47" s="19">
        <f t="shared" si="65"/>
        <v>86.5</v>
      </c>
      <c r="EW47" s="19">
        <f t="shared" si="66"/>
        <v>83.5</v>
      </c>
      <c r="EX47" s="19">
        <f t="shared" si="67"/>
        <v>85.5</v>
      </c>
      <c r="EY47" s="19">
        <f t="shared" si="68"/>
        <v>84.088888888888889</v>
      </c>
      <c r="EZ47" s="19">
        <f t="shared" si="69"/>
        <v>80.933333333333323</v>
      </c>
      <c r="FA47" s="19">
        <f t="shared" si="70"/>
        <v>78</v>
      </c>
      <c r="FB47" s="19">
        <f t="shared" si="71"/>
        <v>82.933333333333323</v>
      </c>
      <c r="FC47" s="19">
        <f t="shared" si="72"/>
        <v>81.826797385620921</v>
      </c>
    </row>
    <row r="48" spans="1:159" ht="20.100000000000001" customHeight="1">
      <c r="A48" s="11">
        <v>44</v>
      </c>
      <c r="B48" s="22" t="s">
        <v>139</v>
      </c>
      <c r="C48" s="23" t="s">
        <v>140</v>
      </c>
      <c r="D48" s="24" t="s">
        <v>126</v>
      </c>
      <c r="E48" s="14">
        <v>90</v>
      </c>
      <c r="F48" s="14">
        <v>80</v>
      </c>
      <c r="G48" s="14">
        <v>92</v>
      </c>
      <c r="H48" s="14">
        <v>88</v>
      </c>
      <c r="I48" s="14">
        <v>89</v>
      </c>
      <c r="J48" s="14">
        <v>95</v>
      </c>
      <c r="K48" s="14">
        <v>82</v>
      </c>
      <c r="L48" s="14">
        <v>80</v>
      </c>
      <c r="M48" s="14">
        <v>83</v>
      </c>
      <c r="N48" s="14">
        <v>93</v>
      </c>
      <c r="O48" s="14">
        <v>95</v>
      </c>
      <c r="P48" s="15">
        <v>95</v>
      </c>
      <c r="Q48" s="15">
        <v>95</v>
      </c>
      <c r="R48" s="14">
        <v>82</v>
      </c>
      <c r="S48" s="14">
        <v>84</v>
      </c>
      <c r="T48" s="14">
        <v>84</v>
      </c>
      <c r="U48" s="14">
        <v>80</v>
      </c>
      <c r="V48" s="14">
        <v>90</v>
      </c>
      <c r="W48" s="14">
        <v>81</v>
      </c>
      <c r="X48" s="14">
        <v>85</v>
      </c>
      <c r="Y48" s="14">
        <v>80</v>
      </c>
      <c r="Z48" s="14">
        <v>84</v>
      </c>
      <c r="AA48" s="14">
        <v>76</v>
      </c>
      <c r="AB48" s="15">
        <v>80</v>
      </c>
      <c r="AC48" s="15">
        <v>85</v>
      </c>
      <c r="AD48" s="14">
        <v>86</v>
      </c>
      <c r="AE48" s="14">
        <v>82</v>
      </c>
      <c r="AF48" s="14">
        <v>82</v>
      </c>
      <c r="AG48" s="14">
        <v>80</v>
      </c>
      <c r="AH48" s="14">
        <v>76</v>
      </c>
      <c r="AI48" s="14">
        <v>76</v>
      </c>
      <c r="AJ48" s="14">
        <v>84</v>
      </c>
      <c r="AK48" s="14">
        <v>88</v>
      </c>
      <c r="AL48" s="15">
        <v>90</v>
      </c>
      <c r="AM48" s="15">
        <v>85</v>
      </c>
      <c r="AN48" s="14">
        <v>74</v>
      </c>
      <c r="AO48" s="14">
        <v>84</v>
      </c>
      <c r="AP48" s="14">
        <v>85</v>
      </c>
      <c r="AQ48" s="14">
        <v>87</v>
      </c>
      <c r="AR48" s="14">
        <v>90</v>
      </c>
      <c r="AS48" s="14">
        <v>78</v>
      </c>
      <c r="AT48" s="14">
        <v>79</v>
      </c>
      <c r="AU48" s="14">
        <v>83</v>
      </c>
      <c r="AV48" s="14">
        <v>83</v>
      </c>
      <c r="AW48" s="14">
        <v>83</v>
      </c>
      <c r="AX48" s="15">
        <v>90</v>
      </c>
      <c r="AY48" s="15">
        <v>89</v>
      </c>
      <c r="AZ48" s="14">
        <v>90</v>
      </c>
      <c r="BA48" s="14">
        <v>85</v>
      </c>
      <c r="BB48" s="14">
        <v>86</v>
      </c>
      <c r="BC48" s="14">
        <v>83</v>
      </c>
      <c r="BD48" s="14">
        <v>80</v>
      </c>
      <c r="BE48" s="37">
        <v>88</v>
      </c>
      <c r="BF48" s="37">
        <v>90</v>
      </c>
      <c r="BG48" s="37">
        <v>87</v>
      </c>
      <c r="BH48" s="14">
        <v>93</v>
      </c>
      <c r="BI48" s="37">
        <v>92</v>
      </c>
      <c r="BJ48" s="37">
        <v>91</v>
      </c>
      <c r="BK48" s="37">
        <v>88</v>
      </c>
      <c r="BL48" s="14">
        <v>93</v>
      </c>
      <c r="BM48" s="37">
        <v>77</v>
      </c>
      <c r="BN48" s="37">
        <v>85</v>
      </c>
      <c r="BO48" s="37">
        <v>86</v>
      </c>
      <c r="BP48" s="14">
        <v>93</v>
      </c>
      <c r="BQ48" s="15">
        <f t="shared" si="0"/>
        <v>85.666666666666671</v>
      </c>
      <c r="BR48" s="15">
        <f t="shared" si="1"/>
        <v>88.666666666666671</v>
      </c>
      <c r="BS48" s="15">
        <f t="shared" si="2"/>
        <v>87</v>
      </c>
      <c r="BT48" s="15">
        <f t="shared" si="3"/>
        <v>93</v>
      </c>
      <c r="BU48" s="15">
        <v>85</v>
      </c>
      <c r="BV48" s="15">
        <v>85</v>
      </c>
      <c r="BW48" s="15">
        <v>90</v>
      </c>
      <c r="BX48" s="15">
        <v>93</v>
      </c>
      <c r="BY48" s="15">
        <v>93</v>
      </c>
      <c r="BZ48" s="15">
        <v>77</v>
      </c>
      <c r="CA48" s="15">
        <v>91</v>
      </c>
      <c r="CB48" s="15">
        <v>90</v>
      </c>
      <c r="CC48" s="15">
        <v>90</v>
      </c>
      <c r="CD48" s="39">
        <v>93</v>
      </c>
      <c r="CE48" s="40">
        <v>90</v>
      </c>
      <c r="CF48" s="40">
        <v>88</v>
      </c>
      <c r="CG48" s="40">
        <v>77</v>
      </c>
      <c r="CH48" s="40">
        <v>87</v>
      </c>
      <c r="CI48" s="40">
        <v>85</v>
      </c>
      <c r="CJ48" s="40">
        <v>90</v>
      </c>
      <c r="CK48" s="39">
        <v>93</v>
      </c>
      <c r="CL48" s="40">
        <v>77</v>
      </c>
      <c r="CM48" s="41">
        <f t="shared" si="4"/>
        <v>87.8</v>
      </c>
      <c r="CN48" s="41">
        <f t="shared" si="5"/>
        <v>95</v>
      </c>
      <c r="CO48" s="41">
        <f t="shared" si="6"/>
        <v>93</v>
      </c>
      <c r="CP48" s="17">
        <f t="shared" si="7"/>
        <v>91.52000000000001</v>
      </c>
      <c r="CQ48" s="16">
        <f t="shared" si="8"/>
        <v>86.6</v>
      </c>
      <c r="CR48" s="16">
        <f t="shared" si="9"/>
        <v>95</v>
      </c>
      <c r="CS48" s="16">
        <f t="shared" si="10"/>
        <v>90</v>
      </c>
      <c r="CT48" s="17">
        <f t="shared" si="11"/>
        <v>90.14</v>
      </c>
      <c r="CU48" s="17">
        <f t="shared" si="12"/>
        <v>85</v>
      </c>
      <c r="CV48" s="17">
        <f t="shared" si="13"/>
        <v>90</v>
      </c>
      <c r="CW48" s="17">
        <f t="shared" si="14"/>
        <v>88</v>
      </c>
      <c r="CX48" s="17">
        <f t="shared" si="15"/>
        <v>87.4</v>
      </c>
      <c r="CY48" s="18">
        <f t="shared" si="16"/>
        <v>82.5</v>
      </c>
      <c r="CZ48" s="18">
        <f t="shared" si="17"/>
        <v>82.5</v>
      </c>
      <c r="DA48" s="18">
        <f t="shared" si="18"/>
        <v>81.75</v>
      </c>
      <c r="DB48" s="18">
        <f t="shared" si="19"/>
        <v>81.75</v>
      </c>
      <c r="DC48" s="18">
        <f t="shared" si="20"/>
        <v>82</v>
      </c>
      <c r="DD48" s="18">
        <f t="shared" si="21"/>
        <v>82</v>
      </c>
      <c r="DE48" s="18">
        <f t="shared" si="22"/>
        <v>79</v>
      </c>
      <c r="DF48" s="18">
        <f t="shared" si="23"/>
        <v>79</v>
      </c>
      <c r="DG48" s="18">
        <f t="shared" si="24"/>
        <v>88</v>
      </c>
      <c r="DH48" s="18">
        <f t="shared" si="25"/>
        <v>90</v>
      </c>
      <c r="DI48" s="18">
        <f t="shared" si="26"/>
        <v>77</v>
      </c>
      <c r="DJ48" s="17">
        <f t="shared" si="27"/>
        <v>85.3</v>
      </c>
      <c r="DK48" s="18">
        <f t="shared" si="28"/>
        <v>83</v>
      </c>
      <c r="DL48" s="18">
        <f t="shared" si="29"/>
        <v>90</v>
      </c>
      <c r="DM48" s="18">
        <f t="shared" si="30"/>
        <v>87</v>
      </c>
      <c r="DN48" s="17">
        <f t="shared" si="31"/>
        <v>86.3</v>
      </c>
      <c r="DO48" s="18">
        <f t="shared" si="32"/>
        <v>81.2</v>
      </c>
      <c r="DP48" s="18">
        <f t="shared" si="33"/>
        <v>90</v>
      </c>
      <c r="DQ48" s="18">
        <f t="shared" si="34"/>
        <v>85</v>
      </c>
      <c r="DR48" s="17">
        <f t="shared" si="35"/>
        <v>84.97999999999999</v>
      </c>
      <c r="DS48" s="18">
        <f t="shared" si="36"/>
        <v>89.5</v>
      </c>
      <c r="DT48" s="18">
        <f t="shared" si="37"/>
        <v>89.5</v>
      </c>
      <c r="DU48" s="18">
        <f t="shared" si="38"/>
        <v>85.5</v>
      </c>
      <c r="DV48" s="18">
        <f t="shared" si="39"/>
        <v>85.5</v>
      </c>
      <c r="DW48" s="18">
        <f t="shared" si="40"/>
        <v>81.5</v>
      </c>
      <c r="DX48" s="17">
        <f t="shared" si="41"/>
        <v>81.5</v>
      </c>
      <c r="DY48" s="18">
        <f t="shared" si="42"/>
        <v>87.111111111111128</v>
      </c>
      <c r="DZ48" s="18">
        <f t="shared" si="43"/>
        <v>93</v>
      </c>
      <c r="EA48" s="18">
        <f t="shared" si="44"/>
        <v>77</v>
      </c>
      <c r="EB48" s="17">
        <f t="shared" si="45"/>
        <v>85.844444444444463</v>
      </c>
      <c r="EC48" s="18">
        <f t="shared" si="46"/>
        <v>86.666666666666671</v>
      </c>
      <c r="ED48" s="18">
        <f t="shared" si="47"/>
        <v>93</v>
      </c>
      <c r="EE48" s="18">
        <f t="shared" si="48"/>
        <v>93</v>
      </c>
      <c r="EF48" s="17">
        <f t="shared" si="49"/>
        <v>90.466666666666669</v>
      </c>
      <c r="EG48" s="18">
        <f t="shared" si="50"/>
        <v>93</v>
      </c>
      <c r="EH48" s="18">
        <f t="shared" si="51"/>
        <v>86</v>
      </c>
      <c r="EI48" s="18">
        <f t="shared" si="52"/>
        <v>90</v>
      </c>
      <c r="EJ48" s="18">
        <f t="shared" si="53"/>
        <v>90</v>
      </c>
      <c r="EK48" s="17">
        <f t="shared" si="54"/>
        <v>88.4</v>
      </c>
      <c r="EL48" s="19">
        <f t="shared" si="55"/>
        <v>91.52000000000001</v>
      </c>
      <c r="EM48" s="19">
        <f t="shared" si="56"/>
        <v>90.14</v>
      </c>
      <c r="EN48" s="19">
        <f t="shared" si="57"/>
        <v>87.4</v>
      </c>
      <c r="EO48" s="19">
        <f t="shared" si="58"/>
        <v>82.5</v>
      </c>
      <c r="EP48" s="19">
        <f t="shared" si="59"/>
        <v>81.75</v>
      </c>
      <c r="EQ48" s="19">
        <f t="shared" si="60"/>
        <v>82</v>
      </c>
      <c r="ER48" s="19">
        <f t="shared" si="61"/>
        <v>79</v>
      </c>
      <c r="ES48" s="19">
        <f t="shared" si="62"/>
        <v>85.3</v>
      </c>
      <c r="ET48" s="19">
        <f t="shared" si="63"/>
        <v>86.3</v>
      </c>
      <c r="EU48" s="19">
        <f t="shared" si="64"/>
        <v>84.97999999999999</v>
      </c>
      <c r="EV48" s="19">
        <f t="shared" si="65"/>
        <v>89.5</v>
      </c>
      <c r="EW48" s="19">
        <f t="shared" si="66"/>
        <v>85.5</v>
      </c>
      <c r="EX48" s="19">
        <f t="shared" si="67"/>
        <v>81.5</v>
      </c>
      <c r="EY48" s="19">
        <f t="shared" si="68"/>
        <v>85.844444444444463</v>
      </c>
      <c r="EZ48" s="19">
        <f t="shared" si="69"/>
        <v>90.466666666666669</v>
      </c>
      <c r="FA48" s="19">
        <f t="shared" si="70"/>
        <v>93</v>
      </c>
      <c r="FB48" s="19">
        <f t="shared" si="71"/>
        <v>88.4</v>
      </c>
      <c r="FC48" s="19">
        <f t="shared" si="72"/>
        <v>86.182418300653595</v>
      </c>
    </row>
    <row r="49" spans="1:159" ht="20.100000000000001" customHeight="1">
      <c r="A49" s="11">
        <v>45</v>
      </c>
      <c r="B49" s="22" t="s">
        <v>141</v>
      </c>
      <c r="C49" s="23" t="s">
        <v>142</v>
      </c>
      <c r="D49" s="24" t="s">
        <v>126</v>
      </c>
      <c r="E49" s="14">
        <v>78</v>
      </c>
      <c r="F49" s="14">
        <v>81</v>
      </c>
      <c r="G49" s="14">
        <v>88</v>
      </c>
      <c r="H49" s="14">
        <v>87</v>
      </c>
      <c r="I49" s="14">
        <v>89</v>
      </c>
      <c r="J49" s="14">
        <v>84</v>
      </c>
      <c r="K49" s="14">
        <v>78</v>
      </c>
      <c r="L49" s="14">
        <v>80</v>
      </c>
      <c r="M49" s="14">
        <v>94</v>
      </c>
      <c r="N49" s="14">
        <v>83</v>
      </c>
      <c r="O49" s="14">
        <v>84</v>
      </c>
      <c r="P49" s="15">
        <v>87</v>
      </c>
      <c r="Q49" s="15">
        <v>80</v>
      </c>
      <c r="R49" s="14">
        <v>70</v>
      </c>
      <c r="S49" s="14">
        <v>80</v>
      </c>
      <c r="T49" s="14">
        <v>82</v>
      </c>
      <c r="U49" s="14">
        <v>80</v>
      </c>
      <c r="V49" s="14">
        <v>83</v>
      </c>
      <c r="W49" s="14">
        <v>81</v>
      </c>
      <c r="X49" s="14">
        <v>82</v>
      </c>
      <c r="Y49" s="14">
        <v>82</v>
      </c>
      <c r="Z49" s="14">
        <v>86</v>
      </c>
      <c r="AA49" s="14">
        <v>80</v>
      </c>
      <c r="AB49" s="15">
        <v>79</v>
      </c>
      <c r="AC49" s="15">
        <v>85</v>
      </c>
      <c r="AD49" s="14">
        <v>85</v>
      </c>
      <c r="AE49" s="14">
        <v>78</v>
      </c>
      <c r="AF49" s="14">
        <v>79</v>
      </c>
      <c r="AG49" s="14">
        <v>80</v>
      </c>
      <c r="AH49" s="14">
        <v>71</v>
      </c>
      <c r="AI49" s="14">
        <v>77</v>
      </c>
      <c r="AJ49" s="14">
        <v>83</v>
      </c>
      <c r="AK49" s="14">
        <v>82</v>
      </c>
      <c r="AL49" s="15">
        <v>83</v>
      </c>
      <c r="AM49" s="15">
        <v>70</v>
      </c>
      <c r="AN49" s="14">
        <v>70</v>
      </c>
      <c r="AO49" s="14">
        <v>81</v>
      </c>
      <c r="AP49" s="14">
        <v>81</v>
      </c>
      <c r="AQ49" s="14">
        <v>80</v>
      </c>
      <c r="AR49" s="14">
        <v>86</v>
      </c>
      <c r="AS49" s="14">
        <v>74</v>
      </c>
      <c r="AT49" s="14">
        <v>73</v>
      </c>
      <c r="AU49" s="14">
        <v>82</v>
      </c>
      <c r="AV49" s="14">
        <v>82</v>
      </c>
      <c r="AW49" s="14">
        <v>82</v>
      </c>
      <c r="AX49" s="15">
        <v>86</v>
      </c>
      <c r="AY49" s="15">
        <v>72</v>
      </c>
      <c r="AZ49" s="14">
        <v>92</v>
      </c>
      <c r="BA49" s="14">
        <v>74</v>
      </c>
      <c r="BB49" s="14">
        <v>78</v>
      </c>
      <c r="BC49" s="14">
        <v>81</v>
      </c>
      <c r="BD49" s="14">
        <v>75</v>
      </c>
      <c r="BE49" s="37">
        <v>84</v>
      </c>
      <c r="BF49" s="37">
        <v>75</v>
      </c>
      <c r="BG49" s="37">
        <v>87</v>
      </c>
      <c r="BH49" s="14">
        <v>86</v>
      </c>
      <c r="BI49" s="37">
        <v>81</v>
      </c>
      <c r="BJ49" s="37">
        <v>75</v>
      </c>
      <c r="BK49" s="37">
        <v>73</v>
      </c>
      <c r="BL49" s="14">
        <v>86</v>
      </c>
      <c r="BM49" s="37">
        <v>80</v>
      </c>
      <c r="BN49" s="37">
        <v>78</v>
      </c>
      <c r="BO49" s="37">
        <v>83</v>
      </c>
      <c r="BP49" s="14">
        <v>86</v>
      </c>
      <c r="BQ49" s="15">
        <f t="shared" si="0"/>
        <v>81.666666666666671</v>
      </c>
      <c r="BR49" s="15">
        <f t="shared" si="1"/>
        <v>76</v>
      </c>
      <c r="BS49" s="15">
        <f t="shared" si="2"/>
        <v>81</v>
      </c>
      <c r="BT49" s="15">
        <f t="shared" si="3"/>
        <v>86</v>
      </c>
      <c r="BU49" s="15">
        <v>85</v>
      </c>
      <c r="BV49" s="15">
        <v>85</v>
      </c>
      <c r="BW49" s="15">
        <v>89</v>
      </c>
      <c r="BX49" s="15">
        <v>86</v>
      </c>
      <c r="BY49" s="15">
        <v>85</v>
      </c>
      <c r="BZ49" s="15">
        <v>75</v>
      </c>
      <c r="CA49" s="15">
        <v>84</v>
      </c>
      <c r="CB49" s="15">
        <v>80</v>
      </c>
      <c r="CC49" s="15">
        <v>86</v>
      </c>
      <c r="CD49" s="39">
        <v>87</v>
      </c>
      <c r="CE49" s="40">
        <v>90</v>
      </c>
      <c r="CF49" s="40">
        <v>80</v>
      </c>
      <c r="CG49" s="40">
        <v>70</v>
      </c>
      <c r="CH49" s="40">
        <v>80</v>
      </c>
      <c r="CI49" s="40">
        <v>82</v>
      </c>
      <c r="CJ49" s="40">
        <v>80</v>
      </c>
      <c r="CK49" s="39">
        <v>93</v>
      </c>
      <c r="CL49" s="40">
        <v>87</v>
      </c>
      <c r="CM49" s="41">
        <f t="shared" si="4"/>
        <v>84.6</v>
      </c>
      <c r="CN49" s="41">
        <f t="shared" si="5"/>
        <v>84</v>
      </c>
      <c r="CO49" s="41">
        <f t="shared" si="6"/>
        <v>87</v>
      </c>
      <c r="CP49" s="17">
        <f t="shared" si="7"/>
        <v>85.14</v>
      </c>
      <c r="CQ49" s="16">
        <f t="shared" si="8"/>
        <v>83.8</v>
      </c>
      <c r="CR49" s="16">
        <f t="shared" si="9"/>
        <v>87</v>
      </c>
      <c r="CS49" s="16">
        <f t="shared" si="10"/>
        <v>90</v>
      </c>
      <c r="CT49" s="17">
        <f t="shared" si="11"/>
        <v>86.62</v>
      </c>
      <c r="CU49" s="17">
        <f t="shared" si="12"/>
        <v>78.400000000000006</v>
      </c>
      <c r="CV49" s="17">
        <f t="shared" si="13"/>
        <v>83</v>
      </c>
      <c r="CW49" s="17">
        <f t="shared" si="14"/>
        <v>80</v>
      </c>
      <c r="CX49" s="17">
        <f t="shared" si="15"/>
        <v>80.260000000000005</v>
      </c>
      <c r="CY49" s="18">
        <f t="shared" si="16"/>
        <v>82.75</v>
      </c>
      <c r="CZ49" s="18">
        <f t="shared" si="17"/>
        <v>82.75</v>
      </c>
      <c r="DA49" s="18">
        <f t="shared" si="18"/>
        <v>82.25</v>
      </c>
      <c r="DB49" s="18">
        <f t="shared" si="19"/>
        <v>82.25</v>
      </c>
      <c r="DC49" s="18">
        <f t="shared" si="20"/>
        <v>78.5</v>
      </c>
      <c r="DD49" s="18">
        <f t="shared" si="21"/>
        <v>78.5</v>
      </c>
      <c r="DE49" s="18">
        <f t="shared" si="22"/>
        <v>77.75</v>
      </c>
      <c r="DF49" s="18">
        <f t="shared" si="23"/>
        <v>77.75</v>
      </c>
      <c r="DG49" s="18">
        <f t="shared" si="24"/>
        <v>82</v>
      </c>
      <c r="DH49" s="18">
        <f t="shared" si="25"/>
        <v>83</v>
      </c>
      <c r="DI49" s="18">
        <f t="shared" si="26"/>
        <v>70</v>
      </c>
      <c r="DJ49" s="17">
        <f t="shared" si="27"/>
        <v>78.7</v>
      </c>
      <c r="DK49" s="18">
        <f t="shared" si="28"/>
        <v>76.400000000000006</v>
      </c>
      <c r="DL49" s="18">
        <f t="shared" si="29"/>
        <v>86</v>
      </c>
      <c r="DM49" s="18">
        <f t="shared" si="30"/>
        <v>80</v>
      </c>
      <c r="DN49" s="17">
        <f t="shared" si="31"/>
        <v>80.36</v>
      </c>
      <c r="DO49" s="18">
        <f t="shared" si="32"/>
        <v>78.599999999999994</v>
      </c>
      <c r="DP49" s="18">
        <f t="shared" si="33"/>
        <v>86</v>
      </c>
      <c r="DQ49" s="18">
        <f t="shared" si="34"/>
        <v>82</v>
      </c>
      <c r="DR49" s="17">
        <f t="shared" si="35"/>
        <v>81.84</v>
      </c>
      <c r="DS49" s="18">
        <f t="shared" si="36"/>
        <v>82</v>
      </c>
      <c r="DT49" s="18">
        <f t="shared" si="37"/>
        <v>82</v>
      </c>
      <c r="DU49" s="18">
        <f t="shared" si="38"/>
        <v>76</v>
      </c>
      <c r="DV49" s="18">
        <f t="shared" si="39"/>
        <v>76</v>
      </c>
      <c r="DW49" s="18">
        <f t="shared" si="40"/>
        <v>78</v>
      </c>
      <c r="DX49" s="17">
        <f t="shared" si="41"/>
        <v>78</v>
      </c>
      <c r="DY49" s="18">
        <f t="shared" si="42"/>
        <v>79.555555555555557</v>
      </c>
      <c r="DZ49" s="18">
        <f t="shared" si="43"/>
        <v>86</v>
      </c>
      <c r="EA49" s="18">
        <f t="shared" si="44"/>
        <v>87</v>
      </c>
      <c r="EB49" s="17">
        <f t="shared" si="45"/>
        <v>83.722222222222214</v>
      </c>
      <c r="EC49" s="18">
        <f t="shared" si="46"/>
        <v>86.333333333333329</v>
      </c>
      <c r="ED49" s="18">
        <f t="shared" si="47"/>
        <v>86</v>
      </c>
      <c r="EE49" s="18">
        <f t="shared" si="48"/>
        <v>93</v>
      </c>
      <c r="EF49" s="17">
        <f t="shared" si="49"/>
        <v>88.23333333333332</v>
      </c>
      <c r="EG49" s="18">
        <f t="shared" si="50"/>
        <v>85</v>
      </c>
      <c r="EH49" s="18">
        <f t="shared" si="51"/>
        <v>79.666666666666671</v>
      </c>
      <c r="EI49" s="18">
        <f t="shared" si="52"/>
        <v>86</v>
      </c>
      <c r="EJ49" s="18">
        <f t="shared" si="53"/>
        <v>80</v>
      </c>
      <c r="EK49" s="17">
        <f t="shared" si="54"/>
        <v>81.666666666666671</v>
      </c>
      <c r="EL49" s="19">
        <f t="shared" si="55"/>
        <v>85.14</v>
      </c>
      <c r="EM49" s="19">
        <f t="shared" si="56"/>
        <v>86.62</v>
      </c>
      <c r="EN49" s="19">
        <f t="shared" si="57"/>
        <v>80.260000000000005</v>
      </c>
      <c r="EO49" s="19">
        <f t="shared" si="58"/>
        <v>82.75</v>
      </c>
      <c r="EP49" s="19">
        <f t="shared" si="59"/>
        <v>82.25</v>
      </c>
      <c r="EQ49" s="19">
        <f t="shared" si="60"/>
        <v>78.5</v>
      </c>
      <c r="ER49" s="19">
        <f t="shared" si="61"/>
        <v>77.75</v>
      </c>
      <c r="ES49" s="19">
        <f t="shared" si="62"/>
        <v>78.7</v>
      </c>
      <c r="ET49" s="19">
        <f t="shared" si="63"/>
        <v>80.36</v>
      </c>
      <c r="EU49" s="19">
        <f t="shared" si="64"/>
        <v>81.84</v>
      </c>
      <c r="EV49" s="19">
        <f t="shared" si="65"/>
        <v>82</v>
      </c>
      <c r="EW49" s="19">
        <f t="shared" si="66"/>
        <v>76</v>
      </c>
      <c r="EX49" s="19">
        <f t="shared" si="67"/>
        <v>78</v>
      </c>
      <c r="EY49" s="19">
        <f t="shared" si="68"/>
        <v>83.722222222222214</v>
      </c>
      <c r="EZ49" s="19">
        <f t="shared" si="69"/>
        <v>88.23333333333332</v>
      </c>
      <c r="FA49" s="19">
        <f t="shared" si="70"/>
        <v>85</v>
      </c>
      <c r="FB49" s="19">
        <f t="shared" si="71"/>
        <v>81.666666666666671</v>
      </c>
      <c r="FC49" s="19">
        <f t="shared" si="72"/>
        <v>81.693660130718968</v>
      </c>
    </row>
    <row r="50" spans="1:159" ht="20.100000000000001" customHeight="1">
      <c r="A50" s="11">
        <v>46</v>
      </c>
      <c r="B50" s="22" t="s">
        <v>143</v>
      </c>
      <c r="C50" s="23" t="s">
        <v>144</v>
      </c>
      <c r="D50" s="24" t="s">
        <v>126</v>
      </c>
      <c r="E50" s="14">
        <v>78</v>
      </c>
      <c r="F50" s="14">
        <v>81</v>
      </c>
      <c r="G50" s="14">
        <v>85</v>
      </c>
      <c r="H50" s="14">
        <v>81</v>
      </c>
      <c r="I50" s="14">
        <v>84</v>
      </c>
      <c r="J50" s="14">
        <v>78</v>
      </c>
      <c r="K50" s="14">
        <v>78</v>
      </c>
      <c r="L50" s="14">
        <v>80</v>
      </c>
      <c r="M50" s="14">
        <v>71</v>
      </c>
      <c r="N50" s="14">
        <v>78</v>
      </c>
      <c r="O50" s="14">
        <v>79</v>
      </c>
      <c r="P50" s="15">
        <v>77</v>
      </c>
      <c r="Q50" s="15">
        <v>80</v>
      </c>
      <c r="R50" s="14">
        <v>70</v>
      </c>
      <c r="S50" s="14">
        <v>76</v>
      </c>
      <c r="T50" s="14">
        <v>79</v>
      </c>
      <c r="U50" s="14">
        <v>80</v>
      </c>
      <c r="V50" s="14">
        <v>77</v>
      </c>
      <c r="W50" s="14">
        <v>81</v>
      </c>
      <c r="X50" s="14">
        <v>83</v>
      </c>
      <c r="Y50" s="14">
        <v>79</v>
      </c>
      <c r="Z50" s="14">
        <v>81</v>
      </c>
      <c r="AA50" s="14">
        <v>80</v>
      </c>
      <c r="AB50" s="15">
        <v>79</v>
      </c>
      <c r="AC50" s="15">
        <v>70</v>
      </c>
      <c r="AD50" s="14">
        <v>75</v>
      </c>
      <c r="AE50" s="14">
        <v>78</v>
      </c>
      <c r="AF50" s="14">
        <v>79</v>
      </c>
      <c r="AG50" s="14">
        <v>80</v>
      </c>
      <c r="AH50" s="14">
        <v>71</v>
      </c>
      <c r="AI50" s="14">
        <v>73</v>
      </c>
      <c r="AJ50" s="14">
        <v>82</v>
      </c>
      <c r="AK50" s="14">
        <v>80</v>
      </c>
      <c r="AL50" s="15">
        <v>77</v>
      </c>
      <c r="AM50" s="15">
        <v>70</v>
      </c>
      <c r="AN50" s="14">
        <v>70</v>
      </c>
      <c r="AO50" s="14">
        <v>71</v>
      </c>
      <c r="AP50" s="14">
        <v>72</v>
      </c>
      <c r="AQ50" s="14">
        <v>80</v>
      </c>
      <c r="AR50" s="14">
        <v>76</v>
      </c>
      <c r="AS50" s="14">
        <v>74</v>
      </c>
      <c r="AT50" s="14">
        <v>73</v>
      </c>
      <c r="AU50" s="14">
        <v>75</v>
      </c>
      <c r="AV50" s="14">
        <v>75</v>
      </c>
      <c r="AW50" s="14">
        <v>80</v>
      </c>
      <c r="AX50" s="15">
        <v>76</v>
      </c>
      <c r="AY50" s="15">
        <v>72</v>
      </c>
      <c r="AZ50" s="14">
        <v>92</v>
      </c>
      <c r="BA50" s="14">
        <v>74</v>
      </c>
      <c r="BB50" s="14">
        <v>78</v>
      </c>
      <c r="BC50" s="14">
        <v>81</v>
      </c>
      <c r="BD50" s="14">
        <v>75</v>
      </c>
      <c r="BE50" s="37">
        <v>73</v>
      </c>
      <c r="BF50" s="37">
        <v>70</v>
      </c>
      <c r="BG50" s="37">
        <v>81</v>
      </c>
      <c r="BH50" s="14">
        <v>81</v>
      </c>
      <c r="BI50" s="37">
        <v>75</v>
      </c>
      <c r="BJ50" s="37">
        <v>70</v>
      </c>
      <c r="BK50" s="37">
        <v>87</v>
      </c>
      <c r="BL50" s="14">
        <v>81</v>
      </c>
      <c r="BM50" s="37">
        <v>79</v>
      </c>
      <c r="BN50" s="37">
        <v>75</v>
      </c>
      <c r="BO50" s="37">
        <v>81</v>
      </c>
      <c r="BP50" s="14">
        <v>81</v>
      </c>
      <c r="BQ50" s="15">
        <f t="shared" si="0"/>
        <v>75.666666666666671</v>
      </c>
      <c r="BR50" s="15">
        <f t="shared" si="1"/>
        <v>71.666666666666671</v>
      </c>
      <c r="BS50" s="15">
        <f t="shared" si="2"/>
        <v>83</v>
      </c>
      <c r="BT50" s="15">
        <f t="shared" si="3"/>
        <v>81</v>
      </c>
      <c r="BU50" s="15">
        <v>80</v>
      </c>
      <c r="BV50" s="15">
        <v>80</v>
      </c>
      <c r="BW50" s="15">
        <v>86</v>
      </c>
      <c r="BX50" s="15">
        <v>81</v>
      </c>
      <c r="BY50" s="15">
        <v>78</v>
      </c>
      <c r="BZ50" s="15">
        <v>76</v>
      </c>
      <c r="CA50" s="15">
        <v>79</v>
      </c>
      <c r="CB50" s="15">
        <v>80</v>
      </c>
      <c r="CC50" s="15">
        <v>76</v>
      </c>
      <c r="CD50" s="39">
        <v>81</v>
      </c>
      <c r="CE50" s="40">
        <v>80</v>
      </c>
      <c r="CF50" s="40">
        <v>78</v>
      </c>
      <c r="CG50" s="40">
        <v>70</v>
      </c>
      <c r="CH50" s="40">
        <v>76</v>
      </c>
      <c r="CI50" s="40">
        <v>80</v>
      </c>
      <c r="CJ50" s="40">
        <v>80</v>
      </c>
      <c r="CK50" s="39">
        <v>79</v>
      </c>
      <c r="CL50" s="40">
        <v>82</v>
      </c>
      <c r="CM50" s="41">
        <f t="shared" si="4"/>
        <v>81.8</v>
      </c>
      <c r="CN50" s="41">
        <f t="shared" si="5"/>
        <v>78</v>
      </c>
      <c r="CO50" s="41">
        <f t="shared" si="6"/>
        <v>81</v>
      </c>
      <c r="CP50" s="17">
        <f t="shared" si="7"/>
        <v>80.42</v>
      </c>
      <c r="CQ50" s="16">
        <f t="shared" si="8"/>
        <v>77.2</v>
      </c>
      <c r="CR50" s="16">
        <f t="shared" si="9"/>
        <v>77</v>
      </c>
      <c r="CS50" s="16">
        <f t="shared" si="10"/>
        <v>80</v>
      </c>
      <c r="CT50" s="17">
        <f t="shared" si="11"/>
        <v>77.97999999999999</v>
      </c>
      <c r="CU50" s="17">
        <f t="shared" si="12"/>
        <v>77</v>
      </c>
      <c r="CV50" s="17">
        <f t="shared" si="13"/>
        <v>77</v>
      </c>
      <c r="CW50" s="17">
        <f t="shared" si="14"/>
        <v>78</v>
      </c>
      <c r="CX50" s="17">
        <f t="shared" si="15"/>
        <v>77.3</v>
      </c>
      <c r="CY50" s="18">
        <f t="shared" si="16"/>
        <v>81</v>
      </c>
      <c r="CZ50" s="18">
        <f t="shared" si="17"/>
        <v>81</v>
      </c>
      <c r="DA50" s="18">
        <f t="shared" si="18"/>
        <v>76</v>
      </c>
      <c r="DB50" s="18">
        <f t="shared" si="19"/>
        <v>76</v>
      </c>
      <c r="DC50" s="18">
        <f t="shared" si="20"/>
        <v>78.5</v>
      </c>
      <c r="DD50" s="18">
        <f t="shared" si="21"/>
        <v>78.5</v>
      </c>
      <c r="DE50" s="18">
        <f t="shared" si="22"/>
        <v>76.5</v>
      </c>
      <c r="DF50" s="18">
        <f t="shared" si="23"/>
        <v>76.5</v>
      </c>
      <c r="DG50" s="18">
        <f t="shared" si="24"/>
        <v>80</v>
      </c>
      <c r="DH50" s="18">
        <f t="shared" si="25"/>
        <v>77</v>
      </c>
      <c r="DI50" s="18">
        <f t="shared" si="26"/>
        <v>70</v>
      </c>
      <c r="DJ50" s="17">
        <f t="shared" si="27"/>
        <v>76.099999999999994</v>
      </c>
      <c r="DK50" s="18">
        <f t="shared" si="28"/>
        <v>72.599999999999994</v>
      </c>
      <c r="DL50" s="18">
        <f t="shared" si="29"/>
        <v>76</v>
      </c>
      <c r="DM50" s="18">
        <f t="shared" si="30"/>
        <v>76</v>
      </c>
      <c r="DN50" s="17">
        <f t="shared" si="31"/>
        <v>74.64</v>
      </c>
      <c r="DO50" s="18">
        <f t="shared" si="32"/>
        <v>75.400000000000006</v>
      </c>
      <c r="DP50" s="18">
        <f t="shared" si="33"/>
        <v>76</v>
      </c>
      <c r="DQ50" s="18">
        <f t="shared" si="34"/>
        <v>80</v>
      </c>
      <c r="DR50" s="17">
        <f t="shared" si="35"/>
        <v>76.960000000000008</v>
      </c>
      <c r="DS50" s="18">
        <f t="shared" si="36"/>
        <v>82</v>
      </c>
      <c r="DT50" s="18">
        <f t="shared" si="37"/>
        <v>82</v>
      </c>
      <c r="DU50" s="18">
        <f t="shared" si="38"/>
        <v>76</v>
      </c>
      <c r="DV50" s="18">
        <f t="shared" si="39"/>
        <v>76</v>
      </c>
      <c r="DW50" s="18">
        <f t="shared" si="40"/>
        <v>78</v>
      </c>
      <c r="DX50" s="17">
        <f t="shared" si="41"/>
        <v>78</v>
      </c>
      <c r="DY50" s="18">
        <f t="shared" si="42"/>
        <v>76.777777777777786</v>
      </c>
      <c r="DZ50" s="18">
        <f t="shared" si="43"/>
        <v>81</v>
      </c>
      <c r="EA50" s="18">
        <f t="shared" si="44"/>
        <v>82</v>
      </c>
      <c r="EB50" s="17">
        <f t="shared" si="45"/>
        <v>79.611111111111114</v>
      </c>
      <c r="EC50" s="18">
        <f t="shared" si="46"/>
        <v>82</v>
      </c>
      <c r="ED50" s="18">
        <f t="shared" si="47"/>
        <v>81</v>
      </c>
      <c r="EE50" s="18">
        <f t="shared" si="48"/>
        <v>79</v>
      </c>
      <c r="EF50" s="17">
        <f t="shared" si="49"/>
        <v>80.8</v>
      </c>
      <c r="EG50" s="18">
        <f t="shared" si="50"/>
        <v>78</v>
      </c>
      <c r="EH50" s="18">
        <f t="shared" si="51"/>
        <v>78.333333333333329</v>
      </c>
      <c r="EI50" s="18">
        <f t="shared" si="52"/>
        <v>76</v>
      </c>
      <c r="EJ50" s="18">
        <f t="shared" si="53"/>
        <v>80</v>
      </c>
      <c r="EK50" s="17">
        <f t="shared" si="54"/>
        <v>78.133333333333326</v>
      </c>
      <c r="EL50" s="19">
        <f t="shared" si="55"/>
        <v>80.42</v>
      </c>
      <c r="EM50" s="19">
        <f t="shared" si="56"/>
        <v>77.97999999999999</v>
      </c>
      <c r="EN50" s="19">
        <f t="shared" si="57"/>
        <v>77.3</v>
      </c>
      <c r="EO50" s="19">
        <f t="shared" si="58"/>
        <v>81</v>
      </c>
      <c r="EP50" s="19">
        <f t="shared" si="59"/>
        <v>76</v>
      </c>
      <c r="EQ50" s="19">
        <f t="shared" si="60"/>
        <v>78.5</v>
      </c>
      <c r="ER50" s="19">
        <f t="shared" si="61"/>
        <v>76.5</v>
      </c>
      <c r="ES50" s="19">
        <f t="shared" si="62"/>
        <v>76.099999999999994</v>
      </c>
      <c r="ET50" s="19">
        <f t="shared" si="63"/>
        <v>74.64</v>
      </c>
      <c r="EU50" s="19">
        <f t="shared" si="64"/>
        <v>76.960000000000008</v>
      </c>
      <c r="EV50" s="19">
        <f t="shared" si="65"/>
        <v>82</v>
      </c>
      <c r="EW50" s="19">
        <f t="shared" si="66"/>
        <v>76</v>
      </c>
      <c r="EX50" s="19">
        <f t="shared" si="67"/>
        <v>78</v>
      </c>
      <c r="EY50" s="19">
        <f t="shared" si="68"/>
        <v>79.611111111111114</v>
      </c>
      <c r="EZ50" s="19">
        <f t="shared" si="69"/>
        <v>80.8</v>
      </c>
      <c r="FA50" s="19">
        <f t="shared" si="70"/>
        <v>78</v>
      </c>
      <c r="FB50" s="19">
        <f t="shared" si="71"/>
        <v>78.133333333333326</v>
      </c>
      <c r="FC50" s="19">
        <f t="shared" si="72"/>
        <v>78.114379084967311</v>
      </c>
    </row>
    <row r="51" spans="1:159" ht="20.100000000000001" customHeight="1">
      <c r="A51" s="11">
        <v>47</v>
      </c>
      <c r="B51" s="22" t="s">
        <v>145</v>
      </c>
      <c r="C51" s="23" t="s">
        <v>146</v>
      </c>
      <c r="D51" s="24" t="s">
        <v>126</v>
      </c>
      <c r="E51" s="14">
        <v>80</v>
      </c>
      <c r="F51" s="14">
        <v>82</v>
      </c>
      <c r="G51" s="14">
        <v>87</v>
      </c>
      <c r="H51" s="14">
        <v>83</v>
      </c>
      <c r="I51" s="14">
        <v>85</v>
      </c>
      <c r="J51" s="14">
        <v>95</v>
      </c>
      <c r="K51" s="14">
        <v>78</v>
      </c>
      <c r="L51" s="14">
        <v>84</v>
      </c>
      <c r="M51" s="14">
        <v>90</v>
      </c>
      <c r="N51" s="14">
        <v>88</v>
      </c>
      <c r="O51" s="14">
        <v>89</v>
      </c>
      <c r="P51" s="15">
        <v>95</v>
      </c>
      <c r="Q51" s="15">
        <v>80</v>
      </c>
      <c r="R51" s="14">
        <v>85</v>
      </c>
      <c r="S51" s="14">
        <v>77</v>
      </c>
      <c r="T51" s="14">
        <v>80</v>
      </c>
      <c r="U51" s="14">
        <v>88</v>
      </c>
      <c r="V51" s="14">
        <v>87</v>
      </c>
      <c r="W51" s="14">
        <v>83</v>
      </c>
      <c r="X51" s="14">
        <v>85</v>
      </c>
      <c r="Y51" s="14">
        <v>82</v>
      </c>
      <c r="Z51" s="14">
        <v>85</v>
      </c>
      <c r="AA51" s="14">
        <v>77</v>
      </c>
      <c r="AB51" s="15">
        <v>81</v>
      </c>
      <c r="AC51" s="15">
        <v>79</v>
      </c>
      <c r="AD51" s="14">
        <v>80</v>
      </c>
      <c r="AE51" s="14">
        <v>79</v>
      </c>
      <c r="AF51" s="14">
        <v>81</v>
      </c>
      <c r="AG51" s="14">
        <v>77</v>
      </c>
      <c r="AH51" s="14">
        <v>73</v>
      </c>
      <c r="AI51" s="14">
        <v>71</v>
      </c>
      <c r="AJ51" s="14">
        <v>83</v>
      </c>
      <c r="AK51" s="14">
        <v>80</v>
      </c>
      <c r="AL51" s="15">
        <v>87</v>
      </c>
      <c r="AM51" s="15">
        <v>70</v>
      </c>
      <c r="AN51" s="14">
        <v>73</v>
      </c>
      <c r="AO51" s="14">
        <v>73</v>
      </c>
      <c r="AP51" s="14">
        <v>74</v>
      </c>
      <c r="AQ51" s="14">
        <v>80</v>
      </c>
      <c r="AR51" s="14">
        <v>90</v>
      </c>
      <c r="AS51" s="14">
        <v>76</v>
      </c>
      <c r="AT51" s="14">
        <v>75</v>
      </c>
      <c r="AU51" s="14">
        <v>75</v>
      </c>
      <c r="AV51" s="14">
        <v>78</v>
      </c>
      <c r="AW51" s="14">
        <v>80</v>
      </c>
      <c r="AX51" s="15">
        <v>90</v>
      </c>
      <c r="AY51" s="15">
        <v>76</v>
      </c>
      <c r="AZ51" s="14">
        <v>77</v>
      </c>
      <c r="BA51" s="14">
        <v>74</v>
      </c>
      <c r="BB51" s="14">
        <v>78</v>
      </c>
      <c r="BC51" s="14">
        <v>81</v>
      </c>
      <c r="BD51" s="14">
        <v>85</v>
      </c>
      <c r="BE51" s="37">
        <v>77</v>
      </c>
      <c r="BF51" s="37">
        <v>73</v>
      </c>
      <c r="BG51" s="37">
        <v>78</v>
      </c>
      <c r="BH51" s="14">
        <v>93</v>
      </c>
      <c r="BI51" s="37">
        <v>80</v>
      </c>
      <c r="BJ51" s="37">
        <v>71</v>
      </c>
      <c r="BK51" s="37">
        <v>89</v>
      </c>
      <c r="BL51" s="14">
        <v>93</v>
      </c>
      <c r="BM51" s="37">
        <v>78</v>
      </c>
      <c r="BN51" s="37">
        <v>75</v>
      </c>
      <c r="BO51" s="37">
        <v>83</v>
      </c>
      <c r="BP51" s="14">
        <v>93</v>
      </c>
      <c r="BQ51" s="15">
        <f t="shared" si="0"/>
        <v>78.333333333333329</v>
      </c>
      <c r="BR51" s="15">
        <f t="shared" si="1"/>
        <v>73</v>
      </c>
      <c r="BS51" s="15">
        <f t="shared" si="2"/>
        <v>83.333333333333329</v>
      </c>
      <c r="BT51" s="15">
        <f t="shared" si="3"/>
        <v>93</v>
      </c>
      <c r="BU51" s="15">
        <v>86</v>
      </c>
      <c r="BV51" s="15">
        <v>86</v>
      </c>
      <c r="BW51" s="15">
        <v>86</v>
      </c>
      <c r="BX51" s="15">
        <v>93</v>
      </c>
      <c r="BY51" s="15">
        <v>92</v>
      </c>
      <c r="BZ51" s="15">
        <v>72</v>
      </c>
      <c r="CA51" s="15">
        <v>84</v>
      </c>
      <c r="CB51" s="15">
        <v>80</v>
      </c>
      <c r="CC51" s="15">
        <v>90</v>
      </c>
      <c r="CD51" s="39">
        <v>89</v>
      </c>
      <c r="CE51" s="40">
        <v>90</v>
      </c>
      <c r="CF51" s="40">
        <v>80</v>
      </c>
      <c r="CG51" s="40">
        <v>80</v>
      </c>
      <c r="CH51" s="40">
        <v>78</v>
      </c>
      <c r="CI51" s="40">
        <v>80</v>
      </c>
      <c r="CJ51" s="40">
        <v>80</v>
      </c>
      <c r="CK51" s="39">
        <v>93</v>
      </c>
      <c r="CL51" s="40">
        <v>97</v>
      </c>
      <c r="CM51" s="41">
        <f t="shared" si="4"/>
        <v>83.4</v>
      </c>
      <c r="CN51" s="41">
        <f t="shared" si="5"/>
        <v>95</v>
      </c>
      <c r="CO51" s="41">
        <f t="shared" si="6"/>
        <v>89</v>
      </c>
      <c r="CP51" s="17">
        <f t="shared" si="7"/>
        <v>88.56</v>
      </c>
      <c r="CQ51" s="16">
        <f t="shared" si="8"/>
        <v>85.8</v>
      </c>
      <c r="CR51" s="16">
        <f t="shared" si="9"/>
        <v>95</v>
      </c>
      <c r="CS51" s="16">
        <f t="shared" si="10"/>
        <v>90</v>
      </c>
      <c r="CT51" s="17">
        <f t="shared" si="11"/>
        <v>89.820000000000007</v>
      </c>
      <c r="CU51" s="17">
        <f t="shared" si="12"/>
        <v>82</v>
      </c>
      <c r="CV51" s="17">
        <f t="shared" si="13"/>
        <v>87</v>
      </c>
      <c r="CW51" s="17">
        <f t="shared" si="14"/>
        <v>80</v>
      </c>
      <c r="CX51" s="17">
        <f t="shared" si="15"/>
        <v>82.9</v>
      </c>
      <c r="CY51" s="18">
        <f t="shared" si="16"/>
        <v>83.75</v>
      </c>
      <c r="CZ51" s="18">
        <f t="shared" si="17"/>
        <v>83.75</v>
      </c>
      <c r="DA51" s="18">
        <f t="shared" si="18"/>
        <v>79.25</v>
      </c>
      <c r="DB51" s="18">
        <f t="shared" si="19"/>
        <v>79.25</v>
      </c>
      <c r="DC51" s="18">
        <f t="shared" si="20"/>
        <v>80</v>
      </c>
      <c r="DD51" s="18">
        <f t="shared" si="21"/>
        <v>80</v>
      </c>
      <c r="DE51" s="18">
        <f t="shared" si="22"/>
        <v>76</v>
      </c>
      <c r="DF51" s="18">
        <f t="shared" si="23"/>
        <v>76</v>
      </c>
      <c r="DG51" s="18">
        <f t="shared" si="24"/>
        <v>80</v>
      </c>
      <c r="DH51" s="18">
        <f t="shared" si="25"/>
        <v>87</v>
      </c>
      <c r="DI51" s="18">
        <f t="shared" si="26"/>
        <v>80</v>
      </c>
      <c r="DJ51" s="17">
        <f t="shared" si="27"/>
        <v>82.1</v>
      </c>
      <c r="DK51" s="18">
        <f t="shared" si="28"/>
        <v>74</v>
      </c>
      <c r="DL51" s="18">
        <f t="shared" si="29"/>
        <v>90</v>
      </c>
      <c r="DM51" s="18">
        <f t="shared" si="30"/>
        <v>78</v>
      </c>
      <c r="DN51" s="17">
        <f t="shared" si="31"/>
        <v>80</v>
      </c>
      <c r="DO51" s="18">
        <f t="shared" si="32"/>
        <v>76.8</v>
      </c>
      <c r="DP51" s="18">
        <f t="shared" si="33"/>
        <v>90</v>
      </c>
      <c r="DQ51" s="18">
        <f t="shared" si="34"/>
        <v>80</v>
      </c>
      <c r="DR51" s="17">
        <f t="shared" si="35"/>
        <v>81.72</v>
      </c>
      <c r="DS51" s="18">
        <f t="shared" si="36"/>
        <v>76.5</v>
      </c>
      <c r="DT51" s="18">
        <f t="shared" si="37"/>
        <v>76.5</v>
      </c>
      <c r="DU51" s="18">
        <f t="shared" si="38"/>
        <v>76</v>
      </c>
      <c r="DV51" s="18">
        <f t="shared" si="39"/>
        <v>76</v>
      </c>
      <c r="DW51" s="18">
        <f t="shared" si="40"/>
        <v>83</v>
      </c>
      <c r="DX51" s="17">
        <f t="shared" si="41"/>
        <v>83</v>
      </c>
      <c r="DY51" s="18">
        <f t="shared" si="42"/>
        <v>78.222222222222214</v>
      </c>
      <c r="DZ51" s="18">
        <f t="shared" si="43"/>
        <v>93</v>
      </c>
      <c r="EA51" s="18">
        <f t="shared" si="44"/>
        <v>97</v>
      </c>
      <c r="EB51" s="17">
        <f t="shared" si="45"/>
        <v>88.288888888888891</v>
      </c>
      <c r="EC51" s="18">
        <f t="shared" si="46"/>
        <v>86</v>
      </c>
      <c r="ED51" s="18">
        <f t="shared" si="47"/>
        <v>93</v>
      </c>
      <c r="EE51" s="18">
        <f t="shared" si="48"/>
        <v>93</v>
      </c>
      <c r="EF51" s="17">
        <f t="shared" si="49"/>
        <v>90.2</v>
      </c>
      <c r="EG51" s="18">
        <f t="shared" si="50"/>
        <v>92</v>
      </c>
      <c r="EH51" s="18">
        <f t="shared" si="51"/>
        <v>78.666666666666671</v>
      </c>
      <c r="EI51" s="18">
        <f t="shared" si="52"/>
        <v>90</v>
      </c>
      <c r="EJ51" s="18">
        <f t="shared" si="53"/>
        <v>80</v>
      </c>
      <c r="EK51" s="17">
        <f t="shared" si="54"/>
        <v>82.466666666666669</v>
      </c>
      <c r="EL51" s="19">
        <f t="shared" si="55"/>
        <v>88.56</v>
      </c>
      <c r="EM51" s="19">
        <f t="shared" si="56"/>
        <v>89.820000000000007</v>
      </c>
      <c r="EN51" s="19">
        <f t="shared" si="57"/>
        <v>82.9</v>
      </c>
      <c r="EO51" s="19">
        <f t="shared" si="58"/>
        <v>83.75</v>
      </c>
      <c r="EP51" s="19">
        <f t="shared" si="59"/>
        <v>79.25</v>
      </c>
      <c r="EQ51" s="19">
        <f t="shared" si="60"/>
        <v>80</v>
      </c>
      <c r="ER51" s="19">
        <f t="shared" si="61"/>
        <v>76</v>
      </c>
      <c r="ES51" s="19">
        <f t="shared" si="62"/>
        <v>82.1</v>
      </c>
      <c r="ET51" s="19">
        <f t="shared" si="63"/>
        <v>80</v>
      </c>
      <c r="EU51" s="19">
        <f t="shared" si="64"/>
        <v>81.72</v>
      </c>
      <c r="EV51" s="19">
        <f t="shared" si="65"/>
        <v>76.5</v>
      </c>
      <c r="EW51" s="19">
        <f t="shared" si="66"/>
        <v>76</v>
      </c>
      <c r="EX51" s="19">
        <f t="shared" si="67"/>
        <v>83</v>
      </c>
      <c r="EY51" s="19">
        <f t="shared" si="68"/>
        <v>88.288888888888891</v>
      </c>
      <c r="EZ51" s="19">
        <f t="shared" si="69"/>
        <v>90.2</v>
      </c>
      <c r="FA51" s="19">
        <f t="shared" si="70"/>
        <v>92</v>
      </c>
      <c r="FB51" s="19">
        <f t="shared" si="71"/>
        <v>82.466666666666669</v>
      </c>
      <c r="FC51" s="19">
        <f t="shared" si="72"/>
        <v>83.091503267973849</v>
      </c>
    </row>
    <row r="52" spans="1:159" ht="20.100000000000001" customHeight="1">
      <c r="A52" s="11">
        <v>48</v>
      </c>
      <c r="B52" s="22" t="s">
        <v>147</v>
      </c>
      <c r="C52" s="23" t="s">
        <v>148</v>
      </c>
      <c r="D52" s="24" t="s">
        <v>126</v>
      </c>
      <c r="E52" s="14">
        <v>89</v>
      </c>
      <c r="F52" s="14">
        <v>90</v>
      </c>
      <c r="G52" s="14">
        <v>92</v>
      </c>
      <c r="H52" s="14">
        <v>88</v>
      </c>
      <c r="I52" s="14">
        <v>92</v>
      </c>
      <c r="J52" s="14">
        <v>90</v>
      </c>
      <c r="K52" s="14">
        <v>79</v>
      </c>
      <c r="L52" s="14">
        <v>80</v>
      </c>
      <c r="M52" s="14">
        <v>83</v>
      </c>
      <c r="N52" s="14">
        <v>86</v>
      </c>
      <c r="O52" s="14">
        <v>90</v>
      </c>
      <c r="P52" s="15">
        <v>90</v>
      </c>
      <c r="Q52" s="15">
        <v>80</v>
      </c>
      <c r="R52" s="14">
        <v>70</v>
      </c>
      <c r="S52" s="14">
        <v>81</v>
      </c>
      <c r="T52" s="14">
        <v>84</v>
      </c>
      <c r="U52" s="14">
        <v>85</v>
      </c>
      <c r="V52" s="14">
        <v>86</v>
      </c>
      <c r="W52" s="14">
        <v>83</v>
      </c>
      <c r="X52" s="14">
        <v>86</v>
      </c>
      <c r="Y52" s="14">
        <v>83</v>
      </c>
      <c r="Z52" s="14">
        <v>86</v>
      </c>
      <c r="AA52" s="14">
        <v>73</v>
      </c>
      <c r="AB52" s="15">
        <v>81</v>
      </c>
      <c r="AC52" s="15">
        <v>82</v>
      </c>
      <c r="AD52" s="14">
        <v>82</v>
      </c>
      <c r="AE52" s="14">
        <v>84</v>
      </c>
      <c r="AF52" s="14">
        <v>92</v>
      </c>
      <c r="AG52" s="14">
        <v>75</v>
      </c>
      <c r="AH52" s="14">
        <v>76</v>
      </c>
      <c r="AI52" s="14">
        <v>72</v>
      </c>
      <c r="AJ52" s="14">
        <v>84</v>
      </c>
      <c r="AK52" s="14">
        <v>82</v>
      </c>
      <c r="AL52" s="15">
        <v>86</v>
      </c>
      <c r="AM52" s="15">
        <v>74</v>
      </c>
      <c r="AN52" s="14">
        <v>79</v>
      </c>
      <c r="AO52" s="14">
        <v>77</v>
      </c>
      <c r="AP52" s="14">
        <v>79</v>
      </c>
      <c r="AQ52" s="14">
        <v>81</v>
      </c>
      <c r="AR52" s="14">
        <v>89</v>
      </c>
      <c r="AS52" s="14">
        <v>77</v>
      </c>
      <c r="AT52" s="14">
        <v>80</v>
      </c>
      <c r="AU52" s="14">
        <v>80</v>
      </c>
      <c r="AV52" s="14">
        <v>80</v>
      </c>
      <c r="AW52" s="14">
        <v>80</v>
      </c>
      <c r="AX52" s="15">
        <v>89</v>
      </c>
      <c r="AY52" s="15">
        <v>89</v>
      </c>
      <c r="AZ52" s="14">
        <v>85</v>
      </c>
      <c r="BA52" s="14">
        <v>81</v>
      </c>
      <c r="BB52" s="14">
        <v>82</v>
      </c>
      <c r="BC52" s="14">
        <v>83</v>
      </c>
      <c r="BD52" s="14">
        <v>85</v>
      </c>
      <c r="BE52" s="37">
        <v>82</v>
      </c>
      <c r="BF52" s="37">
        <v>75</v>
      </c>
      <c r="BG52" s="37">
        <v>87</v>
      </c>
      <c r="BH52" s="14">
        <v>89</v>
      </c>
      <c r="BI52" s="37">
        <v>80</v>
      </c>
      <c r="BJ52" s="37">
        <v>77</v>
      </c>
      <c r="BK52" s="37">
        <v>87</v>
      </c>
      <c r="BL52" s="14">
        <v>89</v>
      </c>
      <c r="BM52" s="37">
        <v>80</v>
      </c>
      <c r="BN52" s="37">
        <v>85</v>
      </c>
      <c r="BO52" s="37">
        <v>86</v>
      </c>
      <c r="BP52" s="14">
        <v>89</v>
      </c>
      <c r="BQ52" s="15">
        <f t="shared" si="0"/>
        <v>80.666666666666671</v>
      </c>
      <c r="BR52" s="15">
        <f t="shared" si="1"/>
        <v>79</v>
      </c>
      <c r="BS52" s="15">
        <f t="shared" si="2"/>
        <v>86.666666666666671</v>
      </c>
      <c r="BT52" s="15">
        <f t="shared" si="3"/>
        <v>89</v>
      </c>
      <c r="BU52" s="15">
        <v>85</v>
      </c>
      <c r="BV52" s="15">
        <v>85</v>
      </c>
      <c r="BW52" s="15">
        <v>90</v>
      </c>
      <c r="BX52" s="15">
        <v>89</v>
      </c>
      <c r="BY52" s="15">
        <v>89</v>
      </c>
      <c r="BZ52" s="15">
        <v>78</v>
      </c>
      <c r="CA52" s="15">
        <v>88</v>
      </c>
      <c r="CB52" s="15">
        <v>80</v>
      </c>
      <c r="CC52" s="15">
        <v>89</v>
      </c>
      <c r="CD52" s="39">
        <v>93</v>
      </c>
      <c r="CE52" s="40">
        <v>88</v>
      </c>
      <c r="CF52" s="40">
        <v>82</v>
      </c>
      <c r="CG52" s="40">
        <v>95</v>
      </c>
      <c r="CH52" s="40">
        <v>82</v>
      </c>
      <c r="CI52" s="40">
        <v>83</v>
      </c>
      <c r="CJ52" s="40">
        <v>92</v>
      </c>
      <c r="CK52" s="39">
        <v>93</v>
      </c>
      <c r="CL52" s="40">
        <v>92</v>
      </c>
      <c r="CM52" s="41">
        <f t="shared" si="4"/>
        <v>90.2</v>
      </c>
      <c r="CN52" s="41">
        <f t="shared" si="5"/>
        <v>90</v>
      </c>
      <c r="CO52" s="41">
        <f t="shared" si="6"/>
        <v>93</v>
      </c>
      <c r="CP52" s="17">
        <f t="shared" si="7"/>
        <v>90.97999999999999</v>
      </c>
      <c r="CQ52" s="16">
        <f t="shared" si="8"/>
        <v>83.6</v>
      </c>
      <c r="CR52" s="16">
        <f t="shared" si="9"/>
        <v>90</v>
      </c>
      <c r="CS52" s="16">
        <f t="shared" si="10"/>
        <v>88</v>
      </c>
      <c r="CT52" s="17">
        <f t="shared" si="11"/>
        <v>86.84</v>
      </c>
      <c r="CU52" s="17">
        <f t="shared" si="12"/>
        <v>80</v>
      </c>
      <c r="CV52" s="17">
        <f t="shared" si="13"/>
        <v>86</v>
      </c>
      <c r="CW52" s="17">
        <f t="shared" si="14"/>
        <v>82</v>
      </c>
      <c r="CX52" s="17">
        <f t="shared" si="15"/>
        <v>82.4</v>
      </c>
      <c r="CY52" s="18">
        <f t="shared" si="16"/>
        <v>84.5</v>
      </c>
      <c r="CZ52" s="18">
        <f t="shared" si="17"/>
        <v>84.5</v>
      </c>
      <c r="DA52" s="18">
        <f t="shared" si="18"/>
        <v>79.5</v>
      </c>
      <c r="DB52" s="18">
        <f t="shared" si="19"/>
        <v>79.5</v>
      </c>
      <c r="DC52" s="18">
        <f t="shared" si="20"/>
        <v>88</v>
      </c>
      <c r="DD52" s="18">
        <f t="shared" si="21"/>
        <v>88</v>
      </c>
      <c r="DE52" s="18">
        <f t="shared" si="22"/>
        <v>76.75</v>
      </c>
      <c r="DF52" s="18">
        <f t="shared" si="23"/>
        <v>76.75</v>
      </c>
      <c r="DG52" s="18">
        <f t="shared" si="24"/>
        <v>82</v>
      </c>
      <c r="DH52" s="18">
        <f t="shared" si="25"/>
        <v>86</v>
      </c>
      <c r="DI52" s="18">
        <f t="shared" si="26"/>
        <v>95</v>
      </c>
      <c r="DJ52" s="17">
        <f t="shared" si="27"/>
        <v>87.1</v>
      </c>
      <c r="DK52" s="18">
        <f t="shared" si="28"/>
        <v>78</v>
      </c>
      <c r="DL52" s="18">
        <f t="shared" si="29"/>
        <v>89</v>
      </c>
      <c r="DM52" s="18">
        <f t="shared" si="30"/>
        <v>82</v>
      </c>
      <c r="DN52" s="17">
        <f t="shared" si="31"/>
        <v>82.5</v>
      </c>
      <c r="DO52" s="18">
        <f t="shared" si="32"/>
        <v>79.400000000000006</v>
      </c>
      <c r="DP52" s="18">
        <f t="shared" si="33"/>
        <v>89</v>
      </c>
      <c r="DQ52" s="18">
        <f t="shared" si="34"/>
        <v>83</v>
      </c>
      <c r="DR52" s="17">
        <f t="shared" si="35"/>
        <v>83.36</v>
      </c>
      <c r="DS52" s="18">
        <f t="shared" si="36"/>
        <v>87</v>
      </c>
      <c r="DT52" s="18">
        <f t="shared" si="37"/>
        <v>87</v>
      </c>
      <c r="DU52" s="18">
        <f t="shared" si="38"/>
        <v>81.5</v>
      </c>
      <c r="DV52" s="18">
        <f t="shared" si="39"/>
        <v>81.5</v>
      </c>
      <c r="DW52" s="18">
        <f t="shared" si="40"/>
        <v>84</v>
      </c>
      <c r="DX52" s="17">
        <f t="shared" si="41"/>
        <v>84</v>
      </c>
      <c r="DY52" s="18">
        <f t="shared" si="42"/>
        <v>82.111111111111128</v>
      </c>
      <c r="DZ52" s="18">
        <f t="shared" si="43"/>
        <v>89</v>
      </c>
      <c r="EA52" s="18">
        <f t="shared" si="44"/>
        <v>92</v>
      </c>
      <c r="EB52" s="17">
        <f t="shared" si="45"/>
        <v>87.14444444444446</v>
      </c>
      <c r="EC52" s="18">
        <f t="shared" si="46"/>
        <v>86.666666666666671</v>
      </c>
      <c r="ED52" s="18">
        <f t="shared" si="47"/>
        <v>89</v>
      </c>
      <c r="EE52" s="18">
        <f t="shared" si="48"/>
        <v>93</v>
      </c>
      <c r="EF52" s="17">
        <f t="shared" si="49"/>
        <v>89.26666666666668</v>
      </c>
      <c r="EG52" s="18">
        <f t="shared" si="50"/>
        <v>89</v>
      </c>
      <c r="EH52" s="18">
        <f t="shared" si="51"/>
        <v>82</v>
      </c>
      <c r="EI52" s="18">
        <f t="shared" si="52"/>
        <v>89</v>
      </c>
      <c r="EJ52" s="18">
        <f t="shared" si="53"/>
        <v>92</v>
      </c>
      <c r="EK52" s="17">
        <f t="shared" si="54"/>
        <v>87.1</v>
      </c>
      <c r="EL52" s="19">
        <f t="shared" si="55"/>
        <v>90.97999999999999</v>
      </c>
      <c r="EM52" s="19">
        <f t="shared" si="56"/>
        <v>86.84</v>
      </c>
      <c r="EN52" s="19">
        <f t="shared" si="57"/>
        <v>82.4</v>
      </c>
      <c r="EO52" s="19">
        <f t="shared" si="58"/>
        <v>84.5</v>
      </c>
      <c r="EP52" s="19">
        <f t="shared" si="59"/>
        <v>79.5</v>
      </c>
      <c r="EQ52" s="19">
        <f t="shared" si="60"/>
        <v>88</v>
      </c>
      <c r="ER52" s="19">
        <f t="shared" si="61"/>
        <v>76.75</v>
      </c>
      <c r="ES52" s="19">
        <f t="shared" si="62"/>
        <v>87.1</v>
      </c>
      <c r="ET52" s="19">
        <f t="shared" si="63"/>
        <v>82.5</v>
      </c>
      <c r="EU52" s="19">
        <f t="shared" si="64"/>
        <v>83.36</v>
      </c>
      <c r="EV52" s="19">
        <f t="shared" si="65"/>
        <v>87</v>
      </c>
      <c r="EW52" s="19">
        <f t="shared" si="66"/>
        <v>81.5</v>
      </c>
      <c r="EX52" s="19">
        <f t="shared" si="67"/>
        <v>84</v>
      </c>
      <c r="EY52" s="19">
        <f t="shared" si="68"/>
        <v>87.14444444444446</v>
      </c>
      <c r="EZ52" s="19">
        <f t="shared" si="69"/>
        <v>89.26666666666668</v>
      </c>
      <c r="FA52" s="19">
        <f t="shared" si="70"/>
        <v>89</v>
      </c>
      <c r="FB52" s="19">
        <f t="shared" si="71"/>
        <v>87.1</v>
      </c>
      <c r="FC52" s="19">
        <f t="shared" si="72"/>
        <v>85.114183006535939</v>
      </c>
    </row>
    <row r="53" spans="1:159" ht="20.100000000000001" customHeight="1">
      <c r="A53" s="11">
        <v>49</v>
      </c>
      <c r="B53" s="22" t="s">
        <v>149</v>
      </c>
      <c r="C53" s="23" t="s">
        <v>150</v>
      </c>
      <c r="D53" s="24" t="s">
        <v>126</v>
      </c>
      <c r="E53" s="14">
        <v>98</v>
      </c>
      <c r="F53" s="14">
        <v>94</v>
      </c>
      <c r="G53" s="14">
        <v>90</v>
      </c>
      <c r="H53" s="14">
        <v>88</v>
      </c>
      <c r="I53" s="14">
        <v>89</v>
      </c>
      <c r="J53" s="14">
        <v>80</v>
      </c>
      <c r="K53" s="14">
        <v>83</v>
      </c>
      <c r="L53" s="14">
        <v>83</v>
      </c>
      <c r="M53" s="14">
        <v>90</v>
      </c>
      <c r="N53" s="14">
        <v>91</v>
      </c>
      <c r="O53" s="14">
        <v>94</v>
      </c>
      <c r="P53" s="15">
        <v>95</v>
      </c>
      <c r="Q53" s="15">
        <v>81</v>
      </c>
      <c r="R53" s="14">
        <v>85</v>
      </c>
      <c r="S53" s="14">
        <v>88</v>
      </c>
      <c r="T53" s="14">
        <v>89</v>
      </c>
      <c r="U53" s="14">
        <v>86</v>
      </c>
      <c r="V53" s="14">
        <v>87</v>
      </c>
      <c r="W53" s="14">
        <v>82</v>
      </c>
      <c r="X53" s="14">
        <v>85</v>
      </c>
      <c r="Y53" s="14">
        <v>82</v>
      </c>
      <c r="Z53" s="14">
        <v>86</v>
      </c>
      <c r="AA53" s="14">
        <v>74</v>
      </c>
      <c r="AB53" s="15">
        <v>82</v>
      </c>
      <c r="AC53" s="15">
        <v>85</v>
      </c>
      <c r="AD53" s="14">
        <v>87</v>
      </c>
      <c r="AE53" s="14">
        <v>81</v>
      </c>
      <c r="AF53" s="14">
        <v>90</v>
      </c>
      <c r="AG53" s="14">
        <v>76</v>
      </c>
      <c r="AH53" s="14">
        <v>80</v>
      </c>
      <c r="AI53" s="14">
        <v>77</v>
      </c>
      <c r="AJ53" s="14">
        <v>84</v>
      </c>
      <c r="AK53" s="14">
        <v>82</v>
      </c>
      <c r="AL53" s="15">
        <v>87</v>
      </c>
      <c r="AM53" s="15">
        <v>75</v>
      </c>
      <c r="AN53" s="14">
        <v>79</v>
      </c>
      <c r="AO53" s="14">
        <v>81</v>
      </c>
      <c r="AP53" s="14">
        <v>83</v>
      </c>
      <c r="AQ53" s="14">
        <v>82</v>
      </c>
      <c r="AR53" s="14">
        <v>95</v>
      </c>
      <c r="AS53" s="14">
        <v>80</v>
      </c>
      <c r="AT53" s="14">
        <v>79</v>
      </c>
      <c r="AU53" s="14">
        <v>83</v>
      </c>
      <c r="AV53" s="14">
        <v>85</v>
      </c>
      <c r="AW53" s="14">
        <v>83</v>
      </c>
      <c r="AX53" s="15">
        <v>95</v>
      </c>
      <c r="AY53" s="15">
        <v>89</v>
      </c>
      <c r="AZ53" s="14">
        <v>87</v>
      </c>
      <c r="BA53" s="14">
        <v>83</v>
      </c>
      <c r="BB53" s="14">
        <v>90</v>
      </c>
      <c r="BC53" s="14">
        <v>83</v>
      </c>
      <c r="BD53" s="14">
        <v>80</v>
      </c>
      <c r="BE53" s="37">
        <v>87</v>
      </c>
      <c r="BF53" s="37">
        <v>86</v>
      </c>
      <c r="BG53" s="37">
        <v>88</v>
      </c>
      <c r="BH53" s="14">
        <v>95</v>
      </c>
      <c r="BI53" s="37">
        <v>86</v>
      </c>
      <c r="BJ53" s="37">
        <v>88</v>
      </c>
      <c r="BK53" s="37">
        <v>80</v>
      </c>
      <c r="BL53" s="14">
        <v>95</v>
      </c>
      <c r="BM53" s="37">
        <v>78</v>
      </c>
      <c r="BN53" s="37">
        <v>90</v>
      </c>
      <c r="BO53" s="37">
        <v>85</v>
      </c>
      <c r="BP53" s="14">
        <v>95</v>
      </c>
      <c r="BQ53" s="15">
        <f t="shared" si="0"/>
        <v>83.666666666666671</v>
      </c>
      <c r="BR53" s="15">
        <f t="shared" si="1"/>
        <v>88</v>
      </c>
      <c r="BS53" s="15">
        <f t="shared" si="2"/>
        <v>84.333333333333329</v>
      </c>
      <c r="BT53" s="15">
        <f t="shared" si="3"/>
        <v>95</v>
      </c>
      <c r="BU53" s="15">
        <v>86</v>
      </c>
      <c r="BV53" s="15">
        <v>86</v>
      </c>
      <c r="BW53" s="15">
        <v>90</v>
      </c>
      <c r="BX53" s="15">
        <v>95</v>
      </c>
      <c r="BY53" s="15">
        <v>90</v>
      </c>
      <c r="BZ53" s="15">
        <v>76</v>
      </c>
      <c r="CA53" s="15">
        <v>91</v>
      </c>
      <c r="CB53" s="15">
        <v>80</v>
      </c>
      <c r="CC53" s="15">
        <v>95</v>
      </c>
      <c r="CD53" s="39">
        <v>89</v>
      </c>
      <c r="CE53" s="40">
        <v>88</v>
      </c>
      <c r="CF53" s="40">
        <v>88</v>
      </c>
      <c r="CG53" s="40">
        <v>95</v>
      </c>
      <c r="CH53" s="40">
        <v>84</v>
      </c>
      <c r="CI53" s="40">
        <v>86</v>
      </c>
      <c r="CJ53" s="40">
        <v>90</v>
      </c>
      <c r="CK53" s="39">
        <v>93</v>
      </c>
      <c r="CL53" s="40">
        <v>90</v>
      </c>
      <c r="CM53" s="41">
        <f t="shared" si="4"/>
        <v>91.8</v>
      </c>
      <c r="CN53" s="41">
        <f t="shared" si="5"/>
        <v>80</v>
      </c>
      <c r="CO53" s="41">
        <f t="shared" si="6"/>
        <v>89</v>
      </c>
      <c r="CP53" s="17">
        <f t="shared" si="7"/>
        <v>87.42</v>
      </c>
      <c r="CQ53" s="16">
        <f t="shared" si="8"/>
        <v>88.2</v>
      </c>
      <c r="CR53" s="16">
        <f t="shared" si="9"/>
        <v>95</v>
      </c>
      <c r="CS53" s="16">
        <f t="shared" si="10"/>
        <v>88</v>
      </c>
      <c r="CT53" s="17">
        <f t="shared" si="11"/>
        <v>90.179999999999993</v>
      </c>
      <c r="CU53" s="17">
        <f t="shared" si="12"/>
        <v>85.8</v>
      </c>
      <c r="CV53" s="17">
        <f t="shared" si="13"/>
        <v>87</v>
      </c>
      <c r="CW53" s="17">
        <f t="shared" si="14"/>
        <v>88</v>
      </c>
      <c r="CX53" s="17">
        <f t="shared" si="15"/>
        <v>86.820000000000007</v>
      </c>
      <c r="CY53" s="18">
        <f t="shared" si="16"/>
        <v>83.75</v>
      </c>
      <c r="CZ53" s="18">
        <f t="shared" si="17"/>
        <v>83.75</v>
      </c>
      <c r="DA53" s="18">
        <f t="shared" si="18"/>
        <v>82</v>
      </c>
      <c r="DB53" s="18">
        <f t="shared" si="19"/>
        <v>82</v>
      </c>
      <c r="DC53" s="18">
        <f t="shared" si="20"/>
        <v>85.5</v>
      </c>
      <c r="DD53" s="18">
        <f t="shared" si="21"/>
        <v>85.5</v>
      </c>
      <c r="DE53" s="18">
        <f t="shared" si="22"/>
        <v>79.25</v>
      </c>
      <c r="DF53" s="18">
        <f t="shared" si="23"/>
        <v>79.25</v>
      </c>
      <c r="DG53" s="18">
        <f t="shared" si="24"/>
        <v>82</v>
      </c>
      <c r="DH53" s="18">
        <f t="shared" si="25"/>
        <v>87</v>
      </c>
      <c r="DI53" s="18">
        <f t="shared" si="26"/>
        <v>95</v>
      </c>
      <c r="DJ53" s="17">
        <f t="shared" si="27"/>
        <v>87.4</v>
      </c>
      <c r="DK53" s="18">
        <f t="shared" si="28"/>
        <v>80</v>
      </c>
      <c r="DL53" s="18">
        <f t="shared" si="29"/>
        <v>95</v>
      </c>
      <c r="DM53" s="18">
        <f t="shared" si="30"/>
        <v>84</v>
      </c>
      <c r="DN53" s="17">
        <f t="shared" si="31"/>
        <v>85.7</v>
      </c>
      <c r="DO53" s="18">
        <f t="shared" si="32"/>
        <v>82</v>
      </c>
      <c r="DP53" s="18">
        <f t="shared" si="33"/>
        <v>95</v>
      </c>
      <c r="DQ53" s="18">
        <f t="shared" si="34"/>
        <v>86</v>
      </c>
      <c r="DR53" s="17">
        <f t="shared" si="35"/>
        <v>87.1</v>
      </c>
      <c r="DS53" s="18">
        <f t="shared" si="36"/>
        <v>88</v>
      </c>
      <c r="DT53" s="18">
        <f t="shared" si="37"/>
        <v>88</v>
      </c>
      <c r="DU53" s="18">
        <f t="shared" si="38"/>
        <v>86.5</v>
      </c>
      <c r="DV53" s="18">
        <f t="shared" si="39"/>
        <v>86.5</v>
      </c>
      <c r="DW53" s="18">
        <f t="shared" si="40"/>
        <v>81.5</v>
      </c>
      <c r="DX53" s="17">
        <f t="shared" si="41"/>
        <v>81.5</v>
      </c>
      <c r="DY53" s="18">
        <f t="shared" si="42"/>
        <v>85.333333333333329</v>
      </c>
      <c r="DZ53" s="18">
        <f t="shared" si="43"/>
        <v>95</v>
      </c>
      <c r="EA53" s="18">
        <f t="shared" si="44"/>
        <v>90</v>
      </c>
      <c r="EB53" s="17">
        <f t="shared" si="45"/>
        <v>89.633333333333326</v>
      </c>
      <c r="EC53" s="18">
        <f t="shared" si="46"/>
        <v>87.333333333333329</v>
      </c>
      <c r="ED53" s="18">
        <f t="shared" si="47"/>
        <v>95</v>
      </c>
      <c r="EE53" s="18">
        <f t="shared" si="48"/>
        <v>93</v>
      </c>
      <c r="EF53" s="17">
        <f t="shared" si="49"/>
        <v>91.333333333333329</v>
      </c>
      <c r="EG53" s="18">
        <f t="shared" si="50"/>
        <v>90</v>
      </c>
      <c r="EH53" s="18">
        <f t="shared" si="51"/>
        <v>82.333333333333329</v>
      </c>
      <c r="EI53" s="18">
        <f t="shared" si="52"/>
        <v>95</v>
      </c>
      <c r="EJ53" s="18">
        <f t="shared" si="53"/>
        <v>90</v>
      </c>
      <c r="EK53" s="17">
        <f t="shared" si="54"/>
        <v>88.433333333333323</v>
      </c>
      <c r="EL53" s="19">
        <f t="shared" si="55"/>
        <v>87.42</v>
      </c>
      <c r="EM53" s="19">
        <f t="shared" si="56"/>
        <v>90.179999999999993</v>
      </c>
      <c r="EN53" s="19">
        <f t="shared" si="57"/>
        <v>86.820000000000007</v>
      </c>
      <c r="EO53" s="19">
        <f t="shared" si="58"/>
        <v>83.75</v>
      </c>
      <c r="EP53" s="19">
        <f t="shared" si="59"/>
        <v>82</v>
      </c>
      <c r="EQ53" s="19">
        <f t="shared" si="60"/>
        <v>85.5</v>
      </c>
      <c r="ER53" s="19">
        <f t="shared" si="61"/>
        <v>79.25</v>
      </c>
      <c r="ES53" s="19">
        <f t="shared" si="62"/>
        <v>87.4</v>
      </c>
      <c r="ET53" s="19">
        <f t="shared" si="63"/>
        <v>85.7</v>
      </c>
      <c r="EU53" s="19">
        <f t="shared" si="64"/>
        <v>87.1</v>
      </c>
      <c r="EV53" s="19">
        <f t="shared" si="65"/>
        <v>88</v>
      </c>
      <c r="EW53" s="19">
        <f t="shared" si="66"/>
        <v>86.5</v>
      </c>
      <c r="EX53" s="19">
        <f t="shared" si="67"/>
        <v>81.5</v>
      </c>
      <c r="EY53" s="19">
        <f t="shared" si="68"/>
        <v>89.633333333333326</v>
      </c>
      <c r="EZ53" s="19">
        <f t="shared" si="69"/>
        <v>91.333333333333329</v>
      </c>
      <c r="FA53" s="19">
        <f t="shared" si="70"/>
        <v>90</v>
      </c>
      <c r="FB53" s="19">
        <f t="shared" si="71"/>
        <v>88.433333333333323</v>
      </c>
      <c r="FC53" s="19">
        <f t="shared" si="72"/>
        <v>86.501176470588248</v>
      </c>
    </row>
    <row r="54" spans="1:159" ht="20.100000000000001" customHeight="1">
      <c r="A54" s="11">
        <v>50</v>
      </c>
      <c r="B54" s="22" t="s">
        <v>151</v>
      </c>
      <c r="C54" s="23" t="s">
        <v>152</v>
      </c>
      <c r="D54" s="24" t="s">
        <v>126</v>
      </c>
      <c r="E54" s="14">
        <v>84</v>
      </c>
      <c r="F54" s="14">
        <v>84</v>
      </c>
      <c r="G54" s="14">
        <v>87</v>
      </c>
      <c r="H54" s="14">
        <v>83</v>
      </c>
      <c r="I54" s="14">
        <v>87</v>
      </c>
      <c r="J54" s="14">
        <v>80</v>
      </c>
      <c r="K54" s="14">
        <v>78</v>
      </c>
      <c r="L54" s="14">
        <v>79</v>
      </c>
      <c r="M54" s="14">
        <v>87</v>
      </c>
      <c r="N54" s="14">
        <v>89</v>
      </c>
      <c r="O54" s="14">
        <v>91</v>
      </c>
      <c r="P54" s="15">
        <v>80</v>
      </c>
      <c r="Q54" s="15">
        <v>80</v>
      </c>
      <c r="R54" s="14">
        <v>84</v>
      </c>
      <c r="S54" s="14">
        <v>87</v>
      </c>
      <c r="T54" s="14">
        <v>86</v>
      </c>
      <c r="U54" s="14">
        <v>80</v>
      </c>
      <c r="V54" s="14">
        <v>79</v>
      </c>
      <c r="W54" s="14">
        <v>83</v>
      </c>
      <c r="X54" s="14">
        <v>84</v>
      </c>
      <c r="Y54" s="14">
        <v>82</v>
      </c>
      <c r="Z54" s="14">
        <v>85</v>
      </c>
      <c r="AA54" s="14">
        <v>77</v>
      </c>
      <c r="AB54" s="15">
        <v>82</v>
      </c>
      <c r="AC54" s="15">
        <v>83</v>
      </c>
      <c r="AD54" s="14">
        <v>85</v>
      </c>
      <c r="AE54" s="14">
        <v>80</v>
      </c>
      <c r="AF54" s="14">
        <v>86</v>
      </c>
      <c r="AG54" s="14">
        <v>80</v>
      </c>
      <c r="AH54" s="14">
        <v>77</v>
      </c>
      <c r="AI54" s="14">
        <v>74</v>
      </c>
      <c r="AJ54" s="14">
        <v>81</v>
      </c>
      <c r="AK54" s="14">
        <v>81</v>
      </c>
      <c r="AL54" s="15">
        <v>79</v>
      </c>
      <c r="AM54" s="15">
        <v>74</v>
      </c>
      <c r="AN54" s="14">
        <v>75</v>
      </c>
      <c r="AO54" s="14">
        <v>74</v>
      </c>
      <c r="AP54" s="14">
        <v>75</v>
      </c>
      <c r="AQ54" s="14">
        <v>80</v>
      </c>
      <c r="AR54" s="14">
        <v>82</v>
      </c>
      <c r="AS54" s="14">
        <v>78</v>
      </c>
      <c r="AT54" s="14">
        <v>78</v>
      </c>
      <c r="AU54" s="14">
        <v>80</v>
      </c>
      <c r="AV54" s="14">
        <v>84</v>
      </c>
      <c r="AW54" s="14">
        <v>80</v>
      </c>
      <c r="AX54" s="15">
        <v>82</v>
      </c>
      <c r="AY54" s="15">
        <v>80</v>
      </c>
      <c r="AZ54" s="14">
        <v>87</v>
      </c>
      <c r="BA54" s="14">
        <v>81</v>
      </c>
      <c r="BB54" s="14">
        <v>82</v>
      </c>
      <c r="BC54" s="14">
        <v>78</v>
      </c>
      <c r="BD54" s="14">
        <v>80</v>
      </c>
      <c r="BE54" s="37">
        <v>81</v>
      </c>
      <c r="BF54" s="37">
        <v>71</v>
      </c>
      <c r="BG54" s="37">
        <v>80</v>
      </c>
      <c r="BH54" s="14">
        <v>83</v>
      </c>
      <c r="BI54" s="37">
        <v>78</v>
      </c>
      <c r="BJ54" s="37">
        <v>70</v>
      </c>
      <c r="BK54" s="37">
        <v>89</v>
      </c>
      <c r="BL54" s="14">
        <v>83</v>
      </c>
      <c r="BM54" s="37">
        <v>80</v>
      </c>
      <c r="BN54" s="37">
        <v>75</v>
      </c>
      <c r="BO54" s="37">
        <v>82</v>
      </c>
      <c r="BP54" s="14">
        <v>83</v>
      </c>
      <c r="BQ54" s="15">
        <f t="shared" si="0"/>
        <v>79.666666666666671</v>
      </c>
      <c r="BR54" s="15">
        <f t="shared" si="1"/>
        <v>72</v>
      </c>
      <c r="BS54" s="15">
        <f t="shared" si="2"/>
        <v>83.666666666666671</v>
      </c>
      <c r="BT54" s="15">
        <f t="shared" si="3"/>
        <v>83</v>
      </c>
      <c r="BU54" s="15">
        <v>86</v>
      </c>
      <c r="BV54" s="15">
        <v>86</v>
      </c>
      <c r="BW54" s="15">
        <v>86</v>
      </c>
      <c r="BX54" s="15">
        <v>83</v>
      </c>
      <c r="BY54" s="15">
        <v>81</v>
      </c>
      <c r="BZ54" s="15">
        <v>85</v>
      </c>
      <c r="CA54" s="15">
        <v>85</v>
      </c>
      <c r="CB54" s="15">
        <v>80</v>
      </c>
      <c r="CC54" s="15">
        <v>82</v>
      </c>
      <c r="CD54" s="39">
        <v>81</v>
      </c>
      <c r="CE54" s="40">
        <v>90</v>
      </c>
      <c r="CF54" s="40">
        <v>85</v>
      </c>
      <c r="CG54" s="40">
        <v>87</v>
      </c>
      <c r="CH54" s="40">
        <v>80</v>
      </c>
      <c r="CI54" s="40">
        <v>84</v>
      </c>
      <c r="CJ54" s="40">
        <v>80</v>
      </c>
      <c r="CK54" s="39">
        <v>93</v>
      </c>
      <c r="CL54" s="40">
        <v>85</v>
      </c>
      <c r="CM54" s="41">
        <f t="shared" si="4"/>
        <v>85</v>
      </c>
      <c r="CN54" s="41">
        <f t="shared" si="5"/>
        <v>80</v>
      </c>
      <c r="CO54" s="41">
        <f t="shared" si="6"/>
        <v>81</v>
      </c>
      <c r="CP54" s="17">
        <f t="shared" si="7"/>
        <v>82.3</v>
      </c>
      <c r="CQ54" s="16">
        <f t="shared" si="8"/>
        <v>84.8</v>
      </c>
      <c r="CR54" s="16">
        <f t="shared" si="9"/>
        <v>80</v>
      </c>
      <c r="CS54" s="16">
        <f t="shared" si="10"/>
        <v>90</v>
      </c>
      <c r="CT54" s="17">
        <f t="shared" si="11"/>
        <v>84.92</v>
      </c>
      <c r="CU54" s="17">
        <f t="shared" si="12"/>
        <v>83.4</v>
      </c>
      <c r="CV54" s="17">
        <f t="shared" si="13"/>
        <v>79</v>
      </c>
      <c r="CW54" s="17">
        <f t="shared" si="14"/>
        <v>85</v>
      </c>
      <c r="CX54" s="17">
        <f t="shared" si="15"/>
        <v>82.56</v>
      </c>
      <c r="CY54" s="18">
        <f t="shared" si="16"/>
        <v>83.5</v>
      </c>
      <c r="CZ54" s="18">
        <f t="shared" si="17"/>
        <v>83.5</v>
      </c>
      <c r="DA54" s="18">
        <f t="shared" si="18"/>
        <v>81.75</v>
      </c>
      <c r="DB54" s="18">
        <f t="shared" si="19"/>
        <v>81.75</v>
      </c>
      <c r="DC54" s="18">
        <f t="shared" si="20"/>
        <v>83</v>
      </c>
      <c r="DD54" s="18">
        <f t="shared" si="21"/>
        <v>83</v>
      </c>
      <c r="DE54" s="18">
        <f t="shared" si="22"/>
        <v>78</v>
      </c>
      <c r="DF54" s="18">
        <f t="shared" si="23"/>
        <v>78</v>
      </c>
      <c r="DG54" s="18">
        <f t="shared" si="24"/>
        <v>81</v>
      </c>
      <c r="DH54" s="18">
        <f t="shared" si="25"/>
        <v>79</v>
      </c>
      <c r="DI54" s="18">
        <f t="shared" si="26"/>
        <v>87</v>
      </c>
      <c r="DJ54" s="17">
        <f t="shared" si="27"/>
        <v>82.2</v>
      </c>
      <c r="DK54" s="18">
        <f t="shared" si="28"/>
        <v>75.599999999999994</v>
      </c>
      <c r="DL54" s="18">
        <f t="shared" si="29"/>
        <v>82</v>
      </c>
      <c r="DM54" s="18">
        <f t="shared" si="30"/>
        <v>80</v>
      </c>
      <c r="DN54" s="17">
        <f t="shared" si="31"/>
        <v>78.84</v>
      </c>
      <c r="DO54" s="18">
        <f t="shared" si="32"/>
        <v>80</v>
      </c>
      <c r="DP54" s="18">
        <f t="shared" si="33"/>
        <v>82</v>
      </c>
      <c r="DQ54" s="18">
        <f t="shared" si="34"/>
        <v>84</v>
      </c>
      <c r="DR54" s="17">
        <f t="shared" si="35"/>
        <v>81.8</v>
      </c>
      <c r="DS54" s="18">
        <f t="shared" si="36"/>
        <v>83.5</v>
      </c>
      <c r="DT54" s="18">
        <f t="shared" si="37"/>
        <v>83.5</v>
      </c>
      <c r="DU54" s="18">
        <f t="shared" si="38"/>
        <v>81.5</v>
      </c>
      <c r="DV54" s="18">
        <f t="shared" si="39"/>
        <v>81.5</v>
      </c>
      <c r="DW54" s="18">
        <f t="shared" si="40"/>
        <v>79</v>
      </c>
      <c r="DX54" s="17">
        <f t="shared" si="41"/>
        <v>79</v>
      </c>
      <c r="DY54" s="18">
        <f t="shared" si="42"/>
        <v>78.444444444444457</v>
      </c>
      <c r="DZ54" s="18">
        <f t="shared" si="43"/>
        <v>83</v>
      </c>
      <c r="EA54" s="18">
        <f t="shared" si="44"/>
        <v>85</v>
      </c>
      <c r="EB54" s="17">
        <f t="shared" si="45"/>
        <v>81.777777777777786</v>
      </c>
      <c r="EC54" s="18">
        <f t="shared" si="46"/>
        <v>86</v>
      </c>
      <c r="ED54" s="18">
        <f t="shared" si="47"/>
        <v>83</v>
      </c>
      <c r="EE54" s="18">
        <f t="shared" si="48"/>
        <v>93</v>
      </c>
      <c r="EF54" s="17">
        <f t="shared" si="49"/>
        <v>87.2</v>
      </c>
      <c r="EG54" s="18">
        <f t="shared" si="50"/>
        <v>81</v>
      </c>
      <c r="EH54" s="18">
        <f t="shared" si="51"/>
        <v>83.333333333333329</v>
      </c>
      <c r="EI54" s="18">
        <f t="shared" si="52"/>
        <v>82</v>
      </c>
      <c r="EJ54" s="18">
        <f t="shared" si="53"/>
        <v>80</v>
      </c>
      <c r="EK54" s="17">
        <f t="shared" si="54"/>
        <v>81.933333333333323</v>
      </c>
      <c r="EL54" s="19">
        <f t="shared" si="55"/>
        <v>82.3</v>
      </c>
      <c r="EM54" s="19">
        <f t="shared" si="56"/>
        <v>84.92</v>
      </c>
      <c r="EN54" s="19">
        <f t="shared" si="57"/>
        <v>82.56</v>
      </c>
      <c r="EO54" s="19">
        <f t="shared" si="58"/>
        <v>83.5</v>
      </c>
      <c r="EP54" s="19">
        <f t="shared" si="59"/>
        <v>81.75</v>
      </c>
      <c r="EQ54" s="19">
        <f t="shared" si="60"/>
        <v>83</v>
      </c>
      <c r="ER54" s="19">
        <f t="shared" si="61"/>
        <v>78</v>
      </c>
      <c r="ES54" s="19">
        <f t="shared" si="62"/>
        <v>82.2</v>
      </c>
      <c r="ET54" s="19">
        <f t="shared" si="63"/>
        <v>78.84</v>
      </c>
      <c r="EU54" s="19">
        <f t="shared" si="64"/>
        <v>81.8</v>
      </c>
      <c r="EV54" s="19">
        <f t="shared" si="65"/>
        <v>83.5</v>
      </c>
      <c r="EW54" s="19">
        <f t="shared" si="66"/>
        <v>81.5</v>
      </c>
      <c r="EX54" s="19">
        <f t="shared" si="67"/>
        <v>79</v>
      </c>
      <c r="EY54" s="19">
        <f t="shared" si="68"/>
        <v>81.777777777777786</v>
      </c>
      <c r="EZ54" s="19">
        <f t="shared" si="69"/>
        <v>87.2</v>
      </c>
      <c r="FA54" s="19">
        <f t="shared" si="70"/>
        <v>81</v>
      </c>
      <c r="FB54" s="19">
        <f t="shared" si="71"/>
        <v>81.933333333333323</v>
      </c>
      <c r="FC54" s="19">
        <f t="shared" si="72"/>
        <v>82.045947712418297</v>
      </c>
    </row>
    <row r="55" spans="1:159" ht="20.100000000000001" customHeight="1">
      <c r="A55" s="11">
        <v>51</v>
      </c>
      <c r="B55" s="22" t="s">
        <v>153</v>
      </c>
      <c r="C55" s="23" t="s">
        <v>154</v>
      </c>
      <c r="D55" s="24" t="s">
        <v>126</v>
      </c>
      <c r="E55" s="14">
        <v>92</v>
      </c>
      <c r="F55" s="14">
        <v>81</v>
      </c>
      <c r="G55" s="14">
        <v>90</v>
      </c>
      <c r="H55" s="14">
        <v>87</v>
      </c>
      <c r="I55" s="14">
        <v>91</v>
      </c>
      <c r="J55" s="14">
        <v>90</v>
      </c>
      <c r="K55" s="14">
        <v>82</v>
      </c>
      <c r="L55" s="14">
        <v>83</v>
      </c>
      <c r="M55" s="14">
        <v>87</v>
      </c>
      <c r="N55" s="14">
        <v>88</v>
      </c>
      <c r="O55" s="14">
        <v>90</v>
      </c>
      <c r="P55" s="15">
        <v>88</v>
      </c>
      <c r="Q55" s="15">
        <v>89</v>
      </c>
      <c r="R55" s="14">
        <v>84</v>
      </c>
      <c r="S55" s="14">
        <v>81</v>
      </c>
      <c r="T55" s="14">
        <v>85</v>
      </c>
      <c r="U55" s="14">
        <v>84</v>
      </c>
      <c r="V55" s="14">
        <v>88</v>
      </c>
      <c r="W55" s="14">
        <v>82</v>
      </c>
      <c r="X55" s="14">
        <v>83</v>
      </c>
      <c r="Y55" s="14">
        <v>80</v>
      </c>
      <c r="Z55" s="14">
        <v>84</v>
      </c>
      <c r="AA55" s="14">
        <v>80</v>
      </c>
      <c r="AB55" s="15">
        <v>82</v>
      </c>
      <c r="AC55" s="15">
        <v>83</v>
      </c>
      <c r="AD55" s="14">
        <v>84</v>
      </c>
      <c r="AE55" s="14">
        <v>83</v>
      </c>
      <c r="AF55" s="14">
        <v>85</v>
      </c>
      <c r="AG55" s="14">
        <v>75</v>
      </c>
      <c r="AH55" s="14">
        <v>80</v>
      </c>
      <c r="AI55" s="14">
        <v>78</v>
      </c>
      <c r="AJ55" s="14">
        <v>84</v>
      </c>
      <c r="AK55" s="14">
        <v>84</v>
      </c>
      <c r="AL55" s="15">
        <v>88</v>
      </c>
      <c r="AM55" s="15">
        <v>80</v>
      </c>
      <c r="AN55" s="14">
        <v>81</v>
      </c>
      <c r="AO55" s="14">
        <v>73</v>
      </c>
      <c r="AP55" s="14">
        <v>74</v>
      </c>
      <c r="AQ55" s="14">
        <v>83</v>
      </c>
      <c r="AR55" s="14">
        <v>88</v>
      </c>
      <c r="AS55" s="14">
        <v>77</v>
      </c>
      <c r="AT55" s="14">
        <v>80</v>
      </c>
      <c r="AU55" s="14">
        <v>82</v>
      </c>
      <c r="AV55" s="14">
        <v>82</v>
      </c>
      <c r="AW55" s="14">
        <v>82</v>
      </c>
      <c r="AX55" s="15">
        <v>88</v>
      </c>
      <c r="AY55" s="15">
        <v>87</v>
      </c>
      <c r="AZ55" s="14">
        <v>82</v>
      </c>
      <c r="BA55" s="14">
        <v>80</v>
      </c>
      <c r="BB55" s="14">
        <v>90</v>
      </c>
      <c r="BC55" s="14">
        <v>90</v>
      </c>
      <c r="BD55" s="14">
        <v>77</v>
      </c>
      <c r="BE55" s="37">
        <v>84</v>
      </c>
      <c r="BF55" s="37">
        <v>87</v>
      </c>
      <c r="BG55" s="37">
        <v>84</v>
      </c>
      <c r="BH55" s="14">
        <v>93</v>
      </c>
      <c r="BI55" s="37">
        <v>82</v>
      </c>
      <c r="BJ55" s="37">
        <v>86</v>
      </c>
      <c r="BK55" s="37">
        <v>88</v>
      </c>
      <c r="BL55" s="14">
        <v>93</v>
      </c>
      <c r="BM55" s="37">
        <v>78</v>
      </c>
      <c r="BN55" s="37">
        <v>80</v>
      </c>
      <c r="BO55" s="37">
        <v>83</v>
      </c>
      <c r="BP55" s="14">
        <v>93</v>
      </c>
      <c r="BQ55" s="15">
        <f t="shared" si="0"/>
        <v>81.333333333333329</v>
      </c>
      <c r="BR55" s="15">
        <f t="shared" si="1"/>
        <v>84.333333333333329</v>
      </c>
      <c r="BS55" s="15">
        <f t="shared" si="2"/>
        <v>85</v>
      </c>
      <c r="BT55" s="15">
        <f t="shared" si="3"/>
        <v>93</v>
      </c>
      <c r="BU55" s="15">
        <v>85</v>
      </c>
      <c r="BV55" s="15">
        <v>85</v>
      </c>
      <c r="BW55" s="15">
        <v>90</v>
      </c>
      <c r="BX55" s="15">
        <v>93</v>
      </c>
      <c r="BY55" s="15">
        <v>89</v>
      </c>
      <c r="BZ55" s="15">
        <v>73</v>
      </c>
      <c r="CA55" s="15">
        <v>90</v>
      </c>
      <c r="CB55" s="15">
        <v>83</v>
      </c>
      <c r="CC55" s="15">
        <v>88</v>
      </c>
      <c r="CD55" s="39">
        <v>88</v>
      </c>
      <c r="CE55" s="40">
        <v>85</v>
      </c>
      <c r="CF55" s="40">
        <v>85</v>
      </c>
      <c r="CG55" s="40">
        <v>90</v>
      </c>
      <c r="CH55" s="40">
        <v>84</v>
      </c>
      <c r="CI55" s="40">
        <v>82</v>
      </c>
      <c r="CJ55" s="40">
        <v>80</v>
      </c>
      <c r="CK55" s="39">
        <v>93</v>
      </c>
      <c r="CL55" s="40">
        <v>87</v>
      </c>
      <c r="CM55" s="41">
        <f t="shared" si="4"/>
        <v>88.2</v>
      </c>
      <c r="CN55" s="41">
        <f t="shared" si="5"/>
        <v>90</v>
      </c>
      <c r="CO55" s="41">
        <f t="shared" si="6"/>
        <v>88</v>
      </c>
      <c r="CP55" s="17">
        <f t="shared" si="7"/>
        <v>88.679999999999993</v>
      </c>
      <c r="CQ55" s="16">
        <f t="shared" si="8"/>
        <v>86</v>
      </c>
      <c r="CR55" s="16">
        <f t="shared" si="9"/>
        <v>88</v>
      </c>
      <c r="CS55" s="16">
        <f t="shared" si="10"/>
        <v>85</v>
      </c>
      <c r="CT55" s="17">
        <f t="shared" si="11"/>
        <v>86.3</v>
      </c>
      <c r="CU55" s="17">
        <f t="shared" si="12"/>
        <v>84.6</v>
      </c>
      <c r="CV55" s="17">
        <f t="shared" si="13"/>
        <v>88</v>
      </c>
      <c r="CW55" s="17">
        <f t="shared" si="14"/>
        <v>85</v>
      </c>
      <c r="CX55" s="17">
        <f t="shared" si="15"/>
        <v>85.74</v>
      </c>
      <c r="CY55" s="18">
        <f t="shared" si="16"/>
        <v>82.25</v>
      </c>
      <c r="CZ55" s="18">
        <f t="shared" si="17"/>
        <v>82.25</v>
      </c>
      <c r="DA55" s="18">
        <f t="shared" si="18"/>
        <v>82.25</v>
      </c>
      <c r="DB55" s="18">
        <f t="shared" si="19"/>
        <v>82.25</v>
      </c>
      <c r="DC55" s="18">
        <f t="shared" si="20"/>
        <v>84</v>
      </c>
      <c r="DD55" s="18">
        <f t="shared" si="21"/>
        <v>84</v>
      </c>
      <c r="DE55" s="18">
        <f t="shared" si="22"/>
        <v>79.25</v>
      </c>
      <c r="DF55" s="18">
        <f t="shared" si="23"/>
        <v>79.25</v>
      </c>
      <c r="DG55" s="18">
        <f t="shared" si="24"/>
        <v>84</v>
      </c>
      <c r="DH55" s="18">
        <f t="shared" si="25"/>
        <v>88</v>
      </c>
      <c r="DI55" s="18">
        <f t="shared" si="26"/>
        <v>90</v>
      </c>
      <c r="DJ55" s="17">
        <f t="shared" si="27"/>
        <v>87</v>
      </c>
      <c r="DK55" s="18">
        <f t="shared" si="28"/>
        <v>78.2</v>
      </c>
      <c r="DL55" s="18">
        <f t="shared" si="29"/>
        <v>88</v>
      </c>
      <c r="DM55" s="18">
        <f t="shared" si="30"/>
        <v>84</v>
      </c>
      <c r="DN55" s="17">
        <f t="shared" si="31"/>
        <v>82.88</v>
      </c>
      <c r="DO55" s="18">
        <f t="shared" si="32"/>
        <v>80.599999999999994</v>
      </c>
      <c r="DP55" s="18">
        <f t="shared" si="33"/>
        <v>88</v>
      </c>
      <c r="DQ55" s="18">
        <f t="shared" si="34"/>
        <v>82</v>
      </c>
      <c r="DR55" s="17">
        <f t="shared" si="35"/>
        <v>83.24</v>
      </c>
      <c r="DS55" s="18">
        <f t="shared" si="36"/>
        <v>84.5</v>
      </c>
      <c r="DT55" s="18">
        <f t="shared" si="37"/>
        <v>84.5</v>
      </c>
      <c r="DU55" s="18">
        <f t="shared" si="38"/>
        <v>85</v>
      </c>
      <c r="DV55" s="18">
        <f t="shared" si="39"/>
        <v>85</v>
      </c>
      <c r="DW55" s="18">
        <f t="shared" si="40"/>
        <v>83.5</v>
      </c>
      <c r="DX55" s="17">
        <f t="shared" si="41"/>
        <v>83.5</v>
      </c>
      <c r="DY55" s="18">
        <f t="shared" si="42"/>
        <v>83.555555555555557</v>
      </c>
      <c r="DZ55" s="18">
        <f t="shared" si="43"/>
        <v>93</v>
      </c>
      <c r="EA55" s="18">
        <f t="shared" si="44"/>
        <v>87</v>
      </c>
      <c r="EB55" s="17">
        <f t="shared" si="45"/>
        <v>87.422222222222217</v>
      </c>
      <c r="EC55" s="18">
        <f t="shared" si="46"/>
        <v>86.666666666666671</v>
      </c>
      <c r="ED55" s="18">
        <f t="shared" si="47"/>
        <v>93</v>
      </c>
      <c r="EE55" s="18">
        <f t="shared" si="48"/>
        <v>93</v>
      </c>
      <c r="EF55" s="17">
        <f t="shared" si="49"/>
        <v>90.466666666666669</v>
      </c>
      <c r="EG55" s="18">
        <f t="shared" si="50"/>
        <v>89</v>
      </c>
      <c r="EH55" s="18">
        <f t="shared" si="51"/>
        <v>82</v>
      </c>
      <c r="EI55" s="18">
        <f t="shared" si="52"/>
        <v>88</v>
      </c>
      <c r="EJ55" s="18">
        <f t="shared" si="53"/>
        <v>80</v>
      </c>
      <c r="EK55" s="17">
        <f t="shared" si="54"/>
        <v>83.2</v>
      </c>
      <c r="EL55" s="19">
        <f t="shared" si="55"/>
        <v>88.679999999999993</v>
      </c>
      <c r="EM55" s="19">
        <f t="shared" si="56"/>
        <v>86.3</v>
      </c>
      <c r="EN55" s="19">
        <f t="shared" si="57"/>
        <v>85.74</v>
      </c>
      <c r="EO55" s="19">
        <f t="shared" si="58"/>
        <v>82.25</v>
      </c>
      <c r="EP55" s="19">
        <f t="shared" si="59"/>
        <v>82.25</v>
      </c>
      <c r="EQ55" s="19">
        <f t="shared" si="60"/>
        <v>84</v>
      </c>
      <c r="ER55" s="19">
        <f t="shared" si="61"/>
        <v>79.25</v>
      </c>
      <c r="ES55" s="19">
        <f t="shared" si="62"/>
        <v>87</v>
      </c>
      <c r="ET55" s="19">
        <f t="shared" si="63"/>
        <v>82.88</v>
      </c>
      <c r="EU55" s="19">
        <f t="shared" si="64"/>
        <v>83.24</v>
      </c>
      <c r="EV55" s="19">
        <f t="shared" si="65"/>
        <v>84.5</v>
      </c>
      <c r="EW55" s="19">
        <f t="shared" si="66"/>
        <v>85</v>
      </c>
      <c r="EX55" s="19">
        <f t="shared" si="67"/>
        <v>83.5</v>
      </c>
      <c r="EY55" s="19">
        <f t="shared" si="68"/>
        <v>87.422222222222217</v>
      </c>
      <c r="EZ55" s="19">
        <f t="shared" si="69"/>
        <v>90.466666666666669</v>
      </c>
      <c r="FA55" s="19">
        <f t="shared" si="70"/>
        <v>89</v>
      </c>
      <c r="FB55" s="19">
        <f t="shared" si="71"/>
        <v>83.2</v>
      </c>
      <c r="FC55" s="19">
        <f t="shared" si="72"/>
        <v>84.981111111111119</v>
      </c>
    </row>
    <row r="56" spans="1:159" ht="20.100000000000001" customHeight="1">
      <c r="A56" s="11">
        <v>52</v>
      </c>
      <c r="B56" s="22" t="s">
        <v>155</v>
      </c>
      <c r="C56" s="23" t="s">
        <v>156</v>
      </c>
      <c r="D56" s="24" t="s">
        <v>126</v>
      </c>
      <c r="E56" s="14">
        <v>93</v>
      </c>
      <c r="F56" s="14">
        <v>82</v>
      </c>
      <c r="G56" s="14">
        <v>87</v>
      </c>
      <c r="H56" s="14">
        <v>84</v>
      </c>
      <c r="I56" s="14">
        <v>86</v>
      </c>
      <c r="J56" s="14">
        <v>90</v>
      </c>
      <c r="K56" s="14">
        <v>79</v>
      </c>
      <c r="L56" s="14">
        <v>84</v>
      </c>
      <c r="M56" s="14">
        <v>91</v>
      </c>
      <c r="N56" s="14">
        <v>85</v>
      </c>
      <c r="O56" s="14">
        <v>85</v>
      </c>
      <c r="P56" s="15">
        <v>83</v>
      </c>
      <c r="Q56" s="15">
        <v>94</v>
      </c>
      <c r="R56" s="14">
        <v>83</v>
      </c>
      <c r="S56" s="14">
        <v>80</v>
      </c>
      <c r="T56" s="14">
        <v>80</v>
      </c>
      <c r="U56" s="14">
        <v>80</v>
      </c>
      <c r="V56" s="14">
        <v>84</v>
      </c>
      <c r="W56" s="14">
        <v>82</v>
      </c>
      <c r="X56" s="14">
        <v>85</v>
      </c>
      <c r="Y56" s="14">
        <v>80</v>
      </c>
      <c r="Z56" s="14">
        <v>84</v>
      </c>
      <c r="AA56" s="14">
        <v>78</v>
      </c>
      <c r="AB56" s="15">
        <v>82</v>
      </c>
      <c r="AC56" s="15">
        <v>72</v>
      </c>
      <c r="AD56" s="14">
        <v>79</v>
      </c>
      <c r="AE56" s="14">
        <v>83</v>
      </c>
      <c r="AF56" s="14">
        <v>82</v>
      </c>
      <c r="AG56" s="14">
        <v>79</v>
      </c>
      <c r="AH56" s="14">
        <v>78</v>
      </c>
      <c r="AI56" s="14">
        <v>72</v>
      </c>
      <c r="AJ56" s="14">
        <v>82</v>
      </c>
      <c r="AK56" s="14">
        <v>80</v>
      </c>
      <c r="AL56" s="15">
        <v>84</v>
      </c>
      <c r="AM56" s="15">
        <v>71</v>
      </c>
      <c r="AN56" s="14">
        <v>71</v>
      </c>
      <c r="AO56" s="14">
        <v>74</v>
      </c>
      <c r="AP56" s="14">
        <v>75</v>
      </c>
      <c r="AQ56" s="14">
        <v>80</v>
      </c>
      <c r="AR56" s="14">
        <v>80</v>
      </c>
      <c r="AS56" s="14">
        <v>78</v>
      </c>
      <c r="AT56" s="14">
        <v>79</v>
      </c>
      <c r="AU56" s="14">
        <v>82</v>
      </c>
      <c r="AV56" s="14">
        <v>83</v>
      </c>
      <c r="AW56" s="14">
        <v>82</v>
      </c>
      <c r="AX56" s="15">
        <v>80</v>
      </c>
      <c r="AY56" s="15">
        <v>80</v>
      </c>
      <c r="AZ56" s="14">
        <v>84</v>
      </c>
      <c r="BA56" s="14">
        <v>72</v>
      </c>
      <c r="BB56" s="14">
        <v>78</v>
      </c>
      <c r="BC56" s="14">
        <v>82</v>
      </c>
      <c r="BD56" s="14">
        <v>80</v>
      </c>
      <c r="BE56" s="37">
        <v>85</v>
      </c>
      <c r="BF56" s="37">
        <v>80</v>
      </c>
      <c r="BG56" s="37">
        <v>82</v>
      </c>
      <c r="BH56" s="14">
        <v>83</v>
      </c>
      <c r="BI56" s="37">
        <v>82</v>
      </c>
      <c r="BJ56" s="37">
        <v>80</v>
      </c>
      <c r="BK56" s="37">
        <v>88</v>
      </c>
      <c r="BL56" s="14">
        <v>83</v>
      </c>
      <c r="BM56" s="37">
        <v>78</v>
      </c>
      <c r="BN56" s="37">
        <v>75</v>
      </c>
      <c r="BO56" s="37">
        <v>82</v>
      </c>
      <c r="BP56" s="14">
        <v>83</v>
      </c>
      <c r="BQ56" s="15">
        <f t="shared" si="0"/>
        <v>81.666666666666671</v>
      </c>
      <c r="BR56" s="15">
        <f t="shared" si="1"/>
        <v>78.333333333333329</v>
      </c>
      <c r="BS56" s="15">
        <f t="shared" si="2"/>
        <v>84</v>
      </c>
      <c r="BT56" s="15">
        <f t="shared" si="3"/>
        <v>83</v>
      </c>
      <c r="BU56" s="15">
        <v>85</v>
      </c>
      <c r="BV56" s="15">
        <v>85</v>
      </c>
      <c r="BW56" s="15">
        <v>86</v>
      </c>
      <c r="BX56" s="15">
        <v>83</v>
      </c>
      <c r="BY56" s="15">
        <v>84</v>
      </c>
      <c r="BZ56" s="15">
        <v>74</v>
      </c>
      <c r="CA56" s="15">
        <v>82</v>
      </c>
      <c r="CB56" s="15">
        <v>80</v>
      </c>
      <c r="CC56" s="15">
        <v>80</v>
      </c>
      <c r="CD56" s="39">
        <v>87</v>
      </c>
      <c r="CE56" s="40">
        <v>80</v>
      </c>
      <c r="CF56" s="40">
        <v>75</v>
      </c>
      <c r="CG56" s="40">
        <v>70</v>
      </c>
      <c r="CH56" s="40">
        <v>80</v>
      </c>
      <c r="CI56" s="40">
        <v>82</v>
      </c>
      <c r="CJ56" s="40">
        <v>80</v>
      </c>
      <c r="CK56" s="39">
        <v>93</v>
      </c>
      <c r="CL56" s="40">
        <v>92</v>
      </c>
      <c r="CM56" s="41">
        <f t="shared" si="4"/>
        <v>86.4</v>
      </c>
      <c r="CN56" s="41">
        <f t="shared" si="5"/>
        <v>90</v>
      </c>
      <c r="CO56" s="41">
        <f t="shared" si="6"/>
        <v>87</v>
      </c>
      <c r="CP56" s="17">
        <f t="shared" si="7"/>
        <v>87.66</v>
      </c>
      <c r="CQ56" s="16">
        <f t="shared" si="8"/>
        <v>84.8</v>
      </c>
      <c r="CR56" s="16">
        <f t="shared" si="9"/>
        <v>83</v>
      </c>
      <c r="CS56" s="16">
        <f t="shared" si="10"/>
        <v>80</v>
      </c>
      <c r="CT56" s="17">
        <f t="shared" si="11"/>
        <v>82.820000000000007</v>
      </c>
      <c r="CU56" s="17">
        <f t="shared" si="12"/>
        <v>83.4</v>
      </c>
      <c r="CV56" s="17">
        <f t="shared" si="13"/>
        <v>84</v>
      </c>
      <c r="CW56" s="17">
        <f t="shared" si="14"/>
        <v>75</v>
      </c>
      <c r="CX56" s="17">
        <f t="shared" si="15"/>
        <v>81.06</v>
      </c>
      <c r="CY56" s="18">
        <f t="shared" si="16"/>
        <v>82.75</v>
      </c>
      <c r="CZ56" s="18">
        <f t="shared" si="17"/>
        <v>82.75</v>
      </c>
      <c r="DA56" s="18">
        <f t="shared" si="18"/>
        <v>77.75</v>
      </c>
      <c r="DB56" s="18">
        <f t="shared" si="19"/>
        <v>77.75</v>
      </c>
      <c r="DC56" s="18">
        <f t="shared" si="20"/>
        <v>82.5</v>
      </c>
      <c r="DD56" s="18">
        <f t="shared" si="21"/>
        <v>82.5</v>
      </c>
      <c r="DE56" s="18">
        <f t="shared" si="22"/>
        <v>77.75</v>
      </c>
      <c r="DF56" s="18">
        <f t="shared" si="23"/>
        <v>77.75</v>
      </c>
      <c r="DG56" s="18">
        <f t="shared" si="24"/>
        <v>80</v>
      </c>
      <c r="DH56" s="18">
        <f t="shared" si="25"/>
        <v>84</v>
      </c>
      <c r="DI56" s="18">
        <f t="shared" si="26"/>
        <v>70</v>
      </c>
      <c r="DJ56" s="17">
        <f t="shared" si="27"/>
        <v>78.2</v>
      </c>
      <c r="DK56" s="18">
        <f t="shared" si="28"/>
        <v>74.2</v>
      </c>
      <c r="DL56" s="18">
        <f t="shared" si="29"/>
        <v>80</v>
      </c>
      <c r="DM56" s="18">
        <f t="shared" si="30"/>
        <v>80</v>
      </c>
      <c r="DN56" s="17">
        <f t="shared" si="31"/>
        <v>77.679999999999993</v>
      </c>
      <c r="DO56" s="18">
        <f t="shared" si="32"/>
        <v>80.8</v>
      </c>
      <c r="DP56" s="18">
        <f t="shared" si="33"/>
        <v>80</v>
      </c>
      <c r="DQ56" s="18">
        <f t="shared" si="34"/>
        <v>82</v>
      </c>
      <c r="DR56" s="17">
        <f t="shared" si="35"/>
        <v>80.92</v>
      </c>
      <c r="DS56" s="18">
        <f t="shared" si="36"/>
        <v>82</v>
      </c>
      <c r="DT56" s="18">
        <f t="shared" si="37"/>
        <v>82</v>
      </c>
      <c r="DU56" s="18">
        <f t="shared" si="38"/>
        <v>75</v>
      </c>
      <c r="DV56" s="18">
        <f t="shared" si="39"/>
        <v>75</v>
      </c>
      <c r="DW56" s="18">
        <f t="shared" si="40"/>
        <v>81</v>
      </c>
      <c r="DX56" s="17">
        <f t="shared" si="41"/>
        <v>81</v>
      </c>
      <c r="DY56" s="18">
        <f t="shared" si="42"/>
        <v>81.333333333333329</v>
      </c>
      <c r="DZ56" s="18">
        <f t="shared" si="43"/>
        <v>83</v>
      </c>
      <c r="EA56" s="18">
        <f t="shared" si="44"/>
        <v>92</v>
      </c>
      <c r="EB56" s="17">
        <f t="shared" si="45"/>
        <v>85.033333333333331</v>
      </c>
      <c r="EC56" s="18">
        <f t="shared" si="46"/>
        <v>85.333333333333329</v>
      </c>
      <c r="ED56" s="18">
        <f t="shared" si="47"/>
        <v>83</v>
      </c>
      <c r="EE56" s="18">
        <f t="shared" si="48"/>
        <v>93</v>
      </c>
      <c r="EF56" s="17">
        <f t="shared" si="49"/>
        <v>86.933333333333323</v>
      </c>
      <c r="EG56" s="18">
        <f t="shared" si="50"/>
        <v>84</v>
      </c>
      <c r="EH56" s="18">
        <f t="shared" si="51"/>
        <v>78.666666666666671</v>
      </c>
      <c r="EI56" s="18">
        <f t="shared" si="52"/>
        <v>80</v>
      </c>
      <c r="EJ56" s="18">
        <f t="shared" si="53"/>
        <v>80</v>
      </c>
      <c r="EK56" s="17">
        <f t="shared" si="54"/>
        <v>79.466666666666669</v>
      </c>
      <c r="EL56" s="19">
        <f t="shared" si="55"/>
        <v>87.66</v>
      </c>
      <c r="EM56" s="19">
        <f t="shared" si="56"/>
        <v>82.820000000000007</v>
      </c>
      <c r="EN56" s="19">
        <f t="shared" si="57"/>
        <v>81.06</v>
      </c>
      <c r="EO56" s="19">
        <f t="shared" si="58"/>
        <v>82.75</v>
      </c>
      <c r="EP56" s="19">
        <f t="shared" si="59"/>
        <v>77.75</v>
      </c>
      <c r="EQ56" s="19">
        <f t="shared" si="60"/>
        <v>82.5</v>
      </c>
      <c r="ER56" s="19">
        <f t="shared" si="61"/>
        <v>77.75</v>
      </c>
      <c r="ES56" s="19">
        <f t="shared" si="62"/>
        <v>78.2</v>
      </c>
      <c r="ET56" s="19">
        <f t="shared" si="63"/>
        <v>77.679999999999993</v>
      </c>
      <c r="EU56" s="19">
        <f t="shared" si="64"/>
        <v>80.92</v>
      </c>
      <c r="EV56" s="19">
        <f t="shared" si="65"/>
        <v>82</v>
      </c>
      <c r="EW56" s="19">
        <f t="shared" si="66"/>
        <v>75</v>
      </c>
      <c r="EX56" s="19">
        <f t="shared" si="67"/>
        <v>81</v>
      </c>
      <c r="EY56" s="19">
        <f t="shared" si="68"/>
        <v>85.033333333333331</v>
      </c>
      <c r="EZ56" s="19">
        <f t="shared" si="69"/>
        <v>86.933333333333323</v>
      </c>
      <c r="FA56" s="19">
        <f t="shared" si="70"/>
        <v>84</v>
      </c>
      <c r="FB56" s="19">
        <f t="shared" si="71"/>
        <v>79.466666666666669</v>
      </c>
      <c r="FC56" s="19">
        <f t="shared" si="72"/>
        <v>81.324901960784317</v>
      </c>
    </row>
    <row r="57" spans="1:159" ht="20.100000000000001" customHeight="1">
      <c r="A57" s="11">
        <v>53</v>
      </c>
      <c r="B57" s="22" t="s">
        <v>157</v>
      </c>
      <c r="C57" s="23" t="s">
        <v>158</v>
      </c>
      <c r="D57" s="24" t="s">
        <v>126</v>
      </c>
      <c r="E57" s="14">
        <v>90</v>
      </c>
      <c r="F57" s="14">
        <v>90</v>
      </c>
      <c r="G57" s="14">
        <v>88</v>
      </c>
      <c r="H57" s="14">
        <v>82</v>
      </c>
      <c r="I57" s="14">
        <v>90</v>
      </c>
      <c r="J57" s="14">
        <v>90</v>
      </c>
      <c r="K57" s="14">
        <v>78</v>
      </c>
      <c r="L57" s="14">
        <v>85</v>
      </c>
      <c r="M57" s="14">
        <v>95</v>
      </c>
      <c r="N57" s="14">
        <v>95</v>
      </c>
      <c r="O57" s="14">
        <v>95</v>
      </c>
      <c r="P57" s="15">
        <v>79</v>
      </c>
      <c r="Q57" s="15">
        <v>90</v>
      </c>
      <c r="R57" s="14">
        <v>85</v>
      </c>
      <c r="S57" s="14">
        <v>85</v>
      </c>
      <c r="T57" s="14">
        <v>82</v>
      </c>
      <c r="U57" s="14">
        <v>81</v>
      </c>
      <c r="V57" s="14">
        <v>82</v>
      </c>
      <c r="W57" s="14">
        <v>82</v>
      </c>
      <c r="X57" s="14">
        <v>84</v>
      </c>
      <c r="Y57" s="14">
        <v>81</v>
      </c>
      <c r="Z57" s="14">
        <v>86</v>
      </c>
      <c r="AA57" s="14">
        <v>76</v>
      </c>
      <c r="AB57" s="15">
        <v>83</v>
      </c>
      <c r="AC57" s="15">
        <v>79</v>
      </c>
      <c r="AD57" s="14">
        <v>80</v>
      </c>
      <c r="AE57" s="14">
        <v>81</v>
      </c>
      <c r="AF57" s="14">
        <v>90</v>
      </c>
      <c r="AG57" s="14">
        <v>76</v>
      </c>
      <c r="AH57" s="14">
        <v>83</v>
      </c>
      <c r="AI57" s="14">
        <v>73</v>
      </c>
      <c r="AJ57" s="14">
        <v>82</v>
      </c>
      <c r="AK57" s="14">
        <v>82</v>
      </c>
      <c r="AL57" s="15">
        <v>82</v>
      </c>
      <c r="AM57" s="15">
        <v>71</v>
      </c>
      <c r="AN57" s="14">
        <v>72</v>
      </c>
      <c r="AO57" s="14">
        <v>73</v>
      </c>
      <c r="AP57" s="14">
        <v>74</v>
      </c>
      <c r="AQ57" s="14">
        <v>82</v>
      </c>
      <c r="AR57" s="14">
        <v>81</v>
      </c>
      <c r="AS57" s="14">
        <v>85</v>
      </c>
      <c r="AT57" s="14">
        <v>82</v>
      </c>
      <c r="AU57" s="14">
        <v>83</v>
      </c>
      <c r="AV57" s="14">
        <v>85</v>
      </c>
      <c r="AW57" s="14">
        <v>83</v>
      </c>
      <c r="AX57" s="15">
        <v>81</v>
      </c>
      <c r="AY57" s="15">
        <v>87</v>
      </c>
      <c r="AZ57" s="14">
        <v>93</v>
      </c>
      <c r="BA57" s="14">
        <v>81</v>
      </c>
      <c r="BB57" s="14">
        <v>87</v>
      </c>
      <c r="BC57" s="14">
        <v>86</v>
      </c>
      <c r="BD57" s="14">
        <v>83</v>
      </c>
      <c r="BE57" s="37">
        <v>79</v>
      </c>
      <c r="BF57" s="37">
        <v>80</v>
      </c>
      <c r="BG57" s="37">
        <v>83</v>
      </c>
      <c r="BH57" s="14">
        <v>81</v>
      </c>
      <c r="BI57" s="37">
        <v>82</v>
      </c>
      <c r="BJ57" s="37">
        <v>80</v>
      </c>
      <c r="BK57" s="37">
        <v>80</v>
      </c>
      <c r="BL57" s="14">
        <v>81</v>
      </c>
      <c r="BM57" s="37">
        <v>78</v>
      </c>
      <c r="BN57" s="37">
        <v>78</v>
      </c>
      <c r="BO57" s="37">
        <v>85</v>
      </c>
      <c r="BP57" s="14">
        <v>81</v>
      </c>
      <c r="BQ57" s="15">
        <f t="shared" si="0"/>
        <v>79.666666666666671</v>
      </c>
      <c r="BR57" s="15">
        <f t="shared" si="1"/>
        <v>79.333333333333329</v>
      </c>
      <c r="BS57" s="15">
        <f t="shared" si="2"/>
        <v>82.666666666666671</v>
      </c>
      <c r="BT57" s="15">
        <f t="shared" si="3"/>
        <v>81</v>
      </c>
      <c r="BU57" s="15">
        <v>86</v>
      </c>
      <c r="BV57" s="15">
        <v>86</v>
      </c>
      <c r="BW57" s="15">
        <v>88</v>
      </c>
      <c r="BX57" s="15">
        <v>81</v>
      </c>
      <c r="BY57" s="15">
        <v>83</v>
      </c>
      <c r="BZ57" s="15">
        <v>74</v>
      </c>
      <c r="CA57" s="15">
        <v>87</v>
      </c>
      <c r="CB57" s="15">
        <v>80</v>
      </c>
      <c r="CC57" s="15">
        <v>81</v>
      </c>
      <c r="CD57" s="39">
        <v>83</v>
      </c>
      <c r="CE57" s="40">
        <v>92</v>
      </c>
      <c r="CF57" s="40">
        <v>80</v>
      </c>
      <c r="CG57" s="40">
        <v>70</v>
      </c>
      <c r="CH57" s="40">
        <v>82</v>
      </c>
      <c r="CI57" s="40">
        <v>83</v>
      </c>
      <c r="CJ57" s="40">
        <v>80</v>
      </c>
      <c r="CK57" s="39">
        <v>93</v>
      </c>
      <c r="CL57" s="40">
        <v>97</v>
      </c>
      <c r="CM57" s="41">
        <f t="shared" si="4"/>
        <v>88</v>
      </c>
      <c r="CN57" s="41">
        <f t="shared" si="5"/>
        <v>90</v>
      </c>
      <c r="CO57" s="41">
        <f t="shared" si="6"/>
        <v>83</v>
      </c>
      <c r="CP57" s="17">
        <f t="shared" si="7"/>
        <v>87.1</v>
      </c>
      <c r="CQ57" s="16">
        <f t="shared" si="8"/>
        <v>89.6</v>
      </c>
      <c r="CR57" s="16">
        <f t="shared" si="9"/>
        <v>79</v>
      </c>
      <c r="CS57" s="16">
        <f t="shared" si="10"/>
        <v>92</v>
      </c>
      <c r="CT57" s="17">
        <f t="shared" si="11"/>
        <v>87.14</v>
      </c>
      <c r="CU57" s="17">
        <f t="shared" si="12"/>
        <v>84.6</v>
      </c>
      <c r="CV57" s="17">
        <f t="shared" si="13"/>
        <v>82</v>
      </c>
      <c r="CW57" s="17">
        <f t="shared" si="14"/>
        <v>80</v>
      </c>
      <c r="CX57" s="17">
        <f t="shared" si="15"/>
        <v>82.44</v>
      </c>
      <c r="CY57" s="18">
        <f t="shared" si="16"/>
        <v>83.25</v>
      </c>
      <c r="CZ57" s="18">
        <f t="shared" si="17"/>
        <v>83.25</v>
      </c>
      <c r="DA57" s="18">
        <f t="shared" si="18"/>
        <v>79.5</v>
      </c>
      <c r="DB57" s="18">
        <f t="shared" si="19"/>
        <v>79.5</v>
      </c>
      <c r="DC57" s="18">
        <f t="shared" si="20"/>
        <v>85.5</v>
      </c>
      <c r="DD57" s="18">
        <f t="shared" si="21"/>
        <v>85.5</v>
      </c>
      <c r="DE57" s="18">
        <f t="shared" si="22"/>
        <v>78.5</v>
      </c>
      <c r="DF57" s="18">
        <f t="shared" si="23"/>
        <v>78.5</v>
      </c>
      <c r="DG57" s="18">
        <f t="shared" si="24"/>
        <v>82</v>
      </c>
      <c r="DH57" s="18">
        <f t="shared" si="25"/>
        <v>82</v>
      </c>
      <c r="DI57" s="18">
        <f t="shared" si="26"/>
        <v>70</v>
      </c>
      <c r="DJ57" s="17">
        <f t="shared" si="27"/>
        <v>78.400000000000006</v>
      </c>
      <c r="DK57" s="18">
        <f t="shared" si="28"/>
        <v>74.400000000000006</v>
      </c>
      <c r="DL57" s="18">
        <f t="shared" si="29"/>
        <v>81</v>
      </c>
      <c r="DM57" s="18">
        <f t="shared" si="30"/>
        <v>82</v>
      </c>
      <c r="DN57" s="17">
        <f t="shared" si="31"/>
        <v>78.66</v>
      </c>
      <c r="DO57" s="18">
        <f t="shared" si="32"/>
        <v>83.6</v>
      </c>
      <c r="DP57" s="18">
        <f t="shared" si="33"/>
        <v>81</v>
      </c>
      <c r="DQ57" s="18">
        <f t="shared" si="34"/>
        <v>83</v>
      </c>
      <c r="DR57" s="17">
        <f t="shared" si="35"/>
        <v>82.64</v>
      </c>
      <c r="DS57" s="18">
        <f t="shared" si="36"/>
        <v>90</v>
      </c>
      <c r="DT57" s="18">
        <f t="shared" si="37"/>
        <v>90</v>
      </c>
      <c r="DU57" s="18">
        <f t="shared" si="38"/>
        <v>84</v>
      </c>
      <c r="DV57" s="18">
        <f t="shared" si="39"/>
        <v>84</v>
      </c>
      <c r="DW57" s="18">
        <f t="shared" si="40"/>
        <v>84.5</v>
      </c>
      <c r="DX57" s="17">
        <f t="shared" si="41"/>
        <v>84.5</v>
      </c>
      <c r="DY57" s="18">
        <f t="shared" si="42"/>
        <v>80.555555555555557</v>
      </c>
      <c r="DZ57" s="18">
        <f t="shared" si="43"/>
        <v>81</v>
      </c>
      <c r="EA57" s="18">
        <f t="shared" si="44"/>
        <v>97</v>
      </c>
      <c r="EB57" s="17">
        <f t="shared" si="45"/>
        <v>85.62222222222222</v>
      </c>
      <c r="EC57" s="18">
        <f t="shared" si="46"/>
        <v>86.666666666666671</v>
      </c>
      <c r="ED57" s="18">
        <f t="shared" si="47"/>
        <v>81</v>
      </c>
      <c r="EE57" s="18">
        <f t="shared" si="48"/>
        <v>93</v>
      </c>
      <c r="EF57" s="17">
        <f t="shared" si="49"/>
        <v>86.866666666666674</v>
      </c>
      <c r="EG57" s="18">
        <f t="shared" si="50"/>
        <v>83</v>
      </c>
      <c r="EH57" s="18">
        <f t="shared" si="51"/>
        <v>80.333333333333329</v>
      </c>
      <c r="EI57" s="18">
        <f t="shared" si="52"/>
        <v>81</v>
      </c>
      <c r="EJ57" s="18">
        <f t="shared" si="53"/>
        <v>80</v>
      </c>
      <c r="EK57" s="17">
        <f t="shared" si="54"/>
        <v>80.433333333333323</v>
      </c>
      <c r="EL57" s="19">
        <f t="shared" si="55"/>
        <v>87.1</v>
      </c>
      <c r="EM57" s="19">
        <f t="shared" si="56"/>
        <v>87.14</v>
      </c>
      <c r="EN57" s="19">
        <f t="shared" si="57"/>
        <v>82.44</v>
      </c>
      <c r="EO57" s="19">
        <f t="shared" si="58"/>
        <v>83.25</v>
      </c>
      <c r="EP57" s="19">
        <f t="shared" si="59"/>
        <v>79.5</v>
      </c>
      <c r="EQ57" s="19">
        <f t="shared" si="60"/>
        <v>85.5</v>
      </c>
      <c r="ER57" s="19">
        <f t="shared" si="61"/>
        <v>78.5</v>
      </c>
      <c r="ES57" s="19">
        <f t="shared" si="62"/>
        <v>78.400000000000006</v>
      </c>
      <c r="ET57" s="19">
        <f t="shared" si="63"/>
        <v>78.66</v>
      </c>
      <c r="EU57" s="19">
        <f t="shared" si="64"/>
        <v>82.64</v>
      </c>
      <c r="EV57" s="19">
        <f t="shared" si="65"/>
        <v>90</v>
      </c>
      <c r="EW57" s="19">
        <f t="shared" si="66"/>
        <v>84</v>
      </c>
      <c r="EX57" s="19">
        <f t="shared" si="67"/>
        <v>84.5</v>
      </c>
      <c r="EY57" s="19">
        <f t="shared" si="68"/>
        <v>85.62222222222222</v>
      </c>
      <c r="EZ57" s="19">
        <f t="shared" si="69"/>
        <v>86.866666666666674</v>
      </c>
      <c r="FA57" s="19">
        <f t="shared" si="70"/>
        <v>83</v>
      </c>
      <c r="FB57" s="19">
        <f t="shared" si="71"/>
        <v>80.433333333333323</v>
      </c>
      <c r="FC57" s="19">
        <f t="shared" si="72"/>
        <v>83.385424836601331</v>
      </c>
    </row>
    <row r="58" spans="1:159" ht="20.100000000000001" customHeight="1">
      <c r="A58" s="11">
        <v>54</v>
      </c>
      <c r="B58" s="22" t="s">
        <v>159</v>
      </c>
      <c r="C58" s="23" t="s">
        <v>160</v>
      </c>
      <c r="D58" s="24" t="s">
        <v>126</v>
      </c>
      <c r="E58" s="14">
        <v>94</v>
      </c>
      <c r="F58" s="14">
        <v>84</v>
      </c>
      <c r="G58" s="14">
        <v>88</v>
      </c>
      <c r="H58" s="14">
        <v>84</v>
      </c>
      <c r="I58" s="14">
        <v>88</v>
      </c>
      <c r="J58" s="14">
        <v>83</v>
      </c>
      <c r="K58" s="14">
        <v>77</v>
      </c>
      <c r="L58" s="14">
        <v>86</v>
      </c>
      <c r="M58" s="14">
        <v>95</v>
      </c>
      <c r="N58" s="14">
        <v>95</v>
      </c>
      <c r="O58" s="14">
        <v>95</v>
      </c>
      <c r="P58" s="15">
        <v>84</v>
      </c>
      <c r="Q58" s="15">
        <v>79</v>
      </c>
      <c r="R58" s="14">
        <v>86</v>
      </c>
      <c r="S58" s="14">
        <v>95</v>
      </c>
      <c r="T58" s="14">
        <v>86</v>
      </c>
      <c r="U58" s="14">
        <v>82</v>
      </c>
      <c r="V58" s="14">
        <v>84</v>
      </c>
      <c r="W58" s="14">
        <v>82</v>
      </c>
      <c r="X58" s="14">
        <v>85</v>
      </c>
      <c r="Y58" s="14">
        <v>80</v>
      </c>
      <c r="Z58" s="14">
        <v>84</v>
      </c>
      <c r="AA58" s="14">
        <v>89</v>
      </c>
      <c r="AB58" s="15">
        <v>86</v>
      </c>
      <c r="AC58" s="15">
        <v>72</v>
      </c>
      <c r="AD58" s="14">
        <v>79</v>
      </c>
      <c r="AE58" s="14">
        <v>82</v>
      </c>
      <c r="AF58" s="14">
        <v>81</v>
      </c>
      <c r="AG58" s="14">
        <v>77</v>
      </c>
      <c r="AH58" s="14">
        <v>84</v>
      </c>
      <c r="AI58" s="14">
        <v>82</v>
      </c>
      <c r="AJ58" s="14">
        <v>84</v>
      </c>
      <c r="AK58" s="14">
        <v>88</v>
      </c>
      <c r="AL58" s="15">
        <v>84</v>
      </c>
      <c r="AM58" s="15">
        <v>72</v>
      </c>
      <c r="AN58" s="14">
        <v>73</v>
      </c>
      <c r="AO58" s="14">
        <v>84</v>
      </c>
      <c r="AP58" s="14">
        <v>85</v>
      </c>
      <c r="AQ58" s="14">
        <v>86</v>
      </c>
      <c r="AR58" s="14">
        <v>82</v>
      </c>
      <c r="AS58" s="14">
        <v>86</v>
      </c>
      <c r="AT58" s="14">
        <v>80</v>
      </c>
      <c r="AU58" s="14">
        <v>88</v>
      </c>
      <c r="AV58" s="14">
        <v>85</v>
      </c>
      <c r="AW58" s="14">
        <v>88</v>
      </c>
      <c r="AX58" s="15">
        <v>82</v>
      </c>
      <c r="AY58" s="15">
        <v>72</v>
      </c>
      <c r="AZ58" s="14">
        <v>97</v>
      </c>
      <c r="BA58" s="14">
        <v>86</v>
      </c>
      <c r="BB58" s="14">
        <v>86</v>
      </c>
      <c r="BC58" s="14">
        <v>87</v>
      </c>
      <c r="BD58" s="14">
        <v>83</v>
      </c>
      <c r="BE58" s="37">
        <v>85</v>
      </c>
      <c r="BF58" s="37">
        <v>87</v>
      </c>
      <c r="BG58" s="37">
        <v>81</v>
      </c>
      <c r="BH58" s="14">
        <v>78</v>
      </c>
      <c r="BI58" s="37">
        <v>86</v>
      </c>
      <c r="BJ58" s="37">
        <v>86</v>
      </c>
      <c r="BK58" s="37">
        <v>89</v>
      </c>
      <c r="BL58" s="14">
        <v>78</v>
      </c>
      <c r="BM58" s="37">
        <v>80</v>
      </c>
      <c r="BN58" s="37">
        <v>80</v>
      </c>
      <c r="BO58" s="37">
        <v>82</v>
      </c>
      <c r="BP58" s="14">
        <v>78</v>
      </c>
      <c r="BQ58" s="15">
        <f t="shared" si="0"/>
        <v>83.666666666666671</v>
      </c>
      <c r="BR58" s="15">
        <f t="shared" si="1"/>
        <v>84.333333333333329</v>
      </c>
      <c r="BS58" s="15">
        <f t="shared" si="2"/>
        <v>84</v>
      </c>
      <c r="BT58" s="15">
        <f t="shared" si="3"/>
        <v>78</v>
      </c>
      <c r="BU58" s="15">
        <v>86</v>
      </c>
      <c r="BV58" s="15">
        <v>86</v>
      </c>
      <c r="BW58" s="15">
        <v>90</v>
      </c>
      <c r="BX58" s="15">
        <v>78</v>
      </c>
      <c r="BY58" s="15">
        <v>82</v>
      </c>
      <c r="BZ58" s="15">
        <v>86</v>
      </c>
      <c r="CA58" s="15">
        <v>86</v>
      </c>
      <c r="CB58" s="15">
        <v>80</v>
      </c>
      <c r="CC58" s="15">
        <v>82</v>
      </c>
      <c r="CD58" s="39">
        <v>92</v>
      </c>
      <c r="CE58" s="40">
        <v>88</v>
      </c>
      <c r="CF58" s="40">
        <v>88</v>
      </c>
      <c r="CG58" s="40">
        <v>86</v>
      </c>
      <c r="CH58" s="40">
        <v>85</v>
      </c>
      <c r="CI58" s="40">
        <v>85</v>
      </c>
      <c r="CJ58" s="40">
        <v>80</v>
      </c>
      <c r="CK58" s="39">
        <v>95</v>
      </c>
      <c r="CL58" s="40">
        <v>92</v>
      </c>
      <c r="CM58" s="41">
        <f t="shared" si="4"/>
        <v>87.6</v>
      </c>
      <c r="CN58" s="41">
        <f t="shared" si="5"/>
        <v>83</v>
      </c>
      <c r="CO58" s="41">
        <f t="shared" si="6"/>
        <v>92</v>
      </c>
      <c r="CP58" s="17">
        <f t="shared" si="7"/>
        <v>87.539999999999992</v>
      </c>
      <c r="CQ58" s="16">
        <f t="shared" si="8"/>
        <v>89.6</v>
      </c>
      <c r="CR58" s="16">
        <f t="shared" si="9"/>
        <v>84</v>
      </c>
      <c r="CS58" s="16">
        <f t="shared" si="10"/>
        <v>88</v>
      </c>
      <c r="CT58" s="17">
        <f t="shared" si="11"/>
        <v>87.44</v>
      </c>
      <c r="CU58" s="17">
        <f t="shared" si="12"/>
        <v>85.6</v>
      </c>
      <c r="CV58" s="17">
        <f t="shared" si="13"/>
        <v>84</v>
      </c>
      <c r="CW58" s="17">
        <f t="shared" si="14"/>
        <v>88</v>
      </c>
      <c r="CX58" s="17">
        <f t="shared" si="15"/>
        <v>85.84</v>
      </c>
      <c r="CY58" s="18">
        <f t="shared" si="16"/>
        <v>82.75</v>
      </c>
      <c r="CZ58" s="18">
        <f t="shared" si="17"/>
        <v>82.75</v>
      </c>
      <c r="DA58" s="18">
        <f t="shared" si="18"/>
        <v>81.5</v>
      </c>
      <c r="DB58" s="18">
        <f t="shared" si="19"/>
        <v>81.5</v>
      </c>
      <c r="DC58" s="18">
        <f t="shared" si="20"/>
        <v>81.5</v>
      </c>
      <c r="DD58" s="18">
        <f t="shared" si="21"/>
        <v>81.5</v>
      </c>
      <c r="DE58" s="18">
        <f t="shared" si="22"/>
        <v>81.75</v>
      </c>
      <c r="DF58" s="18">
        <f t="shared" si="23"/>
        <v>81.75</v>
      </c>
      <c r="DG58" s="18">
        <f t="shared" si="24"/>
        <v>88</v>
      </c>
      <c r="DH58" s="18">
        <f t="shared" si="25"/>
        <v>84</v>
      </c>
      <c r="DI58" s="18">
        <f t="shared" si="26"/>
        <v>86</v>
      </c>
      <c r="DJ58" s="17">
        <f t="shared" si="27"/>
        <v>86.2</v>
      </c>
      <c r="DK58" s="18">
        <f t="shared" si="28"/>
        <v>80</v>
      </c>
      <c r="DL58" s="18">
        <f t="shared" si="29"/>
        <v>82</v>
      </c>
      <c r="DM58" s="18">
        <f t="shared" si="30"/>
        <v>85</v>
      </c>
      <c r="DN58" s="17">
        <f t="shared" si="31"/>
        <v>82.1</v>
      </c>
      <c r="DO58" s="18">
        <f t="shared" si="32"/>
        <v>85.4</v>
      </c>
      <c r="DP58" s="18">
        <f t="shared" si="33"/>
        <v>82</v>
      </c>
      <c r="DQ58" s="18">
        <f t="shared" si="34"/>
        <v>85</v>
      </c>
      <c r="DR58" s="17">
        <f t="shared" si="35"/>
        <v>84.26</v>
      </c>
      <c r="DS58" s="18">
        <f t="shared" si="36"/>
        <v>84.5</v>
      </c>
      <c r="DT58" s="18">
        <f t="shared" si="37"/>
        <v>84.5</v>
      </c>
      <c r="DU58" s="18">
        <f t="shared" si="38"/>
        <v>86</v>
      </c>
      <c r="DV58" s="18">
        <f t="shared" si="39"/>
        <v>86</v>
      </c>
      <c r="DW58" s="18">
        <f t="shared" si="40"/>
        <v>85</v>
      </c>
      <c r="DX58" s="17">
        <f t="shared" si="41"/>
        <v>85</v>
      </c>
      <c r="DY58" s="18">
        <f t="shared" si="42"/>
        <v>84</v>
      </c>
      <c r="DZ58" s="18">
        <f t="shared" si="43"/>
        <v>78</v>
      </c>
      <c r="EA58" s="18">
        <f t="shared" si="44"/>
        <v>92</v>
      </c>
      <c r="EB58" s="17">
        <f t="shared" si="45"/>
        <v>84.6</v>
      </c>
      <c r="EC58" s="18">
        <f t="shared" si="46"/>
        <v>87.333333333333329</v>
      </c>
      <c r="ED58" s="18">
        <f t="shared" si="47"/>
        <v>78</v>
      </c>
      <c r="EE58" s="18">
        <f t="shared" si="48"/>
        <v>95</v>
      </c>
      <c r="EF58" s="17">
        <f t="shared" si="49"/>
        <v>86.833333333333329</v>
      </c>
      <c r="EG58" s="18">
        <f t="shared" si="50"/>
        <v>82</v>
      </c>
      <c r="EH58" s="18">
        <f t="shared" si="51"/>
        <v>84</v>
      </c>
      <c r="EI58" s="18">
        <f t="shared" si="52"/>
        <v>82</v>
      </c>
      <c r="EJ58" s="18">
        <f t="shared" si="53"/>
        <v>80</v>
      </c>
      <c r="EK58" s="17">
        <f t="shared" si="54"/>
        <v>82.2</v>
      </c>
      <c r="EL58" s="19">
        <f t="shared" si="55"/>
        <v>87.539999999999992</v>
      </c>
      <c r="EM58" s="19">
        <f t="shared" si="56"/>
        <v>87.44</v>
      </c>
      <c r="EN58" s="19">
        <f t="shared" si="57"/>
        <v>85.84</v>
      </c>
      <c r="EO58" s="19">
        <f t="shared" si="58"/>
        <v>82.75</v>
      </c>
      <c r="EP58" s="19">
        <f t="shared" si="59"/>
        <v>81.5</v>
      </c>
      <c r="EQ58" s="19">
        <f t="shared" si="60"/>
        <v>81.5</v>
      </c>
      <c r="ER58" s="19">
        <f t="shared" si="61"/>
        <v>81.75</v>
      </c>
      <c r="ES58" s="19">
        <f t="shared" si="62"/>
        <v>86.2</v>
      </c>
      <c r="ET58" s="19">
        <f t="shared" si="63"/>
        <v>82.1</v>
      </c>
      <c r="EU58" s="19">
        <f t="shared" si="64"/>
        <v>84.26</v>
      </c>
      <c r="EV58" s="19">
        <f t="shared" si="65"/>
        <v>84.5</v>
      </c>
      <c r="EW58" s="19">
        <f t="shared" si="66"/>
        <v>86</v>
      </c>
      <c r="EX58" s="19">
        <f t="shared" si="67"/>
        <v>85</v>
      </c>
      <c r="EY58" s="19">
        <f t="shared" si="68"/>
        <v>84.6</v>
      </c>
      <c r="EZ58" s="19">
        <f t="shared" si="69"/>
        <v>86.833333333333329</v>
      </c>
      <c r="FA58" s="19">
        <f t="shared" si="70"/>
        <v>82</v>
      </c>
      <c r="FB58" s="19">
        <f t="shared" si="71"/>
        <v>82.2</v>
      </c>
      <c r="FC58" s="19">
        <f t="shared" si="72"/>
        <v>84.236078431372547</v>
      </c>
    </row>
    <row r="59" spans="1:159" ht="20.100000000000001" customHeight="1">
      <c r="A59" s="11">
        <v>55</v>
      </c>
      <c r="B59" s="22" t="s">
        <v>161</v>
      </c>
      <c r="C59" s="23" t="s">
        <v>162</v>
      </c>
      <c r="D59" s="24" t="s">
        <v>126</v>
      </c>
      <c r="E59" s="14">
        <v>81</v>
      </c>
      <c r="F59" s="14">
        <v>93</v>
      </c>
      <c r="G59" s="14">
        <v>87</v>
      </c>
      <c r="H59" s="14">
        <v>82</v>
      </c>
      <c r="I59" s="14">
        <v>88</v>
      </c>
      <c r="J59" s="14">
        <v>79</v>
      </c>
      <c r="K59" s="14">
        <v>80</v>
      </c>
      <c r="L59" s="14">
        <v>86</v>
      </c>
      <c r="M59" s="14">
        <v>95</v>
      </c>
      <c r="N59" s="14">
        <v>90</v>
      </c>
      <c r="O59" s="14">
        <v>91</v>
      </c>
      <c r="P59" s="15">
        <v>81</v>
      </c>
      <c r="Q59" s="15">
        <v>80</v>
      </c>
      <c r="R59" s="14">
        <v>78</v>
      </c>
      <c r="S59" s="14">
        <v>85</v>
      </c>
      <c r="T59" s="14">
        <v>89</v>
      </c>
      <c r="U59" s="14">
        <v>80</v>
      </c>
      <c r="V59" s="14">
        <v>80</v>
      </c>
      <c r="W59" s="14">
        <v>83</v>
      </c>
      <c r="X59" s="14">
        <v>84</v>
      </c>
      <c r="Y59" s="14">
        <v>80</v>
      </c>
      <c r="Z59" s="14">
        <v>84</v>
      </c>
      <c r="AA59" s="14">
        <v>74</v>
      </c>
      <c r="AB59" s="15">
        <v>82</v>
      </c>
      <c r="AC59" s="15">
        <v>79</v>
      </c>
      <c r="AD59" s="14">
        <v>80</v>
      </c>
      <c r="AE59" s="14">
        <v>82</v>
      </c>
      <c r="AF59" s="14">
        <v>83</v>
      </c>
      <c r="AG59" s="14">
        <v>84</v>
      </c>
      <c r="AH59" s="14">
        <v>78</v>
      </c>
      <c r="AI59" s="14">
        <v>74</v>
      </c>
      <c r="AJ59" s="14">
        <v>83</v>
      </c>
      <c r="AK59" s="14">
        <v>80</v>
      </c>
      <c r="AL59" s="15">
        <v>80</v>
      </c>
      <c r="AM59" s="15">
        <v>70</v>
      </c>
      <c r="AN59" s="14">
        <v>71</v>
      </c>
      <c r="AO59" s="14">
        <v>73</v>
      </c>
      <c r="AP59" s="14">
        <v>74</v>
      </c>
      <c r="AQ59" s="14">
        <v>80</v>
      </c>
      <c r="AR59" s="14">
        <v>80</v>
      </c>
      <c r="AS59" s="14">
        <v>82</v>
      </c>
      <c r="AT59" s="14">
        <v>78</v>
      </c>
      <c r="AU59" s="14">
        <v>83</v>
      </c>
      <c r="AV59" s="14">
        <v>83</v>
      </c>
      <c r="AW59" s="14">
        <v>83</v>
      </c>
      <c r="AX59" s="15">
        <v>80</v>
      </c>
      <c r="AY59" s="15">
        <v>76</v>
      </c>
      <c r="AZ59" s="14">
        <v>87</v>
      </c>
      <c r="BA59" s="14">
        <v>72</v>
      </c>
      <c r="BB59" s="14">
        <v>88</v>
      </c>
      <c r="BC59" s="14">
        <v>83</v>
      </c>
      <c r="BD59" s="14">
        <v>80</v>
      </c>
      <c r="BE59" s="37">
        <v>81</v>
      </c>
      <c r="BF59" s="37">
        <v>82</v>
      </c>
      <c r="BG59" s="37">
        <v>81</v>
      </c>
      <c r="BH59" s="14">
        <v>84</v>
      </c>
      <c r="BI59" s="37">
        <v>82</v>
      </c>
      <c r="BJ59" s="37">
        <v>86</v>
      </c>
      <c r="BK59" s="37">
        <v>88</v>
      </c>
      <c r="BL59" s="14">
        <v>84</v>
      </c>
      <c r="BM59" s="37">
        <v>78</v>
      </c>
      <c r="BN59" s="37">
        <v>75</v>
      </c>
      <c r="BO59" s="37">
        <v>85</v>
      </c>
      <c r="BP59" s="14">
        <v>84</v>
      </c>
      <c r="BQ59" s="15">
        <f t="shared" si="0"/>
        <v>80.333333333333329</v>
      </c>
      <c r="BR59" s="15">
        <f t="shared" si="1"/>
        <v>81</v>
      </c>
      <c r="BS59" s="15">
        <f t="shared" si="2"/>
        <v>84.666666666666671</v>
      </c>
      <c r="BT59" s="15">
        <f t="shared" si="3"/>
        <v>84</v>
      </c>
      <c r="BU59" s="15">
        <v>85</v>
      </c>
      <c r="BV59" s="15">
        <v>85</v>
      </c>
      <c r="BW59" s="15">
        <v>89</v>
      </c>
      <c r="BX59" s="15">
        <v>84</v>
      </c>
      <c r="BY59" s="15">
        <v>81</v>
      </c>
      <c r="BZ59" s="15">
        <v>74</v>
      </c>
      <c r="CA59" s="15">
        <v>84</v>
      </c>
      <c r="CB59" s="15">
        <v>80</v>
      </c>
      <c r="CC59" s="15">
        <v>80</v>
      </c>
      <c r="CD59" s="39">
        <v>81</v>
      </c>
      <c r="CE59" s="40">
        <v>88</v>
      </c>
      <c r="CF59" s="40">
        <v>80</v>
      </c>
      <c r="CG59" s="40">
        <v>85</v>
      </c>
      <c r="CH59" s="40">
        <v>79</v>
      </c>
      <c r="CI59" s="40">
        <v>83</v>
      </c>
      <c r="CJ59" s="40">
        <v>80</v>
      </c>
      <c r="CK59" s="39">
        <v>93</v>
      </c>
      <c r="CL59" s="40">
        <v>77</v>
      </c>
      <c r="CM59" s="41">
        <f t="shared" si="4"/>
        <v>86.2</v>
      </c>
      <c r="CN59" s="41">
        <f t="shared" si="5"/>
        <v>79</v>
      </c>
      <c r="CO59" s="41">
        <f t="shared" si="6"/>
        <v>81</v>
      </c>
      <c r="CP59" s="17">
        <f t="shared" si="7"/>
        <v>82.47999999999999</v>
      </c>
      <c r="CQ59" s="16">
        <f t="shared" si="8"/>
        <v>88.4</v>
      </c>
      <c r="CR59" s="16">
        <f t="shared" si="9"/>
        <v>81</v>
      </c>
      <c r="CS59" s="16">
        <f t="shared" si="10"/>
        <v>88</v>
      </c>
      <c r="CT59" s="17">
        <f t="shared" si="11"/>
        <v>86.06</v>
      </c>
      <c r="CU59" s="17">
        <f t="shared" si="12"/>
        <v>82.4</v>
      </c>
      <c r="CV59" s="17">
        <f t="shared" si="13"/>
        <v>80</v>
      </c>
      <c r="CW59" s="17">
        <f t="shared" si="14"/>
        <v>80</v>
      </c>
      <c r="CX59" s="17">
        <f t="shared" si="15"/>
        <v>80.960000000000008</v>
      </c>
      <c r="CY59" s="18">
        <f t="shared" si="16"/>
        <v>82.75</v>
      </c>
      <c r="CZ59" s="18">
        <f t="shared" si="17"/>
        <v>82.75</v>
      </c>
      <c r="DA59" s="18">
        <f t="shared" si="18"/>
        <v>78.75</v>
      </c>
      <c r="DB59" s="18">
        <f t="shared" si="19"/>
        <v>78.75</v>
      </c>
      <c r="DC59" s="18">
        <f t="shared" si="20"/>
        <v>82.5</v>
      </c>
      <c r="DD59" s="18">
        <f t="shared" si="21"/>
        <v>82.5</v>
      </c>
      <c r="DE59" s="18">
        <f t="shared" si="22"/>
        <v>79.75</v>
      </c>
      <c r="DF59" s="18">
        <f t="shared" si="23"/>
        <v>79.75</v>
      </c>
      <c r="DG59" s="18">
        <f t="shared" si="24"/>
        <v>80</v>
      </c>
      <c r="DH59" s="18">
        <f t="shared" si="25"/>
        <v>80</v>
      </c>
      <c r="DI59" s="18">
        <f t="shared" si="26"/>
        <v>85</v>
      </c>
      <c r="DJ59" s="17">
        <f t="shared" si="27"/>
        <v>81.5</v>
      </c>
      <c r="DK59" s="18">
        <f t="shared" si="28"/>
        <v>73.599999999999994</v>
      </c>
      <c r="DL59" s="18">
        <f t="shared" si="29"/>
        <v>80</v>
      </c>
      <c r="DM59" s="18">
        <f t="shared" si="30"/>
        <v>79</v>
      </c>
      <c r="DN59" s="17">
        <f t="shared" si="31"/>
        <v>77.14</v>
      </c>
      <c r="DO59" s="18">
        <f t="shared" si="32"/>
        <v>81.8</v>
      </c>
      <c r="DP59" s="18">
        <f t="shared" si="33"/>
        <v>80</v>
      </c>
      <c r="DQ59" s="18">
        <f t="shared" si="34"/>
        <v>83</v>
      </c>
      <c r="DR59" s="17">
        <f t="shared" si="35"/>
        <v>81.62</v>
      </c>
      <c r="DS59" s="18">
        <f t="shared" si="36"/>
        <v>81.5</v>
      </c>
      <c r="DT59" s="18">
        <f t="shared" si="37"/>
        <v>81.5</v>
      </c>
      <c r="DU59" s="18">
        <f t="shared" si="38"/>
        <v>80</v>
      </c>
      <c r="DV59" s="18">
        <f t="shared" si="39"/>
        <v>80</v>
      </c>
      <c r="DW59" s="18">
        <f t="shared" si="40"/>
        <v>81.5</v>
      </c>
      <c r="DX59" s="17">
        <f t="shared" si="41"/>
        <v>81.5</v>
      </c>
      <c r="DY59" s="18">
        <f t="shared" si="42"/>
        <v>82</v>
      </c>
      <c r="DZ59" s="18">
        <f t="shared" si="43"/>
        <v>84</v>
      </c>
      <c r="EA59" s="18">
        <f t="shared" si="44"/>
        <v>77</v>
      </c>
      <c r="EB59" s="17">
        <f t="shared" si="45"/>
        <v>81.099999999999994</v>
      </c>
      <c r="EC59" s="18">
        <f t="shared" si="46"/>
        <v>86.333333333333329</v>
      </c>
      <c r="ED59" s="18">
        <f t="shared" si="47"/>
        <v>84</v>
      </c>
      <c r="EE59" s="18">
        <f t="shared" si="48"/>
        <v>93</v>
      </c>
      <c r="EF59" s="17">
        <f t="shared" si="49"/>
        <v>87.633333333333326</v>
      </c>
      <c r="EG59" s="18">
        <f t="shared" si="50"/>
        <v>81</v>
      </c>
      <c r="EH59" s="18">
        <f t="shared" si="51"/>
        <v>79.333333333333329</v>
      </c>
      <c r="EI59" s="18">
        <f t="shared" si="52"/>
        <v>80</v>
      </c>
      <c r="EJ59" s="18">
        <f t="shared" si="53"/>
        <v>80</v>
      </c>
      <c r="EK59" s="17">
        <f t="shared" si="54"/>
        <v>79.73333333333332</v>
      </c>
      <c r="EL59" s="19">
        <f t="shared" si="55"/>
        <v>82.47999999999999</v>
      </c>
      <c r="EM59" s="19">
        <f t="shared" si="56"/>
        <v>86.06</v>
      </c>
      <c r="EN59" s="19">
        <f t="shared" si="57"/>
        <v>80.960000000000008</v>
      </c>
      <c r="EO59" s="19">
        <f t="shared" si="58"/>
        <v>82.75</v>
      </c>
      <c r="EP59" s="19">
        <f t="shared" si="59"/>
        <v>78.75</v>
      </c>
      <c r="EQ59" s="19">
        <f t="shared" si="60"/>
        <v>82.5</v>
      </c>
      <c r="ER59" s="19">
        <f t="shared" si="61"/>
        <v>79.75</v>
      </c>
      <c r="ES59" s="19">
        <f t="shared" si="62"/>
        <v>81.5</v>
      </c>
      <c r="ET59" s="19">
        <f t="shared" si="63"/>
        <v>77.14</v>
      </c>
      <c r="EU59" s="19">
        <f t="shared" si="64"/>
        <v>81.62</v>
      </c>
      <c r="EV59" s="19">
        <f t="shared" si="65"/>
        <v>81.5</v>
      </c>
      <c r="EW59" s="19">
        <f t="shared" si="66"/>
        <v>80</v>
      </c>
      <c r="EX59" s="19">
        <f t="shared" si="67"/>
        <v>81.5</v>
      </c>
      <c r="EY59" s="19">
        <f t="shared" si="68"/>
        <v>81.099999999999994</v>
      </c>
      <c r="EZ59" s="19">
        <f t="shared" si="69"/>
        <v>87.633333333333326</v>
      </c>
      <c r="FA59" s="19">
        <f t="shared" si="70"/>
        <v>81</v>
      </c>
      <c r="FB59" s="19">
        <f t="shared" si="71"/>
        <v>79.73333333333332</v>
      </c>
      <c r="FC59" s="19">
        <f t="shared" si="72"/>
        <v>81.528039215686277</v>
      </c>
    </row>
    <row r="60" spans="1:159" ht="20.100000000000001" customHeight="1">
      <c r="A60" s="11">
        <v>56</v>
      </c>
      <c r="B60" s="22" t="s">
        <v>163</v>
      </c>
      <c r="C60" s="23" t="s">
        <v>164</v>
      </c>
      <c r="D60" s="24" t="s">
        <v>126</v>
      </c>
      <c r="E60" s="14">
        <v>90</v>
      </c>
      <c r="F60" s="14">
        <v>91</v>
      </c>
      <c r="G60" s="14">
        <v>89</v>
      </c>
      <c r="H60" s="14">
        <v>84</v>
      </c>
      <c r="I60" s="14">
        <v>85</v>
      </c>
      <c r="J60" s="14">
        <v>82</v>
      </c>
      <c r="K60" s="14">
        <v>80</v>
      </c>
      <c r="L60" s="14">
        <v>87</v>
      </c>
      <c r="M60" s="14">
        <v>88</v>
      </c>
      <c r="N60" s="14">
        <v>92</v>
      </c>
      <c r="O60" s="14">
        <v>92</v>
      </c>
      <c r="P60" s="15">
        <v>82</v>
      </c>
      <c r="Q60" s="15">
        <v>96</v>
      </c>
      <c r="R60" s="14">
        <v>83</v>
      </c>
      <c r="S60" s="14">
        <v>80</v>
      </c>
      <c r="T60" s="14">
        <v>82</v>
      </c>
      <c r="U60" s="14">
        <v>80</v>
      </c>
      <c r="V60" s="14">
        <v>80</v>
      </c>
      <c r="W60" s="14">
        <v>83</v>
      </c>
      <c r="X60" s="14">
        <v>84</v>
      </c>
      <c r="Y60" s="14">
        <v>81</v>
      </c>
      <c r="Z60" s="14">
        <v>85</v>
      </c>
      <c r="AA60" s="14">
        <v>79</v>
      </c>
      <c r="AB60" s="15">
        <v>83</v>
      </c>
      <c r="AC60" s="15">
        <v>85</v>
      </c>
      <c r="AD60" s="14">
        <v>85</v>
      </c>
      <c r="AE60" s="14">
        <v>84</v>
      </c>
      <c r="AF60" s="14">
        <v>85</v>
      </c>
      <c r="AG60" s="14">
        <v>78</v>
      </c>
      <c r="AH60" s="14">
        <v>80</v>
      </c>
      <c r="AI60" s="14">
        <v>77</v>
      </c>
      <c r="AJ60" s="14">
        <v>83</v>
      </c>
      <c r="AK60" s="14">
        <v>82</v>
      </c>
      <c r="AL60" s="15">
        <v>80</v>
      </c>
      <c r="AM60" s="15">
        <v>74</v>
      </c>
      <c r="AN60" s="14">
        <v>79</v>
      </c>
      <c r="AO60" s="14">
        <v>83</v>
      </c>
      <c r="AP60" s="14">
        <v>84</v>
      </c>
      <c r="AQ60" s="14">
        <v>81</v>
      </c>
      <c r="AR60" s="14">
        <v>80</v>
      </c>
      <c r="AS60" s="14">
        <v>78</v>
      </c>
      <c r="AT60" s="14">
        <v>78</v>
      </c>
      <c r="AU60" s="14">
        <v>82</v>
      </c>
      <c r="AV60" s="14">
        <v>85</v>
      </c>
      <c r="AW60" s="14">
        <v>82</v>
      </c>
      <c r="AX60" s="15">
        <v>80</v>
      </c>
      <c r="AY60" s="15">
        <v>89</v>
      </c>
      <c r="AZ60" s="14">
        <v>91</v>
      </c>
      <c r="BA60" s="14">
        <v>84</v>
      </c>
      <c r="BB60" s="14">
        <v>86</v>
      </c>
      <c r="BC60" s="14">
        <v>85</v>
      </c>
      <c r="BD60" s="14">
        <v>83</v>
      </c>
      <c r="BE60" s="37">
        <v>80</v>
      </c>
      <c r="BF60" s="37">
        <v>82</v>
      </c>
      <c r="BG60" s="37">
        <v>84</v>
      </c>
      <c r="BH60" s="14">
        <v>87</v>
      </c>
      <c r="BI60" s="37">
        <v>80</v>
      </c>
      <c r="BJ60" s="37">
        <v>81</v>
      </c>
      <c r="BK60" s="37">
        <v>80</v>
      </c>
      <c r="BL60" s="14">
        <v>87</v>
      </c>
      <c r="BM60" s="37">
        <v>80</v>
      </c>
      <c r="BN60" s="37">
        <v>80</v>
      </c>
      <c r="BO60" s="37">
        <v>81</v>
      </c>
      <c r="BP60" s="14">
        <v>87</v>
      </c>
      <c r="BQ60" s="15">
        <f t="shared" si="0"/>
        <v>80</v>
      </c>
      <c r="BR60" s="15">
        <f t="shared" si="1"/>
        <v>81</v>
      </c>
      <c r="BS60" s="15">
        <f t="shared" si="2"/>
        <v>81.666666666666671</v>
      </c>
      <c r="BT60" s="15">
        <f t="shared" si="3"/>
        <v>87</v>
      </c>
      <c r="BU60" s="15">
        <v>86</v>
      </c>
      <c r="BV60" s="15">
        <v>86</v>
      </c>
      <c r="BW60" s="15">
        <v>86</v>
      </c>
      <c r="BX60" s="15">
        <v>87</v>
      </c>
      <c r="BY60" s="15">
        <v>82</v>
      </c>
      <c r="BZ60" s="15">
        <v>73</v>
      </c>
      <c r="CA60" s="15">
        <v>87</v>
      </c>
      <c r="CB60" s="15">
        <v>80</v>
      </c>
      <c r="CC60" s="15">
        <v>80</v>
      </c>
      <c r="CD60" s="39">
        <v>81</v>
      </c>
      <c r="CE60" s="40">
        <v>90</v>
      </c>
      <c r="CF60" s="40">
        <v>76</v>
      </c>
      <c r="CG60" s="40">
        <v>90</v>
      </c>
      <c r="CH60" s="40">
        <v>81</v>
      </c>
      <c r="CI60" s="40">
        <v>84</v>
      </c>
      <c r="CJ60" s="40">
        <v>80</v>
      </c>
      <c r="CK60" s="39">
        <v>79</v>
      </c>
      <c r="CL60" s="40">
        <v>92</v>
      </c>
      <c r="CM60" s="41">
        <f t="shared" si="4"/>
        <v>87.8</v>
      </c>
      <c r="CN60" s="41">
        <f t="shared" si="5"/>
        <v>82</v>
      </c>
      <c r="CO60" s="41">
        <f t="shared" si="6"/>
        <v>81</v>
      </c>
      <c r="CP60" s="17">
        <f t="shared" si="7"/>
        <v>84.02000000000001</v>
      </c>
      <c r="CQ60" s="16">
        <f t="shared" si="8"/>
        <v>87.8</v>
      </c>
      <c r="CR60" s="16">
        <f t="shared" si="9"/>
        <v>82</v>
      </c>
      <c r="CS60" s="16">
        <f t="shared" si="10"/>
        <v>90</v>
      </c>
      <c r="CT60" s="17">
        <f t="shared" si="11"/>
        <v>86.72</v>
      </c>
      <c r="CU60" s="17">
        <f t="shared" si="12"/>
        <v>84.2</v>
      </c>
      <c r="CV60" s="17">
        <f t="shared" si="13"/>
        <v>80</v>
      </c>
      <c r="CW60" s="17">
        <f t="shared" si="14"/>
        <v>76</v>
      </c>
      <c r="CX60" s="17">
        <f t="shared" si="15"/>
        <v>80.47999999999999</v>
      </c>
      <c r="CY60" s="18">
        <f t="shared" si="16"/>
        <v>83.25</v>
      </c>
      <c r="CZ60" s="18">
        <f t="shared" si="17"/>
        <v>83.25</v>
      </c>
      <c r="DA60" s="18">
        <f t="shared" si="18"/>
        <v>83</v>
      </c>
      <c r="DB60" s="18">
        <f t="shared" si="19"/>
        <v>83</v>
      </c>
      <c r="DC60" s="18">
        <f t="shared" si="20"/>
        <v>84.5</v>
      </c>
      <c r="DD60" s="18">
        <f t="shared" si="21"/>
        <v>84.5</v>
      </c>
      <c r="DE60" s="18">
        <f t="shared" si="22"/>
        <v>79.5</v>
      </c>
      <c r="DF60" s="18">
        <f t="shared" si="23"/>
        <v>79.5</v>
      </c>
      <c r="DG60" s="18">
        <f t="shared" si="24"/>
        <v>82</v>
      </c>
      <c r="DH60" s="18">
        <f t="shared" si="25"/>
        <v>80</v>
      </c>
      <c r="DI60" s="18">
        <f t="shared" si="26"/>
        <v>90</v>
      </c>
      <c r="DJ60" s="17">
        <f t="shared" si="27"/>
        <v>83.8</v>
      </c>
      <c r="DK60" s="18">
        <f t="shared" si="28"/>
        <v>80.2</v>
      </c>
      <c r="DL60" s="18">
        <f t="shared" si="29"/>
        <v>80</v>
      </c>
      <c r="DM60" s="18">
        <f t="shared" si="30"/>
        <v>81</v>
      </c>
      <c r="DN60" s="17">
        <f t="shared" si="31"/>
        <v>80.38</v>
      </c>
      <c r="DO60" s="18">
        <f t="shared" si="32"/>
        <v>81</v>
      </c>
      <c r="DP60" s="18">
        <f t="shared" si="33"/>
        <v>80</v>
      </c>
      <c r="DQ60" s="18">
        <f t="shared" si="34"/>
        <v>84</v>
      </c>
      <c r="DR60" s="17">
        <f t="shared" si="35"/>
        <v>81.599999999999994</v>
      </c>
      <c r="DS60" s="18">
        <f t="shared" si="36"/>
        <v>90</v>
      </c>
      <c r="DT60" s="18">
        <f t="shared" si="37"/>
        <v>90</v>
      </c>
      <c r="DU60" s="18">
        <f t="shared" si="38"/>
        <v>85</v>
      </c>
      <c r="DV60" s="18">
        <f t="shared" si="39"/>
        <v>85</v>
      </c>
      <c r="DW60" s="18">
        <f t="shared" si="40"/>
        <v>84</v>
      </c>
      <c r="DX60" s="17">
        <f t="shared" si="41"/>
        <v>84</v>
      </c>
      <c r="DY60" s="18">
        <f t="shared" si="42"/>
        <v>80.8888888888889</v>
      </c>
      <c r="DZ60" s="18">
        <f t="shared" si="43"/>
        <v>87</v>
      </c>
      <c r="EA60" s="18">
        <f t="shared" si="44"/>
        <v>92</v>
      </c>
      <c r="EB60" s="17">
        <f t="shared" si="45"/>
        <v>86.055555555555571</v>
      </c>
      <c r="EC60" s="18">
        <f t="shared" si="46"/>
        <v>86</v>
      </c>
      <c r="ED60" s="18">
        <f t="shared" si="47"/>
        <v>87</v>
      </c>
      <c r="EE60" s="18">
        <f t="shared" si="48"/>
        <v>79</v>
      </c>
      <c r="EF60" s="17">
        <f t="shared" si="49"/>
        <v>84.2</v>
      </c>
      <c r="EG60" s="18">
        <f t="shared" si="50"/>
        <v>82</v>
      </c>
      <c r="EH60" s="18">
        <f t="shared" si="51"/>
        <v>80</v>
      </c>
      <c r="EI60" s="18">
        <f t="shared" si="52"/>
        <v>80</v>
      </c>
      <c r="EJ60" s="18">
        <f t="shared" si="53"/>
        <v>80</v>
      </c>
      <c r="EK60" s="17">
        <f t="shared" si="54"/>
        <v>80</v>
      </c>
      <c r="EL60" s="19">
        <f t="shared" si="55"/>
        <v>84.02000000000001</v>
      </c>
      <c r="EM60" s="19">
        <f t="shared" si="56"/>
        <v>86.72</v>
      </c>
      <c r="EN60" s="19">
        <f t="shared" si="57"/>
        <v>80.47999999999999</v>
      </c>
      <c r="EO60" s="19">
        <f t="shared" si="58"/>
        <v>83.25</v>
      </c>
      <c r="EP60" s="19">
        <f t="shared" si="59"/>
        <v>83</v>
      </c>
      <c r="EQ60" s="19">
        <f t="shared" si="60"/>
        <v>84.5</v>
      </c>
      <c r="ER60" s="19">
        <f t="shared" si="61"/>
        <v>79.5</v>
      </c>
      <c r="ES60" s="19">
        <f t="shared" si="62"/>
        <v>83.8</v>
      </c>
      <c r="ET60" s="19">
        <f t="shared" si="63"/>
        <v>80.38</v>
      </c>
      <c r="EU60" s="19">
        <f t="shared" si="64"/>
        <v>81.599999999999994</v>
      </c>
      <c r="EV60" s="19">
        <f t="shared" si="65"/>
        <v>90</v>
      </c>
      <c r="EW60" s="19">
        <f t="shared" si="66"/>
        <v>85</v>
      </c>
      <c r="EX60" s="19">
        <f t="shared" si="67"/>
        <v>84</v>
      </c>
      <c r="EY60" s="19">
        <f t="shared" si="68"/>
        <v>86.055555555555571</v>
      </c>
      <c r="EZ60" s="19">
        <f t="shared" si="69"/>
        <v>84.2</v>
      </c>
      <c r="FA60" s="19">
        <f t="shared" si="70"/>
        <v>82</v>
      </c>
      <c r="FB60" s="19">
        <f t="shared" si="71"/>
        <v>80</v>
      </c>
      <c r="FC60" s="19">
        <f t="shared" si="72"/>
        <v>83.441503267973872</v>
      </c>
    </row>
    <row r="61" spans="1:159" ht="20.100000000000001" customHeight="1">
      <c r="A61" s="11">
        <v>57</v>
      </c>
      <c r="B61" s="22" t="s">
        <v>165</v>
      </c>
      <c r="C61" s="23" t="s">
        <v>166</v>
      </c>
      <c r="D61" s="24" t="s">
        <v>126</v>
      </c>
      <c r="E61" s="14">
        <v>80</v>
      </c>
      <c r="F61" s="14">
        <v>80</v>
      </c>
      <c r="G61" s="14">
        <v>86</v>
      </c>
      <c r="H61" s="14">
        <v>82</v>
      </c>
      <c r="I61" s="14">
        <v>85</v>
      </c>
      <c r="J61" s="14">
        <v>83</v>
      </c>
      <c r="K61" s="14">
        <v>78</v>
      </c>
      <c r="L61" s="14">
        <v>79</v>
      </c>
      <c r="M61" s="14">
        <v>89</v>
      </c>
      <c r="N61" s="14">
        <v>90</v>
      </c>
      <c r="O61" s="14">
        <v>91</v>
      </c>
      <c r="P61" s="15">
        <v>82</v>
      </c>
      <c r="Q61" s="15">
        <v>78</v>
      </c>
      <c r="R61" s="14">
        <v>78</v>
      </c>
      <c r="S61" s="14">
        <v>85</v>
      </c>
      <c r="T61" s="14">
        <v>85</v>
      </c>
      <c r="U61" s="14">
        <v>80</v>
      </c>
      <c r="V61" s="14">
        <v>82</v>
      </c>
      <c r="W61" s="14">
        <v>82</v>
      </c>
      <c r="X61" s="14">
        <v>84</v>
      </c>
      <c r="Y61" s="14">
        <v>81</v>
      </c>
      <c r="Z61" s="14">
        <v>85</v>
      </c>
      <c r="AA61" s="14">
        <v>73</v>
      </c>
      <c r="AB61" s="15">
        <v>80</v>
      </c>
      <c r="AC61" s="15">
        <v>83</v>
      </c>
      <c r="AD61" s="14">
        <v>84</v>
      </c>
      <c r="AE61" s="14">
        <v>81</v>
      </c>
      <c r="AF61" s="14">
        <v>82</v>
      </c>
      <c r="AG61" s="14">
        <v>77</v>
      </c>
      <c r="AH61" s="14">
        <v>78</v>
      </c>
      <c r="AI61" s="14">
        <v>73</v>
      </c>
      <c r="AJ61" s="14">
        <v>82</v>
      </c>
      <c r="AK61" s="14">
        <v>80</v>
      </c>
      <c r="AL61" s="15">
        <v>82</v>
      </c>
      <c r="AM61" s="15">
        <v>70</v>
      </c>
      <c r="AN61" s="14">
        <v>75</v>
      </c>
      <c r="AO61" s="14">
        <v>75</v>
      </c>
      <c r="AP61" s="14">
        <v>77</v>
      </c>
      <c r="AQ61" s="14">
        <v>80</v>
      </c>
      <c r="AR61" s="14">
        <v>80</v>
      </c>
      <c r="AS61" s="14">
        <v>78</v>
      </c>
      <c r="AT61" s="14">
        <v>80</v>
      </c>
      <c r="AU61" s="14">
        <v>80</v>
      </c>
      <c r="AV61" s="14">
        <v>80</v>
      </c>
      <c r="AW61" s="14">
        <v>80</v>
      </c>
      <c r="AX61" s="15">
        <v>80</v>
      </c>
      <c r="AY61" s="15">
        <v>72</v>
      </c>
      <c r="AZ61" s="14">
        <v>91</v>
      </c>
      <c r="BA61" s="14">
        <v>76</v>
      </c>
      <c r="BB61" s="14">
        <v>85</v>
      </c>
      <c r="BC61" s="14">
        <v>86</v>
      </c>
      <c r="BD61" s="14">
        <v>83</v>
      </c>
      <c r="BE61" s="37">
        <v>83</v>
      </c>
      <c r="BF61" s="37">
        <v>85</v>
      </c>
      <c r="BG61" s="37">
        <v>80</v>
      </c>
      <c r="BH61" s="14">
        <v>83</v>
      </c>
      <c r="BI61" s="37">
        <v>85</v>
      </c>
      <c r="BJ61" s="37">
        <v>85</v>
      </c>
      <c r="BK61" s="37">
        <v>88</v>
      </c>
      <c r="BL61" s="14">
        <v>83</v>
      </c>
      <c r="BM61" s="37">
        <v>78</v>
      </c>
      <c r="BN61" s="37">
        <v>76</v>
      </c>
      <c r="BO61" s="37">
        <v>84</v>
      </c>
      <c r="BP61" s="14">
        <v>83</v>
      </c>
      <c r="BQ61" s="15">
        <f t="shared" si="0"/>
        <v>82</v>
      </c>
      <c r="BR61" s="15">
        <f t="shared" si="1"/>
        <v>82</v>
      </c>
      <c r="BS61" s="15">
        <f t="shared" si="2"/>
        <v>84</v>
      </c>
      <c r="BT61" s="15">
        <f t="shared" si="3"/>
        <v>83</v>
      </c>
      <c r="BU61" s="15">
        <v>85</v>
      </c>
      <c r="BV61" s="15">
        <v>85</v>
      </c>
      <c r="BW61" s="15">
        <v>89</v>
      </c>
      <c r="BX61" s="15">
        <v>83</v>
      </c>
      <c r="BY61" s="15">
        <v>82</v>
      </c>
      <c r="BZ61" s="15">
        <v>83</v>
      </c>
      <c r="CA61" s="15">
        <v>85</v>
      </c>
      <c r="CB61" s="15">
        <v>80</v>
      </c>
      <c r="CC61" s="15">
        <v>80</v>
      </c>
      <c r="CD61" s="39">
        <v>81</v>
      </c>
      <c r="CE61" s="40">
        <v>93</v>
      </c>
      <c r="CF61" s="40">
        <v>80</v>
      </c>
      <c r="CG61" s="40">
        <v>92</v>
      </c>
      <c r="CH61" s="40">
        <v>78</v>
      </c>
      <c r="CI61" s="40">
        <v>83</v>
      </c>
      <c r="CJ61" s="40">
        <v>82</v>
      </c>
      <c r="CK61" s="39">
        <v>93</v>
      </c>
      <c r="CL61" s="40">
        <v>87</v>
      </c>
      <c r="CM61" s="41">
        <f t="shared" si="4"/>
        <v>82.6</v>
      </c>
      <c r="CN61" s="41">
        <f t="shared" si="5"/>
        <v>83</v>
      </c>
      <c r="CO61" s="41">
        <f t="shared" si="6"/>
        <v>81</v>
      </c>
      <c r="CP61" s="17">
        <f t="shared" si="7"/>
        <v>82.24</v>
      </c>
      <c r="CQ61" s="16">
        <f t="shared" si="8"/>
        <v>85.4</v>
      </c>
      <c r="CR61" s="16">
        <f t="shared" si="9"/>
        <v>82</v>
      </c>
      <c r="CS61" s="16">
        <f t="shared" si="10"/>
        <v>93</v>
      </c>
      <c r="CT61" s="17">
        <f t="shared" si="11"/>
        <v>86.66</v>
      </c>
      <c r="CU61" s="17">
        <f t="shared" si="12"/>
        <v>81.2</v>
      </c>
      <c r="CV61" s="17">
        <f t="shared" si="13"/>
        <v>82</v>
      </c>
      <c r="CW61" s="17">
        <f t="shared" si="14"/>
        <v>80</v>
      </c>
      <c r="CX61" s="17">
        <f t="shared" si="15"/>
        <v>81.08</v>
      </c>
      <c r="CY61" s="18">
        <f t="shared" si="16"/>
        <v>83</v>
      </c>
      <c r="CZ61" s="18">
        <f t="shared" si="17"/>
        <v>83</v>
      </c>
      <c r="DA61" s="18">
        <f t="shared" si="18"/>
        <v>80</v>
      </c>
      <c r="DB61" s="18">
        <f t="shared" si="19"/>
        <v>80</v>
      </c>
      <c r="DC61" s="18">
        <f t="shared" si="20"/>
        <v>81.5</v>
      </c>
      <c r="DD61" s="18">
        <f t="shared" si="21"/>
        <v>81.5</v>
      </c>
      <c r="DE61" s="18">
        <f t="shared" si="22"/>
        <v>77.5</v>
      </c>
      <c r="DF61" s="18">
        <f t="shared" si="23"/>
        <v>77.5</v>
      </c>
      <c r="DG61" s="18">
        <f t="shared" si="24"/>
        <v>80</v>
      </c>
      <c r="DH61" s="18">
        <f t="shared" si="25"/>
        <v>82</v>
      </c>
      <c r="DI61" s="18">
        <f t="shared" si="26"/>
        <v>92</v>
      </c>
      <c r="DJ61" s="17">
        <f t="shared" si="27"/>
        <v>84.2</v>
      </c>
      <c r="DK61" s="18">
        <f t="shared" si="28"/>
        <v>75.400000000000006</v>
      </c>
      <c r="DL61" s="18">
        <f t="shared" si="29"/>
        <v>80</v>
      </c>
      <c r="DM61" s="18">
        <f t="shared" si="30"/>
        <v>78</v>
      </c>
      <c r="DN61" s="17">
        <f t="shared" si="31"/>
        <v>77.56</v>
      </c>
      <c r="DO61" s="18">
        <f t="shared" si="32"/>
        <v>79.599999999999994</v>
      </c>
      <c r="DP61" s="18">
        <f t="shared" si="33"/>
        <v>80</v>
      </c>
      <c r="DQ61" s="18">
        <f t="shared" si="34"/>
        <v>83</v>
      </c>
      <c r="DR61" s="17">
        <f t="shared" si="35"/>
        <v>80.739999999999995</v>
      </c>
      <c r="DS61" s="18">
        <f t="shared" si="36"/>
        <v>81.5</v>
      </c>
      <c r="DT61" s="18">
        <f t="shared" si="37"/>
        <v>81.5</v>
      </c>
      <c r="DU61" s="18">
        <f t="shared" si="38"/>
        <v>80.5</v>
      </c>
      <c r="DV61" s="18">
        <f t="shared" si="39"/>
        <v>80.5</v>
      </c>
      <c r="DW61" s="18">
        <f t="shared" si="40"/>
        <v>84.5</v>
      </c>
      <c r="DX61" s="17">
        <f t="shared" si="41"/>
        <v>84.5</v>
      </c>
      <c r="DY61" s="18">
        <f t="shared" si="42"/>
        <v>82.666666666666671</v>
      </c>
      <c r="DZ61" s="18">
        <f t="shared" si="43"/>
        <v>83</v>
      </c>
      <c r="EA61" s="18">
        <f t="shared" si="44"/>
        <v>87</v>
      </c>
      <c r="EB61" s="17">
        <f t="shared" si="45"/>
        <v>84.066666666666677</v>
      </c>
      <c r="EC61" s="18">
        <f t="shared" si="46"/>
        <v>86.333333333333329</v>
      </c>
      <c r="ED61" s="18">
        <f t="shared" si="47"/>
        <v>83</v>
      </c>
      <c r="EE61" s="18">
        <f t="shared" si="48"/>
        <v>93</v>
      </c>
      <c r="EF61" s="17">
        <f t="shared" si="49"/>
        <v>87.333333333333329</v>
      </c>
      <c r="EG61" s="18">
        <f t="shared" si="50"/>
        <v>82</v>
      </c>
      <c r="EH61" s="18">
        <f t="shared" si="51"/>
        <v>82.666666666666671</v>
      </c>
      <c r="EI61" s="18">
        <f t="shared" si="52"/>
        <v>80</v>
      </c>
      <c r="EJ61" s="18">
        <f t="shared" si="53"/>
        <v>82</v>
      </c>
      <c r="EK61" s="17">
        <f t="shared" si="54"/>
        <v>81.666666666666671</v>
      </c>
      <c r="EL61" s="19">
        <f t="shared" si="55"/>
        <v>82.24</v>
      </c>
      <c r="EM61" s="19">
        <f t="shared" si="56"/>
        <v>86.66</v>
      </c>
      <c r="EN61" s="19">
        <f t="shared" si="57"/>
        <v>81.08</v>
      </c>
      <c r="EO61" s="19">
        <f t="shared" si="58"/>
        <v>83</v>
      </c>
      <c r="EP61" s="19">
        <f t="shared" si="59"/>
        <v>80</v>
      </c>
      <c r="EQ61" s="19">
        <f t="shared" si="60"/>
        <v>81.5</v>
      </c>
      <c r="ER61" s="19">
        <f t="shared" si="61"/>
        <v>77.5</v>
      </c>
      <c r="ES61" s="19">
        <f t="shared" si="62"/>
        <v>84.2</v>
      </c>
      <c r="ET61" s="19">
        <f t="shared" si="63"/>
        <v>77.56</v>
      </c>
      <c r="EU61" s="19">
        <f t="shared" si="64"/>
        <v>80.739999999999995</v>
      </c>
      <c r="EV61" s="19">
        <f t="shared" si="65"/>
        <v>81.5</v>
      </c>
      <c r="EW61" s="19">
        <f t="shared" si="66"/>
        <v>80.5</v>
      </c>
      <c r="EX61" s="19">
        <f t="shared" si="67"/>
        <v>84.5</v>
      </c>
      <c r="EY61" s="19">
        <f t="shared" si="68"/>
        <v>84.066666666666677</v>
      </c>
      <c r="EZ61" s="19">
        <f t="shared" si="69"/>
        <v>87.333333333333329</v>
      </c>
      <c r="FA61" s="19">
        <f t="shared" si="70"/>
        <v>82</v>
      </c>
      <c r="FB61" s="19">
        <f t="shared" si="71"/>
        <v>81.666666666666671</v>
      </c>
      <c r="FC61" s="19">
        <f t="shared" si="72"/>
        <v>82.120392156862749</v>
      </c>
    </row>
    <row r="62" spans="1:159" ht="20.100000000000001" customHeight="1">
      <c r="A62" s="11">
        <v>58</v>
      </c>
      <c r="B62" s="22" t="s">
        <v>167</v>
      </c>
      <c r="C62" s="23" t="s">
        <v>168</v>
      </c>
      <c r="D62" s="24" t="s">
        <v>126</v>
      </c>
      <c r="E62" s="14">
        <v>86</v>
      </c>
      <c r="F62" s="14">
        <v>92</v>
      </c>
      <c r="G62" s="14">
        <v>88</v>
      </c>
      <c r="H62" s="14">
        <v>82</v>
      </c>
      <c r="I62" s="14">
        <v>88</v>
      </c>
      <c r="J62" s="14">
        <v>85</v>
      </c>
      <c r="K62" s="14">
        <v>79</v>
      </c>
      <c r="L62" s="14">
        <v>82</v>
      </c>
      <c r="M62" s="14">
        <v>91</v>
      </c>
      <c r="N62" s="14">
        <v>91</v>
      </c>
      <c r="O62" s="14">
        <v>91</v>
      </c>
      <c r="P62" s="15">
        <v>85</v>
      </c>
      <c r="Q62" s="15">
        <v>80</v>
      </c>
      <c r="R62" s="14">
        <v>81</v>
      </c>
      <c r="S62" s="14">
        <v>83</v>
      </c>
      <c r="T62" s="14">
        <v>83</v>
      </c>
      <c r="U62" s="14">
        <v>80</v>
      </c>
      <c r="V62" s="14">
        <v>85</v>
      </c>
      <c r="W62" s="14">
        <v>81</v>
      </c>
      <c r="X62" s="14">
        <v>84</v>
      </c>
      <c r="Y62" s="14">
        <v>80</v>
      </c>
      <c r="Z62" s="14">
        <v>84</v>
      </c>
      <c r="AA62" s="14">
        <v>80</v>
      </c>
      <c r="AB62" s="15">
        <v>85</v>
      </c>
      <c r="AC62" s="15">
        <v>83</v>
      </c>
      <c r="AD62" s="14">
        <v>84</v>
      </c>
      <c r="AE62" s="14">
        <v>83</v>
      </c>
      <c r="AF62" s="14">
        <v>86</v>
      </c>
      <c r="AG62" s="14">
        <v>80</v>
      </c>
      <c r="AH62" s="14">
        <v>79</v>
      </c>
      <c r="AI62" s="14">
        <v>77</v>
      </c>
      <c r="AJ62" s="14">
        <v>82</v>
      </c>
      <c r="AK62" s="14">
        <v>80</v>
      </c>
      <c r="AL62" s="15">
        <v>85</v>
      </c>
      <c r="AM62" s="15">
        <v>75</v>
      </c>
      <c r="AN62" s="14">
        <v>76</v>
      </c>
      <c r="AO62" s="14">
        <v>74</v>
      </c>
      <c r="AP62" s="14">
        <v>76</v>
      </c>
      <c r="AQ62" s="14">
        <v>80</v>
      </c>
      <c r="AR62" s="14">
        <v>85</v>
      </c>
      <c r="AS62" s="14">
        <v>81</v>
      </c>
      <c r="AT62" s="14">
        <v>79</v>
      </c>
      <c r="AU62" s="14">
        <v>80</v>
      </c>
      <c r="AV62" s="14">
        <v>82</v>
      </c>
      <c r="AW62" s="14">
        <v>80</v>
      </c>
      <c r="AX62" s="15">
        <v>85</v>
      </c>
      <c r="AY62" s="15">
        <v>89</v>
      </c>
      <c r="AZ62" s="14">
        <v>88</v>
      </c>
      <c r="BA62" s="14">
        <v>79</v>
      </c>
      <c r="BB62" s="14">
        <v>88</v>
      </c>
      <c r="BC62" s="14">
        <v>85</v>
      </c>
      <c r="BD62" s="14">
        <v>80</v>
      </c>
      <c r="BE62" s="37">
        <v>83</v>
      </c>
      <c r="BF62" s="37">
        <v>82</v>
      </c>
      <c r="BG62" s="37">
        <v>80</v>
      </c>
      <c r="BH62" s="14">
        <v>85</v>
      </c>
      <c r="BI62" s="37">
        <v>81</v>
      </c>
      <c r="BJ62" s="37">
        <v>84</v>
      </c>
      <c r="BK62" s="37">
        <v>88</v>
      </c>
      <c r="BL62" s="14">
        <v>85</v>
      </c>
      <c r="BM62" s="37">
        <v>80</v>
      </c>
      <c r="BN62" s="37">
        <v>78</v>
      </c>
      <c r="BO62" s="37">
        <v>83</v>
      </c>
      <c r="BP62" s="14">
        <v>85</v>
      </c>
      <c r="BQ62" s="15">
        <f t="shared" si="0"/>
        <v>81.333333333333329</v>
      </c>
      <c r="BR62" s="15">
        <f t="shared" si="1"/>
        <v>81.333333333333329</v>
      </c>
      <c r="BS62" s="15">
        <f t="shared" si="2"/>
        <v>83.666666666666671</v>
      </c>
      <c r="BT62" s="15">
        <f t="shared" si="3"/>
        <v>85</v>
      </c>
      <c r="BU62" s="15">
        <v>86</v>
      </c>
      <c r="BV62" s="15">
        <v>86</v>
      </c>
      <c r="BW62" s="15">
        <v>90</v>
      </c>
      <c r="BX62" s="15">
        <v>85</v>
      </c>
      <c r="BY62" s="15">
        <v>85</v>
      </c>
      <c r="BZ62" s="15">
        <v>74</v>
      </c>
      <c r="CA62" s="15">
        <v>87</v>
      </c>
      <c r="CB62" s="15">
        <v>82</v>
      </c>
      <c r="CC62" s="15">
        <v>85</v>
      </c>
      <c r="CD62" s="39">
        <v>85</v>
      </c>
      <c r="CE62" s="40">
        <v>88</v>
      </c>
      <c r="CF62" s="40">
        <v>78</v>
      </c>
      <c r="CG62" s="40">
        <v>90</v>
      </c>
      <c r="CH62" s="40">
        <v>79</v>
      </c>
      <c r="CI62" s="40">
        <v>82</v>
      </c>
      <c r="CJ62" s="40">
        <v>82</v>
      </c>
      <c r="CK62" s="39">
        <v>79</v>
      </c>
      <c r="CL62" s="40">
        <v>80</v>
      </c>
      <c r="CM62" s="41">
        <f t="shared" si="4"/>
        <v>87.2</v>
      </c>
      <c r="CN62" s="41">
        <f t="shared" si="5"/>
        <v>85</v>
      </c>
      <c r="CO62" s="41">
        <f t="shared" si="6"/>
        <v>85</v>
      </c>
      <c r="CP62" s="17">
        <f t="shared" si="7"/>
        <v>85.88</v>
      </c>
      <c r="CQ62" s="16">
        <f t="shared" si="8"/>
        <v>86.8</v>
      </c>
      <c r="CR62" s="16">
        <f t="shared" si="9"/>
        <v>85</v>
      </c>
      <c r="CS62" s="16">
        <f t="shared" si="10"/>
        <v>88</v>
      </c>
      <c r="CT62" s="17">
        <f t="shared" si="11"/>
        <v>86.62</v>
      </c>
      <c r="CU62" s="17">
        <f t="shared" si="12"/>
        <v>81.400000000000006</v>
      </c>
      <c r="CV62" s="17">
        <f t="shared" si="13"/>
        <v>85</v>
      </c>
      <c r="CW62" s="17">
        <f t="shared" si="14"/>
        <v>78</v>
      </c>
      <c r="CX62" s="17">
        <f t="shared" si="15"/>
        <v>81.460000000000008</v>
      </c>
      <c r="CY62" s="18">
        <f t="shared" si="16"/>
        <v>82.25</v>
      </c>
      <c r="CZ62" s="18">
        <f t="shared" si="17"/>
        <v>82.25</v>
      </c>
      <c r="DA62" s="18">
        <f t="shared" si="18"/>
        <v>83</v>
      </c>
      <c r="DB62" s="18">
        <f t="shared" si="19"/>
        <v>83</v>
      </c>
      <c r="DC62" s="18">
        <f t="shared" si="20"/>
        <v>84.5</v>
      </c>
      <c r="DD62" s="18">
        <f t="shared" si="21"/>
        <v>84.5</v>
      </c>
      <c r="DE62" s="18">
        <f t="shared" si="22"/>
        <v>79.5</v>
      </c>
      <c r="DF62" s="18">
        <f t="shared" si="23"/>
        <v>79.5</v>
      </c>
      <c r="DG62" s="18">
        <f t="shared" si="24"/>
        <v>80</v>
      </c>
      <c r="DH62" s="18">
        <f t="shared" si="25"/>
        <v>85</v>
      </c>
      <c r="DI62" s="18">
        <f t="shared" si="26"/>
        <v>90</v>
      </c>
      <c r="DJ62" s="17">
        <f t="shared" si="27"/>
        <v>84.5</v>
      </c>
      <c r="DK62" s="18">
        <f t="shared" si="28"/>
        <v>76.2</v>
      </c>
      <c r="DL62" s="18">
        <f t="shared" si="29"/>
        <v>85</v>
      </c>
      <c r="DM62" s="18">
        <f t="shared" si="30"/>
        <v>79</v>
      </c>
      <c r="DN62" s="17">
        <f t="shared" si="31"/>
        <v>79.679999999999993</v>
      </c>
      <c r="DO62" s="18">
        <f t="shared" si="32"/>
        <v>80.400000000000006</v>
      </c>
      <c r="DP62" s="18">
        <f t="shared" si="33"/>
        <v>85</v>
      </c>
      <c r="DQ62" s="18">
        <f t="shared" si="34"/>
        <v>82</v>
      </c>
      <c r="DR62" s="17">
        <f t="shared" si="35"/>
        <v>82.26</v>
      </c>
      <c r="DS62" s="18">
        <f t="shared" si="36"/>
        <v>88.5</v>
      </c>
      <c r="DT62" s="18">
        <f t="shared" si="37"/>
        <v>88.5</v>
      </c>
      <c r="DU62" s="18">
        <f t="shared" si="38"/>
        <v>83.5</v>
      </c>
      <c r="DV62" s="18">
        <f t="shared" si="39"/>
        <v>83.5</v>
      </c>
      <c r="DW62" s="18">
        <f t="shared" si="40"/>
        <v>82.5</v>
      </c>
      <c r="DX62" s="17">
        <f t="shared" si="41"/>
        <v>82.5</v>
      </c>
      <c r="DY62" s="18">
        <f t="shared" si="42"/>
        <v>82.1111111111111</v>
      </c>
      <c r="DZ62" s="18">
        <f t="shared" si="43"/>
        <v>85</v>
      </c>
      <c r="EA62" s="18">
        <f t="shared" si="44"/>
        <v>80</v>
      </c>
      <c r="EB62" s="17">
        <f t="shared" si="45"/>
        <v>82.344444444444434</v>
      </c>
      <c r="EC62" s="18">
        <f t="shared" si="46"/>
        <v>87.333333333333329</v>
      </c>
      <c r="ED62" s="18">
        <f t="shared" si="47"/>
        <v>85</v>
      </c>
      <c r="EE62" s="18">
        <f t="shared" si="48"/>
        <v>79</v>
      </c>
      <c r="EF62" s="17">
        <f t="shared" si="49"/>
        <v>84.133333333333326</v>
      </c>
      <c r="EG62" s="18">
        <f t="shared" si="50"/>
        <v>85</v>
      </c>
      <c r="EH62" s="18">
        <f t="shared" si="51"/>
        <v>81</v>
      </c>
      <c r="EI62" s="18">
        <f t="shared" si="52"/>
        <v>85</v>
      </c>
      <c r="EJ62" s="18">
        <f t="shared" si="53"/>
        <v>82</v>
      </c>
      <c r="EK62" s="17">
        <f t="shared" si="54"/>
        <v>82.5</v>
      </c>
      <c r="EL62" s="19">
        <f t="shared" si="55"/>
        <v>85.88</v>
      </c>
      <c r="EM62" s="19">
        <f t="shared" si="56"/>
        <v>86.62</v>
      </c>
      <c r="EN62" s="19">
        <f t="shared" si="57"/>
        <v>81.460000000000008</v>
      </c>
      <c r="EO62" s="19">
        <f t="shared" si="58"/>
        <v>82.25</v>
      </c>
      <c r="EP62" s="19">
        <f t="shared" si="59"/>
        <v>83</v>
      </c>
      <c r="EQ62" s="19">
        <f t="shared" si="60"/>
        <v>84.5</v>
      </c>
      <c r="ER62" s="19">
        <f t="shared" si="61"/>
        <v>79.5</v>
      </c>
      <c r="ES62" s="19">
        <f t="shared" si="62"/>
        <v>84.5</v>
      </c>
      <c r="ET62" s="19">
        <f t="shared" si="63"/>
        <v>79.679999999999993</v>
      </c>
      <c r="EU62" s="19">
        <f t="shared" si="64"/>
        <v>82.26</v>
      </c>
      <c r="EV62" s="19">
        <f t="shared" si="65"/>
        <v>88.5</v>
      </c>
      <c r="EW62" s="19">
        <f t="shared" si="66"/>
        <v>83.5</v>
      </c>
      <c r="EX62" s="19">
        <f t="shared" si="67"/>
        <v>82.5</v>
      </c>
      <c r="EY62" s="19">
        <f t="shared" si="68"/>
        <v>82.344444444444434</v>
      </c>
      <c r="EZ62" s="19">
        <f t="shared" si="69"/>
        <v>84.133333333333326</v>
      </c>
      <c r="FA62" s="19">
        <f t="shared" si="70"/>
        <v>85</v>
      </c>
      <c r="FB62" s="19">
        <f t="shared" si="71"/>
        <v>82.5</v>
      </c>
      <c r="FC62" s="19">
        <f t="shared" si="72"/>
        <v>83.419281045751632</v>
      </c>
    </row>
    <row r="63" spans="1:159" ht="20.100000000000001" customHeight="1">
      <c r="A63" s="11">
        <v>59</v>
      </c>
      <c r="B63" s="22" t="s">
        <v>169</v>
      </c>
      <c r="C63" s="23" t="s">
        <v>170</v>
      </c>
      <c r="D63" s="24" t="s">
        <v>126</v>
      </c>
      <c r="E63" s="14">
        <v>93</v>
      </c>
      <c r="F63" s="14">
        <v>90</v>
      </c>
      <c r="G63" s="14">
        <v>90</v>
      </c>
      <c r="H63" s="14">
        <v>87</v>
      </c>
      <c r="I63" s="14">
        <v>84</v>
      </c>
      <c r="J63" s="14">
        <v>95</v>
      </c>
      <c r="K63" s="14">
        <v>81</v>
      </c>
      <c r="L63" s="14">
        <v>87</v>
      </c>
      <c r="M63" s="14">
        <v>91</v>
      </c>
      <c r="N63" s="14">
        <v>93</v>
      </c>
      <c r="O63" s="14">
        <v>93</v>
      </c>
      <c r="P63" s="15">
        <v>95</v>
      </c>
      <c r="Q63" s="15">
        <v>86</v>
      </c>
      <c r="R63" s="14">
        <v>78</v>
      </c>
      <c r="S63" s="14">
        <v>86</v>
      </c>
      <c r="T63" s="14">
        <v>84</v>
      </c>
      <c r="U63" s="14">
        <v>80</v>
      </c>
      <c r="V63" s="14">
        <v>92</v>
      </c>
      <c r="W63" s="14">
        <v>82</v>
      </c>
      <c r="X63" s="14">
        <v>85</v>
      </c>
      <c r="Y63" s="14">
        <v>81</v>
      </c>
      <c r="Z63" s="14">
        <v>85</v>
      </c>
      <c r="AA63" s="14">
        <v>78</v>
      </c>
      <c r="AB63" s="15">
        <v>80</v>
      </c>
      <c r="AC63" s="15">
        <v>79</v>
      </c>
      <c r="AD63" s="14">
        <v>80</v>
      </c>
      <c r="AE63" s="14">
        <v>84</v>
      </c>
      <c r="AF63" s="14">
        <v>87</v>
      </c>
      <c r="AG63" s="14">
        <v>89</v>
      </c>
      <c r="AH63" s="14">
        <v>78</v>
      </c>
      <c r="AI63" s="14">
        <v>79</v>
      </c>
      <c r="AJ63" s="14">
        <v>83</v>
      </c>
      <c r="AK63" s="14">
        <v>82</v>
      </c>
      <c r="AL63" s="15">
        <v>92</v>
      </c>
      <c r="AM63" s="15">
        <v>71</v>
      </c>
      <c r="AN63" s="14">
        <v>72</v>
      </c>
      <c r="AO63" s="14">
        <v>76</v>
      </c>
      <c r="AP63" s="14">
        <v>77</v>
      </c>
      <c r="AQ63" s="14">
        <v>80</v>
      </c>
      <c r="AR63" s="14">
        <v>95</v>
      </c>
      <c r="AS63" s="14">
        <v>82</v>
      </c>
      <c r="AT63" s="14">
        <v>80</v>
      </c>
      <c r="AU63" s="14">
        <v>80</v>
      </c>
      <c r="AV63" s="14">
        <v>83</v>
      </c>
      <c r="AW63" s="14">
        <v>80</v>
      </c>
      <c r="AX63" s="15">
        <v>95</v>
      </c>
      <c r="AY63" s="15">
        <v>83</v>
      </c>
      <c r="AZ63" s="14">
        <v>86</v>
      </c>
      <c r="BA63" s="14">
        <v>86</v>
      </c>
      <c r="BB63" s="14">
        <v>93</v>
      </c>
      <c r="BC63" s="14">
        <v>82</v>
      </c>
      <c r="BD63" s="14">
        <v>78</v>
      </c>
      <c r="BE63" s="37">
        <v>85</v>
      </c>
      <c r="BF63" s="37">
        <v>87</v>
      </c>
      <c r="BG63" s="37">
        <v>80</v>
      </c>
      <c r="BH63" s="14">
        <v>95</v>
      </c>
      <c r="BI63" s="37">
        <v>85</v>
      </c>
      <c r="BJ63" s="37">
        <v>90</v>
      </c>
      <c r="BK63" s="37">
        <v>80</v>
      </c>
      <c r="BL63" s="14">
        <v>95</v>
      </c>
      <c r="BM63" s="37">
        <v>77</v>
      </c>
      <c r="BN63" s="37">
        <v>78</v>
      </c>
      <c r="BO63" s="37">
        <v>84</v>
      </c>
      <c r="BP63" s="14">
        <v>95</v>
      </c>
      <c r="BQ63" s="15">
        <f t="shared" si="0"/>
        <v>82.333333333333329</v>
      </c>
      <c r="BR63" s="15">
        <f t="shared" si="1"/>
        <v>85</v>
      </c>
      <c r="BS63" s="15">
        <f t="shared" si="2"/>
        <v>81.333333333333329</v>
      </c>
      <c r="BT63" s="15">
        <f t="shared" si="3"/>
        <v>95</v>
      </c>
      <c r="BU63" s="15">
        <v>86</v>
      </c>
      <c r="BV63" s="15">
        <v>86</v>
      </c>
      <c r="BW63" s="15">
        <v>89</v>
      </c>
      <c r="BX63" s="15">
        <v>95</v>
      </c>
      <c r="BY63" s="15">
        <v>94</v>
      </c>
      <c r="BZ63" s="15">
        <v>72</v>
      </c>
      <c r="CA63" s="15">
        <v>86</v>
      </c>
      <c r="CB63" s="15">
        <v>89</v>
      </c>
      <c r="CC63" s="15">
        <v>95</v>
      </c>
      <c r="CD63" s="39">
        <v>90</v>
      </c>
      <c r="CE63" s="40">
        <v>95</v>
      </c>
      <c r="CF63" s="40">
        <v>78</v>
      </c>
      <c r="CG63" s="40">
        <v>92</v>
      </c>
      <c r="CH63" s="40">
        <v>80</v>
      </c>
      <c r="CI63" s="40">
        <v>85</v>
      </c>
      <c r="CJ63" s="40">
        <v>82</v>
      </c>
      <c r="CK63" s="39">
        <v>93</v>
      </c>
      <c r="CL63" s="40">
        <v>87</v>
      </c>
      <c r="CM63" s="41">
        <f t="shared" si="4"/>
        <v>88.8</v>
      </c>
      <c r="CN63" s="41">
        <f t="shared" si="5"/>
        <v>95</v>
      </c>
      <c r="CO63" s="41">
        <f t="shared" si="6"/>
        <v>90</v>
      </c>
      <c r="CP63" s="17">
        <f t="shared" si="7"/>
        <v>91.02000000000001</v>
      </c>
      <c r="CQ63" s="16">
        <f t="shared" si="8"/>
        <v>89</v>
      </c>
      <c r="CR63" s="16">
        <f t="shared" si="9"/>
        <v>95</v>
      </c>
      <c r="CS63" s="16">
        <f t="shared" si="10"/>
        <v>95</v>
      </c>
      <c r="CT63" s="17">
        <f t="shared" si="11"/>
        <v>92.6</v>
      </c>
      <c r="CU63" s="17">
        <f t="shared" si="12"/>
        <v>82.8</v>
      </c>
      <c r="CV63" s="17">
        <f t="shared" si="13"/>
        <v>92</v>
      </c>
      <c r="CW63" s="17">
        <f t="shared" si="14"/>
        <v>78</v>
      </c>
      <c r="CX63" s="17">
        <f t="shared" si="15"/>
        <v>84.12</v>
      </c>
      <c r="CY63" s="18">
        <f t="shared" si="16"/>
        <v>83.25</v>
      </c>
      <c r="CZ63" s="18">
        <f t="shared" si="17"/>
        <v>83.25</v>
      </c>
      <c r="DA63" s="18">
        <f t="shared" si="18"/>
        <v>79.25</v>
      </c>
      <c r="DB63" s="18">
        <f t="shared" si="19"/>
        <v>79.25</v>
      </c>
      <c r="DC63" s="18">
        <f t="shared" si="20"/>
        <v>85.5</v>
      </c>
      <c r="DD63" s="18">
        <f t="shared" si="21"/>
        <v>85.5</v>
      </c>
      <c r="DE63" s="18">
        <f t="shared" si="22"/>
        <v>82.25</v>
      </c>
      <c r="DF63" s="18">
        <f t="shared" si="23"/>
        <v>82.25</v>
      </c>
      <c r="DG63" s="18">
        <f t="shared" si="24"/>
        <v>82</v>
      </c>
      <c r="DH63" s="18">
        <f t="shared" si="25"/>
        <v>92</v>
      </c>
      <c r="DI63" s="18">
        <f t="shared" si="26"/>
        <v>92</v>
      </c>
      <c r="DJ63" s="17">
        <f t="shared" si="27"/>
        <v>88</v>
      </c>
      <c r="DK63" s="18">
        <f t="shared" si="28"/>
        <v>75.2</v>
      </c>
      <c r="DL63" s="18">
        <f t="shared" si="29"/>
        <v>95</v>
      </c>
      <c r="DM63" s="18">
        <f t="shared" si="30"/>
        <v>80</v>
      </c>
      <c r="DN63" s="17">
        <f t="shared" si="31"/>
        <v>82.58</v>
      </c>
      <c r="DO63" s="18">
        <f t="shared" si="32"/>
        <v>81</v>
      </c>
      <c r="DP63" s="18">
        <f t="shared" si="33"/>
        <v>95</v>
      </c>
      <c r="DQ63" s="18">
        <f t="shared" si="34"/>
        <v>85</v>
      </c>
      <c r="DR63" s="17">
        <f t="shared" si="35"/>
        <v>86.4</v>
      </c>
      <c r="DS63" s="18">
        <f t="shared" si="36"/>
        <v>84.5</v>
      </c>
      <c r="DT63" s="18">
        <f t="shared" si="37"/>
        <v>84.5</v>
      </c>
      <c r="DU63" s="18">
        <f t="shared" si="38"/>
        <v>89.5</v>
      </c>
      <c r="DV63" s="18">
        <f t="shared" si="39"/>
        <v>89.5</v>
      </c>
      <c r="DW63" s="18">
        <f t="shared" si="40"/>
        <v>80</v>
      </c>
      <c r="DX63" s="17">
        <f t="shared" si="41"/>
        <v>80</v>
      </c>
      <c r="DY63" s="18">
        <f t="shared" si="42"/>
        <v>82.888888888888872</v>
      </c>
      <c r="DZ63" s="18">
        <f t="shared" si="43"/>
        <v>95</v>
      </c>
      <c r="EA63" s="18">
        <f t="shared" si="44"/>
        <v>87</v>
      </c>
      <c r="EB63" s="17">
        <f t="shared" si="45"/>
        <v>87.755555555555546</v>
      </c>
      <c r="EC63" s="18">
        <f t="shared" si="46"/>
        <v>87</v>
      </c>
      <c r="ED63" s="18">
        <f t="shared" si="47"/>
        <v>95</v>
      </c>
      <c r="EE63" s="18">
        <f t="shared" si="48"/>
        <v>93</v>
      </c>
      <c r="EF63" s="17">
        <f t="shared" si="49"/>
        <v>91.2</v>
      </c>
      <c r="EG63" s="18">
        <f t="shared" si="50"/>
        <v>94</v>
      </c>
      <c r="EH63" s="18">
        <f t="shared" si="51"/>
        <v>82.333333333333329</v>
      </c>
      <c r="EI63" s="18">
        <f t="shared" si="52"/>
        <v>95</v>
      </c>
      <c r="EJ63" s="18">
        <f t="shared" si="53"/>
        <v>82</v>
      </c>
      <c r="EK63" s="17">
        <f t="shared" si="54"/>
        <v>86.033333333333331</v>
      </c>
      <c r="EL63" s="19">
        <f t="shared" si="55"/>
        <v>91.02000000000001</v>
      </c>
      <c r="EM63" s="19">
        <f t="shared" si="56"/>
        <v>92.6</v>
      </c>
      <c r="EN63" s="19">
        <f t="shared" si="57"/>
        <v>84.12</v>
      </c>
      <c r="EO63" s="19">
        <f t="shared" si="58"/>
        <v>83.25</v>
      </c>
      <c r="EP63" s="19">
        <f t="shared" si="59"/>
        <v>79.25</v>
      </c>
      <c r="EQ63" s="19">
        <f t="shared" si="60"/>
        <v>85.5</v>
      </c>
      <c r="ER63" s="19">
        <f t="shared" si="61"/>
        <v>82.25</v>
      </c>
      <c r="ES63" s="19">
        <f t="shared" si="62"/>
        <v>88</v>
      </c>
      <c r="ET63" s="19">
        <f t="shared" si="63"/>
        <v>82.58</v>
      </c>
      <c r="EU63" s="19">
        <f t="shared" si="64"/>
        <v>86.4</v>
      </c>
      <c r="EV63" s="19">
        <f t="shared" si="65"/>
        <v>84.5</v>
      </c>
      <c r="EW63" s="19">
        <f t="shared" si="66"/>
        <v>89.5</v>
      </c>
      <c r="EX63" s="19">
        <f t="shared" si="67"/>
        <v>80</v>
      </c>
      <c r="EY63" s="19">
        <f t="shared" si="68"/>
        <v>87.755555555555546</v>
      </c>
      <c r="EZ63" s="19">
        <f t="shared" si="69"/>
        <v>91.2</v>
      </c>
      <c r="FA63" s="19">
        <f t="shared" si="70"/>
        <v>94</v>
      </c>
      <c r="FB63" s="19">
        <f t="shared" si="71"/>
        <v>86.033333333333331</v>
      </c>
      <c r="FC63" s="19">
        <f t="shared" si="72"/>
        <v>86.350522875816992</v>
      </c>
    </row>
    <row r="64" spans="1:159" ht="20.100000000000001" customHeight="1">
      <c r="A64" s="11">
        <v>60</v>
      </c>
      <c r="B64" s="22" t="s">
        <v>171</v>
      </c>
      <c r="C64" s="23" t="s">
        <v>172</v>
      </c>
      <c r="D64" s="24" t="s">
        <v>126</v>
      </c>
      <c r="E64" s="14">
        <v>88</v>
      </c>
      <c r="F64" s="14">
        <v>94</v>
      </c>
      <c r="G64" s="14">
        <v>88</v>
      </c>
      <c r="H64" s="14">
        <v>84</v>
      </c>
      <c r="I64" s="14">
        <v>89</v>
      </c>
      <c r="J64" s="14">
        <v>85</v>
      </c>
      <c r="K64" s="14">
        <v>82</v>
      </c>
      <c r="L64" s="14">
        <v>74</v>
      </c>
      <c r="M64" s="14">
        <v>95</v>
      </c>
      <c r="N64" s="14">
        <v>95</v>
      </c>
      <c r="O64" s="14">
        <v>95</v>
      </c>
      <c r="P64" s="15">
        <v>79</v>
      </c>
      <c r="Q64" s="15">
        <v>81</v>
      </c>
      <c r="R64" s="14">
        <v>83</v>
      </c>
      <c r="S64" s="14">
        <v>85</v>
      </c>
      <c r="T64" s="14">
        <v>85</v>
      </c>
      <c r="U64" s="14">
        <v>86</v>
      </c>
      <c r="V64" s="14">
        <v>78</v>
      </c>
      <c r="W64" s="14">
        <v>82</v>
      </c>
      <c r="X64" s="14">
        <v>84</v>
      </c>
      <c r="Y64" s="14">
        <v>80</v>
      </c>
      <c r="Z64" s="14">
        <v>85</v>
      </c>
      <c r="AA64" s="14">
        <v>78</v>
      </c>
      <c r="AB64" s="15">
        <v>85</v>
      </c>
      <c r="AC64" s="15">
        <v>82</v>
      </c>
      <c r="AD64" s="14">
        <v>83</v>
      </c>
      <c r="AE64" s="14">
        <v>84</v>
      </c>
      <c r="AF64" s="14">
        <v>85</v>
      </c>
      <c r="AG64" s="14">
        <v>85</v>
      </c>
      <c r="AH64" s="14">
        <v>80</v>
      </c>
      <c r="AI64" s="14">
        <v>76</v>
      </c>
      <c r="AJ64" s="14">
        <v>84</v>
      </c>
      <c r="AK64" s="14">
        <v>80</v>
      </c>
      <c r="AL64" s="15">
        <v>78</v>
      </c>
      <c r="AM64" s="15">
        <v>75</v>
      </c>
      <c r="AN64" s="14">
        <v>76</v>
      </c>
      <c r="AO64" s="14">
        <v>79</v>
      </c>
      <c r="AP64" s="14">
        <v>80</v>
      </c>
      <c r="AQ64" s="14">
        <v>80</v>
      </c>
      <c r="AR64" s="14">
        <v>81</v>
      </c>
      <c r="AS64" s="14">
        <v>85</v>
      </c>
      <c r="AT64" s="14">
        <v>78</v>
      </c>
      <c r="AU64" s="14">
        <v>80</v>
      </c>
      <c r="AV64" s="14">
        <v>82</v>
      </c>
      <c r="AW64" s="14">
        <v>80</v>
      </c>
      <c r="AX64" s="15">
        <v>81</v>
      </c>
      <c r="AY64" s="15">
        <v>83</v>
      </c>
      <c r="AZ64" s="14">
        <v>94</v>
      </c>
      <c r="BA64" s="14">
        <v>86</v>
      </c>
      <c r="BB64" s="14">
        <v>87</v>
      </c>
      <c r="BC64" s="14">
        <v>84</v>
      </c>
      <c r="BD64" s="14">
        <v>77</v>
      </c>
      <c r="BE64" s="37">
        <v>86</v>
      </c>
      <c r="BF64" s="37">
        <v>87</v>
      </c>
      <c r="BG64" s="37">
        <v>80</v>
      </c>
      <c r="BH64" s="14">
        <v>79</v>
      </c>
      <c r="BI64" s="37">
        <v>85</v>
      </c>
      <c r="BJ64" s="37">
        <v>89</v>
      </c>
      <c r="BK64" s="37">
        <v>88</v>
      </c>
      <c r="BL64" s="14">
        <v>79</v>
      </c>
      <c r="BM64" s="37">
        <v>78</v>
      </c>
      <c r="BN64" s="37">
        <v>80</v>
      </c>
      <c r="BO64" s="37">
        <v>85</v>
      </c>
      <c r="BP64" s="14">
        <v>79</v>
      </c>
      <c r="BQ64" s="15">
        <f t="shared" si="0"/>
        <v>83</v>
      </c>
      <c r="BR64" s="15">
        <f t="shared" si="1"/>
        <v>85.333333333333329</v>
      </c>
      <c r="BS64" s="15">
        <f t="shared" si="2"/>
        <v>84.333333333333329</v>
      </c>
      <c r="BT64" s="15">
        <f t="shared" si="3"/>
        <v>79</v>
      </c>
      <c r="BU64" s="15">
        <v>86</v>
      </c>
      <c r="BV64" s="15">
        <v>86</v>
      </c>
      <c r="BW64" s="15">
        <v>90</v>
      </c>
      <c r="BX64" s="15">
        <v>79</v>
      </c>
      <c r="BY64" s="15">
        <v>80</v>
      </c>
      <c r="BZ64" s="15">
        <v>79</v>
      </c>
      <c r="CA64" s="15">
        <v>89</v>
      </c>
      <c r="CB64" s="15">
        <v>80</v>
      </c>
      <c r="CC64" s="15">
        <v>81</v>
      </c>
      <c r="CD64" s="39">
        <v>87</v>
      </c>
      <c r="CE64" s="40">
        <v>95</v>
      </c>
      <c r="CF64" s="40">
        <v>84</v>
      </c>
      <c r="CG64" s="40">
        <v>95</v>
      </c>
      <c r="CH64" s="40">
        <v>80</v>
      </c>
      <c r="CI64" s="40">
        <v>83</v>
      </c>
      <c r="CJ64" s="40">
        <v>83</v>
      </c>
      <c r="CK64" s="39">
        <v>79</v>
      </c>
      <c r="CL64" s="40">
        <v>95</v>
      </c>
      <c r="CM64" s="41">
        <f t="shared" si="4"/>
        <v>88.6</v>
      </c>
      <c r="CN64" s="41">
        <f t="shared" si="5"/>
        <v>85</v>
      </c>
      <c r="CO64" s="41">
        <f t="shared" si="6"/>
        <v>87</v>
      </c>
      <c r="CP64" s="17">
        <f t="shared" si="7"/>
        <v>87.039999999999992</v>
      </c>
      <c r="CQ64" s="16">
        <f t="shared" si="8"/>
        <v>88.2</v>
      </c>
      <c r="CR64" s="16">
        <f t="shared" si="9"/>
        <v>79</v>
      </c>
      <c r="CS64" s="16">
        <f t="shared" si="10"/>
        <v>95</v>
      </c>
      <c r="CT64" s="17">
        <f t="shared" si="11"/>
        <v>87.47999999999999</v>
      </c>
      <c r="CU64" s="17">
        <f t="shared" si="12"/>
        <v>84</v>
      </c>
      <c r="CV64" s="17">
        <f t="shared" si="13"/>
        <v>78</v>
      </c>
      <c r="CW64" s="17">
        <f t="shared" si="14"/>
        <v>84</v>
      </c>
      <c r="CX64" s="17">
        <f t="shared" si="15"/>
        <v>82.2</v>
      </c>
      <c r="CY64" s="18">
        <f t="shared" si="16"/>
        <v>82.75</v>
      </c>
      <c r="CZ64" s="18">
        <f t="shared" si="17"/>
        <v>82.75</v>
      </c>
      <c r="DA64" s="18">
        <f t="shared" si="18"/>
        <v>82</v>
      </c>
      <c r="DB64" s="18">
        <f t="shared" si="19"/>
        <v>82</v>
      </c>
      <c r="DC64" s="18">
        <f t="shared" si="20"/>
        <v>84.5</v>
      </c>
      <c r="DD64" s="18">
        <f t="shared" si="21"/>
        <v>84.5</v>
      </c>
      <c r="DE64" s="18">
        <f t="shared" si="22"/>
        <v>81.25</v>
      </c>
      <c r="DF64" s="18">
        <f t="shared" si="23"/>
        <v>81.25</v>
      </c>
      <c r="DG64" s="18">
        <f t="shared" si="24"/>
        <v>80</v>
      </c>
      <c r="DH64" s="18">
        <f t="shared" si="25"/>
        <v>78</v>
      </c>
      <c r="DI64" s="18">
        <f t="shared" si="26"/>
        <v>95</v>
      </c>
      <c r="DJ64" s="17">
        <f t="shared" si="27"/>
        <v>83.9</v>
      </c>
      <c r="DK64" s="18">
        <f t="shared" si="28"/>
        <v>78</v>
      </c>
      <c r="DL64" s="18">
        <f t="shared" si="29"/>
        <v>81</v>
      </c>
      <c r="DM64" s="18">
        <f t="shared" si="30"/>
        <v>80</v>
      </c>
      <c r="DN64" s="17">
        <f t="shared" si="31"/>
        <v>79.5</v>
      </c>
      <c r="DO64" s="18">
        <f t="shared" si="32"/>
        <v>81</v>
      </c>
      <c r="DP64" s="18">
        <f t="shared" si="33"/>
        <v>81</v>
      </c>
      <c r="DQ64" s="18">
        <f t="shared" si="34"/>
        <v>83</v>
      </c>
      <c r="DR64" s="17">
        <f t="shared" si="35"/>
        <v>81.599999999999994</v>
      </c>
      <c r="DS64" s="18">
        <f t="shared" si="36"/>
        <v>88.5</v>
      </c>
      <c r="DT64" s="18">
        <f t="shared" si="37"/>
        <v>88.5</v>
      </c>
      <c r="DU64" s="18">
        <f t="shared" si="38"/>
        <v>86.5</v>
      </c>
      <c r="DV64" s="18">
        <f t="shared" si="39"/>
        <v>86.5</v>
      </c>
      <c r="DW64" s="18">
        <f t="shared" si="40"/>
        <v>80.5</v>
      </c>
      <c r="DX64" s="17">
        <f t="shared" si="41"/>
        <v>80.5</v>
      </c>
      <c r="DY64" s="18">
        <f t="shared" si="42"/>
        <v>84.222222222222214</v>
      </c>
      <c r="DZ64" s="18">
        <f t="shared" si="43"/>
        <v>79</v>
      </c>
      <c r="EA64" s="18">
        <f t="shared" si="44"/>
        <v>95</v>
      </c>
      <c r="EB64" s="17">
        <f t="shared" si="45"/>
        <v>85.888888888888886</v>
      </c>
      <c r="EC64" s="18">
        <f t="shared" si="46"/>
        <v>87.333333333333329</v>
      </c>
      <c r="ED64" s="18">
        <f t="shared" si="47"/>
        <v>79</v>
      </c>
      <c r="EE64" s="18">
        <f t="shared" si="48"/>
        <v>79</v>
      </c>
      <c r="EF64" s="17">
        <f t="shared" si="49"/>
        <v>82.333333333333329</v>
      </c>
      <c r="EG64" s="18">
        <f t="shared" si="50"/>
        <v>80</v>
      </c>
      <c r="EH64" s="18">
        <f t="shared" si="51"/>
        <v>82.666666666666671</v>
      </c>
      <c r="EI64" s="18">
        <f t="shared" si="52"/>
        <v>81</v>
      </c>
      <c r="EJ64" s="18">
        <f t="shared" si="53"/>
        <v>83</v>
      </c>
      <c r="EK64" s="17">
        <f t="shared" si="54"/>
        <v>82.26666666666668</v>
      </c>
      <c r="EL64" s="19">
        <f t="shared" si="55"/>
        <v>87.039999999999992</v>
      </c>
      <c r="EM64" s="19">
        <f t="shared" si="56"/>
        <v>87.47999999999999</v>
      </c>
      <c r="EN64" s="19">
        <f t="shared" si="57"/>
        <v>82.2</v>
      </c>
      <c r="EO64" s="19">
        <f t="shared" si="58"/>
        <v>82.75</v>
      </c>
      <c r="EP64" s="19">
        <f t="shared" si="59"/>
        <v>82</v>
      </c>
      <c r="EQ64" s="19">
        <f t="shared" si="60"/>
        <v>84.5</v>
      </c>
      <c r="ER64" s="19">
        <f t="shared" si="61"/>
        <v>81.25</v>
      </c>
      <c r="ES64" s="19">
        <f t="shared" si="62"/>
        <v>83.9</v>
      </c>
      <c r="ET64" s="19">
        <f t="shared" si="63"/>
        <v>79.5</v>
      </c>
      <c r="EU64" s="19">
        <f t="shared" si="64"/>
        <v>81.599999999999994</v>
      </c>
      <c r="EV64" s="19">
        <f t="shared" si="65"/>
        <v>88.5</v>
      </c>
      <c r="EW64" s="19">
        <f t="shared" si="66"/>
        <v>86.5</v>
      </c>
      <c r="EX64" s="19">
        <f t="shared" si="67"/>
        <v>80.5</v>
      </c>
      <c r="EY64" s="19">
        <f t="shared" si="68"/>
        <v>85.888888888888886</v>
      </c>
      <c r="EZ64" s="19">
        <f t="shared" si="69"/>
        <v>82.333333333333329</v>
      </c>
      <c r="FA64" s="19">
        <f t="shared" si="70"/>
        <v>80</v>
      </c>
      <c r="FB64" s="19">
        <f t="shared" si="71"/>
        <v>82.26666666666668</v>
      </c>
      <c r="FC64" s="19">
        <f t="shared" si="72"/>
        <v>83.424052287581702</v>
      </c>
    </row>
    <row r="65" spans="1:159" ht="20.100000000000001" customHeight="1">
      <c r="A65" s="11">
        <v>61</v>
      </c>
      <c r="B65" s="22" t="s">
        <v>173</v>
      </c>
      <c r="C65" s="23" t="s">
        <v>174</v>
      </c>
      <c r="D65" s="24" t="s">
        <v>126</v>
      </c>
      <c r="E65" s="14">
        <v>80</v>
      </c>
      <c r="F65" s="14">
        <v>82</v>
      </c>
      <c r="G65" s="14">
        <v>87</v>
      </c>
      <c r="H65" s="14">
        <v>81</v>
      </c>
      <c r="I65" s="14">
        <v>84</v>
      </c>
      <c r="J65" s="14">
        <v>78</v>
      </c>
      <c r="K65" s="14">
        <v>78</v>
      </c>
      <c r="L65" s="14">
        <v>80</v>
      </c>
      <c r="M65" s="14">
        <v>76</v>
      </c>
      <c r="N65" s="14">
        <v>79</v>
      </c>
      <c r="O65" s="14">
        <v>79</v>
      </c>
      <c r="P65" s="15">
        <v>78</v>
      </c>
      <c r="Q65" s="15">
        <v>80</v>
      </c>
      <c r="R65" s="14">
        <v>77</v>
      </c>
      <c r="S65" s="14">
        <v>71</v>
      </c>
      <c r="T65" s="14">
        <v>71</v>
      </c>
      <c r="U65" s="14">
        <v>80</v>
      </c>
      <c r="V65" s="14">
        <v>76</v>
      </c>
      <c r="W65" s="14">
        <v>82</v>
      </c>
      <c r="X65" s="14">
        <v>84</v>
      </c>
      <c r="Y65" s="14">
        <v>80</v>
      </c>
      <c r="Z65" s="14">
        <v>84</v>
      </c>
      <c r="AA65" s="14">
        <v>76</v>
      </c>
      <c r="AB65" s="15">
        <v>82</v>
      </c>
      <c r="AC65" s="15">
        <v>70</v>
      </c>
      <c r="AD65" s="14">
        <v>78</v>
      </c>
      <c r="AE65" s="14">
        <v>81</v>
      </c>
      <c r="AF65" s="14">
        <v>81</v>
      </c>
      <c r="AG65" s="14">
        <v>76</v>
      </c>
      <c r="AH65" s="14">
        <v>71</v>
      </c>
      <c r="AI65" s="14">
        <v>70</v>
      </c>
      <c r="AJ65" s="14">
        <v>81</v>
      </c>
      <c r="AK65" s="14">
        <v>80</v>
      </c>
      <c r="AL65" s="15">
        <v>76</v>
      </c>
      <c r="AM65" s="15">
        <v>71</v>
      </c>
      <c r="AN65" s="14">
        <v>73</v>
      </c>
      <c r="AO65" s="14">
        <v>72</v>
      </c>
      <c r="AP65" s="14">
        <v>73</v>
      </c>
      <c r="AQ65" s="14">
        <v>80</v>
      </c>
      <c r="AR65" s="14">
        <v>77</v>
      </c>
      <c r="AS65" s="14">
        <v>79</v>
      </c>
      <c r="AT65" s="14">
        <v>80</v>
      </c>
      <c r="AU65" s="14">
        <v>78</v>
      </c>
      <c r="AV65" s="14">
        <v>80</v>
      </c>
      <c r="AW65" s="14">
        <v>80</v>
      </c>
      <c r="AX65" s="15">
        <v>77</v>
      </c>
      <c r="AY65" s="15">
        <v>76</v>
      </c>
      <c r="AZ65" s="14">
        <v>77</v>
      </c>
      <c r="BA65" s="14">
        <v>70</v>
      </c>
      <c r="BB65" s="14">
        <v>81</v>
      </c>
      <c r="BC65" s="14">
        <v>80</v>
      </c>
      <c r="BD65" s="14">
        <v>70</v>
      </c>
      <c r="BE65" s="37">
        <v>72</v>
      </c>
      <c r="BF65" s="37">
        <v>70</v>
      </c>
      <c r="BG65" s="37">
        <v>80</v>
      </c>
      <c r="BH65" s="14">
        <v>78</v>
      </c>
      <c r="BI65" s="37">
        <v>70</v>
      </c>
      <c r="BJ65" s="37">
        <v>70</v>
      </c>
      <c r="BK65" s="37">
        <v>80</v>
      </c>
      <c r="BL65" s="14">
        <v>78</v>
      </c>
      <c r="BM65" s="37">
        <v>79</v>
      </c>
      <c r="BN65" s="37">
        <v>75</v>
      </c>
      <c r="BO65" s="37">
        <v>81</v>
      </c>
      <c r="BP65" s="14">
        <v>78</v>
      </c>
      <c r="BQ65" s="15">
        <f t="shared" si="0"/>
        <v>73.666666666666671</v>
      </c>
      <c r="BR65" s="15">
        <f t="shared" si="1"/>
        <v>71.666666666666671</v>
      </c>
      <c r="BS65" s="15">
        <f t="shared" si="2"/>
        <v>80.333333333333329</v>
      </c>
      <c r="BT65" s="15">
        <f t="shared" si="3"/>
        <v>78</v>
      </c>
      <c r="BU65" s="15">
        <v>86</v>
      </c>
      <c r="BV65" s="15">
        <v>86</v>
      </c>
      <c r="BW65" s="15">
        <v>86</v>
      </c>
      <c r="BX65" s="15">
        <v>78</v>
      </c>
      <c r="BY65" s="15">
        <v>77</v>
      </c>
      <c r="BZ65" s="15">
        <v>70</v>
      </c>
      <c r="CA65" s="15">
        <v>74</v>
      </c>
      <c r="CB65" s="15">
        <v>75</v>
      </c>
      <c r="CC65" s="15">
        <v>77</v>
      </c>
      <c r="CD65" s="39">
        <v>86</v>
      </c>
      <c r="CE65" s="40">
        <v>80</v>
      </c>
      <c r="CF65" s="40">
        <v>76</v>
      </c>
      <c r="CG65" s="40">
        <v>70</v>
      </c>
      <c r="CH65" s="40">
        <v>78</v>
      </c>
      <c r="CI65" s="40">
        <v>80</v>
      </c>
      <c r="CJ65" s="40">
        <v>80</v>
      </c>
      <c r="CK65" s="39">
        <v>93</v>
      </c>
      <c r="CL65" s="40">
        <v>70</v>
      </c>
      <c r="CM65" s="41">
        <f t="shared" si="4"/>
        <v>82.8</v>
      </c>
      <c r="CN65" s="41">
        <f t="shared" si="5"/>
        <v>78</v>
      </c>
      <c r="CO65" s="41">
        <f t="shared" si="6"/>
        <v>86</v>
      </c>
      <c r="CP65" s="17">
        <f t="shared" si="7"/>
        <v>82.320000000000007</v>
      </c>
      <c r="CQ65" s="16">
        <f t="shared" si="8"/>
        <v>78.400000000000006</v>
      </c>
      <c r="CR65" s="16">
        <f t="shared" si="9"/>
        <v>78</v>
      </c>
      <c r="CS65" s="16">
        <f t="shared" si="10"/>
        <v>80</v>
      </c>
      <c r="CT65" s="17">
        <f t="shared" si="11"/>
        <v>78.760000000000005</v>
      </c>
      <c r="CU65" s="17">
        <f t="shared" si="12"/>
        <v>75.8</v>
      </c>
      <c r="CV65" s="17">
        <f t="shared" si="13"/>
        <v>76</v>
      </c>
      <c r="CW65" s="17">
        <f t="shared" si="14"/>
        <v>76</v>
      </c>
      <c r="CX65" s="17">
        <f t="shared" si="15"/>
        <v>75.92</v>
      </c>
      <c r="CY65" s="18">
        <f t="shared" si="16"/>
        <v>82.5</v>
      </c>
      <c r="CZ65" s="18">
        <f t="shared" si="17"/>
        <v>82.5</v>
      </c>
      <c r="DA65" s="18">
        <f t="shared" si="18"/>
        <v>76.5</v>
      </c>
      <c r="DB65" s="18">
        <f t="shared" si="19"/>
        <v>76.5</v>
      </c>
      <c r="DC65" s="18">
        <f t="shared" si="20"/>
        <v>81</v>
      </c>
      <c r="DD65" s="18">
        <f t="shared" si="21"/>
        <v>81</v>
      </c>
      <c r="DE65" s="18">
        <f t="shared" si="22"/>
        <v>74.5</v>
      </c>
      <c r="DF65" s="18">
        <f t="shared" si="23"/>
        <v>74.5</v>
      </c>
      <c r="DG65" s="18">
        <f t="shared" si="24"/>
        <v>80</v>
      </c>
      <c r="DH65" s="18">
        <f t="shared" si="25"/>
        <v>76</v>
      </c>
      <c r="DI65" s="18">
        <f t="shared" si="26"/>
        <v>70</v>
      </c>
      <c r="DJ65" s="17">
        <f t="shared" si="27"/>
        <v>75.8</v>
      </c>
      <c r="DK65" s="18">
        <f t="shared" si="28"/>
        <v>73.8</v>
      </c>
      <c r="DL65" s="18">
        <f t="shared" si="29"/>
        <v>77</v>
      </c>
      <c r="DM65" s="18">
        <f t="shared" si="30"/>
        <v>78</v>
      </c>
      <c r="DN65" s="17">
        <f t="shared" si="31"/>
        <v>76.02000000000001</v>
      </c>
      <c r="DO65" s="18">
        <f t="shared" si="32"/>
        <v>79.400000000000006</v>
      </c>
      <c r="DP65" s="18">
        <f t="shared" si="33"/>
        <v>77</v>
      </c>
      <c r="DQ65" s="18">
        <f t="shared" si="34"/>
        <v>80</v>
      </c>
      <c r="DR65" s="17">
        <f t="shared" si="35"/>
        <v>78.86</v>
      </c>
      <c r="DS65" s="18">
        <f t="shared" si="36"/>
        <v>76.5</v>
      </c>
      <c r="DT65" s="18">
        <f t="shared" si="37"/>
        <v>76.5</v>
      </c>
      <c r="DU65" s="18">
        <f t="shared" si="38"/>
        <v>75.5</v>
      </c>
      <c r="DV65" s="18">
        <f t="shared" si="39"/>
        <v>75.5</v>
      </c>
      <c r="DW65" s="18">
        <f t="shared" si="40"/>
        <v>75</v>
      </c>
      <c r="DX65" s="17">
        <f t="shared" si="41"/>
        <v>75</v>
      </c>
      <c r="DY65" s="18">
        <f t="shared" si="42"/>
        <v>75.222222222222229</v>
      </c>
      <c r="DZ65" s="18">
        <f t="shared" si="43"/>
        <v>78</v>
      </c>
      <c r="EA65" s="18">
        <f t="shared" si="44"/>
        <v>70</v>
      </c>
      <c r="EB65" s="17">
        <f t="shared" si="45"/>
        <v>74.488888888888894</v>
      </c>
      <c r="EC65" s="18">
        <f t="shared" si="46"/>
        <v>86</v>
      </c>
      <c r="ED65" s="18">
        <f t="shared" si="47"/>
        <v>78</v>
      </c>
      <c r="EE65" s="18">
        <f t="shared" si="48"/>
        <v>93</v>
      </c>
      <c r="EF65" s="17">
        <f t="shared" si="49"/>
        <v>85.7</v>
      </c>
      <c r="EG65" s="18">
        <f t="shared" si="50"/>
        <v>77</v>
      </c>
      <c r="EH65" s="18">
        <f t="shared" si="51"/>
        <v>73</v>
      </c>
      <c r="EI65" s="18">
        <f t="shared" si="52"/>
        <v>77</v>
      </c>
      <c r="EJ65" s="18">
        <f t="shared" si="53"/>
        <v>80</v>
      </c>
      <c r="EK65" s="17">
        <f t="shared" si="54"/>
        <v>76.3</v>
      </c>
      <c r="EL65" s="19">
        <f t="shared" si="55"/>
        <v>82.320000000000007</v>
      </c>
      <c r="EM65" s="19">
        <f t="shared" si="56"/>
        <v>78.760000000000005</v>
      </c>
      <c r="EN65" s="19">
        <f t="shared" si="57"/>
        <v>75.92</v>
      </c>
      <c r="EO65" s="19">
        <f t="shared" si="58"/>
        <v>82.5</v>
      </c>
      <c r="EP65" s="19">
        <f t="shared" si="59"/>
        <v>76.5</v>
      </c>
      <c r="EQ65" s="19">
        <f t="shared" si="60"/>
        <v>81</v>
      </c>
      <c r="ER65" s="19">
        <f t="shared" si="61"/>
        <v>74.5</v>
      </c>
      <c r="ES65" s="19">
        <f t="shared" si="62"/>
        <v>75.8</v>
      </c>
      <c r="ET65" s="19">
        <f t="shared" si="63"/>
        <v>76.02000000000001</v>
      </c>
      <c r="EU65" s="19">
        <f t="shared" si="64"/>
        <v>78.86</v>
      </c>
      <c r="EV65" s="19">
        <f t="shared" si="65"/>
        <v>76.5</v>
      </c>
      <c r="EW65" s="19">
        <f t="shared" si="66"/>
        <v>75.5</v>
      </c>
      <c r="EX65" s="19">
        <f t="shared" si="67"/>
        <v>75</v>
      </c>
      <c r="EY65" s="19">
        <f t="shared" si="68"/>
        <v>74.488888888888894</v>
      </c>
      <c r="EZ65" s="19">
        <f t="shared" si="69"/>
        <v>85.7</v>
      </c>
      <c r="FA65" s="19">
        <f t="shared" si="70"/>
        <v>77</v>
      </c>
      <c r="FB65" s="19">
        <f t="shared" si="71"/>
        <v>76.3</v>
      </c>
      <c r="FC65" s="19">
        <f t="shared" si="72"/>
        <v>77.804052287581698</v>
      </c>
    </row>
    <row r="66" spans="1:159" ht="20.100000000000001" customHeight="1">
      <c r="A66" s="11">
        <v>62</v>
      </c>
      <c r="B66" s="22" t="s">
        <v>175</v>
      </c>
      <c r="C66" s="23" t="s">
        <v>176</v>
      </c>
      <c r="D66" s="24" t="s">
        <v>126</v>
      </c>
      <c r="E66" s="14">
        <v>80</v>
      </c>
      <c r="F66" s="14">
        <v>85</v>
      </c>
      <c r="G66" s="14">
        <v>90</v>
      </c>
      <c r="H66" s="14">
        <v>86</v>
      </c>
      <c r="I66" s="14">
        <v>87</v>
      </c>
      <c r="J66" s="14">
        <v>95</v>
      </c>
      <c r="K66" s="14">
        <v>81</v>
      </c>
      <c r="L66" s="14">
        <v>78</v>
      </c>
      <c r="M66" s="14">
        <v>92</v>
      </c>
      <c r="N66" s="14">
        <v>90</v>
      </c>
      <c r="O66" s="14">
        <v>91</v>
      </c>
      <c r="P66" s="15">
        <v>95</v>
      </c>
      <c r="Q66" s="15">
        <v>78</v>
      </c>
      <c r="R66" s="14">
        <v>83</v>
      </c>
      <c r="S66" s="14">
        <v>82</v>
      </c>
      <c r="T66" s="14">
        <v>82</v>
      </c>
      <c r="U66" s="14">
        <v>80</v>
      </c>
      <c r="V66" s="14">
        <v>94</v>
      </c>
      <c r="W66" s="14">
        <v>82</v>
      </c>
      <c r="X66" s="14">
        <v>85</v>
      </c>
      <c r="Y66" s="14">
        <v>81</v>
      </c>
      <c r="Z66" s="14">
        <v>85</v>
      </c>
      <c r="AA66" s="14">
        <v>79</v>
      </c>
      <c r="AB66" s="15">
        <v>82</v>
      </c>
      <c r="AC66" s="15">
        <v>85</v>
      </c>
      <c r="AD66" s="14">
        <v>86</v>
      </c>
      <c r="AE66" s="14">
        <v>81</v>
      </c>
      <c r="AF66" s="14">
        <v>83</v>
      </c>
      <c r="AG66" s="14">
        <v>79</v>
      </c>
      <c r="AH66" s="14">
        <v>70</v>
      </c>
      <c r="AI66" s="14">
        <v>74</v>
      </c>
      <c r="AJ66" s="14">
        <v>83</v>
      </c>
      <c r="AK66" s="14">
        <v>80</v>
      </c>
      <c r="AL66" s="15">
        <v>94</v>
      </c>
      <c r="AM66" s="15">
        <v>76</v>
      </c>
      <c r="AN66" s="14">
        <v>82</v>
      </c>
      <c r="AO66" s="14">
        <v>75</v>
      </c>
      <c r="AP66" s="14">
        <v>76</v>
      </c>
      <c r="AQ66" s="14">
        <v>80</v>
      </c>
      <c r="AR66" s="14">
        <v>95</v>
      </c>
      <c r="AS66" s="14">
        <v>78</v>
      </c>
      <c r="AT66" s="14">
        <v>83</v>
      </c>
      <c r="AU66" s="14">
        <v>85</v>
      </c>
      <c r="AV66" s="14">
        <v>86</v>
      </c>
      <c r="AW66" s="14">
        <v>85</v>
      </c>
      <c r="AX66" s="15">
        <v>95</v>
      </c>
      <c r="AY66" s="15">
        <v>89</v>
      </c>
      <c r="AZ66" s="14">
        <v>85</v>
      </c>
      <c r="BA66" s="14">
        <v>77</v>
      </c>
      <c r="BB66" s="14">
        <v>84</v>
      </c>
      <c r="BC66" s="14">
        <v>81</v>
      </c>
      <c r="BD66" s="14">
        <v>83</v>
      </c>
      <c r="BE66" s="37">
        <v>88</v>
      </c>
      <c r="BF66" s="37">
        <v>90</v>
      </c>
      <c r="BG66" s="37">
        <v>84</v>
      </c>
      <c r="BH66" s="14">
        <v>95</v>
      </c>
      <c r="BI66" s="37">
        <v>86</v>
      </c>
      <c r="BJ66" s="37">
        <v>92</v>
      </c>
      <c r="BK66" s="37">
        <v>88</v>
      </c>
      <c r="BL66" s="14">
        <v>95</v>
      </c>
      <c r="BM66" s="37">
        <v>78</v>
      </c>
      <c r="BN66" s="37">
        <v>78</v>
      </c>
      <c r="BO66" s="37">
        <v>83</v>
      </c>
      <c r="BP66" s="14">
        <v>95</v>
      </c>
      <c r="BQ66" s="15">
        <f t="shared" si="0"/>
        <v>84</v>
      </c>
      <c r="BR66" s="15">
        <f t="shared" si="1"/>
        <v>86.666666666666671</v>
      </c>
      <c r="BS66" s="15">
        <f t="shared" si="2"/>
        <v>85</v>
      </c>
      <c r="BT66" s="15">
        <f t="shared" si="3"/>
        <v>95</v>
      </c>
      <c r="BU66" s="15">
        <v>86</v>
      </c>
      <c r="BV66" s="15">
        <v>86</v>
      </c>
      <c r="BW66" s="15">
        <v>90</v>
      </c>
      <c r="BX66" s="15">
        <v>95</v>
      </c>
      <c r="BY66" s="15">
        <v>95</v>
      </c>
      <c r="BZ66" s="15">
        <v>82</v>
      </c>
      <c r="CA66" s="15">
        <v>92</v>
      </c>
      <c r="CB66" s="15">
        <v>80</v>
      </c>
      <c r="CC66" s="15">
        <v>95</v>
      </c>
      <c r="CD66" s="39">
        <v>84</v>
      </c>
      <c r="CE66" s="40">
        <v>85</v>
      </c>
      <c r="CF66" s="40">
        <v>80</v>
      </c>
      <c r="CG66" s="40">
        <v>90</v>
      </c>
      <c r="CH66" s="40">
        <v>80</v>
      </c>
      <c r="CI66" s="40">
        <v>84</v>
      </c>
      <c r="CJ66" s="40">
        <v>82</v>
      </c>
      <c r="CK66" s="39">
        <v>93</v>
      </c>
      <c r="CL66" s="40">
        <v>70</v>
      </c>
      <c r="CM66" s="41">
        <f t="shared" si="4"/>
        <v>85.6</v>
      </c>
      <c r="CN66" s="41">
        <f t="shared" si="5"/>
        <v>95</v>
      </c>
      <c r="CO66" s="41">
        <f t="shared" si="6"/>
        <v>84</v>
      </c>
      <c r="CP66" s="17">
        <f t="shared" si="7"/>
        <v>87.94</v>
      </c>
      <c r="CQ66" s="16">
        <f t="shared" si="8"/>
        <v>86.4</v>
      </c>
      <c r="CR66" s="16">
        <f t="shared" si="9"/>
        <v>95</v>
      </c>
      <c r="CS66" s="16">
        <f t="shared" si="10"/>
        <v>85</v>
      </c>
      <c r="CT66" s="17">
        <f t="shared" si="11"/>
        <v>88.56</v>
      </c>
      <c r="CU66" s="17">
        <f t="shared" si="12"/>
        <v>81</v>
      </c>
      <c r="CV66" s="17">
        <f t="shared" si="13"/>
        <v>94</v>
      </c>
      <c r="CW66" s="17">
        <f t="shared" si="14"/>
        <v>80</v>
      </c>
      <c r="CX66" s="17">
        <f t="shared" si="15"/>
        <v>84.6</v>
      </c>
      <c r="CY66" s="18">
        <f t="shared" si="16"/>
        <v>83.25</v>
      </c>
      <c r="CZ66" s="18">
        <f t="shared" si="17"/>
        <v>83.25</v>
      </c>
      <c r="DA66" s="18">
        <f t="shared" si="18"/>
        <v>83</v>
      </c>
      <c r="DB66" s="18">
        <f t="shared" si="19"/>
        <v>83</v>
      </c>
      <c r="DC66" s="18">
        <f t="shared" si="20"/>
        <v>82</v>
      </c>
      <c r="DD66" s="18">
        <f t="shared" si="21"/>
        <v>82</v>
      </c>
      <c r="DE66" s="18">
        <f t="shared" si="22"/>
        <v>76.5</v>
      </c>
      <c r="DF66" s="18">
        <f t="shared" si="23"/>
        <v>76.5</v>
      </c>
      <c r="DG66" s="18">
        <f t="shared" si="24"/>
        <v>80</v>
      </c>
      <c r="DH66" s="18">
        <f t="shared" si="25"/>
        <v>94</v>
      </c>
      <c r="DI66" s="18">
        <f t="shared" si="26"/>
        <v>90</v>
      </c>
      <c r="DJ66" s="17">
        <f t="shared" si="27"/>
        <v>87.2</v>
      </c>
      <c r="DK66" s="18">
        <f t="shared" si="28"/>
        <v>77.8</v>
      </c>
      <c r="DL66" s="18">
        <f t="shared" si="29"/>
        <v>95</v>
      </c>
      <c r="DM66" s="18">
        <f t="shared" si="30"/>
        <v>80</v>
      </c>
      <c r="DN66" s="17">
        <f t="shared" si="31"/>
        <v>83.62</v>
      </c>
      <c r="DO66" s="18">
        <f t="shared" si="32"/>
        <v>83.4</v>
      </c>
      <c r="DP66" s="18">
        <f t="shared" si="33"/>
        <v>95</v>
      </c>
      <c r="DQ66" s="18">
        <f t="shared" si="34"/>
        <v>84</v>
      </c>
      <c r="DR66" s="17">
        <f t="shared" si="35"/>
        <v>87.06</v>
      </c>
      <c r="DS66" s="18">
        <f t="shared" si="36"/>
        <v>87</v>
      </c>
      <c r="DT66" s="18">
        <f t="shared" si="37"/>
        <v>87</v>
      </c>
      <c r="DU66" s="18">
        <f t="shared" si="38"/>
        <v>80.5</v>
      </c>
      <c r="DV66" s="18">
        <f t="shared" si="39"/>
        <v>80.5</v>
      </c>
      <c r="DW66" s="18">
        <f t="shared" si="40"/>
        <v>82</v>
      </c>
      <c r="DX66" s="17">
        <f t="shared" si="41"/>
        <v>82</v>
      </c>
      <c r="DY66" s="18">
        <f t="shared" si="42"/>
        <v>85.222222222222229</v>
      </c>
      <c r="DZ66" s="18">
        <f t="shared" si="43"/>
        <v>95</v>
      </c>
      <c r="EA66" s="18">
        <f t="shared" si="44"/>
        <v>70</v>
      </c>
      <c r="EB66" s="17">
        <f t="shared" si="45"/>
        <v>83.588888888888889</v>
      </c>
      <c r="EC66" s="18">
        <f t="shared" si="46"/>
        <v>87.333333333333329</v>
      </c>
      <c r="ED66" s="18">
        <f t="shared" si="47"/>
        <v>95</v>
      </c>
      <c r="EE66" s="18">
        <f t="shared" si="48"/>
        <v>93</v>
      </c>
      <c r="EF66" s="17">
        <f t="shared" si="49"/>
        <v>91.333333333333329</v>
      </c>
      <c r="EG66" s="18">
        <f t="shared" si="50"/>
        <v>95</v>
      </c>
      <c r="EH66" s="18">
        <f t="shared" si="51"/>
        <v>84.666666666666671</v>
      </c>
      <c r="EI66" s="18">
        <f t="shared" si="52"/>
        <v>95</v>
      </c>
      <c r="EJ66" s="18">
        <f t="shared" si="53"/>
        <v>82</v>
      </c>
      <c r="EK66" s="17">
        <f t="shared" si="54"/>
        <v>86.966666666666669</v>
      </c>
      <c r="EL66" s="19">
        <f t="shared" si="55"/>
        <v>87.94</v>
      </c>
      <c r="EM66" s="19">
        <f t="shared" si="56"/>
        <v>88.56</v>
      </c>
      <c r="EN66" s="19">
        <f t="shared" si="57"/>
        <v>84.6</v>
      </c>
      <c r="EO66" s="19">
        <f t="shared" si="58"/>
        <v>83.25</v>
      </c>
      <c r="EP66" s="19">
        <f t="shared" si="59"/>
        <v>83</v>
      </c>
      <c r="EQ66" s="19">
        <f t="shared" si="60"/>
        <v>82</v>
      </c>
      <c r="ER66" s="19">
        <f t="shared" si="61"/>
        <v>76.5</v>
      </c>
      <c r="ES66" s="19">
        <f t="shared" si="62"/>
        <v>87.2</v>
      </c>
      <c r="ET66" s="19">
        <f t="shared" si="63"/>
        <v>83.62</v>
      </c>
      <c r="EU66" s="19">
        <f t="shared" si="64"/>
        <v>87.06</v>
      </c>
      <c r="EV66" s="19">
        <f t="shared" si="65"/>
        <v>87</v>
      </c>
      <c r="EW66" s="19">
        <f t="shared" si="66"/>
        <v>80.5</v>
      </c>
      <c r="EX66" s="19">
        <f t="shared" si="67"/>
        <v>82</v>
      </c>
      <c r="EY66" s="19">
        <f t="shared" si="68"/>
        <v>83.588888888888889</v>
      </c>
      <c r="EZ66" s="19">
        <f t="shared" si="69"/>
        <v>91.333333333333329</v>
      </c>
      <c r="FA66" s="19">
        <f t="shared" si="70"/>
        <v>95</v>
      </c>
      <c r="FB66" s="19">
        <f t="shared" si="71"/>
        <v>86.966666666666669</v>
      </c>
      <c r="FC66" s="19">
        <f t="shared" si="72"/>
        <v>85.301111111111112</v>
      </c>
    </row>
    <row r="67" spans="1:159" ht="20.100000000000001" customHeight="1">
      <c r="A67" s="11">
        <v>63</v>
      </c>
      <c r="B67" s="22" t="s">
        <v>177</v>
      </c>
      <c r="C67" s="23" t="s">
        <v>178</v>
      </c>
      <c r="D67" s="24" t="s">
        <v>126</v>
      </c>
      <c r="E67" s="14">
        <v>78</v>
      </c>
      <c r="F67" s="14">
        <v>83</v>
      </c>
      <c r="G67" s="14">
        <v>88</v>
      </c>
      <c r="H67" s="14">
        <v>82</v>
      </c>
      <c r="I67" s="14">
        <v>87</v>
      </c>
      <c r="J67" s="14">
        <v>90</v>
      </c>
      <c r="K67" s="14">
        <v>82</v>
      </c>
      <c r="L67" s="14">
        <v>83</v>
      </c>
      <c r="M67" s="14">
        <v>91</v>
      </c>
      <c r="N67" s="14">
        <v>92</v>
      </c>
      <c r="O67" s="14">
        <v>93</v>
      </c>
      <c r="P67" s="15">
        <v>78</v>
      </c>
      <c r="Q67" s="15">
        <v>81</v>
      </c>
      <c r="R67" s="14">
        <v>83</v>
      </c>
      <c r="S67" s="14">
        <v>83</v>
      </c>
      <c r="T67" s="14">
        <v>82</v>
      </c>
      <c r="U67" s="14">
        <v>81</v>
      </c>
      <c r="V67" s="14">
        <v>83</v>
      </c>
      <c r="W67" s="14">
        <v>83</v>
      </c>
      <c r="X67" s="14">
        <v>85</v>
      </c>
      <c r="Y67" s="14">
        <v>81</v>
      </c>
      <c r="Z67" s="14">
        <v>86</v>
      </c>
      <c r="AA67" s="14">
        <v>74</v>
      </c>
      <c r="AB67" s="15">
        <v>80</v>
      </c>
      <c r="AC67" s="15">
        <v>85</v>
      </c>
      <c r="AD67" s="14">
        <v>86</v>
      </c>
      <c r="AE67" s="14">
        <v>83</v>
      </c>
      <c r="AF67" s="14">
        <v>83</v>
      </c>
      <c r="AG67" s="14">
        <v>74</v>
      </c>
      <c r="AH67" s="14">
        <v>76</v>
      </c>
      <c r="AI67" s="14">
        <v>71</v>
      </c>
      <c r="AJ67" s="14">
        <v>83</v>
      </c>
      <c r="AK67" s="14">
        <v>82</v>
      </c>
      <c r="AL67" s="15">
        <v>83</v>
      </c>
      <c r="AM67" s="15">
        <v>73</v>
      </c>
      <c r="AN67" s="14">
        <v>74</v>
      </c>
      <c r="AO67" s="14">
        <v>75</v>
      </c>
      <c r="AP67" s="14">
        <v>76</v>
      </c>
      <c r="AQ67" s="14">
        <v>80</v>
      </c>
      <c r="AR67" s="14">
        <v>80</v>
      </c>
      <c r="AS67" s="14">
        <v>79</v>
      </c>
      <c r="AT67" s="14">
        <v>83</v>
      </c>
      <c r="AU67" s="14">
        <v>83</v>
      </c>
      <c r="AV67" s="14">
        <v>83</v>
      </c>
      <c r="AW67" s="14">
        <v>83</v>
      </c>
      <c r="AX67" s="15">
        <v>80</v>
      </c>
      <c r="AY67" s="15">
        <v>87</v>
      </c>
      <c r="AZ67" s="14">
        <v>82</v>
      </c>
      <c r="BA67" s="14">
        <v>78</v>
      </c>
      <c r="BB67" s="14">
        <v>88</v>
      </c>
      <c r="BC67" s="14">
        <v>81</v>
      </c>
      <c r="BD67" s="14">
        <v>83</v>
      </c>
      <c r="BE67" s="37">
        <v>82</v>
      </c>
      <c r="BF67" s="37">
        <v>77</v>
      </c>
      <c r="BG67" s="37">
        <v>81</v>
      </c>
      <c r="BH67" s="14">
        <v>80</v>
      </c>
      <c r="BI67" s="37">
        <v>83</v>
      </c>
      <c r="BJ67" s="37">
        <v>80</v>
      </c>
      <c r="BK67" s="37">
        <v>88</v>
      </c>
      <c r="BL67" s="14">
        <v>80</v>
      </c>
      <c r="BM67" s="37">
        <v>77</v>
      </c>
      <c r="BN67" s="37">
        <v>78</v>
      </c>
      <c r="BO67" s="37">
        <v>83</v>
      </c>
      <c r="BP67" s="14">
        <v>80</v>
      </c>
      <c r="BQ67" s="15">
        <f t="shared" si="0"/>
        <v>80.666666666666671</v>
      </c>
      <c r="BR67" s="15">
        <f t="shared" si="1"/>
        <v>78.333333333333329</v>
      </c>
      <c r="BS67" s="15">
        <f t="shared" si="2"/>
        <v>84</v>
      </c>
      <c r="BT67" s="15">
        <f t="shared" si="3"/>
        <v>80</v>
      </c>
      <c r="BU67" s="15">
        <v>85</v>
      </c>
      <c r="BV67" s="15">
        <v>85</v>
      </c>
      <c r="BW67" s="15">
        <v>86</v>
      </c>
      <c r="BX67" s="15">
        <v>80</v>
      </c>
      <c r="BY67" s="15">
        <v>82</v>
      </c>
      <c r="BZ67" s="15">
        <v>71</v>
      </c>
      <c r="CA67" s="15">
        <v>77</v>
      </c>
      <c r="CB67" s="15">
        <v>80</v>
      </c>
      <c r="CC67" s="15">
        <v>80</v>
      </c>
      <c r="CD67" s="39">
        <v>84</v>
      </c>
      <c r="CE67" s="40">
        <v>92</v>
      </c>
      <c r="CF67" s="40">
        <v>78</v>
      </c>
      <c r="CG67" s="40">
        <v>87</v>
      </c>
      <c r="CH67" s="40">
        <v>80</v>
      </c>
      <c r="CI67" s="40">
        <v>83</v>
      </c>
      <c r="CJ67" s="40">
        <v>80</v>
      </c>
      <c r="CK67" s="39">
        <v>78</v>
      </c>
      <c r="CL67" s="40">
        <v>85</v>
      </c>
      <c r="CM67" s="41">
        <f t="shared" si="4"/>
        <v>83.6</v>
      </c>
      <c r="CN67" s="41">
        <f t="shared" si="5"/>
        <v>90</v>
      </c>
      <c r="CO67" s="41">
        <f t="shared" si="6"/>
        <v>84</v>
      </c>
      <c r="CP67" s="17">
        <f t="shared" si="7"/>
        <v>85.64</v>
      </c>
      <c r="CQ67" s="16">
        <f t="shared" si="8"/>
        <v>88.2</v>
      </c>
      <c r="CR67" s="16">
        <f t="shared" si="9"/>
        <v>78</v>
      </c>
      <c r="CS67" s="16">
        <f t="shared" si="10"/>
        <v>92</v>
      </c>
      <c r="CT67" s="17">
        <f t="shared" si="11"/>
        <v>86.28</v>
      </c>
      <c r="CU67" s="17">
        <f t="shared" si="12"/>
        <v>82</v>
      </c>
      <c r="CV67" s="17">
        <f t="shared" si="13"/>
        <v>83</v>
      </c>
      <c r="CW67" s="17">
        <f t="shared" si="14"/>
        <v>78</v>
      </c>
      <c r="CX67" s="17">
        <f t="shared" si="15"/>
        <v>81.099999999999994</v>
      </c>
      <c r="CY67" s="18">
        <f t="shared" si="16"/>
        <v>83.75</v>
      </c>
      <c r="CZ67" s="18">
        <f t="shared" si="17"/>
        <v>83.75</v>
      </c>
      <c r="DA67" s="18">
        <f t="shared" si="18"/>
        <v>81.25</v>
      </c>
      <c r="DB67" s="18">
        <f t="shared" si="19"/>
        <v>81.25</v>
      </c>
      <c r="DC67" s="18">
        <f t="shared" si="20"/>
        <v>83</v>
      </c>
      <c r="DD67" s="18">
        <f t="shared" si="21"/>
        <v>83</v>
      </c>
      <c r="DE67" s="18">
        <f t="shared" si="22"/>
        <v>76</v>
      </c>
      <c r="DF67" s="18">
        <f t="shared" si="23"/>
        <v>76</v>
      </c>
      <c r="DG67" s="18">
        <f t="shared" si="24"/>
        <v>82</v>
      </c>
      <c r="DH67" s="18">
        <f t="shared" si="25"/>
        <v>83</v>
      </c>
      <c r="DI67" s="18">
        <f t="shared" si="26"/>
        <v>87</v>
      </c>
      <c r="DJ67" s="17">
        <f t="shared" si="27"/>
        <v>83.8</v>
      </c>
      <c r="DK67" s="18">
        <f t="shared" si="28"/>
        <v>75.599999999999994</v>
      </c>
      <c r="DL67" s="18">
        <f t="shared" si="29"/>
        <v>80</v>
      </c>
      <c r="DM67" s="18">
        <f t="shared" si="30"/>
        <v>80</v>
      </c>
      <c r="DN67" s="17">
        <f t="shared" si="31"/>
        <v>78.239999999999995</v>
      </c>
      <c r="DO67" s="18">
        <f t="shared" si="32"/>
        <v>82.2</v>
      </c>
      <c r="DP67" s="18">
        <f t="shared" si="33"/>
        <v>80</v>
      </c>
      <c r="DQ67" s="18">
        <f t="shared" si="34"/>
        <v>83</v>
      </c>
      <c r="DR67" s="17">
        <f t="shared" si="35"/>
        <v>81.78</v>
      </c>
      <c r="DS67" s="18">
        <f t="shared" si="36"/>
        <v>84.5</v>
      </c>
      <c r="DT67" s="18">
        <f t="shared" si="37"/>
        <v>84.5</v>
      </c>
      <c r="DU67" s="18">
        <f t="shared" si="38"/>
        <v>83</v>
      </c>
      <c r="DV67" s="18">
        <f t="shared" si="39"/>
        <v>83</v>
      </c>
      <c r="DW67" s="18">
        <f t="shared" si="40"/>
        <v>82</v>
      </c>
      <c r="DX67" s="17">
        <f t="shared" si="41"/>
        <v>82</v>
      </c>
      <c r="DY67" s="18">
        <f t="shared" si="42"/>
        <v>81</v>
      </c>
      <c r="DZ67" s="18">
        <f t="shared" si="43"/>
        <v>80</v>
      </c>
      <c r="EA67" s="18">
        <f t="shared" si="44"/>
        <v>85</v>
      </c>
      <c r="EB67" s="17">
        <f t="shared" si="45"/>
        <v>81.900000000000006</v>
      </c>
      <c r="EC67" s="18">
        <f t="shared" si="46"/>
        <v>85.333333333333329</v>
      </c>
      <c r="ED67" s="18">
        <f t="shared" si="47"/>
        <v>80</v>
      </c>
      <c r="EE67" s="18">
        <f t="shared" si="48"/>
        <v>78</v>
      </c>
      <c r="EF67" s="17">
        <f t="shared" si="49"/>
        <v>81.533333333333331</v>
      </c>
      <c r="EG67" s="18">
        <f t="shared" si="50"/>
        <v>82</v>
      </c>
      <c r="EH67" s="18">
        <f t="shared" si="51"/>
        <v>76</v>
      </c>
      <c r="EI67" s="18">
        <f t="shared" si="52"/>
        <v>80</v>
      </c>
      <c r="EJ67" s="18">
        <f t="shared" si="53"/>
        <v>80</v>
      </c>
      <c r="EK67" s="17">
        <f t="shared" si="54"/>
        <v>78.400000000000006</v>
      </c>
      <c r="EL67" s="19">
        <f t="shared" si="55"/>
        <v>85.64</v>
      </c>
      <c r="EM67" s="19">
        <f t="shared" si="56"/>
        <v>86.28</v>
      </c>
      <c r="EN67" s="19">
        <f t="shared" si="57"/>
        <v>81.099999999999994</v>
      </c>
      <c r="EO67" s="19">
        <f t="shared" si="58"/>
        <v>83.75</v>
      </c>
      <c r="EP67" s="19">
        <f t="shared" si="59"/>
        <v>81.25</v>
      </c>
      <c r="EQ67" s="19">
        <f t="shared" si="60"/>
        <v>83</v>
      </c>
      <c r="ER67" s="19">
        <f t="shared" si="61"/>
        <v>76</v>
      </c>
      <c r="ES67" s="19">
        <f t="shared" si="62"/>
        <v>83.8</v>
      </c>
      <c r="ET67" s="19">
        <f t="shared" si="63"/>
        <v>78.239999999999995</v>
      </c>
      <c r="EU67" s="19">
        <f t="shared" si="64"/>
        <v>81.78</v>
      </c>
      <c r="EV67" s="19">
        <f t="shared" si="65"/>
        <v>84.5</v>
      </c>
      <c r="EW67" s="19">
        <f t="shared" si="66"/>
        <v>83</v>
      </c>
      <c r="EX67" s="19">
        <f t="shared" si="67"/>
        <v>82</v>
      </c>
      <c r="EY67" s="19">
        <f t="shared" si="68"/>
        <v>81.900000000000006</v>
      </c>
      <c r="EZ67" s="19">
        <f t="shared" si="69"/>
        <v>81.533333333333331</v>
      </c>
      <c r="FA67" s="19">
        <f t="shared" si="70"/>
        <v>82</v>
      </c>
      <c r="FB67" s="19">
        <f t="shared" si="71"/>
        <v>78.400000000000006</v>
      </c>
      <c r="FC67" s="19">
        <f t="shared" si="72"/>
        <v>82.010196078431377</v>
      </c>
    </row>
    <row r="68" spans="1:159" ht="20.100000000000001" customHeight="1">
      <c r="A68" s="11">
        <v>64</v>
      </c>
      <c r="B68" s="22" t="s">
        <v>179</v>
      </c>
      <c r="C68" s="23" t="s">
        <v>180</v>
      </c>
      <c r="D68" s="24" t="s">
        <v>126</v>
      </c>
      <c r="E68" s="14">
        <v>79</v>
      </c>
      <c r="F68" s="14">
        <v>85</v>
      </c>
      <c r="G68" s="14">
        <v>88</v>
      </c>
      <c r="H68" s="14">
        <v>82</v>
      </c>
      <c r="I68" s="14">
        <v>88</v>
      </c>
      <c r="J68" s="14">
        <v>80</v>
      </c>
      <c r="K68" s="14">
        <v>79</v>
      </c>
      <c r="L68" s="14">
        <v>86</v>
      </c>
      <c r="M68" s="14">
        <v>82</v>
      </c>
      <c r="N68" s="14">
        <v>90</v>
      </c>
      <c r="O68" s="14">
        <v>92</v>
      </c>
      <c r="P68" s="15">
        <v>80</v>
      </c>
      <c r="Q68" s="15">
        <v>80</v>
      </c>
      <c r="R68" s="14">
        <v>81</v>
      </c>
      <c r="S68" s="14">
        <v>80</v>
      </c>
      <c r="T68" s="14">
        <v>85</v>
      </c>
      <c r="U68" s="14">
        <v>80</v>
      </c>
      <c r="V68" s="14">
        <v>80</v>
      </c>
      <c r="W68" s="14">
        <v>83</v>
      </c>
      <c r="X68" s="14">
        <v>85</v>
      </c>
      <c r="Y68" s="14">
        <v>81</v>
      </c>
      <c r="Z68" s="14">
        <v>85</v>
      </c>
      <c r="AA68" s="14">
        <v>74</v>
      </c>
      <c r="AB68" s="15">
        <v>79</v>
      </c>
      <c r="AC68" s="15">
        <v>85</v>
      </c>
      <c r="AD68" s="14">
        <v>85</v>
      </c>
      <c r="AE68" s="14">
        <v>82</v>
      </c>
      <c r="AF68" s="14">
        <v>90</v>
      </c>
      <c r="AG68" s="14">
        <v>76</v>
      </c>
      <c r="AH68" s="14">
        <v>70</v>
      </c>
      <c r="AI68" s="14">
        <v>71</v>
      </c>
      <c r="AJ68" s="14">
        <v>81</v>
      </c>
      <c r="AK68" s="14">
        <v>80</v>
      </c>
      <c r="AL68" s="15">
        <v>80</v>
      </c>
      <c r="AM68" s="15">
        <v>74</v>
      </c>
      <c r="AN68" s="14">
        <v>74</v>
      </c>
      <c r="AO68" s="14">
        <v>72</v>
      </c>
      <c r="AP68" s="14">
        <v>73</v>
      </c>
      <c r="AQ68" s="14">
        <v>80</v>
      </c>
      <c r="AR68" s="14">
        <v>80</v>
      </c>
      <c r="AS68" s="14">
        <v>78</v>
      </c>
      <c r="AT68" s="14">
        <v>80</v>
      </c>
      <c r="AU68" s="14">
        <v>80</v>
      </c>
      <c r="AV68" s="14">
        <v>82</v>
      </c>
      <c r="AW68" s="14">
        <v>80</v>
      </c>
      <c r="AX68" s="15">
        <v>80</v>
      </c>
      <c r="AY68" s="15">
        <v>72</v>
      </c>
      <c r="AZ68" s="14">
        <v>76</v>
      </c>
      <c r="BA68" s="14">
        <v>77</v>
      </c>
      <c r="BB68" s="14">
        <v>82</v>
      </c>
      <c r="BC68" s="14">
        <v>83</v>
      </c>
      <c r="BD68" s="14">
        <v>75</v>
      </c>
      <c r="BE68" s="37">
        <v>73</v>
      </c>
      <c r="BF68" s="37">
        <v>76</v>
      </c>
      <c r="BG68" s="37">
        <v>80</v>
      </c>
      <c r="BH68" s="14">
        <v>80</v>
      </c>
      <c r="BI68" s="37">
        <v>75</v>
      </c>
      <c r="BJ68" s="37">
        <v>76</v>
      </c>
      <c r="BK68" s="37">
        <v>87</v>
      </c>
      <c r="BL68" s="14">
        <v>80</v>
      </c>
      <c r="BM68" s="37">
        <v>78</v>
      </c>
      <c r="BN68" s="37">
        <v>77</v>
      </c>
      <c r="BO68" s="37">
        <v>82</v>
      </c>
      <c r="BP68" s="14">
        <v>80</v>
      </c>
      <c r="BQ68" s="15">
        <f t="shared" si="0"/>
        <v>75.333333333333329</v>
      </c>
      <c r="BR68" s="15">
        <f t="shared" si="1"/>
        <v>76.333333333333329</v>
      </c>
      <c r="BS68" s="15">
        <f t="shared" si="2"/>
        <v>83</v>
      </c>
      <c r="BT68" s="15">
        <f t="shared" si="3"/>
        <v>80</v>
      </c>
      <c r="BU68" s="15">
        <v>85</v>
      </c>
      <c r="BV68" s="15">
        <v>85</v>
      </c>
      <c r="BW68" s="15">
        <v>86</v>
      </c>
      <c r="BX68" s="15">
        <v>80</v>
      </c>
      <c r="BY68" s="15">
        <v>80</v>
      </c>
      <c r="BZ68" s="15">
        <v>72</v>
      </c>
      <c r="CA68" s="15">
        <v>75</v>
      </c>
      <c r="CB68" s="15">
        <v>80</v>
      </c>
      <c r="CC68" s="15">
        <v>80</v>
      </c>
      <c r="CD68" s="39">
        <v>85</v>
      </c>
      <c r="CE68" s="40">
        <v>85</v>
      </c>
      <c r="CF68" s="40">
        <v>78</v>
      </c>
      <c r="CG68" s="40">
        <v>70</v>
      </c>
      <c r="CH68" s="40">
        <v>79</v>
      </c>
      <c r="CI68" s="40">
        <v>85</v>
      </c>
      <c r="CJ68" s="40">
        <v>80</v>
      </c>
      <c r="CK68" s="39">
        <v>93</v>
      </c>
      <c r="CL68" s="40">
        <v>70</v>
      </c>
      <c r="CM68" s="41">
        <f t="shared" si="4"/>
        <v>84.4</v>
      </c>
      <c r="CN68" s="41">
        <f t="shared" si="5"/>
        <v>80</v>
      </c>
      <c r="CO68" s="41">
        <f t="shared" si="6"/>
        <v>85</v>
      </c>
      <c r="CP68" s="17">
        <f t="shared" si="7"/>
        <v>83.26</v>
      </c>
      <c r="CQ68" s="16">
        <f t="shared" si="8"/>
        <v>85.8</v>
      </c>
      <c r="CR68" s="16">
        <f t="shared" si="9"/>
        <v>80</v>
      </c>
      <c r="CS68" s="16">
        <f t="shared" si="10"/>
        <v>85</v>
      </c>
      <c r="CT68" s="17">
        <f t="shared" si="11"/>
        <v>83.820000000000007</v>
      </c>
      <c r="CU68" s="17">
        <f t="shared" si="12"/>
        <v>81.2</v>
      </c>
      <c r="CV68" s="17">
        <f t="shared" si="13"/>
        <v>80</v>
      </c>
      <c r="CW68" s="17">
        <f t="shared" si="14"/>
        <v>78</v>
      </c>
      <c r="CX68" s="17">
        <f t="shared" si="15"/>
        <v>79.88</v>
      </c>
      <c r="CY68" s="18">
        <f t="shared" si="16"/>
        <v>83.5</v>
      </c>
      <c r="CZ68" s="18">
        <f t="shared" si="17"/>
        <v>83.5</v>
      </c>
      <c r="DA68" s="18">
        <f t="shared" si="18"/>
        <v>80.75</v>
      </c>
      <c r="DB68" s="18">
        <f t="shared" si="19"/>
        <v>80.75</v>
      </c>
      <c r="DC68" s="18">
        <f t="shared" si="20"/>
        <v>86</v>
      </c>
      <c r="DD68" s="18">
        <f t="shared" si="21"/>
        <v>86</v>
      </c>
      <c r="DE68" s="18">
        <f t="shared" si="22"/>
        <v>74.5</v>
      </c>
      <c r="DF68" s="18">
        <f t="shared" si="23"/>
        <v>74.5</v>
      </c>
      <c r="DG68" s="18">
        <f t="shared" si="24"/>
        <v>80</v>
      </c>
      <c r="DH68" s="18">
        <f t="shared" si="25"/>
        <v>80</v>
      </c>
      <c r="DI68" s="18">
        <f t="shared" si="26"/>
        <v>70</v>
      </c>
      <c r="DJ68" s="17">
        <f t="shared" si="27"/>
        <v>77</v>
      </c>
      <c r="DK68" s="18">
        <f t="shared" si="28"/>
        <v>74.599999999999994</v>
      </c>
      <c r="DL68" s="18">
        <f t="shared" si="29"/>
        <v>80</v>
      </c>
      <c r="DM68" s="18">
        <f t="shared" si="30"/>
        <v>79</v>
      </c>
      <c r="DN68" s="17">
        <f t="shared" si="31"/>
        <v>77.539999999999992</v>
      </c>
      <c r="DO68" s="18">
        <f t="shared" si="32"/>
        <v>80</v>
      </c>
      <c r="DP68" s="18">
        <f t="shared" si="33"/>
        <v>80</v>
      </c>
      <c r="DQ68" s="18">
        <f t="shared" si="34"/>
        <v>85</v>
      </c>
      <c r="DR68" s="17">
        <f t="shared" si="35"/>
        <v>81.5</v>
      </c>
      <c r="DS68" s="18">
        <f t="shared" si="36"/>
        <v>74</v>
      </c>
      <c r="DT68" s="18">
        <f t="shared" si="37"/>
        <v>74</v>
      </c>
      <c r="DU68" s="18">
        <f t="shared" si="38"/>
        <v>79.5</v>
      </c>
      <c r="DV68" s="18">
        <f t="shared" si="39"/>
        <v>79.5</v>
      </c>
      <c r="DW68" s="18">
        <f t="shared" si="40"/>
        <v>79</v>
      </c>
      <c r="DX68" s="17">
        <f t="shared" si="41"/>
        <v>79</v>
      </c>
      <c r="DY68" s="18">
        <f t="shared" si="42"/>
        <v>78.222222222222214</v>
      </c>
      <c r="DZ68" s="18">
        <f t="shared" si="43"/>
        <v>80</v>
      </c>
      <c r="EA68" s="18">
        <f t="shared" si="44"/>
        <v>70</v>
      </c>
      <c r="EB68" s="17">
        <f t="shared" si="45"/>
        <v>76.288888888888891</v>
      </c>
      <c r="EC68" s="18">
        <f t="shared" si="46"/>
        <v>85.333333333333329</v>
      </c>
      <c r="ED68" s="18">
        <f t="shared" si="47"/>
        <v>80</v>
      </c>
      <c r="EE68" s="18">
        <f t="shared" si="48"/>
        <v>93</v>
      </c>
      <c r="EF68" s="17">
        <f t="shared" si="49"/>
        <v>86.033333333333331</v>
      </c>
      <c r="EG68" s="18">
        <f t="shared" si="50"/>
        <v>80</v>
      </c>
      <c r="EH68" s="18">
        <f t="shared" si="51"/>
        <v>75.666666666666671</v>
      </c>
      <c r="EI68" s="18">
        <f t="shared" si="52"/>
        <v>80</v>
      </c>
      <c r="EJ68" s="18">
        <f t="shared" si="53"/>
        <v>80</v>
      </c>
      <c r="EK68" s="17">
        <f t="shared" si="54"/>
        <v>78.26666666666668</v>
      </c>
      <c r="EL68" s="19">
        <f t="shared" si="55"/>
        <v>83.26</v>
      </c>
      <c r="EM68" s="19">
        <f t="shared" si="56"/>
        <v>83.820000000000007</v>
      </c>
      <c r="EN68" s="19">
        <f t="shared" si="57"/>
        <v>79.88</v>
      </c>
      <c r="EO68" s="19">
        <f t="shared" si="58"/>
        <v>83.5</v>
      </c>
      <c r="EP68" s="19">
        <f t="shared" si="59"/>
        <v>80.75</v>
      </c>
      <c r="EQ68" s="19">
        <f t="shared" si="60"/>
        <v>86</v>
      </c>
      <c r="ER68" s="19">
        <f t="shared" si="61"/>
        <v>74.5</v>
      </c>
      <c r="ES68" s="19">
        <f t="shared" si="62"/>
        <v>77</v>
      </c>
      <c r="ET68" s="19">
        <f t="shared" si="63"/>
        <v>77.539999999999992</v>
      </c>
      <c r="EU68" s="19">
        <f t="shared" si="64"/>
        <v>81.5</v>
      </c>
      <c r="EV68" s="19">
        <f t="shared" si="65"/>
        <v>74</v>
      </c>
      <c r="EW68" s="19">
        <f t="shared" si="66"/>
        <v>79.5</v>
      </c>
      <c r="EX68" s="19">
        <f t="shared" si="67"/>
        <v>79</v>
      </c>
      <c r="EY68" s="19">
        <f t="shared" si="68"/>
        <v>76.288888888888891</v>
      </c>
      <c r="EZ68" s="19">
        <f t="shared" si="69"/>
        <v>86.033333333333331</v>
      </c>
      <c r="FA68" s="19">
        <f t="shared" si="70"/>
        <v>80</v>
      </c>
      <c r="FB68" s="19">
        <f t="shared" si="71"/>
        <v>78.26666666666668</v>
      </c>
      <c r="FC68" s="19">
        <f t="shared" si="72"/>
        <v>80.049346405228746</v>
      </c>
    </row>
    <row r="69" spans="1:159" ht="20.100000000000001" customHeight="1">
      <c r="A69" s="11">
        <v>65</v>
      </c>
      <c r="B69" s="22" t="s">
        <v>181</v>
      </c>
      <c r="C69" s="23" t="s">
        <v>182</v>
      </c>
      <c r="D69" s="24" t="s">
        <v>126</v>
      </c>
      <c r="E69" s="14">
        <v>88</v>
      </c>
      <c r="F69" s="14">
        <v>90</v>
      </c>
      <c r="G69" s="14">
        <v>90</v>
      </c>
      <c r="H69" s="14">
        <v>87</v>
      </c>
      <c r="I69" s="14">
        <v>91</v>
      </c>
      <c r="J69" s="14">
        <v>95</v>
      </c>
      <c r="K69" s="14">
        <v>86</v>
      </c>
      <c r="L69" s="14">
        <v>84</v>
      </c>
      <c r="M69" s="14">
        <v>94</v>
      </c>
      <c r="N69" s="14">
        <v>95</v>
      </c>
      <c r="O69" s="14">
        <v>95</v>
      </c>
      <c r="P69" s="15">
        <v>95</v>
      </c>
      <c r="Q69" s="15">
        <v>88</v>
      </c>
      <c r="R69" s="14">
        <v>84</v>
      </c>
      <c r="S69" s="14">
        <v>86</v>
      </c>
      <c r="T69" s="14">
        <v>88</v>
      </c>
      <c r="U69" s="14">
        <v>83</v>
      </c>
      <c r="V69" s="14">
        <v>95</v>
      </c>
      <c r="W69" s="14">
        <v>81</v>
      </c>
      <c r="X69" s="14">
        <v>84</v>
      </c>
      <c r="Y69" s="14">
        <v>80</v>
      </c>
      <c r="Z69" s="14">
        <v>84</v>
      </c>
      <c r="AA69" s="14">
        <v>78</v>
      </c>
      <c r="AB69" s="15">
        <v>85</v>
      </c>
      <c r="AC69" s="15">
        <v>85</v>
      </c>
      <c r="AD69" s="14">
        <v>86</v>
      </c>
      <c r="AE69" s="14">
        <v>84</v>
      </c>
      <c r="AF69" s="14">
        <v>90</v>
      </c>
      <c r="AG69" s="14">
        <v>78</v>
      </c>
      <c r="AH69" s="14">
        <v>80</v>
      </c>
      <c r="AI69" s="14">
        <v>73</v>
      </c>
      <c r="AJ69" s="14">
        <v>83</v>
      </c>
      <c r="AK69" s="14">
        <v>84</v>
      </c>
      <c r="AL69" s="15">
        <v>95</v>
      </c>
      <c r="AM69" s="15">
        <v>72</v>
      </c>
      <c r="AN69" s="14">
        <v>76</v>
      </c>
      <c r="AO69" s="14">
        <v>74</v>
      </c>
      <c r="AP69" s="14">
        <v>75</v>
      </c>
      <c r="AQ69" s="14">
        <v>82</v>
      </c>
      <c r="AR69" s="14">
        <v>95</v>
      </c>
      <c r="AS69" s="14">
        <v>80</v>
      </c>
      <c r="AT69" s="14">
        <v>84</v>
      </c>
      <c r="AU69" s="14">
        <v>84</v>
      </c>
      <c r="AV69" s="14">
        <v>82</v>
      </c>
      <c r="AW69" s="14">
        <v>84</v>
      </c>
      <c r="AX69" s="15">
        <v>95</v>
      </c>
      <c r="AY69" s="15">
        <v>92</v>
      </c>
      <c r="AZ69" s="14">
        <v>94</v>
      </c>
      <c r="BA69" s="14">
        <v>85</v>
      </c>
      <c r="BB69" s="14">
        <v>93</v>
      </c>
      <c r="BC69" s="14">
        <v>84</v>
      </c>
      <c r="BD69" s="14">
        <v>80</v>
      </c>
      <c r="BE69" s="37">
        <v>86</v>
      </c>
      <c r="BF69" s="37">
        <v>87</v>
      </c>
      <c r="BG69" s="37">
        <v>84</v>
      </c>
      <c r="BH69" s="14">
        <v>95</v>
      </c>
      <c r="BI69" s="37">
        <v>83</v>
      </c>
      <c r="BJ69" s="37">
        <v>88</v>
      </c>
      <c r="BK69" s="37">
        <v>88</v>
      </c>
      <c r="BL69" s="14">
        <v>95</v>
      </c>
      <c r="BM69" s="37">
        <v>79</v>
      </c>
      <c r="BN69" s="37">
        <v>80</v>
      </c>
      <c r="BO69" s="37">
        <v>85</v>
      </c>
      <c r="BP69" s="14">
        <v>95</v>
      </c>
      <c r="BQ69" s="15">
        <f t="shared" si="0"/>
        <v>82.666666666666671</v>
      </c>
      <c r="BR69" s="15">
        <f t="shared" si="1"/>
        <v>85</v>
      </c>
      <c r="BS69" s="15">
        <f t="shared" si="2"/>
        <v>85.666666666666671</v>
      </c>
      <c r="BT69" s="15">
        <f t="shared" si="3"/>
        <v>95</v>
      </c>
      <c r="BU69" s="15">
        <v>85</v>
      </c>
      <c r="BV69" s="15">
        <v>85</v>
      </c>
      <c r="BW69" s="15">
        <v>90</v>
      </c>
      <c r="BX69" s="15">
        <v>95</v>
      </c>
      <c r="BY69" s="15">
        <v>95</v>
      </c>
      <c r="BZ69" s="15">
        <v>76</v>
      </c>
      <c r="CA69" s="15">
        <v>90</v>
      </c>
      <c r="CB69" s="15">
        <v>87</v>
      </c>
      <c r="CC69" s="15">
        <v>95</v>
      </c>
      <c r="CD69" s="39">
        <v>90</v>
      </c>
      <c r="CE69" s="40">
        <v>92</v>
      </c>
      <c r="CF69" s="40">
        <v>82</v>
      </c>
      <c r="CG69" s="40">
        <v>77</v>
      </c>
      <c r="CH69" s="40">
        <v>82</v>
      </c>
      <c r="CI69" s="40">
        <v>83</v>
      </c>
      <c r="CJ69" s="40">
        <v>85</v>
      </c>
      <c r="CK69" s="39">
        <v>93</v>
      </c>
      <c r="CL69" s="40">
        <v>80</v>
      </c>
      <c r="CM69" s="41">
        <f t="shared" si="4"/>
        <v>89.2</v>
      </c>
      <c r="CN69" s="41">
        <f t="shared" si="5"/>
        <v>95</v>
      </c>
      <c r="CO69" s="41">
        <f t="shared" si="6"/>
        <v>90</v>
      </c>
      <c r="CP69" s="17">
        <f t="shared" si="7"/>
        <v>91.179999999999993</v>
      </c>
      <c r="CQ69" s="16">
        <f t="shared" si="8"/>
        <v>90.8</v>
      </c>
      <c r="CR69" s="16">
        <f t="shared" si="9"/>
        <v>95</v>
      </c>
      <c r="CS69" s="16">
        <f t="shared" si="10"/>
        <v>92</v>
      </c>
      <c r="CT69" s="17">
        <f t="shared" si="11"/>
        <v>92.42</v>
      </c>
      <c r="CU69" s="17">
        <f t="shared" si="12"/>
        <v>85.8</v>
      </c>
      <c r="CV69" s="17">
        <f t="shared" si="13"/>
        <v>95</v>
      </c>
      <c r="CW69" s="17">
        <f t="shared" si="14"/>
        <v>82</v>
      </c>
      <c r="CX69" s="17">
        <f t="shared" si="15"/>
        <v>87.42</v>
      </c>
      <c r="CY69" s="18">
        <f t="shared" si="16"/>
        <v>82.25</v>
      </c>
      <c r="CZ69" s="18">
        <f t="shared" si="17"/>
        <v>82.25</v>
      </c>
      <c r="DA69" s="18">
        <f t="shared" si="18"/>
        <v>83.5</v>
      </c>
      <c r="DB69" s="18">
        <f t="shared" si="19"/>
        <v>83.5</v>
      </c>
      <c r="DC69" s="18">
        <f t="shared" si="20"/>
        <v>87</v>
      </c>
      <c r="DD69" s="18">
        <f t="shared" si="21"/>
        <v>87</v>
      </c>
      <c r="DE69" s="18">
        <f t="shared" si="22"/>
        <v>78.5</v>
      </c>
      <c r="DF69" s="18">
        <f t="shared" si="23"/>
        <v>78.5</v>
      </c>
      <c r="DG69" s="18">
        <f t="shared" si="24"/>
        <v>84</v>
      </c>
      <c r="DH69" s="18">
        <f t="shared" si="25"/>
        <v>95</v>
      </c>
      <c r="DI69" s="18">
        <f t="shared" si="26"/>
        <v>77</v>
      </c>
      <c r="DJ69" s="17">
        <f t="shared" si="27"/>
        <v>85.2</v>
      </c>
      <c r="DK69" s="18">
        <f t="shared" si="28"/>
        <v>75.8</v>
      </c>
      <c r="DL69" s="18">
        <f t="shared" si="29"/>
        <v>95</v>
      </c>
      <c r="DM69" s="18">
        <f t="shared" si="30"/>
        <v>82</v>
      </c>
      <c r="DN69" s="17">
        <f t="shared" si="31"/>
        <v>83.42</v>
      </c>
      <c r="DO69" s="18">
        <f t="shared" si="32"/>
        <v>82.8</v>
      </c>
      <c r="DP69" s="18">
        <f t="shared" si="33"/>
        <v>95</v>
      </c>
      <c r="DQ69" s="18">
        <f t="shared" si="34"/>
        <v>83</v>
      </c>
      <c r="DR69" s="17">
        <f t="shared" si="35"/>
        <v>86.52000000000001</v>
      </c>
      <c r="DS69" s="18">
        <f t="shared" si="36"/>
        <v>93</v>
      </c>
      <c r="DT69" s="18">
        <f t="shared" si="37"/>
        <v>93</v>
      </c>
      <c r="DU69" s="18">
        <f t="shared" si="38"/>
        <v>89</v>
      </c>
      <c r="DV69" s="18">
        <f t="shared" si="39"/>
        <v>89</v>
      </c>
      <c r="DW69" s="18">
        <f t="shared" si="40"/>
        <v>82</v>
      </c>
      <c r="DX69" s="17">
        <f t="shared" si="41"/>
        <v>82</v>
      </c>
      <c r="DY69" s="18">
        <f t="shared" si="42"/>
        <v>84.444444444444457</v>
      </c>
      <c r="DZ69" s="18">
        <f t="shared" si="43"/>
        <v>95</v>
      </c>
      <c r="EA69" s="18">
        <f t="shared" si="44"/>
        <v>80</v>
      </c>
      <c r="EB69" s="17">
        <f t="shared" si="45"/>
        <v>86.277777777777786</v>
      </c>
      <c r="EC69" s="18">
        <f t="shared" si="46"/>
        <v>86.666666666666671</v>
      </c>
      <c r="ED69" s="18">
        <f t="shared" si="47"/>
        <v>95</v>
      </c>
      <c r="EE69" s="18">
        <f t="shared" si="48"/>
        <v>93</v>
      </c>
      <c r="EF69" s="17">
        <f t="shared" si="49"/>
        <v>91.066666666666677</v>
      </c>
      <c r="EG69" s="18">
        <f t="shared" si="50"/>
        <v>95</v>
      </c>
      <c r="EH69" s="18">
        <f t="shared" si="51"/>
        <v>84.333333333333329</v>
      </c>
      <c r="EI69" s="18">
        <f t="shared" si="52"/>
        <v>95</v>
      </c>
      <c r="EJ69" s="18">
        <f t="shared" si="53"/>
        <v>85</v>
      </c>
      <c r="EK69" s="17">
        <f t="shared" si="54"/>
        <v>87.73333333333332</v>
      </c>
      <c r="EL69" s="19">
        <f t="shared" si="55"/>
        <v>91.179999999999993</v>
      </c>
      <c r="EM69" s="19">
        <f t="shared" si="56"/>
        <v>92.42</v>
      </c>
      <c r="EN69" s="19">
        <f t="shared" si="57"/>
        <v>87.42</v>
      </c>
      <c r="EO69" s="19">
        <f t="shared" si="58"/>
        <v>82.25</v>
      </c>
      <c r="EP69" s="19">
        <f t="shared" si="59"/>
        <v>83.5</v>
      </c>
      <c r="EQ69" s="19">
        <f t="shared" si="60"/>
        <v>87</v>
      </c>
      <c r="ER69" s="19">
        <f t="shared" si="61"/>
        <v>78.5</v>
      </c>
      <c r="ES69" s="19">
        <f t="shared" si="62"/>
        <v>85.2</v>
      </c>
      <c r="ET69" s="19">
        <f t="shared" si="63"/>
        <v>83.42</v>
      </c>
      <c r="EU69" s="19">
        <f t="shared" si="64"/>
        <v>86.52000000000001</v>
      </c>
      <c r="EV69" s="19">
        <f t="shared" si="65"/>
        <v>93</v>
      </c>
      <c r="EW69" s="19">
        <f t="shared" si="66"/>
        <v>89</v>
      </c>
      <c r="EX69" s="19">
        <f t="shared" si="67"/>
        <v>82</v>
      </c>
      <c r="EY69" s="19">
        <f t="shared" si="68"/>
        <v>86.277777777777786</v>
      </c>
      <c r="EZ69" s="19">
        <f t="shared" si="69"/>
        <v>91.066666666666677</v>
      </c>
      <c r="FA69" s="19">
        <f t="shared" si="70"/>
        <v>95</v>
      </c>
      <c r="FB69" s="19">
        <f t="shared" si="71"/>
        <v>87.73333333333332</v>
      </c>
      <c r="FC69" s="19">
        <f t="shared" si="72"/>
        <v>87.146339869281036</v>
      </c>
    </row>
    <row r="70" spans="1:159" ht="20.100000000000001" customHeight="1">
      <c r="A70" s="11">
        <v>66</v>
      </c>
      <c r="B70" s="22" t="s">
        <v>183</v>
      </c>
      <c r="C70" s="23" t="s">
        <v>184</v>
      </c>
      <c r="D70" s="24" t="s">
        <v>126</v>
      </c>
      <c r="E70" s="14">
        <v>81</v>
      </c>
      <c r="F70" s="14">
        <v>92</v>
      </c>
      <c r="G70" s="14">
        <v>89</v>
      </c>
      <c r="H70" s="14">
        <v>86</v>
      </c>
      <c r="I70" s="14">
        <v>92</v>
      </c>
      <c r="J70" s="14">
        <v>80</v>
      </c>
      <c r="K70" s="14">
        <v>79</v>
      </c>
      <c r="L70" s="14">
        <v>81</v>
      </c>
      <c r="M70" s="14">
        <v>95</v>
      </c>
      <c r="N70" s="14">
        <v>95</v>
      </c>
      <c r="O70" s="14">
        <v>95</v>
      </c>
      <c r="P70" s="15">
        <v>93</v>
      </c>
      <c r="Q70" s="15">
        <v>86</v>
      </c>
      <c r="R70" s="14">
        <v>84</v>
      </c>
      <c r="S70" s="14">
        <v>87</v>
      </c>
      <c r="T70" s="14">
        <v>86</v>
      </c>
      <c r="U70" s="14">
        <v>83</v>
      </c>
      <c r="V70" s="14">
        <v>86</v>
      </c>
      <c r="W70" s="14">
        <v>82</v>
      </c>
      <c r="X70" s="14">
        <v>84</v>
      </c>
      <c r="Y70" s="14">
        <v>81</v>
      </c>
      <c r="Z70" s="14">
        <v>86</v>
      </c>
      <c r="AA70" s="14">
        <v>80</v>
      </c>
      <c r="AB70" s="15">
        <v>85</v>
      </c>
      <c r="AC70" s="15">
        <v>85</v>
      </c>
      <c r="AD70" s="14">
        <v>86</v>
      </c>
      <c r="AE70" s="14">
        <v>84</v>
      </c>
      <c r="AF70" s="14">
        <v>85</v>
      </c>
      <c r="AG70" s="14">
        <v>79</v>
      </c>
      <c r="AH70" s="14">
        <v>77</v>
      </c>
      <c r="AI70" s="14">
        <v>75</v>
      </c>
      <c r="AJ70" s="14">
        <v>83</v>
      </c>
      <c r="AK70" s="14">
        <v>88</v>
      </c>
      <c r="AL70" s="15">
        <v>86</v>
      </c>
      <c r="AM70" s="15">
        <v>80</v>
      </c>
      <c r="AN70" s="14">
        <v>83</v>
      </c>
      <c r="AO70" s="14">
        <v>83</v>
      </c>
      <c r="AP70" s="14">
        <v>84</v>
      </c>
      <c r="AQ70" s="14">
        <v>86</v>
      </c>
      <c r="AR70" s="14">
        <v>95</v>
      </c>
      <c r="AS70" s="14">
        <v>78</v>
      </c>
      <c r="AT70" s="14">
        <v>80</v>
      </c>
      <c r="AU70" s="14">
        <v>80</v>
      </c>
      <c r="AV70" s="14">
        <v>85</v>
      </c>
      <c r="AW70" s="14">
        <v>80</v>
      </c>
      <c r="AX70" s="15">
        <v>95</v>
      </c>
      <c r="AY70" s="15">
        <v>87</v>
      </c>
      <c r="AZ70" s="14">
        <v>86</v>
      </c>
      <c r="BA70" s="14">
        <v>84</v>
      </c>
      <c r="BB70" s="14">
        <v>87</v>
      </c>
      <c r="BC70" s="14">
        <v>78</v>
      </c>
      <c r="BD70" s="14">
        <v>83</v>
      </c>
      <c r="BE70" s="37">
        <v>80</v>
      </c>
      <c r="BF70" s="37">
        <v>89</v>
      </c>
      <c r="BG70" s="37">
        <v>84</v>
      </c>
      <c r="BH70" s="14">
        <v>95</v>
      </c>
      <c r="BI70" s="37">
        <v>80</v>
      </c>
      <c r="BJ70" s="37">
        <v>89</v>
      </c>
      <c r="BK70" s="37">
        <v>88</v>
      </c>
      <c r="BL70" s="14">
        <v>95</v>
      </c>
      <c r="BM70" s="37">
        <v>80</v>
      </c>
      <c r="BN70" s="37">
        <v>85</v>
      </c>
      <c r="BO70" s="37">
        <v>85</v>
      </c>
      <c r="BP70" s="14">
        <v>95</v>
      </c>
      <c r="BQ70" s="15">
        <f t="shared" ref="BQ70:BQ111" si="73">AVERAGE(BE70,BI70,BM70)</f>
        <v>80</v>
      </c>
      <c r="BR70" s="15">
        <f t="shared" ref="BR70:BR111" si="74">AVERAGE(BF70,BJ70,BN70)</f>
        <v>87.666666666666671</v>
      </c>
      <c r="BS70" s="15">
        <f t="shared" ref="BS70:BS111" si="75">AVERAGE(BG70,BK70,BO70)</f>
        <v>85.666666666666671</v>
      </c>
      <c r="BT70" s="15">
        <f t="shared" ref="BT70:BT111" si="76">AVERAGE(BH70,BL70,BP70)</f>
        <v>95</v>
      </c>
      <c r="BU70" s="15">
        <v>85</v>
      </c>
      <c r="BV70" s="15">
        <v>85</v>
      </c>
      <c r="BW70" s="15">
        <v>89</v>
      </c>
      <c r="BX70" s="15">
        <v>95</v>
      </c>
      <c r="BY70" s="15">
        <v>90</v>
      </c>
      <c r="BZ70" s="15">
        <v>82</v>
      </c>
      <c r="CA70" s="15">
        <v>90</v>
      </c>
      <c r="CB70" s="15">
        <v>80</v>
      </c>
      <c r="CC70" s="15">
        <v>95</v>
      </c>
      <c r="CD70" s="39">
        <v>86</v>
      </c>
      <c r="CE70" s="40">
        <v>88</v>
      </c>
      <c r="CF70" s="40">
        <v>80</v>
      </c>
      <c r="CG70" s="40">
        <v>95</v>
      </c>
      <c r="CH70" s="40">
        <v>87</v>
      </c>
      <c r="CI70" s="40">
        <v>85</v>
      </c>
      <c r="CJ70" s="40">
        <v>90</v>
      </c>
      <c r="CK70" s="39">
        <v>93</v>
      </c>
      <c r="CL70" s="40">
        <v>92</v>
      </c>
      <c r="CM70" s="41">
        <f t="shared" ref="CM70:CM111" si="77">AVERAGE(E70:I70)</f>
        <v>88</v>
      </c>
      <c r="CN70" s="41">
        <f t="shared" ref="CN70:CN111" si="78">J70</f>
        <v>80</v>
      </c>
      <c r="CO70" s="41">
        <f t="shared" ref="CO70:CO111" si="79">CD70</f>
        <v>86</v>
      </c>
      <c r="CP70" s="17">
        <f t="shared" ref="CP70:CP111" si="80">(CM70*4+CN70*3+CO70*3)/10</f>
        <v>85</v>
      </c>
      <c r="CQ70" s="16">
        <f t="shared" ref="CQ70:CQ111" si="81">AVERAGE(K70:O70)</f>
        <v>89</v>
      </c>
      <c r="CR70" s="16">
        <f t="shared" ref="CR70:CR111" si="82">P70</f>
        <v>93</v>
      </c>
      <c r="CS70" s="16">
        <f t="shared" ref="CS70:CS111" si="83">CE70</f>
        <v>88</v>
      </c>
      <c r="CT70" s="17">
        <f t="shared" ref="CT70:CT111" si="84">(CQ70*4+CR70*3+CS70*3)/10</f>
        <v>89.9</v>
      </c>
      <c r="CU70" s="17">
        <f t="shared" ref="CU70:CU111" si="85">AVERAGE(Q70:U70)</f>
        <v>85.2</v>
      </c>
      <c r="CV70" s="17">
        <f t="shared" ref="CV70:CV111" si="86">V70</f>
        <v>86</v>
      </c>
      <c r="CW70" s="17">
        <f t="shared" ref="CW70:CW111" si="87">CF70</f>
        <v>80</v>
      </c>
      <c r="CX70" s="17">
        <f t="shared" ref="CX70:CX111" si="88">(CU70*4+CV70*3+CW70*3)/10</f>
        <v>83.88</v>
      </c>
      <c r="CY70" s="18">
        <f t="shared" ref="CY70:CY111" si="89">AVERAGE(W70:Z70)</f>
        <v>83.25</v>
      </c>
      <c r="CZ70" s="18">
        <f t="shared" ref="CZ70:CZ111" si="90">CY70</f>
        <v>83.25</v>
      </c>
      <c r="DA70" s="18">
        <f t="shared" ref="DA70:DA111" si="91">AVERAGE(AA70:AD70)</f>
        <v>84</v>
      </c>
      <c r="DB70" s="18">
        <f t="shared" ref="DB70:DB111" si="92">DA70</f>
        <v>84</v>
      </c>
      <c r="DC70" s="18">
        <f t="shared" ref="DC70:DC111" si="93">AVERAGE(AE70:AF70)</f>
        <v>84.5</v>
      </c>
      <c r="DD70" s="18">
        <f t="shared" ref="DD70:DD111" si="94">DC70</f>
        <v>84.5</v>
      </c>
      <c r="DE70" s="18">
        <f t="shared" ref="DE70:DE111" si="95">AVERAGE(AG70:AJ70)</f>
        <v>78.5</v>
      </c>
      <c r="DF70" s="18">
        <f t="shared" ref="DF70:DF111" si="96">DE70</f>
        <v>78.5</v>
      </c>
      <c r="DG70" s="18">
        <f t="shared" ref="DG70:DG111" si="97">AK70</f>
        <v>88</v>
      </c>
      <c r="DH70" s="18">
        <f t="shared" ref="DH70:DH111" si="98">AL70</f>
        <v>86</v>
      </c>
      <c r="DI70" s="18">
        <f t="shared" ref="DI70:DI111" si="99">CG70</f>
        <v>95</v>
      </c>
      <c r="DJ70" s="17">
        <f t="shared" ref="DJ70:DJ111" si="100">(DG70*4+DH70*3+DI70*3)/10</f>
        <v>89.5</v>
      </c>
      <c r="DK70" s="18">
        <f t="shared" ref="DK70:DK111" si="101">AVERAGE(AM70:AQ70)</f>
        <v>83.2</v>
      </c>
      <c r="DL70" s="18">
        <f t="shared" ref="DL70:DL111" si="102">AR70</f>
        <v>95</v>
      </c>
      <c r="DM70" s="18">
        <f t="shared" ref="DM70:DM111" si="103">CH70</f>
        <v>87</v>
      </c>
      <c r="DN70" s="17">
        <f t="shared" ref="DN70:DN111" si="104">(DK70*4+DL70*3+DM70*3)/10</f>
        <v>87.88</v>
      </c>
      <c r="DO70" s="18">
        <f t="shared" ref="DO70:DO111" si="105">AVERAGE(AS70:AW70)</f>
        <v>80.599999999999994</v>
      </c>
      <c r="DP70" s="18">
        <f t="shared" ref="DP70:DP111" si="106">AX70</f>
        <v>95</v>
      </c>
      <c r="DQ70" s="18">
        <f t="shared" ref="DQ70:DQ111" si="107">CI70</f>
        <v>85</v>
      </c>
      <c r="DR70" s="17">
        <f t="shared" ref="DR70:DR111" si="108">(DO70*4+DP70*3+DQ70*3)/10</f>
        <v>86.24</v>
      </c>
      <c r="DS70" s="18">
        <f t="shared" ref="DS70:DS111" si="109">AVERAGE(AY70:AZ70)</f>
        <v>86.5</v>
      </c>
      <c r="DT70" s="18">
        <f t="shared" ref="DT70:DT111" si="110">DS70</f>
        <v>86.5</v>
      </c>
      <c r="DU70" s="18">
        <f t="shared" ref="DU70:DU111" si="111">AVERAGE(BA70:BB70)</f>
        <v>85.5</v>
      </c>
      <c r="DV70" s="18">
        <f t="shared" ref="DV70:DV111" si="112">DU70</f>
        <v>85.5</v>
      </c>
      <c r="DW70" s="18">
        <f t="shared" ref="DW70:DW111" si="113">AVERAGE(BC70:BD70)</f>
        <v>80.5</v>
      </c>
      <c r="DX70" s="17">
        <f t="shared" ref="DX70:DX111" si="114">DW70</f>
        <v>80.5</v>
      </c>
      <c r="DY70" s="18">
        <f t="shared" ref="DY70:DY111" si="115">AVERAGE(BQ70:BS70)</f>
        <v>84.444444444444457</v>
      </c>
      <c r="DZ70" s="18">
        <f t="shared" ref="DZ70:DZ111" si="116">BT70</f>
        <v>95</v>
      </c>
      <c r="EA70" s="18">
        <f t="shared" ref="EA70:EA111" si="117">CL70</f>
        <v>92</v>
      </c>
      <c r="EB70" s="17">
        <f t="shared" ref="EB70:EB111" si="118">(DY70*4+DZ70*3+EA70*3)/10</f>
        <v>89.87777777777778</v>
      </c>
      <c r="EC70" s="18">
        <f t="shared" ref="EC70:EC111" si="119">AVERAGE(BU70:BW70)</f>
        <v>86.333333333333329</v>
      </c>
      <c r="ED70" s="18">
        <f t="shared" ref="ED70:ED111" si="120">BX70</f>
        <v>95</v>
      </c>
      <c r="EE70" s="18">
        <f t="shared" ref="EE70:EE111" si="121">CK70</f>
        <v>93</v>
      </c>
      <c r="EF70" s="17">
        <f t="shared" ref="EF70:EF111" si="122">(EC70*4+ED70*3+EE70*3)/10</f>
        <v>90.933333333333323</v>
      </c>
      <c r="EG70" s="18">
        <f t="shared" ref="EG70:EG111" si="123">BY70</f>
        <v>90</v>
      </c>
      <c r="EH70" s="18">
        <f t="shared" ref="EH70:EH111" si="124">AVERAGE(BZ70:CB70)</f>
        <v>84</v>
      </c>
      <c r="EI70" s="18">
        <f t="shared" ref="EI70:EI111" si="125">CC70</f>
        <v>95</v>
      </c>
      <c r="EJ70" s="18">
        <f t="shared" ref="EJ70:EJ111" si="126">CJ70</f>
        <v>90</v>
      </c>
      <c r="EK70" s="17">
        <f t="shared" ref="EK70:EK111" si="127">(EH70*4+EI70*3+EJ70*3)/10</f>
        <v>89.1</v>
      </c>
      <c r="EL70" s="19">
        <f t="shared" ref="EL70:EL111" si="128">CP70</f>
        <v>85</v>
      </c>
      <c r="EM70" s="19">
        <f t="shared" ref="EM70:EM111" si="129">CT70</f>
        <v>89.9</v>
      </c>
      <c r="EN70" s="19">
        <f t="shared" ref="EN70:EN111" si="130">CX70</f>
        <v>83.88</v>
      </c>
      <c r="EO70" s="19">
        <f t="shared" ref="EO70:EO111" si="131">CZ70</f>
        <v>83.25</v>
      </c>
      <c r="EP70" s="19">
        <f t="shared" ref="EP70:EP111" si="132">DB70</f>
        <v>84</v>
      </c>
      <c r="EQ70" s="19">
        <f t="shared" ref="EQ70:EQ111" si="133">DD70</f>
        <v>84.5</v>
      </c>
      <c r="ER70" s="19">
        <f t="shared" ref="ER70:ER111" si="134">DF70</f>
        <v>78.5</v>
      </c>
      <c r="ES70" s="19">
        <f t="shared" ref="ES70:ES111" si="135">DJ70</f>
        <v>89.5</v>
      </c>
      <c r="ET70" s="19">
        <f t="shared" ref="ET70:ET111" si="136">DN70</f>
        <v>87.88</v>
      </c>
      <c r="EU70" s="19">
        <f t="shared" ref="EU70:EU111" si="137">DR70</f>
        <v>86.24</v>
      </c>
      <c r="EV70" s="19">
        <f t="shared" ref="EV70:EV111" si="138">DT70</f>
        <v>86.5</v>
      </c>
      <c r="EW70" s="19">
        <f t="shared" ref="EW70:EW111" si="139">DV70</f>
        <v>85.5</v>
      </c>
      <c r="EX70" s="19">
        <f t="shared" ref="EX70:EX111" si="140">DX70</f>
        <v>80.5</v>
      </c>
      <c r="EY70" s="19">
        <f t="shared" ref="EY70:EY111" si="141">EB70</f>
        <v>89.87777777777778</v>
      </c>
      <c r="EZ70" s="19">
        <f t="shared" ref="EZ70:EZ111" si="142">EF70</f>
        <v>90.933333333333323</v>
      </c>
      <c r="FA70" s="19">
        <f t="shared" ref="FA70:FA111" si="143">EG70</f>
        <v>90</v>
      </c>
      <c r="FB70" s="19">
        <f t="shared" ref="FB70:FB111" si="144">EK70</f>
        <v>89.1</v>
      </c>
      <c r="FC70" s="19">
        <f t="shared" ref="FC70:FC111" si="145">AVERAGE(EL70:FB70)</f>
        <v>86.180065359477126</v>
      </c>
    </row>
    <row r="71" spans="1:159" ht="20.100000000000001" customHeight="1">
      <c r="A71" s="11">
        <v>67</v>
      </c>
      <c r="B71" s="22" t="s">
        <v>185</v>
      </c>
      <c r="C71" s="23" t="s">
        <v>186</v>
      </c>
      <c r="D71" s="24" t="s">
        <v>126</v>
      </c>
      <c r="E71" s="14">
        <v>94</v>
      </c>
      <c r="F71" s="14">
        <v>93</v>
      </c>
      <c r="G71" s="14">
        <v>90</v>
      </c>
      <c r="H71" s="14">
        <v>86</v>
      </c>
      <c r="I71" s="14">
        <v>93</v>
      </c>
      <c r="J71" s="14">
        <v>95</v>
      </c>
      <c r="K71" s="14">
        <v>80</v>
      </c>
      <c r="L71" s="14">
        <v>80</v>
      </c>
      <c r="M71" s="14">
        <v>95</v>
      </c>
      <c r="N71" s="14">
        <v>95</v>
      </c>
      <c r="O71" s="14">
        <v>95</v>
      </c>
      <c r="P71" s="15">
        <v>95</v>
      </c>
      <c r="Q71" s="15">
        <v>92</v>
      </c>
      <c r="R71" s="14">
        <v>85</v>
      </c>
      <c r="S71" s="14">
        <v>88</v>
      </c>
      <c r="T71" s="14">
        <v>88</v>
      </c>
      <c r="U71" s="14">
        <v>84</v>
      </c>
      <c r="V71" s="14">
        <v>95</v>
      </c>
      <c r="W71" s="14">
        <v>81</v>
      </c>
      <c r="X71" s="14">
        <v>84</v>
      </c>
      <c r="Y71" s="14">
        <v>80</v>
      </c>
      <c r="Z71" s="14">
        <v>84</v>
      </c>
      <c r="AA71" s="14">
        <v>78</v>
      </c>
      <c r="AB71" s="15">
        <v>86</v>
      </c>
      <c r="AC71" s="15">
        <v>82</v>
      </c>
      <c r="AD71" s="14">
        <v>86</v>
      </c>
      <c r="AE71" s="14">
        <v>83</v>
      </c>
      <c r="AF71" s="14">
        <v>90</v>
      </c>
      <c r="AG71" s="14">
        <v>78</v>
      </c>
      <c r="AH71" s="14">
        <v>75</v>
      </c>
      <c r="AI71" s="14">
        <v>78</v>
      </c>
      <c r="AJ71" s="14">
        <v>84</v>
      </c>
      <c r="AK71" s="14">
        <v>82</v>
      </c>
      <c r="AL71" s="15">
        <v>95</v>
      </c>
      <c r="AM71" s="15">
        <v>79</v>
      </c>
      <c r="AN71" s="14">
        <v>80</v>
      </c>
      <c r="AO71" s="14">
        <v>75</v>
      </c>
      <c r="AP71" s="14">
        <v>76</v>
      </c>
      <c r="AQ71" s="14">
        <v>82</v>
      </c>
      <c r="AR71" s="14">
        <v>95</v>
      </c>
      <c r="AS71" s="14">
        <v>82</v>
      </c>
      <c r="AT71" s="14">
        <v>80</v>
      </c>
      <c r="AU71" s="14">
        <v>80</v>
      </c>
      <c r="AV71" s="14">
        <v>80</v>
      </c>
      <c r="AW71" s="14">
        <v>80</v>
      </c>
      <c r="AX71" s="15">
        <v>95</v>
      </c>
      <c r="AY71" s="15">
        <v>83</v>
      </c>
      <c r="AZ71" s="14">
        <v>87</v>
      </c>
      <c r="BA71" s="14">
        <v>82</v>
      </c>
      <c r="BB71" s="14">
        <v>89</v>
      </c>
      <c r="BC71" s="14">
        <v>83</v>
      </c>
      <c r="BD71" s="14">
        <v>80</v>
      </c>
      <c r="BE71" s="37">
        <v>80</v>
      </c>
      <c r="BF71" s="37">
        <v>86</v>
      </c>
      <c r="BG71" s="37">
        <v>84</v>
      </c>
      <c r="BH71" s="14">
        <v>95</v>
      </c>
      <c r="BI71" s="37">
        <v>83</v>
      </c>
      <c r="BJ71" s="37">
        <v>84</v>
      </c>
      <c r="BK71" s="37">
        <v>88</v>
      </c>
      <c r="BL71" s="14">
        <v>95</v>
      </c>
      <c r="BM71" s="37">
        <v>78</v>
      </c>
      <c r="BN71" s="37">
        <v>80</v>
      </c>
      <c r="BO71" s="37">
        <v>85</v>
      </c>
      <c r="BP71" s="14">
        <v>95</v>
      </c>
      <c r="BQ71" s="15">
        <f t="shared" si="73"/>
        <v>80.333333333333329</v>
      </c>
      <c r="BR71" s="15">
        <f t="shared" si="74"/>
        <v>83.333333333333329</v>
      </c>
      <c r="BS71" s="15">
        <f t="shared" si="75"/>
        <v>85.666666666666671</v>
      </c>
      <c r="BT71" s="15">
        <f t="shared" si="76"/>
        <v>95</v>
      </c>
      <c r="BU71" s="15">
        <v>86</v>
      </c>
      <c r="BV71" s="15">
        <v>86</v>
      </c>
      <c r="BW71" s="15">
        <v>89</v>
      </c>
      <c r="BX71" s="15">
        <v>95</v>
      </c>
      <c r="BY71" s="15">
        <v>95</v>
      </c>
      <c r="BZ71" s="15">
        <v>83</v>
      </c>
      <c r="CA71" s="15">
        <v>90</v>
      </c>
      <c r="CB71" s="15">
        <v>86</v>
      </c>
      <c r="CC71" s="15">
        <v>95</v>
      </c>
      <c r="CD71" s="39">
        <v>89</v>
      </c>
      <c r="CE71" s="40">
        <v>88</v>
      </c>
      <c r="CF71" s="40">
        <v>82</v>
      </c>
      <c r="CG71" s="40">
        <v>95</v>
      </c>
      <c r="CH71" s="40">
        <v>82</v>
      </c>
      <c r="CI71" s="40">
        <v>85</v>
      </c>
      <c r="CJ71" s="40">
        <v>88</v>
      </c>
      <c r="CK71" s="39">
        <v>79</v>
      </c>
      <c r="CL71" s="40">
        <v>97</v>
      </c>
      <c r="CM71" s="41">
        <f t="shared" si="77"/>
        <v>91.2</v>
      </c>
      <c r="CN71" s="41">
        <f t="shared" si="78"/>
        <v>95</v>
      </c>
      <c r="CO71" s="41">
        <f t="shared" si="79"/>
        <v>89</v>
      </c>
      <c r="CP71" s="17">
        <f t="shared" si="80"/>
        <v>91.679999999999993</v>
      </c>
      <c r="CQ71" s="16">
        <f t="shared" si="81"/>
        <v>89</v>
      </c>
      <c r="CR71" s="16">
        <f t="shared" si="82"/>
        <v>95</v>
      </c>
      <c r="CS71" s="16">
        <f t="shared" si="83"/>
        <v>88</v>
      </c>
      <c r="CT71" s="17">
        <f t="shared" si="84"/>
        <v>90.5</v>
      </c>
      <c r="CU71" s="17">
        <f t="shared" si="85"/>
        <v>87.4</v>
      </c>
      <c r="CV71" s="17">
        <f t="shared" si="86"/>
        <v>95</v>
      </c>
      <c r="CW71" s="17">
        <f t="shared" si="87"/>
        <v>82</v>
      </c>
      <c r="CX71" s="17">
        <f t="shared" si="88"/>
        <v>88.06</v>
      </c>
      <c r="CY71" s="18">
        <f t="shared" si="89"/>
        <v>82.25</v>
      </c>
      <c r="CZ71" s="18">
        <f t="shared" si="90"/>
        <v>82.25</v>
      </c>
      <c r="DA71" s="18">
        <f t="shared" si="91"/>
        <v>83</v>
      </c>
      <c r="DB71" s="18">
        <f t="shared" si="92"/>
        <v>83</v>
      </c>
      <c r="DC71" s="18">
        <f t="shared" si="93"/>
        <v>86.5</v>
      </c>
      <c r="DD71" s="18">
        <f t="shared" si="94"/>
        <v>86.5</v>
      </c>
      <c r="DE71" s="18">
        <f t="shared" si="95"/>
        <v>78.75</v>
      </c>
      <c r="DF71" s="18">
        <f t="shared" si="96"/>
        <v>78.75</v>
      </c>
      <c r="DG71" s="18">
        <f t="shared" si="97"/>
        <v>82</v>
      </c>
      <c r="DH71" s="18">
        <f t="shared" si="98"/>
        <v>95</v>
      </c>
      <c r="DI71" s="18">
        <f t="shared" si="99"/>
        <v>95</v>
      </c>
      <c r="DJ71" s="17">
        <f t="shared" si="100"/>
        <v>89.8</v>
      </c>
      <c r="DK71" s="18">
        <f t="shared" si="101"/>
        <v>78.400000000000006</v>
      </c>
      <c r="DL71" s="18">
        <f t="shared" si="102"/>
        <v>95</v>
      </c>
      <c r="DM71" s="18">
        <f t="shared" si="103"/>
        <v>82</v>
      </c>
      <c r="DN71" s="17">
        <f t="shared" si="104"/>
        <v>84.460000000000008</v>
      </c>
      <c r="DO71" s="18">
        <f t="shared" si="105"/>
        <v>80.400000000000006</v>
      </c>
      <c r="DP71" s="18">
        <f t="shared" si="106"/>
        <v>95</v>
      </c>
      <c r="DQ71" s="18">
        <f t="shared" si="107"/>
        <v>85</v>
      </c>
      <c r="DR71" s="17">
        <f t="shared" si="108"/>
        <v>86.16</v>
      </c>
      <c r="DS71" s="18">
        <f t="shared" si="109"/>
        <v>85</v>
      </c>
      <c r="DT71" s="18">
        <f t="shared" si="110"/>
        <v>85</v>
      </c>
      <c r="DU71" s="18">
        <f t="shared" si="111"/>
        <v>85.5</v>
      </c>
      <c r="DV71" s="18">
        <f t="shared" si="112"/>
        <v>85.5</v>
      </c>
      <c r="DW71" s="18">
        <f t="shared" si="113"/>
        <v>81.5</v>
      </c>
      <c r="DX71" s="17">
        <f t="shared" si="114"/>
        <v>81.5</v>
      </c>
      <c r="DY71" s="18">
        <f t="shared" si="115"/>
        <v>83.1111111111111</v>
      </c>
      <c r="DZ71" s="18">
        <f t="shared" si="116"/>
        <v>95</v>
      </c>
      <c r="EA71" s="18">
        <f t="shared" si="117"/>
        <v>97</v>
      </c>
      <c r="EB71" s="17">
        <f t="shared" si="118"/>
        <v>90.844444444444434</v>
      </c>
      <c r="EC71" s="18">
        <f t="shared" si="119"/>
        <v>87</v>
      </c>
      <c r="ED71" s="18">
        <f t="shared" si="120"/>
        <v>95</v>
      </c>
      <c r="EE71" s="18">
        <f t="shared" si="121"/>
        <v>79</v>
      </c>
      <c r="EF71" s="17">
        <f t="shared" si="122"/>
        <v>87</v>
      </c>
      <c r="EG71" s="18">
        <f t="shared" si="123"/>
        <v>95</v>
      </c>
      <c r="EH71" s="18">
        <f t="shared" si="124"/>
        <v>86.333333333333329</v>
      </c>
      <c r="EI71" s="18">
        <f t="shared" si="125"/>
        <v>95</v>
      </c>
      <c r="EJ71" s="18">
        <f t="shared" si="126"/>
        <v>88</v>
      </c>
      <c r="EK71" s="17">
        <f t="shared" si="127"/>
        <v>89.433333333333323</v>
      </c>
      <c r="EL71" s="19">
        <f t="shared" si="128"/>
        <v>91.679999999999993</v>
      </c>
      <c r="EM71" s="19">
        <f t="shared" si="129"/>
        <v>90.5</v>
      </c>
      <c r="EN71" s="19">
        <f t="shared" si="130"/>
        <v>88.06</v>
      </c>
      <c r="EO71" s="19">
        <f t="shared" si="131"/>
        <v>82.25</v>
      </c>
      <c r="EP71" s="19">
        <f t="shared" si="132"/>
        <v>83</v>
      </c>
      <c r="EQ71" s="19">
        <f t="shared" si="133"/>
        <v>86.5</v>
      </c>
      <c r="ER71" s="19">
        <f t="shared" si="134"/>
        <v>78.75</v>
      </c>
      <c r="ES71" s="19">
        <f t="shared" si="135"/>
        <v>89.8</v>
      </c>
      <c r="ET71" s="19">
        <f t="shared" si="136"/>
        <v>84.460000000000008</v>
      </c>
      <c r="EU71" s="19">
        <f t="shared" si="137"/>
        <v>86.16</v>
      </c>
      <c r="EV71" s="19">
        <f t="shared" si="138"/>
        <v>85</v>
      </c>
      <c r="EW71" s="19">
        <f t="shared" si="139"/>
        <v>85.5</v>
      </c>
      <c r="EX71" s="19">
        <f t="shared" si="140"/>
        <v>81.5</v>
      </c>
      <c r="EY71" s="19">
        <f t="shared" si="141"/>
        <v>90.844444444444434</v>
      </c>
      <c r="EZ71" s="19">
        <f t="shared" si="142"/>
        <v>87</v>
      </c>
      <c r="FA71" s="19">
        <f t="shared" si="143"/>
        <v>95</v>
      </c>
      <c r="FB71" s="19">
        <f t="shared" si="144"/>
        <v>89.433333333333323</v>
      </c>
      <c r="FC71" s="19">
        <f t="shared" si="145"/>
        <v>86.79045751633987</v>
      </c>
    </row>
    <row r="72" spans="1:159" ht="20.100000000000001" customHeight="1">
      <c r="A72" s="11">
        <v>68</v>
      </c>
      <c r="B72" s="22" t="s">
        <v>187</v>
      </c>
      <c r="C72" s="23" t="s">
        <v>188</v>
      </c>
      <c r="D72" s="24" t="s">
        <v>126</v>
      </c>
      <c r="E72" s="14">
        <v>90</v>
      </c>
      <c r="F72" s="14">
        <v>86</v>
      </c>
      <c r="G72" s="14">
        <v>88</v>
      </c>
      <c r="H72" s="14">
        <v>85</v>
      </c>
      <c r="I72" s="14">
        <v>87</v>
      </c>
      <c r="J72" s="14">
        <v>90</v>
      </c>
      <c r="K72" s="14">
        <v>82</v>
      </c>
      <c r="L72" s="14">
        <v>74</v>
      </c>
      <c r="M72" s="14">
        <v>88</v>
      </c>
      <c r="N72" s="14">
        <v>94</v>
      </c>
      <c r="O72" s="14">
        <v>95</v>
      </c>
      <c r="P72" s="15">
        <v>89</v>
      </c>
      <c r="Q72" s="15">
        <v>89</v>
      </c>
      <c r="R72" s="14">
        <v>83</v>
      </c>
      <c r="S72" s="14">
        <v>79</v>
      </c>
      <c r="T72" s="14">
        <v>88</v>
      </c>
      <c r="U72" s="14">
        <v>84</v>
      </c>
      <c r="V72" s="14">
        <v>86</v>
      </c>
      <c r="W72" s="14">
        <v>81</v>
      </c>
      <c r="X72" s="14">
        <v>84</v>
      </c>
      <c r="Y72" s="14">
        <v>80</v>
      </c>
      <c r="Z72" s="14">
        <v>84</v>
      </c>
      <c r="AA72" s="14">
        <v>73</v>
      </c>
      <c r="AB72" s="15">
        <v>80</v>
      </c>
      <c r="AC72" s="15">
        <v>86</v>
      </c>
      <c r="AD72" s="14">
        <v>87</v>
      </c>
      <c r="AE72" s="14">
        <v>83</v>
      </c>
      <c r="AF72" s="14">
        <v>84</v>
      </c>
      <c r="AG72" s="14">
        <v>83</v>
      </c>
      <c r="AH72" s="14">
        <v>70</v>
      </c>
      <c r="AI72" s="14">
        <v>71</v>
      </c>
      <c r="AJ72" s="14">
        <v>83</v>
      </c>
      <c r="AK72" s="14">
        <v>85</v>
      </c>
      <c r="AL72" s="15">
        <v>86</v>
      </c>
      <c r="AM72" s="15">
        <v>80</v>
      </c>
      <c r="AN72" s="14">
        <v>82</v>
      </c>
      <c r="AO72" s="14">
        <v>84</v>
      </c>
      <c r="AP72" s="14">
        <v>86</v>
      </c>
      <c r="AQ72" s="14">
        <v>84</v>
      </c>
      <c r="AR72" s="14">
        <v>88</v>
      </c>
      <c r="AS72" s="14">
        <v>84</v>
      </c>
      <c r="AT72" s="14">
        <v>80</v>
      </c>
      <c r="AU72" s="14">
        <v>88</v>
      </c>
      <c r="AV72" s="14">
        <v>85</v>
      </c>
      <c r="AW72" s="14">
        <v>88</v>
      </c>
      <c r="AX72" s="15">
        <v>88</v>
      </c>
      <c r="AY72" s="15">
        <v>87</v>
      </c>
      <c r="AZ72" s="14">
        <v>89</v>
      </c>
      <c r="BA72" s="14">
        <v>76</v>
      </c>
      <c r="BB72" s="14">
        <v>85</v>
      </c>
      <c r="BC72" s="14">
        <v>85</v>
      </c>
      <c r="BD72" s="14">
        <v>90</v>
      </c>
      <c r="BE72" s="37">
        <v>85</v>
      </c>
      <c r="BF72" s="37">
        <v>89</v>
      </c>
      <c r="BG72" s="37">
        <v>92</v>
      </c>
      <c r="BH72" s="14">
        <v>88</v>
      </c>
      <c r="BI72" s="37">
        <v>82</v>
      </c>
      <c r="BJ72" s="37">
        <v>86</v>
      </c>
      <c r="BK72" s="37">
        <v>89</v>
      </c>
      <c r="BL72" s="14">
        <v>88</v>
      </c>
      <c r="BM72" s="37">
        <v>79</v>
      </c>
      <c r="BN72" s="37">
        <v>78</v>
      </c>
      <c r="BO72" s="37">
        <v>84</v>
      </c>
      <c r="BP72" s="14">
        <v>88</v>
      </c>
      <c r="BQ72" s="15">
        <f t="shared" si="73"/>
        <v>82</v>
      </c>
      <c r="BR72" s="15">
        <f t="shared" si="74"/>
        <v>84.333333333333329</v>
      </c>
      <c r="BS72" s="15">
        <f t="shared" si="75"/>
        <v>88.333333333333329</v>
      </c>
      <c r="BT72" s="15">
        <f t="shared" si="76"/>
        <v>88</v>
      </c>
      <c r="BU72" s="15">
        <v>86</v>
      </c>
      <c r="BV72" s="15">
        <v>86</v>
      </c>
      <c r="BW72" s="15">
        <v>89</v>
      </c>
      <c r="BX72" s="15">
        <v>88</v>
      </c>
      <c r="BY72" s="15">
        <v>88</v>
      </c>
      <c r="BZ72" s="15">
        <v>83</v>
      </c>
      <c r="CA72" s="15">
        <v>92</v>
      </c>
      <c r="CB72" s="15">
        <v>80</v>
      </c>
      <c r="CC72" s="15">
        <v>88</v>
      </c>
      <c r="CD72" s="39">
        <v>86</v>
      </c>
      <c r="CE72" s="40">
        <v>80</v>
      </c>
      <c r="CF72" s="40">
        <v>82</v>
      </c>
      <c r="CG72" s="40">
        <v>94</v>
      </c>
      <c r="CH72" s="40">
        <v>84</v>
      </c>
      <c r="CI72" s="40">
        <v>88</v>
      </c>
      <c r="CJ72" s="40">
        <v>90</v>
      </c>
      <c r="CK72" s="39">
        <v>93</v>
      </c>
      <c r="CL72" s="40">
        <v>92</v>
      </c>
      <c r="CM72" s="41">
        <f t="shared" si="77"/>
        <v>87.2</v>
      </c>
      <c r="CN72" s="41">
        <f t="shared" si="78"/>
        <v>90</v>
      </c>
      <c r="CO72" s="41">
        <f t="shared" si="79"/>
        <v>86</v>
      </c>
      <c r="CP72" s="17">
        <f t="shared" si="80"/>
        <v>87.679999999999993</v>
      </c>
      <c r="CQ72" s="16">
        <f t="shared" si="81"/>
        <v>86.6</v>
      </c>
      <c r="CR72" s="16">
        <f t="shared" si="82"/>
        <v>89</v>
      </c>
      <c r="CS72" s="16">
        <f t="shared" si="83"/>
        <v>80</v>
      </c>
      <c r="CT72" s="17">
        <f t="shared" si="84"/>
        <v>85.34</v>
      </c>
      <c r="CU72" s="17">
        <f t="shared" si="85"/>
        <v>84.6</v>
      </c>
      <c r="CV72" s="17">
        <f t="shared" si="86"/>
        <v>86</v>
      </c>
      <c r="CW72" s="17">
        <f t="shared" si="87"/>
        <v>82</v>
      </c>
      <c r="CX72" s="17">
        <f t="shared" si="88"/>
        <v>84.24</v>
      </c>
      <c r="CY72" s="18">
        <f t="shared" si="89"/>
        <v>82.25</v>
      </c>
      <c r="CZ72" s="18">
        <f t="shared" si="90"/>
        <v>82.25</v>
      </c>
      <c r="DA72" s="18">
        <f t="shared" si="91"/>
        <v>81.5</v>
      </c>
      <c r="DB72" s="18">
        <f t="shared" si="92"/>
        <v>81.5</v>
      </c>
      <c r="DC72" s="18">
        <f t="shared" si="93"/>
        <v>83.5</v>
      </c>
      <c r="DD72" s="18">
        <f t="shared" si="94"/>
        <v>83.5</v>
      </c>
      <c r="DE72" s="18">
        <f t="shared" si="95"/>
        <v>76.75</v>
      </c>
      <c r="DF72" s="18">
        <f t="shared" si="96"/>
        <v>76.75</v>
      </c>
      <c r="DG72" s="18">
        <f t="shared" si="97"/>
        <v>85</v>
      </c>
      <c r="DH72" s="18">
        <f t="shared" si="98"/>
        <v>86</v>
      </c>
      <c r="DI72" s="18">
        <f t="shared" si="99"/>
        <v>94</v>
      </c>
      <c r="DJ72" s="17">
        <f t="shared" si="100"/>
        <v>88</v>
      </c>
      <c r="DK72" s="18">
        <f t="shared" si="101"/>
        <v>83.2</v>
      </c>
      <c r="DL72" s="18">
        <f t="shared" si="102"/>
        <v>88</v>
      </c>
      <c r="DM72" s="18">
        <f t="shared" si="103"/>
        <v>84</v>
      </c>
      <c r="DN72" s="17">
        <f t="shared" si="104"/>
        <v>84.88</v>
      </c>
      <c r="DO72" s="18">
        <f t="shared" si="105"/>
        <v>85</v>
      </c>
      <c r="DP72" s="18">
        <f t="shared" si="106"/>
        <v>88</v>
      </c>
      <c r="DQ72" s="18">
        <f t="shared" si="107"/>
        <v>88</v>
      </c>
      <c r="DR72" s="17">
        <f t="shared" si="108"/>
        <v>86.8</v>
      </c>
      <c r="DS72" s="18">
        <f t="shared" si="109"/>
        <v>88</v>
      </c>
      <c r="DT72" s="18">
        <f t="shared" si="110"/>
        <v>88</v>
      </c>
      <c r="DU72" s="18">
        <f t="shared" si="111"/>
        <v>80.5</v>
      </c>
      <c r="DV72" s="18">
        <f t="shared" si="112"/>
        <v>80.5</v>
      </c>
      <c r="DW72" s="18">
        <f t="shared" si="113"/>
        <v>87.5</v>
      </c>
      <c r="DX72" s="17">
        <f t="shared" si="114"/>
        <v>87.5</v>
      </c>
      <c r="DY72" s="18">
        <f t="shared" si="115"/>
        <v>84.888888888888872</v>
      </c>
      <c r="DZ72" s="18">
        <f t="shared" si="116"/>
        <v>88</v>
      </c>
      <c r="EA72" s="18">
        <f t="shared" si="117"/>
        <v>92</v>
      </c>
      <c r="EB72" s="17">
        <f t="shared" si="118"/>
        <v>87.955555555555549</v>
      </c>
      <c r="EC72" s="18">
        <f t="shared" si="119"/>
        <v>87</v>
      </c>
      <c r="ED72" s="18">
        <f t="shared" si="120"/>
        <v>88</v>
      </c>
      <c r="EE72" s="18">
        <f t="shared" si="121"/>
        <v>93</v>
      </c>
      <c r="EF72" s="17">
        <f t="shared" si="122"/>
        <v>89.1</v>
      </c>
      <c r="EG72" s="18">
        <f t="shared" si="123"/>
        <v>88</v>
      </c>
      <c r="EH72" s="18">
        <f t="shared" si="124"/>
        <v>85</v>
      </c>
      <c r="EI72" s="18">
        <f t="shared" si="125"/>
        <v>88</v>
      </c>
      <c r="EJ72" s="18">
        <f t="shared" si="126"/>
        <v>90</v>
      </c>
      <c r="EK72" s="17">
        <f t="shared" si="127"/>
        <v>87.4</v>
      </c>
      <c r="EL72" s="19">
        <f t="shared" si="128"/>
        <v>87.679999999999993</v>
      </c>
      <c r="EM72" s="19">
        <f t="shared" si="129"/>
        <v>85.34</v>
      </c>
      <c r="EN72" s="19">
        <f t="shared" si="130"/>
        <v>84.24</v>
      </c>
      <c r="EO72" s="19">
        <f t="shared" si="131"/>
        <v>82.25</v>
      </c>
      <c r="EP72" s="19">
        <f t="shared" si="132"/>
        <v>81.5</v>
      </c>
      <c r="EQ72" s="19">
        <f t="shared" si="133"/>
        <v>83.5</v>
      </c>
      <c r="ER72" s="19">
        <f t="shared" si="134"/>
        <v>76.75</v>
      </c>
      <c r="ES72" s="19">
        <f t="shared" si="135"/>
        <v>88</v>
      </c>
      <c r="ET72" s="19">
        <f t="shared" si="136"/>
        <v>84.88</v>
      </c>
      <c r="EU72" s="19">
        <f t="shared" si="137"/>
        <v>86.8</v>
      </c>
      <c r="EV72" s="19">
        <f t="shared" si="138"/>
        <v>88</v>
      </c>
      <c r="EW72" s="19">
        <f t="shared" si="139"/>
        <v>80.5</v>
      </c>
      <c r="EX72" s="19">
        <f t="shared" si="140"/>
        <v>87.5</v>
      </c>
      <c r="EY72" s="19">
        <f t="shared" si="141"/>
        <v>87.955555555555549</v>
      </c>
      <c r="EZ72" s="19">
        <f t="shared" si="142"/>
        <v>89.1</v>
      </c>
      <c r="FA72" s="19">
        <f t="shared" si="143"/>
        <v>88</v>
      </c>
      <c r="FB72" s="19">
        <f t="shared" si="144"/>
        <v>87.4</v>
      </c>
      <c r="FC72" s="19">
        <f t="shared" si="145"/>
        <v>85.258562091503265</v>
      </c>
    </row>
    <row r="73" spans="1:159" ht="20.100000000000001" customHeight="1">
      <c r="A73" s="11">
        <v>69</v>
      </c>
      <c r="B73" s="22" t="s">
        <v>189</v>
      </c>
      <c r="C73" s="23" t="s">
        <v>190</v>
      </c>
      <c r="D73" s="24" t="s">
        <v>126</v>
      </c>
      <c r="E73" s="14">
        <v>80</v>
      </c>
      <c r="F73" s="14">
        <v>80</v>
      </c>
      <c r="G73" s="14">
        <v>87</v>
      </c>
      <c r="H73" s="14">
        <v>85</v>
      </c>
      <c r="I73" s="14">
        <v>88</v>
      </c>
      <c r="J73" s="14">
        <v>85</v>
      </c>
      <c r="K73" s="14">
        <v>79</v>
      </c>
      <c r="L73" s="14">
        <v>86</v>
      </c>
      <c r="M73" s="14">
        <v>77</v>
      </c>
      <c r="N73" s="14">
        <v>88</v>
      </c>
      <c r="O73" s="14">
        <v>88</v>
      </c>
      <c r="P73" s="15">
        <v>92</v>
      </c>
      <c r="Q73" s="15">
        <v>80</v>
      </c>
      <c r="R73" s="14">
        <v>79</v>
      </c>
      <c r="S73" s="14">
        <v>82</v>
      </c>
      <c r="T73" s="14">
        <v>83</v>
      </c>
      <c r="U73" s="14">
        <v>80</v>
      </c>
      <c r="V73" s="14">
        <v>87</v>
      </c>
      <c r="W73" s="14">
        <v>81</v>
      </c>
      <c r="X73" s="14">
        <v>84</v>
      </c>
      <c r="Y73" s="14">
        <v>80</v>
      </c>
      <c r="Z73" s="14">
        <v>84</v>
      </c>
      <c r="AA73" s="14">
        <v>75</v>
      </c>
      <c r="AB73" s="15">
        <v>80</v>
      </c>
      <c r="AC73" s="15">
        <v>82</v>
      </c>
      <c r="AD73" s="14">
        <v>84</v>
      </c>
      <c r="AE73" s="14">
        <v>79</v>
      </c>
      <c r="AF73" s="14">
        <v>81</v>
      </c>
      <c r="AG73" s="14">
        <v>77</v>
      </c>
      <c r="AH73" s="14">
        <v>75</v>
      </c>
      <c r="AI73" s="14">
        <v>73</v>
      </c>
      <c r="AJ73" s="14">
        <v>82</v>
      </c>
      <c r="AK73" s="14">
        <v>80</v>
      </c>
      <c r="AL73" s="15">
        <v>87</v>
      </c>
      <c r="AM73" s="15">
        <v>73</v>
      </c>
      <c r="AN73" s="14">
        <v>74</v>
      </c>
      <c r="AO73" s="14">
        <v>74</v>
      </c>
      <c r="AP73" s="14">
        <v>75</v>
      </c>
      <c r="AQ73" s="14">
        <v>80</v>
      </c>
      <c r="AR73" s="14">
        <v>85</v>
      </c>
      <c r="AS73" s="14">
        <v>72</v>
      </c>
      <c r="AT73" s="14">
        <v>80</v>
      </c>
      <c r="AU73" s="14">
        <v>80</v>
      </c>
      <c r="AV73" s="14">
        <v>84</v>
      </c>
      <c r="AW73" s="14">
        <v>80</v>
      </c>
      <c r="AX73" s="15">
        <v>85</v>
      </c>
      <c r="AY73" s="15">
        <v>87</v>
      </c>
      <c r="AZ73" s="14">
        <v>84</v>
      </c>
      <c r="BA73" s="14">
        <v>75</v>
      </c>
      <c r="BB73" s="14">
        <v>84</v>
      </c>
      <c r="BC73" s="14">
        <v>77</v>
      </c>
      <c r="BD73" s="14">
        <v>88</v>
      </c>
      <c r="BE73" s="37">
        <v>80</v>
      </c>
      <c r="BF73" s="37">
        <v>81</v>
      </c>
      <c r="BG73" s="37">
        <v>80</v>
      </c>
      <c r="BH73" s="14">
        <v>86</v>
      </c>
      <c r="BI73" s="37">
        <v>85</v>
      </c>
      <c r="BJ73" s="37">
        <v>81</v>
      </c>
      <c r="BK73" s="37">
        <v>88</v>
      </c>
      <c r="BL73" s="14">
        <v>86</v>
      </c>
      <c r="BM73" s="37">
        <v>78</v>
      </c>
      <c r="BN73" s="37">
        <v>77</v>
      </c>
      <c r="BO73" s="37">
        <v>82</v>
      </c>
      <c r="BP73" s="14">
        <v>86</v>
      </c>
      <c r="BQ73" s="15">
        <f t="shared" si="73"/>
        <v>81</v>
      </c>
      <c r="BR73" s="15">
        <f t="shared" si="74"/>
        <v>79.666666666666671</v>
      </c>
      <c r="BS73" s="15">
        <f t="shared" si="75"/>
        <v>83.333333333333329</v>
      </c>
      <c r="BT73" s="15">
        <f t="shared" si="76"/>
        <v>86</v>
      </c>
      <c r="BU73" s="15">
        <v>86</v>
      </c>
      <c r="BV73" s="15">
        <v>86</v>
      </c>
      <c r="BW73" s="15">
        <v>88</v>
      </c>
      <c r="BX73" s="15">
        <v>86</v>
      </c>
      <c r="BY73" s="15">
        <v>87</v>
      </c>
      <c r="BZ73" s="15">
        <v>71</v>
      </c>
      <c r="CA73" s="15">
        <v>81</v>
      </c>
      <c r="CB73" s="15">
        <v>85</v>
      </c>
      <c r="CC73" s="15">
        <v>85</v>
      </c>
      <c r="CD73" s="39">
        <v>86</v>
      </c>
      <c r="CE73" s="40">
        <v>80</v>
      </c>
      <c r="CF73" s="40">
        <v>76</v>
      </c>
      <c r="CG73" s="40">
        <v>90</v>
      </c>
      <c r="CH73" s="40">
        <v>80</v>
      </c>
      <c r="CI73" s="40">
        <v>80</v>
      </c>
      <c r="CJ73" s="40">
        <v>83</v>
      </c>
      <c r="CK73" s="39">
        <v>93</v>
      </c>
      <c r="CL73" s="40">
        <v>75</v>
      </c>
      <c r="CM73" s="41">
        <f t="shared" si="77"/>
        <v>84</v>
      </c>
      <c r="CN73" s="41">
        <f t="shared" si="78"/>
        <v>85</v>
      </c>
      <c r="CO73" s="41">
        <f t="shared" si="79"/>
        <v>86</v>
      </c>
      <c r="CP73" s="17">
        <f t="shared" si="80"/>
        <v>84.9</v>
      </c>
      <c r="CQ73" s="16">
        <f t="shared" si="81"/>
        <v>83.6</v>
      </c>
      <c r="CR73" s="16">
        <f t="shared" si="82"/>
        <v>92</v>
      </c>
      <c r="CS73" s="16">
        <f t="shared" si="83"/>
        <v>80</v>
      </c>
      <c r="CT73" s="17">
        <f t="shared" si="84"/>
        <v>85.039999999999992</v>
      </c>
      <c r="CU73" s="17">
        <f t="shared" si="85"/>
        <v>80.8</v>
      </c>
      <c r="CV73" s="17">
        <f t="shared" si="86"/>
        <v>87</v>
      </c>
      <c r="CW73" s="17">
        <f t="shared" si="87"/>
        <v>76</v>
      </c>
      <c r="CX73" s="17">
        <f t="shared" si="88"/>
        <v>81.22</v>
      </c>
      <c r="CY73" s="18">
        <f t="shared" si="89"/>
        <v>82.25</v>
      </c>
      <c r="CZ73" s="18">
        <f t="shared" si="90"/>
        <v>82.25</v>
      </c>
      <c r="DA73" s="18">
        <f t="shared" si="91"/>
        <v>80.25</v>
      </c>
      <c r="DB73" s="18">
        <f t="shared" si="92"/>
        <v>80.25</v>
      </c>
      <c r="DC73" s="18">
        <f t="shared" si="93"/>
        <v>80</v>
      </c>
      <c r="DD73" s="18">
        <f t="shared" si="94"/>
        <v>80</v>
      </c>
      <c r="DE73" s="18">
        <f t="shared" si="95"/>
        <v>76.75</v>
      </c>
      <c r="DF73" s="18">
        <f t="shared" si="96"/>
        <v>76.75</v>
      </c>
      <c r="DG73" s="18">
        <f t="shared" si="97"/>
        <v>80</v>
      </c>
      <c r="DH73" s="18">
        <f t="shared" si="98"/>
        <v>87</v>
      </c>
      <c r="DI73" s="18">
        <f t="shared" si="99"/>
        <v>90</v>
      </c>
      <c r="DJ73" s="17">
        <f t="shared" si="100"/>
        <v>85.1</v>
      </c>
      <c r="DK73" s="18">
        <f t="shared" si="101"/>
        <v>75.2</v>
      </c>
      <c r="DL73" s="18">
        <f t="shared" si="102"/>
        <v>85</v>
      </c>
      <c r="DM73" s="18">
        <f t="shared" si="103"/>
        <v>80</v>
      </c>
      <c r="DN73" s="17">
        <f t="shared" si="104"/>
        <v>79.58</v>
      </c>
      <c r="DO73" s="18">
        <f t="shared" si="105"/>
        <v>79.2</v>
      </c>
      <c r="DP73" s="18">
        <f t="shared" si="106"/>
        <v>85</v>
      </c>
      <c r="DQ73" s="18">
        <f t="shared" si="107"/>
        <v>80</v>
      </c>
      <c r="DR73" s="17">
        <f t="shared" si="108"/>
        <v>81.179999999999993</v>
      </c>
      <c r="DS73" s="18">
        <f t="shared" si="109"/>
        <v>85.5</v>
      </c>
      <c r="DT73" s="18">
        <f t="shared" si="110"/>
        <v>85.5</v>
      </c>
      <c r="DU73" s="18">
        <f t="shared" si="111"/>
        <v>79.5</v>
      </c>
      <c r="DV73" s="18">
        <f t="shared" si="112"/>
        <v>79.5</v>
      </c>
      <c r="DW73" s="18">
        <f t="shared" si="113"/>
        <v>82.5</v>
      </c>
      <c r="DX73" s="17">
        <f t="shared" si="114"/>
        <v>82.5</v>
      </c>
      <c r="DY73" s="18">
        <f t="shared" si="115"/>
        <v>81.333333333333329</v>
      </c>
      <c r="DZ73" s="18">
        <f t="shared" si="116"/>
        <v>86</v>
      </c>
      <c r="EA73" s="18">
        <f t="shared" si="117"/>
        <v>75</v>
      </c>
      <c r="EB73" s="17">
        <f t="shared" si="118"/>
        <v>80.833333333333329</v>
      </c>
      <c r="EC73" s="18">
        <f t="shared" si="119"/>
        <v>86.666666666666671</v>
      </c>
      <c r="ED73" s="18">
        <f t="shared" si="120"/>
        <v>86</v>
      </c>
      <c r="EE73" s="18">
        <f t="shared" si="121"/>
        <v>93</v>
      </c>
      <c r="EF73" s="17">
        <f t="shared" si="122"/>
        <v>88.366666666666674</v>
      </c>
      <c r="EG73" s="18">
        <f t="shared" si="123"/>
        <v>87</v>
      </c>
      <c r="EH73" s="18">
        <f t="shared" si="124"/>
        <v>79</v>
      </c>
      <c r="EI73" s="18">
        <f t="shared" si="125"/>
        <v>85</v>
      </c>
      <c r="EJ73" s="18">
        <f t="shared" si="126"/>
        <v>83</v>
      </c>
      <c r="EK73" s="17">
        <f t="shared" si="127"/>
        <v>82</v>
      </c>
      <c r="EL73" s="19">
        <f t="shared" si="128"/>
        <v>84.9</v>
      </c>
      <c r="EM73" s="19">
        <f t="shared" si="129"/>
        <v>85.039999999999992</v>
      </c>
      <c r="EN73" s="19">
        <f t="shared" si="130"/>
        <v>81.22</v>
      </c>
      <c r="EO73" s="19">
        <f t="shared" si="131"/>
        <v>82.25</v>
      </c>
      <c r="EP73" s="19">
        <f t="shared" si="132"/>
        <v>80.25</v>
      </c>
      <c r="EQ73" s="19">
        <f t="shared" si="133"/>
        <v>80</v>
      </c>
      <c r="ER73" s="19">
        <f t="shared" si="134"/>
        <v>76.75</v>
      </c>
      <c r="ES73" s="19">
        <f t="shared" si="135"/>
        <v>85.1</v>
      </c>
      <c r="ET73" s="19">
        <f t="shared" si="136"/>
        <v>79.58</v>
      </c>
      <c r="EU73" s="19">
        <f t="shared" si="137"/>
        <v>81.179999999999993</v>
      </c>
      <c r="EV73" s="19">
        <f t="shared" si="138"/>
        <v>85.5</v>
      </c>
      <c r="EW73" s="19">
        <f t="shared" si="139"/>
        <v>79.5</v>
      </c>
      <c r="EX73" s="19">
        <f t="shared" si="140"/>
        <v>82.5</v>
      </c>
      <c r="EY73" s="19">
        <f t="shared" si="141"/>
        <v>80.833333333333329</v>
      </c>
      <c r="EZ73" s="19">
        <f t="shared" si="142"/>
        <v>88.366666666666674</v>
      </c>
      <c r="FA73" s="19">
        <f t="shared" si="143"/>
        <v>87</v>
      </c>
      <c r="FB73" s="19">
        <f t="shared" si="144"/>
        <v>82</v>
      </c>
      <c r="FC73" s="19">
        <f t="shared" si="145"/>
        <v>82.46882352941175</v>
      </c>
    </row>
    <row r="74" spans="1:159" ht="20.100000000000001" customHeight="1">
      <c r="A74" s="11">
        <v>70</v>
      </c>
      <c r="B74" s="22" t="s">
        <v>191</v>
      </c>
      <c r="C74" s="23" t="s">
        <v>192</v>
      </c>
      <c r="D74" s="24" t="s">
        <v>126</v>
      </c>
      <c r="E74" s="14">
        <v>80</v>
      </c>
      <c r="F74" s="14">
        <v>81</v>
      </c>
      <c r="G74" s="14">
        <v>86</v>
      </c>
      <c r="H74" s="14">
        <v>85</v>
      </c>
      <c r="I74" s="14">
        <v>88</v>
      </c>
      <c r="J74" s="14">
        <v>82</v>
      </c>
      <c r="K74" s="14">
        <v>78</v>
      </c>
      <c r="L74" s="14">
        <v>79</v>
      </c>
      <c r="M74" s="14">
        <v>82</v>
      </c>
      <c r="N74" s="14">
        <v>85</v>
      </c>
      <c r="O74" s="14">
        <v>90</v>
      </c>
      <c r="P74" s="15">
        <v>82</v>
      </c>
      <c r="Q74" s="15">
        <v>80</v>
      </c>
      <c r="R74" s="14">
        <v>83</v>
      </c>
      <c r="S74" s="14">
        <v>79</v>
      </c>
      <c r="T74" s="14">
        <v>78</v>
      </c>
      <c r="U74" s="14">
        <v>80</v>
      </c>
      <c r="V74" s="14">
        <v>80</v>
      </c>
      <c r="W74" s="14">
        <v>82</v>
      </c>
      <c r="X74" s="14">
        <v>85</v>
      </c>
      <c r="Y74" s="14">
        <v>82</v>
      </c>
      <c r="Z74" s="14">
        <v>86</v>
      </c>
      <c r="AA74" s="14">
        <v>74</v>
      </c>
      <c r="AB74" s="15">
        <v>78</v>
      </c>
      <c r="AC74" s="15">
        <v>72</v>
      </c>
      <c r="AD74" s="14">
        <v>79</v>
      </c>
      <c r="AE74" s="14">
        <v>77</v>
      </c>
      <c r="AF74" s="14">
        <v>82</v>
      </c>
      <c r="AG74" s="14">
        <v>77</v>
      </c>
      <c r="AH74" s="14">
        <v>70</v>
      </c>
      <c r="AI74" s="14">
        <v>70</v>
      </c>
      <c r="AJ74" s="14">
        <v>81</v>
      </c>
      <c r="AK74" s="14">
        <v>80</v>
      </c>
      <c r="AL74" s="15">
        <v>80</v>
      </c>
      <c r="AM74" s="15">
        <v>73</v>
      </c>
      <c r="AN74" s="14">
        <v>74</v>
      </c>
      <c r="AO74" s="14">
        <v>73</v>
      </c>
      <c r="AP74" s="14">
        <v>74</v>
      </c>
      <c r="AQ74" s="14">
        <v>80</v>
      </c>
      <c r="AR74" s="14">
        <v>79</v>
      </c>
      <c r="AS74" s="14">
        <v>75</v>
      </c>
      <c r="AT74" s="14">
        <v>78</v>
      </c>
      <c r="AU74" s="14">
        <v>80</v>
      </c>
      <c r="AV74" s="14">
        <v>80</v>
      </c>
      <c r="AW74" s="14">
        <v>80</v>
      </c>
      <c r="AX74" s="15">
        <v>79</v>
      </c>
      <c r="AY74" s="15">
        <v>72</v>
      </c>
      <c r="AZ74" s="14">
        <v>81</v>
      </c>
      <c r="BA74" s="14">
        <v>75</v>
      </c>
      <c r="BB74" s="14">
        <v>85</v>
      </c>
      <c r="BC74" s="14">
        <v>76</v>
      </c>
      <c r="BD74" s="14">
        <v>75</v>
      </c>
      <c r="BE74" s="37">
        <v>82</v>
      </c>
      <c r="BF74" s="37">
        <v>70</v>
      </c>
      <c r="BG74" s="37">
        <v>80</v>
      </c>
      <c r="BH74" s="14">
        <v>82</v>
      </c>
      <c r="BI74" s="37">
        <v>80</v>
      </c>
      <c r="BJ74" s="37">
        <v>74</v>
      </c>
      <c r="BK74" s="37">
        <v>87</v>
      </c>
      <c r="BL74" s="14">
        <v>82</v>
      </c>
      <c r="BM74" s="37">
        <v>77</v>
      </c>
      <c r="BN74" s="37">
        <v>76</v>
      </c>
      <c r="BO74" s="37">
        <v>83</v>
      </c>
      <c r="BP74" s="14">
        <v>82</v>
      </c>
      <c r="BQ74" s="15">
        <f t="shared" si="73"/>
        <v>79.666666666666671</v>
      </c>
      <c r="BR74" s="15">
        <f t="shared" si="74"/>
        <v>73.333333333333329</v>
      </c>
      <c r="BS74" s="15">
        <f t="shared" si="75"/>
        <v>83.333333333333329</v>
      </c>
      <c r="BT74" s="15">
        <f t="shared" si="76"/>
        <v>82</v>
      </c>
      <c r="BU74" s="15">
        <v>85</v>
      </c>
      <c r="BV74" s="15">
        <v>85</v>
      </c>
      <c r="BW74" s="15">
        <v>86</v>
      </c>
      <c r="BX74" s="15">
        <v>82</v>
      </c>
      <c r="BY74" s="15">
        <v>81</v>
      </c>
      <c r="BZ74" s="15">
        <v>72</v>
      </c>
      <c r="CA74" s="15">
        <v>77</v>
      </c>
      <c r="CB74" s="15">
        <v>80</v>
      </c>
      <c r="CC74" s="15">
        <v>79</v>
      </c>
      <c r="CD74" s="39">
        <v>88</v>
      </c>
      <c r="CE74" s="40">
        <v>80</v>
      </c>
      <c r="CF74" s="40">
        <v>75</v>
      </c>
      <c r="CG74" s="40">
        <v>87</v>
      </c>
      <c r="CH74" s="40">
        <v>80</v>
      </c>
      <c r="CI74" s="40">
        <v>83</v>
      </c>
      <c r="CJ74" s="40">
        <v>80</v>
      </c>
      <c r="CK74" s="39">
        <v>93</v>
      </c>
      <c r="CL74" s="40">
        <v>95</v>
      </c>
      <c r="CM74" s="41">
        <f t="shared" si="77"/>
        <v>84</v>
      </c>
      <c r="CN74" s="41">
        <f t="shared" si="78"/>
        <v>82</v>
      </c>
      <c r="CO74" s="41">
        <f t="shared" si="79"/>
        <v>88</v>
      </c>
      <c r="CP74" s="17">
        <f t="shared" si="80"/>
        <v>84.6</v>
      </c>
      <c r="CQ74" s="16">
        <f t="shared" si="81"/>
        <v>82.8</v>
      </c>
      <c r="CR74" s="16">
        <f t="shared" si="82"/>
        <v>82</v>
      </c>
      <c r="CS74" s="16">
        <f t="shared" si="83"/>
        <v>80</v>
      </c>
      <c r="CT74" s="17">
        <f t="shared" si="84"/>
        <v>81.72</v>
      </c>
      <c r="CU74" s="17">
        <f t="shared" si="85"/>
        <v>80</v>
      </c>
      <c r="CV74" s="17">
        <f t="shared" si="86"/>
        <v>80</v>
      </c>
      <c r="CW74" s="17">
        <f t="shared" si="87"/>
        <v>75</v>
      </c>
      <c r="CX74" s="17">
        <f t="shared" si="88"/>
        <v>78.5</v>
      </c>
      <c r="CY74" s="18">
        <f t="shared" si="89"/>
        <v>83.75</v>
      </c>
      <c r="CZ74" s="18">
        <f t="shared" si="90"/>
        <v>83.75</v>
      </c>
      <c r="DA74" s="18">
        <f t="shared" si="91"/>
        <v>75.75</v>
      </c>
      <c r="DB74" s="18">
        <f t="shared" si="92"/>
        <v>75.75</v>
      </c>
      <c r="DC74" s="18">
        <f t="shared" si="93"/>
        <v>79.5</v>
      </c>
      <c r="DD74" s="18">
        <f t="shared" si="94"/>
        <v>79.5</v>
      </c>
      <c r="DE74" s="18">
        <f t="shared" si="95"/>
        <v>74.5</v>
      </c>
      <c r="DF74" s="18">
        <f t="shared" si="96"/>
        <v>74.5</v>
      </c>
      <c r="DG74" s="18">
        <f t="shared" si="97"/>
        <v>80</v>
      </c>
      <c r="DH74" s="18">
        <f t="shared" si="98"/>
        <v>80</v>
      </c>
      <c r="DI74" s="18">
        <f t="shared" si="99"/>
        <v>87</v>
      </c>
      <c r="DJ74" s="17">
        <f t="shared" si="100"/>
        <v>82.1</v>
      </c>
      <c r="DK74" s="18">
        <f t="shared" si="101"/>
        <v>74.8</v>
      </c>
      <c r="DL74" s="18">
        <f t="shared" si="102"/>
        <v>79</v>
      </c>
      <c r="DM74" s="18">
        <f t="shared" si="103"/>
        <v>80</v>
      </c>
      <c r="DN74" s="17">
        <f t="shared" si="104"/>
        <v>77.62</v>
      </c>
      <c r="DO74" s="18">
        <f t="shared" si="105"/>
        <v>78.599999999999994</v>
      </c>
      <c r="DP74" s="18">
        <f t="shared" si="106"/>
        <v>79</v>
      </c>
      <c r="DQ74" s="18">
        <f t="shared" si="107"/>
        <v>83</v>
      </c>
      <c r="DR74" s="17">
        <f t="shared" si="108"/>
        <v>80.039999999999992</v>
      </c>
      <c r="DS74" s="18">
        <f t="shared" si="109"/>
        <v>76.5</v>
      </c>
      <c r="DT74" s="18">
        <f t="shared" si="110"/>
        <v>76.5</v>
      </c>
      <c r="DU74" s="18">
        <f t="shared" si="111"/>
        <v>80</v>
      </c>
      <c r="DV74" s="18">
        <f t="shared" si="112"/>
        <v>80</v>
      </c>
      <c r="DW74" s="18">
        <f t="shared" si="113"/>
        <v>75.5</v>
      </c>
      <c r="DX74" s="17">
        <f t="shared" si="114"/>
        <v>75.5</v>
      </c>
      <c r="DY74" s="18">
        <f t="shared" si="115"/>
        <v>78.777777777777771</v>
      </c>
      <c r="DZ74" s="18">
        <f t="shared" si="116"/>
        <v>82</v>
      </c>
      <c r="EA74" s="18">
        <f t="shared" si="117"/>
        <v>95</v>
      </c>
      <c r="EB74" s="17">
        <f t="shared" si="118"/>
        <v>84.611111111111114</v>
      </c>
      <c r="EC74" s="18">
        <f t="shared" si="119"/>
        <v>85.333333333333329</v>
      </c>
      <c r="ED74" s="18">
        <f t="shared" si="120"/>
        <v>82</v>
      </c>
      <c r="EE74" s="18">
        <f t="shared" si="121"/>
        <v>93</v>
      </c>
      <c r="EF74" s="17">
        <f t="shared" si="122"/>
        <v>86.633333333333326</v>
      </c>
      <c r="EG74" s="18">
        <f t="shared" si="123"/>
        <v>81</v>
      </c>
      <c r="EH74" s="18">
        <f t="shared" si="124"/>
        <v>76.333333333333329</v>
      </c>
      <c r="EI74" s="18">
        <f t="shared" si="125"/>
        <v>79</v>
      </c>
      <c r="EJ74" s="18">
        <f t="shared" si="126"/>
        <v>80</v>
      </c>
      <c r="EK74" s="17">
        <f t="shared" si="127"/>
        <v>78.23333333333332</v>
      </c>
      <c r="EL74" s="19">
        <f t="shared" si="128"/>
        <v>84.6</v>
      </c>
      <c r="EM74" s="19">
        <f t="shared" si="129"/>
        <v>81.72</v>
      </c>
      <c r="EN74" s="19">
        <f t="shared" si="130"/>
        <v>78.5</v>
      </c>
      <c r="EO74" s="19">
        <f t="shared" si="131"/>
        <v>83.75</v>
      </c>
      <c r="EP74" s="19">
        <f t="shared" si="132"/>
        <v>75.75</v>
      </c>
      <c r="EQ74" s="19">
        <f t="shared" si="133"/>
        <v>79.5</v>
      </c>
      <c r="ER74" s="19">
        <f t="shared" si="134"/>
        <v>74.5</v>
      </c>
      <c r="ES74" s="19">
        <f t="shared" si="135"/>
        <v>82.1</v>
      </c>
      <c r="ET74" s="19">
        <f t="shared" si="136"/>
        <v>77.62</v>
      </c>
      <c r="EU74" s="19">
        <f t="shared" si="137"/>
        <v>80.039999999999992</v>
      </c>
      <c r="EV74" s="19">
        <f t="shared" si="138"/>
        <v>76.5</v>
      </c>
      <c r="EW74" s="19">
        <f t="shared" si="139"/>
        <v>80</v>
      </c>
      <c r="EX74" s="19">
        <f t="shared" si="140"/>
        <v>75.5</v>
      </c>
      <c r="EY74" s="19">
        <f t="shared" si="141"/>
        <v>84.611111111111114</v>
      </c>
      <c r="EZ74" s="19">
        <f t="shared" si="142"/>
        <v>86.633333333333326</v>
      </c>
      <c r="FA74" s="19">
        <f t="shared" si="143"/>
        <v>81</v>
      </c>
      <c r="FB74" s="19">
        <f t="shared" si="144"/>
        <v>78.23333333333332</v>
      </c>
      <c r="FC74" s="19">
        <f t="shared" si="145"/>
        <v>80.032810457516348</v>
      </c>
    </row>
    <row r="75" spans="1:159" ht="20.100000000000001" customHeight="1">
      <c r="A75" s="11">
        <v>71</v>
      </c>
      <c r="B75" s="22" t="s">
        <v>193</v>
      </c>
      <c r="C75" s="23" t="s">
        <v>194</v>
      </c>
      <c r="D75" s="24" t="s">
        <v>126</v>
      </c>
      <c r="E75" s="14">
        <v>87</v>
      </c>
      <c r="F75" s="14">
        <v>90</v>
      </c>
      <c r="G75" s="14">
        <v>88</v>
      </c>
      <c r="H75" s="14">
        <v>84</v>
      </c>
      <c r="I75" s="14">
        <v>88</v>
      </c>
      <c r="J75" s="14">
        <v>95</v>
      </c>
      <c r="K75" s="14">
        <v>81</v>
      </c>
      <c r="L75" s="14">
        <v>81</v>
      </c>
      <c r="M75" s="14">
        <v>95</v>
      </c>
      <c r="N75" s="14">
        <v>95</v>
      </c>
      <c r="O75" s="14">
        <v>95</v>
      </c>
      <c r="P75" s="15">
        <v>95</v>
      </c>
      <c r="Q75" s="15">
        <v>91</v>
      </c>
      <c r="R75" s="14">
        <v>84</v>
      </c>
      <c r="S75" s="14">
        <v>86</v>
      </c>
      <c r="T75" s="14">
        <v>86</v>
      </c>
      <c r="U75" s="14">
        <v>88</v>
      </c>
      <c r="V75" s="14">
        <v>94</v>
      </c>
      <c r="W75" s="14">
        <v>81</v>
      </c>
      <c r="X75" s="14">
        <v>84</v>
      </c>
      <c r="Y75" s="14">
        <v>80</v>
      </c>
      <c r="Z75" s="14">
        <v>84</v>
      </c>
      <c r="AA75" s="14">
        <v>75</v>
      </c>
      <c r="AB75" s="15">
        <v>84</v>
      </c>
      <c r="AC75" s="15">
        <v>85</v>
      </c>
      <c r="AD75" s="14">
        <v>86</v>
      </c>
      <c r="AE75" s="14">
        <v>83</v>
      </c>
      <c r="AF75" s="14">
        <v>90</v>
      </c>
      <c r="AG75" s="14">
        <v>83</v>
      </c>
      <c r="AH75" s="14">
        <v>77</v>
      </c>
      <c r="AI75" s="14">
        <v>72</v>
      </c>
      <c r="AJ75" s="14">
        <v>83</v>
      </c>
      <c r="AK75" s="14">
        <v>80</v>
      </c>
      <c r="AL75" s="15">
        <v>94</v>
      </c>
      <c r="AM75" s="15">
        <v>78</v>
      </c>
      <c r="AN75" s="14">
        <v>80</v>
      </c>
      <c r="AO75" s="14">
        <v>74</v>
      </c>
      <c r="AP75" s="14">
        <v>76</v>
      </c>
      <c r="AQ75" s="14">
        <v>80</v>
      </c>
      <c r="AR75" s="14">
        <v>95</v>
      </c>
      <c r="AS75" s="14">
        <v>84</v>
      </c>
      <c r="AT75" s="14">
        <v>83</v>
      </c>
      <c r="AU75" s="14">
        <v>88</v>
      </c>
      <c r="AV75" s="14">
        <v>85</v>
      </c>
      <c r="AW75" s="14">
        <v>88</v>
      </c>
      <c r="AX75" s="15">
        <v>95</v>
      </c>
      <c r="AY75" s="15">
        <v>87</v>
      </c>
      <c r="AZ75" s="14">
        <v>88</v>
      </c>
      <c r="BA75" s="14">
        <v>80</v>
      </c>
      <c r="BB75" s="14">
        <v>90</v>
      </c>
      <c r="BC75" s="14">
        <v>84</v>
      </c>
      <c r="BD75" s="14">
        <v>83</v>
      </c>
      <c r="BE75" s="37">
        <v>87</v>
      </c>
      <c r="BF75" s="37">
        <v>87</v>
      </c>
      <c r="BG75" s="37">
        <v>84</v>
      </c>
      <c r="BH75" s="14">
        <v>95</v>
      </c>
      <c r="BI75" s="37">
        <v>87</v>
      </c>
      <c r="BJ75" s="37">
        <v>86</v>
      </c>
      <c r="BK75" s="37">
        <v>88</v>
      </c>
      <c r="BL75" s="14">
        <v>95</v>
      </c>
      <c r="BM75" s="37">
        <v>78</v>
      </c>
      <c r="BN75" s="37">
        <v>77</v>
      </c>
      <c r="BO75" s="37">
        <v>83</v>
      </c>
      <c r="BP75" s="14">
        <v>95</v>
      </c>
      <c r="BQ75" s="15">
        <f t="shared" si="73"/>
        <v>84</v>
      </c>
      <c r="BR75" s="15">
        <f t="shared" si="74"/>
        <v>83.333333333333329</v>
      </c>
      <c r="BS75" s="15">
        <f t="shared" si="75"/>
        <v>85</v>
      </c>
      <c r="BT75" s="15">
        <f t="shared" si="76"/>
        <v>95</v>
      </c>
      <c r="BU75" s="15">
        <v>86</v>
      </c>
      <c r="BV75" s="15">
        <v>86</v>
      </c>
      <c r="BW75" s="15">
        <v>90</v>
      </c>
      <c r="BX75" s="15">
        <v>95</v>
      </c>
      <c r="BY75" s="15">
        <v>95</v>
      </c>
      <c r="BZ75" s="15">
        <v>76</v>
      </c>
      <c r="CA75" s="15">
        <v>90</v>
      </c>
      <c r="CB75" s="15">
        <v>81</v>
      </c>
      <c r="CC75" s="15">
        <v>95</v>
      </c>
      <c r="CD75" s="39">
        <v>89</v>
      </c>
      <c r="CE75" s="40">
        <v>92</v>
      </c>
      <c r="CF75" s="40">
        <v>78</v>
      </c>
      <c r="CG75" s="40">
        <v>92</v>
      </c>
      <c r="CH75" s="40">
        <v>80</v>
      </c>
      <c r="CI75" s="40">
        <v>87</v>
      </c>
      <c r="CJ75" s="40">
        <v>80</v>
      </c>
      <c r="CK75" s="39">
        <v>93</v>
      </c>
      <c r="CL75" s="40">
        <v>82</v>
      </c>
      <c r="CM75" s="41">
        <f t="shared" si="77"/>
        <v>87.4</v>
      </c>
      <c r="CN75" s="41">
        <f t="shared" si="78"/>
        <v>95</v>
      </c>
      <c r="CO75" s="41">
        <f t="shared" si="79"/>
        <v>89</v>
      </c>
      <c r="CP75" s="17">
        <f t="shared" si="80"/>
        <v>90.16</v>
      </c>
      <c r="CQ75" s="16">
        <f t="shared" si="81"/>
        <v>89.4</v>
      </c>
      <c r="CR75" s="16">
        <f t="shared" si="82"/>
        <v>95</v>
      </c>
      <c r="CS75" s="16">
        <f t="shared" si="83"/>
        <v>92</v>
      </c>
      <c r="CT75" s="17">
        <f t="shared" si="84"/>
        <v>91.86</v>
      </c>
      <c r="CU75" s="17">
        <f t="shared" si="85"/>
        <v>87</v>
      </c>
      <c r="CV75" s="17">
        <f t="shared" si="86"/>
        <v>94</v>
      </c>
      <c r="CW75" s="17">
        <f t="shared" si="87"/>
        <v>78</v>
      </c>
      <c r="CX75" s="17">
        <f t="shared" si="88"/>
        <v>86.4</v>
      </c>
      <c r="CY75" s="18">
        <f t="shared" si="89"/>
        <v>82.25</v>
      </c>
      <c r="CZ75" s="18">
        <f t="shared" si="90"/>
        <v>82.25</v>
      </c>
      <c r="DA75" s="18">
        <f t="shared" si="91"/>
        <v>82.5</v>
      </c>
      <c r="DB75" s="18">
        <f t="shared" si="92"/>
        <v>82.5</v>
      </c>
      <c r="DC75" s="18">
        <f t="shared" si="93"/>
        <v>86.5</v>
      </c>
      <c r="DD75" s="18">
        <f t="shared" si="94"/>
        <v>86.5</v>
      </c>
      <c r="DE75" s="18">
        <f t="shared" si="95"/>
        <v>78.75</v>
      </c>
      <c r="DF75" s="18">
        <f t="shared" si="96"/>
        <v>78.75</v>
      </c>
      <c r="DG75" s="18">
        <f t="shared" si="97"/>
        <v>80</v>
      </c>
      <c r="DH75" s="18">
        <f t="shared" si="98"/>
        <v>94</v>
      </c>
      <c r="DI75" s="18">
        <f t="shared" si="99"/>
        <v>92</v>
      </c>
      <c r="DJ75" s="17">
        <f t="shared" si="100"/>
        <v>87.8</v>
      </c>
      <c r="DK75" s="18">
        <f t="shared" si="101"/>
        <v>77.599999999999994</v>
      </c>
      <c r="DL75" s="18">
        <f t="shared" si="102"/>
        <v>95</v>
      </c>
      <c r="DM75" s="18">
        <f t="shared" si="103"/>
        <v>80</v>
      </c>
      <c r="DN75" s="17">
        <f t="shared" si="104"/>
        <v>83.539999999999992</v>
      </c>
      <c r="DO75" s="18">
        <f t="shared" si="105"/>
        <v>85.6</v>
      </c>
      <c r="DP75" s="18">
        <f t="shared" si="106"/>
        <v>95</v>
      </c>
      <c r="DQ75" s="18">
        <f t="shared" si="107"/>
        <v>87</v>
      </c>
      <c r="DR75" s="17">
        <f t="shared" si="108"/>
        <v>88.84</v>
      </c>
      <c r="DS75" s="18">
        <f t="shared" si="109"/>
        <v>87.5</v>
      </c>
      <c r="DT75" s="18">
        <f t="shared" si="110"/>
        <v>87.5</v>
      </c>
      <c r="DU75" s="18">
        <f t="shared" si="111"/>
        <v>85</v>
      </c>
      <c r="DV75" s="18">
        <f t="shared" si="112"/>
        <v>85</v>
      </c>
      <c r="DW75" s="18">
        <f t="shared" si="113"/>
        <v>83.5</v>
      </c>
      <c r="DX75" s="17">
        <f t="shared" si="114"/>
        <v>83.5</v>
      </c>
      <c r="DY75" s="18">
        <f t="shared" si="115"/>
        <v>84.1111111111111</v>
      </c>
      <c r="DZ75" s="18">
        <f t="shared" si="116"/>
        <v>95</v>
      </c>
      <c r="EA75" s="18">
        <f t="shared" si="117"/>
        <v>82</v>
      </c>
      <c r="EB75" s="17">
        <f t="shared" si="118"/>
        <v>86.74444444444444</v>
      </c>
      <c r="EC75" s="18">
        <f t="shared" si="119"/>
        <v>87.333333333333329</v>
      </c>
      <c r="ED75" s="18">
        <f t="shared" si="120"/>
        <v>95</v>
      </c>
      <c r="EE75" s="18">
        <f t="shared" si="121"/>
        <v>93</v>
      </c>
      <c r="EF75" s="17">
        <f t="shared" si="122"/>
        <v>91.333333333333329</v>
      </c>
      <c r="EG75" s="18">
        <f t="shared" si="123"/>
        <v>95</v>
      </c>
      <c r="EH75" s="18">
        <f t="shared" si="124"/>
        <v>82.333333333333329</v>
      </c>
      <c r="EI75" s="18">
        <f t="shared" si="125"/>
        <v>95</v>
      </c>
      <c r="EJ75" s="18">
        <f t="shared" si="126"/>
        <v>80</v>
      </c>
      <c r="EK75" s="17">
        <f t="shared" si="127"/>
        <v>85.433333333333323</v>
      </c>
      <c r="EL75" s="19">
        <f t="shared" si="128"/>
        <v>90.16</v>
      </c>
      <c r="EM75" s="19">
        <f t="shared" si="129"/>
        <v>91.86</v>
      </c>
      <c r="EN75" s="19">
        <f t="shared" si="130"/>
        <v>86.4</v>
      </c>
      <c r="EO75" s="19">
        <f t="shared" si="131"/>
        <v>82.25</v>
      </c>
      <c r="EP75" s="19">
        <f t="shared" si="132"/>
        <v>82.5</v>
      </c>
      <c r="EQ75" s="19">
        <f t="shared" si="133"/>
        <v>86.5</v>
      </c>
      <c r="ER75" s="19">
        <f t="shared" si="134"/>
        <v>78.75</v>
      </c>
      <c r="ES75" s="19">
        <f t="shared" si="135"/>
        <v>87.8</v>
      </c>
      <c r="ET75" s="19">
        <f t="shared" si="136"/>
        <v>83.539999999999992</v>
      </c>
      <c r="EU75" s="19">
        <f t="shared" si="137"/>
        <v>88.84</v>
      </c>
      <c r="EV75" s="19">
        <f t="shared" si="138"/>
        <v>87.5</v>
      </c>
      <c r="EW75" s="19">
        <f t="shared" si="139"/>
        <v>85</v>
      </c>
      <c r="EX75" s="19">
        <f t="shared" si="140"/>
        <v>83.5</v>
      </c>
      <c r="EY75" s="19">
        <f t="shared" si="141"/>
        <v>86.74444444444444</v>
      </c>
      <c r="EZ75" s="19">
        <f t="shared" si="142"/>
        <v>91.333333333333329</v>
      </c>
      <c r="FA75" s="19">
        <f t="shared" si="143"/>
        <v>95</v>
      </c>
      <c r="FB75" s="19">
        <f t="shared" si="144"/>
        <v>85.433333333333323</v>
      </c>
      <c r="FC75" s="19">
        <f t="shared" si="145"/>
        <v>86.653594771241828</v>
      </c>
    </row>
    <row r="76" spans="1:159" ht="20.100000000000001" customHeight="1">
      <c r="A76" s="11">
        <v>72</v>
      </c>
      <c r="B76" s="12" t="s">
        <v>195</v>
      </c>
      <c r="C76" s="13" t="s">
        <v>196</v>
      </c>
      <c r="D76" s="25" t="s">
        <v>197</v>
      </c>
      <c r="E76" s="14">
        <v>96</v>
      </c>
      <c r="F76" s="14">
        <v>97</v>
      </c>
      <c r="G76" s="14">
        <v>92</v>
      </c>
      <c r="H76" s="14">
        <v>89</v>
      </c>
      <c r="I76" s="14">
        <v>87</v>
      </c>
      <c r="J76" s="14">
        <v>95</v>
      </c>
      <c r="K76" s="14">
        <v>87</v>
      </c>
      <c r="L76" s="14">
        <v>80</v>
      </c>
      <c r="M76" s="14">
        <v>92</v>
      </c>
      <c r="N76" s="14">
        <v>94</v>
      </c>
      <c r="O76" s="14">
        <v>95</v>
      </c>
      <c r="P76" s="15">
        <v>92</v>
      </c>
      <c r="Q76" s="15">
        <v>93</v>
      </c>
      <c r="R76" s="14">
        <v>95</v>
      </c>
      <c r="S76" s="14">
        <v>90</v>
      </c>
      <c r="T76" s="14">
        <v>89</v>
      </c>
      <c r="U76" s="14">
        <v>76</v>
      </c>
      <c r="V76" s="14">
        <v>88</v>
      </c>
      <c r="W76" s="14">
        <v>82</v>
      </c>
      <c r="X76" s="14">
        <v>85</v>
      </c>
      <c r="Y76" s="14">
        <v>81</v>
      </c>
      <c r="Z76" s="14">
        <v>85</v>
      </c>
      <c r="AA76" s="14">
        <v>81</v>
      </c>
      <c r="AB76" s="15">
        <v>80</v>
      </c>
      <c r="AC76" s="15">
        <v>86</v>
      </c>
      <c r="AD76" s="14">
        <v>84</v>
      </c>
      <c r="AE76" s="14">
        <v>83</v>
      </c>
      <c r="AF76" s="14">
        <v>87</v>
      </c>
      <c r="AG76" s="14">
        <v>81</v>
      </c>
      <c r="AH76" s="14">
        <v>80</v>
      </c>
      <c r="AI76" s="14">
        <v>77</v>
      </c>
      <c r="AJ76" s="14">
        <v>84</v>
      </c>
      <c r="AK76" s="14">
        <v>84</v>
      </c>
      <c r="AL76" s="15">
        <v>88</v>
      </c>
      <c r="AM76" s="15">
        <v>78</v>
      </c>
      <c r="AN76" s="14">
        <v>86</v>
      </c>
      <c r="AO76" s="14">
        <v>90</v>
      </c>
      <c r="AP76" s="14">
        <v>87</v>
      </c>
      <c r="AQ76" s="14">
        <v>82</v>
      </c>
      <c r="AR76" s="14">
        <v>95</v>
      </c>
      <c r="AS76" s="14">
        <v>77</v>
      </c>
      <c r="AT76" s="14">
        <v>80</v>
      </c>
      <c r="AU76" s="14">
        <v>83</v>
      </c>
      <c r="AV76" s="14">
        <v>84</v>
      </c>
      <c r="AW76" s="14">
        <v>80</v>
      </c>
      <c r="AX76" s="15">
        <v>95</v>
      </c>
      <c r="AY76" s="15">
        <v>89</v>
      </c>
      <c r="AZ76" s="14">
        <v>94</v>
      </c>
      <c r="BA76" s="14">
        <v>81</v>
      </c>
      <c r="BB76" s="14">
        <v>89</v>
      </c>
      <c r="BC76" s="14">
        <v>74</v>
      </c>
      <c r="BD76" s="14">
        <v>80</v>
      </c>
      <c r="BE76" s="37">
        <v>84</v>
      </c>
      <c r="BF76" s="37">
        <v>86</v>
      </c>
      <c r="BG76" s="37">
        <v>78</v>
      </c>
      <c r="BH76" s="14">
        <v>93</v>
      </c>
      <c r="BI76" s="37">
        <v>85</v>
      </c>
      <c r="BJ76" s="37">
        <v>90</v>
      </c>
      <c r="BK76" s="37">
        <v>87</v>
      </c>
      <c r="BL76" s="14">
        <v>93</v>
      </c>
      <c r="BM76" s="37">
        <v>73</v>
      </c>
      <c r="BN76" s="37">
        <v>88</v>
      </c>
      <c r="BO76" s="37">
        <v>86</v>
      </c>
      <c r="BP76" s="14">
        <v>93</v>
      </c>
      <c r="BQ76" s="15">
        <f t="shared" si="73"/>
        <v>80.666666666666671</v>
      </c>
      <c r="BR76" s="15">
        <f t="shared" si="74"/>
        <v>88</v>
      </c>
      <c r="BS76" s="15">
        <f t="shared" si="75"/>
        <v>83.666666666666671</v>
      </c>
      <c r="BT76" s="15">
        <f t="shared" si="76"/>
        <v>93</v>
      </c>
      <c r="BU76" s="15">
        <v>87</v>
      </c>
      <c r="BV76" s="15">
        <v>83</v>
      </c>
      <c r="BW76" s="15">
        <v>84</v>
      </c>
      <c r="BX76" s="15">
        <v>93</v>
      </c>
      <c r="BY76" s="15">
        <v>93</v>
      </c>
      <c r="BZ76" s="15">
        <v>77</v>
      </c>
      <c r="CA76" s="15">
        <v>91</v>
      </c>
      <c r="CB76" s="15">
        <v>86</v>
      </c>
      <c r="CC76" s="15">
        <v>95</v>
      </c>
      <c r="CD76" s="39">
        <v>88</v>
      </c>
      <c r="CE76" s="40">
        <v>90</v>
      </c>
      <c r="CF76" s="40">
        <v>82</v>
      </c>
      <c r="CG76" s="40">
        <v>94</v>
      </c>
      <c r="CH76" s="40">
        <v>83</v>
      </c>
      <c r="CI76" s="40">
        <v>85</v>
      </c>
      <c r="CJ76" s="40">
        <v>90</v>
      </c>
      <c r="CK76" s="39">
        <v>90</v>
      </c>
      <c r="CL76" s="40">
        <v>92</v>
      </c>
      <c r="CM76" s="41">
        <f t="shared" si="77"/>
        <v>92.2</v>
      </c>
      <c r="CN76" s="41">
        <f t="shared" si="78"/>
        <v>95</v>
      </c>
      <c r="CO76" s="41">
        <f t="shared" si="79"/>
        <v>88</v>
      </c>
      <c r="CP76" s="17">
        <f t="shared" si="80"/>
        <v>91.78</v>
      </c>
      <c r="CQ76" s="16">
        <f t="shared" si="81"/>
        <v>89.6</v>
      </c>
      <c r="CR76" s="16">
        <f t="shared" si="82"/>
        <v>92</v>
      </c>
      <c r="CS76" s="16">
        <f t="shared" si="83"/>
        <v>90</v>
      </c>
      <c r="CT76" s="17">
        <f t="shared" si="84"/>
        <v>90.44</v>
      </c>
      <c r="CU76" s="17">
        <f t="shared" si="85"/>
        <v>88.6</v>
      </c>
      <c r="CV76" s="17">
        <f t="shared" si="86"/>
        <v>88</v>
      </c>
      <c r="CW76" s="17">
        <f t="shared" si="87"/>
        <v>82</v>
      </c>
      <c r="CX76" s="17">
        <f t="shared" si="88"/>
        <v>86.44</v>
      </c>
      <c r="CY76" s="18">
        <f t="shared" si="89"/>
        <v>83.25</v>
      </c>
      <c r="CZ76" s="18">
        <f t="shared" si="90"/>
        <v>83.25</v>
      </c>
      <c r="DA76" s="18">
        <f t="shared" si="91"/>
        <v>82.75</v>
      </c>
      <c r="DB76" s="18">
        <f t="shared" si="92"/>
        <v>82.75</v>
      </c>
      <c r="DC76" s="18">
        <f t="shared" si="93"/>
        <v>85</v>
      </c>
      <c r="DD76" s="18">
        <f t="shared" si="94"/>
        <v>85</v>
      </c>
      <c r="DE76" s="18">
        <f t="shared" si="95"/>
        <v>80.5</v>
      </c>
      <c r="DF76" s="18">
        <f t="shared" si="96"/>
        <v>80.5</v>
      </c>
      <c r="DG76" s="18">
        <f t="shared" si="97"/>
        <v>84</v>
      </c>
      <c r="DH76" s="18">
        <f t="shared" si="98"/>
        <v>88</v>
      </c>
      <c r="DI76" s="18">
        <f t="shared" si="99"/>
        <v>94</v>
      </c>
      <c r="DJ76" s="17">
        <f t="shared" si="100"/>
        <v>88.2</v>
      </c>
      <c r="DK76" s="18">
        <f t="shared" si="101"/>
        <v>84.6</v>
      </c>
      <c r="DL76" s="18">
        <f t="shared" si="102"/>
        <v>95</v>
      </c>
      <c r="DM76" s="18">
        <f t="shared" si="103"/>
        <v>83</v>
      </c>
      <c r="DN76" s="17">
        <f t="shared" si="104"/>
        <v>87.24</v>
      </c>
      <c r="DO76" s="18">
        <f t="shared" si="105"/>
        <v>80.8</v>
      </c>
      <c r="DP76" s="18">
        <f t="shared" si="106"/>
        <v>95</v>
      </c>
      <c r="DQ76" s="18">
        <f t="shared" si="107"/>
        <v>85</v>
      </c>
      <c r="DR76" s="17">
        <f t="shared" si="108"/>
        <v>86.320000000000007</v>
      </c>
      <c r="DS76" s="18">
        <f t="shared" si="109"/>
        <v>91.5</v>
      </c>
      <c r="DT76" s="18">
        <f t="shared" si="110"/>
        <v>91.5</v>
      </c>
      <c r="DU76" s="18">
        <f t="shared" si="111"/>
        <v>85</v>
      </c>
      <c r="DV76" s="18">
        <f t="shared" si="112"/>
        <v>85</v>
      </c>
      <c r="DW76" s="18">
        <f t="shared" si="113"/>
        <v>77</v>
      </c>
      <c r="DX76" s="17">
        <f t="shared" si="114"/>
        <v>77</v>
      </c>
      <c r="DY76" s="18">
        <f t="shared" si="115"/>
        <v>84.111111111111128</v>
      </c>
      <c r="DZ76" s="18">
        <f t="shared" si="116"/>
        <v>93</v>
      </c>
      <c r="EA76" s="18">
        <f t="shared" si="117"/>
        <v>92</v>
      </c>
      <c r="EB76" s="17">
        <f t="shared" si="118"/>
        <v>89.14444444444446</v>
      </c>
      <c r="EC76" s="18">
        <f t="shared" si="119"/>
        <v>84.666666666666671</v>
      </c>
      <c r="ED76" s="18">
        <f t="shared" si="120"/>
        <v>93</v>
      </c>
      <c r="EE76" s="18">
        <f t="shared" si="121"/>
        <v>90</v>
      </c>
      <c r="EF76" s="17">
        <f t="shared" si="122"/>
        <v>88.76666666666668</v>
      </c>
      <c r="EG76" s="18">
        <f t="shared" si="123"/>
        <v>93</v>
      </c>
      <c r="EH76" s="18">
        <f t="shared" si="124"/>
        <v>84.666666666666671</v>
      </c>
      <c r="EI76" s="18">
        <f t="shared" si="125"/>
        <v>95</v>
      </c>
      <c r="EJ76" s="18">
        <f t="shared" si="126"/>
        <v>90</v>
      </c>
      <c r="EK76" s="17">
        <f t="shared" si="127"/>
        <v>89.366666666666674</v>
      </c>
      <c r="EL76" s="19">
        <f t="shared" si="128"/>
        <v>91.78</v>
      </c>
      <c r="EM76" s="19">
        <f t="shared" si="129"/>
        <v>90.44</v>
      </c>
      <c r="EN76" s="19">
        <f t="shared" si="130"/>
        <v>86.44</v>
      </c>
      <c r="EO76" s="19">
        <f t="shared" si="131"/>
        <v>83.25</v>
      </c>
      <c r="EP76" s="19">
        <f t="shared" si="132"/>
        <v>82.75</v>
      </c>
      <c r="EQ76" s="19">
        <f t="shared" si="133"/>
        <v>85</v>
      </c>
      <c r="ER76" s="19">
        <f t="shared" si="134"/>
        <v>80.5</v>
      </c>
      <c r="ES76" s="19">
        <f t="shared" si="135"/>
        <v>88.2</v>
      </c>
      <c r="ET76" s="19">
        <f t="shared" si="136"/>
        <v>87.24</v>
      </c>
      <c r="EU76" s="19">
        <f t="shared" si="137"/>
        <v>86.320000000000007</v>
      </c>
      <c r="EV76" s="19">
        <f t="shared" si="138"/>
        <v>91.5</v>
      </c>
      <c r="EW76" s="19">
        <f t="shared" si="139"/>
        <v>85</v>
      </c>
      <c r="EX76" s="19">
        <f t="shared" si="140"/>
        <v>77</v>
      </c>
      <c r="EY76" s="19">
        <f t="shared" si="141"/>
        <v>89.14444444444446</v>
      </c>
      <c r="EZ76" s="19">
        <f t="shared" si="142"/>
        <v>88.76666666666668</v>
      </c>
      <c r="FA76" s="19">
        <f t="shared" si="143"/>
        <v>93</v>
      </c>
      <c r="FB76" s="19">
        <f t="shared" si="144"/>
        <v>89.366666666666674</v>
      </c>
      <c r="FC76" s="19">
        <f t="shared" si="145"/>
        <v>86.80575163398693</v>
      </c>
    </row>
    <row r="77" spans="1:159" ht="20.100000000000001" customHeight="1">
      <c r="A77" s="11">
        <v>73</v>
      </c>
      <c r="B77" s="12" t="s">
        <v>198</v>
      </c>
      <c r="C77" s="13" t="s">
        <v>199</v>
      </c>
      <c r="D77" s="25" t="s">
        <v>197</v>
      </c>
      <c r="E77" s="14">
        <v>80</v>
      </c>
      <c r="F77" s="14">
        <v>80</v>
      </c>
      <c r="G77" s="14">
        <v>88</v>
      </c>
      <c r="H77" s="14">
        <v>86</v>
      </c>
      <c r="I77" s="14">
        <v>93</v>
      </c>
      <c r="J77" s="14">
        <v>95</v>
      </c>
      <c r="K77" s="14">
        <v>85</v>
      </c>
      <c r="L77" s="14">
        <v>81</v>
      </c>
      <c r="M77" s="14">
        <v>90</v>
      </c>
      <c r="N77" s="14">
        <v>90</v>
      </c>
      <c r="O77" s="14">
        <v>93</v>
      </c>
      <c r="P77" s="15">
        <v>95</v>
      </c>
      <c r="Q77" s="15">
        <v>80</v>
      </c>
      <c r="R77" s="14">
        <v>86</v>
      </c>
      <c r="S77" s="14">
        <v>84</v>
      </c>
      <c r="T77" s="14">
        <v>85</v>
      </c>
      <c r="U77" s="14">
        <v>79</v>
      </c>
      <c r="V77" s="14">
        <v>92</v>
      </c>
      <c r="W77" s="14">
        <v>81</v>
      </c>
      <c r="X77" s="14">
        <v>84</v>
      </c>
      <c r="Y77" s="14">
        <v>80</v>
      </c>
      <c r="Z77" s="14">
        <v>84</v>
      </c>
      <c r="AA77" s="14">
        <v>79</v>
      </c>
      <c r="AB77" s="15">
        <v>87</v>
      </c>
      <c r="AC77" s="15">
        <v>85</v>
      </c>
      <c r="AD77" s="14">
        <v>83</v>
      </c>
      <c r="AE77" s="14">
        <v>83</v>
      </c>
      <c r="AF77" s="14">
        <v>84</v>
      </c>
      <c r="AG77" s="14">
        <v>79</v>
      </c>
      <c r="AH77" s="14">
        <v>73</v>
      </c>
      <c r="AI77" s="14">
        <v>70</v>
      </c>
      <c r="AJ77" s="14">
        <v>83</v>
      </c>
      <c r="AK77" s="14">
        <v>82</v>
      </c>
      <c r="AL77" s="15">
        <v>92</v>
      </c>
      <c r="AM77" s="15">
        <v>70</v>
      </c>
      <c r="AN77" s="14">
        <v>71</v>
      </c>
      <c r="AO77" s="14">
        <v>75</v>
      </c>
      <c r="AP77" s="14">
        <v>76</v>
      </c>
      <c r="AQ77" s="14">
        <v>81</v>
      </c>
      <c r="AR77" s="14">
        <v>95</v>
      </c>
      <c r="AS77" s="14">
        <v>77</v>
      </c>
      <c r="AT77" s="14">
        <v>80</v>
      </c>
      <c r="AU77" s="14">
        <v>83</v>
      </c>
      <c r="AV77" s="14">
        <v>84</v>
      </c>
      <c r="AW77" s="14">
        <v>80</v>
      </c>
      <c r="AX77" s="15">
        <v>95</v>
      </c>
      <c r="AY77" s="15">
        <v>82</v>
      </c>
      <c r="AZ77" s="14">
        <v>82</v>
      </c>
      <c r="BA77" s="14">
        <v>75</v>
      </c>
      <c r="BB77" s="14">
        <v>80</v>
      </c>
      <c r="BC77" s="14">
        <v>78</v>
      </c>
      <c r="BD77" s="14">
        <v>80</v>
      </c>
      <c r="BE77" s="37">
        <v>85</v>
      </c>
      <c r="BF77" s="37">
        <v>84</v>
      </c>
      <c r="BG77" s="37">
        <v>78</v>
      </c>
      <c r="BH77" s="14">
        <v>95</v>
      </c>
      <c r="BI77" s="37">
        <v>83</v>
      </c>
      <c r="BJ77" s="37">
        <v>82</v>
      </c>
      <c r="BK77" s="37">
        <v>88</v>
      </c>
      <c r="BL77" s="14">
        <v>95</v>
      </c>
      <c r="BM77" s="37">
        <v>71</v>
      </c>
      <c r="BN77" s="37">
        <v>80</v>
      </c>
      <c r="BO77" s="37">
        <v>84</v>
      </c>
      <c r="BP77" s="14">
        <v>95</v>
      </c>
      <c r="BQ77" s="15">
        <f t="shared" si="73"/>
        <v>79.666666666666671</v>
      </c>
      <c r="BR77" s="15">
        <f t="shared" si="74"/>
        <v>82</v>
      </c>
      <c r="BS77" s="15">
        <f t="shared" si="75"/>
        <v>83.333333333333329</v>
      </c>
      <c r="BT77" s="15">
        <f t="shared" si="76"/>
        <v>95</v>
      </c>
      <c r="BU77" s="15">
        <v>87</v>
      </c>
      <c r="BV77" s="15">
        <v>87</v>
      </c>
      <c r="BW77" s="15">
        <v>83</v>
      </c>
      <c r="BX77" s="15">
        <v>95</v>
      </c>
      <c r="BY77" s="15">
        <v>94</v>
      </c>
      <c r="BZ77" s="15">
        <v>74</v>
      </c>
      <c r="CA77" s="15">
        <v>91</v>
      </c>
      <c r="CB77" s="15">
        <v>73</v>
      </c>
      <c r="CC77" s="15">
        <v>95</v>
      </c>
      <c r="CD77" s="39">
        <v>90</v>
      </c>
      <c r="CE77" s="40">
        <v>90</v>
      </c>
      <c r="CF77" s="40">
        <v>81</v>
      </c>
      <c r="CG77" s="40">
        <v>92</v>
      </c>
      <c r="CH77" s="40">
        <v>82</v>
      </c>
      <c r="CI77" s="40">
        <v>85</v>
      </c>
      <c r="CJ77" s="40">
        <v>80</v>
      </c>
      <c r="CK77" s="39">
        <v>83</v>
      </c>
      <c r="CL77" s="40">
        <v>70</v>
      </c>
      <c r="CM77" s="41">
        <f t="shared" si="77"/>
        <v>85.4</v>
      </c>
      <c r="CN77" s="41">
        <f t="shared" si="78"/>
        <v>95</v>
      </c>
      <c r="CO77" s="41">
        <f t="shared" si="79"/>
        <v>90</v>
      </c>
      <c r="CP77" s="17">
        <f t="shared" si="80"/>
        <v>89.66</v>
      </c>
      <c r="CQ77" s="16">
        <f t="shared" si="81"/>
        <v>87.8</v>
      </c>
      <c r="CR77" s="16">
        <f t="shared" si="82"/>
        <v>95</v>
      </c>
      <c r="CS77" s="16">
        <f t="shared" si="83"/>
        <v>90</v>
      </c>
      <c r="CT77" s="17">
        <f t="shared" si="84"/>
        <v>90.62</v>
      </c>
      <c r="CU77" s="17">
        <f t="shared" si="85"/>
        <v>82.8</v>
      </c>
      <c r="CV77" s="17">
        <f t="shared" si="86"/>
        <v>92</v>
      </c>
      <c r="CW77" s="17">
        <f t="shared" si="87"/>
        <v>81</v>
      </c>
      <c r="CX77" s="17">
        <f t="shared" si="88"/>
        <v>85.02000000000001</v>
      </c>
      <c r="CY77" s="18">
        <f t="shared" si="89"/>
        <v>82.25</v>
      </c>
      <c r="CZ77" s="18">
        <f t="shared" si="90"/>
        <v>82.25</v>
      </c>
      <c r="DA77" s="18">
        <f t="shared" si="91"/>
        <v>83.5</v>
      </c>
      <c r="DB77" s="18">
        <f t="shared" si="92"/>
        <v>83.5</v>
      </c>
      <c r="DC77" s="18">
        <f t="shared" si="93"/>
        <v>83.5</v>
      </c>
      <c r="DD77" s="18">
        <f t="shared" si="94"/>
        <v>83.5</v>
      </c>
      <c r="DE77" s="18">
        <f t="shared" si="95"/>
        <v>76.25</v>
      </c>
      <c r="DF77" s="18">
        <f t="shared" si="96"/>
        <v>76.25</v>
      </c>
      <c r="DG77" s="18">
        <f t="shared" si="97"/>
        <v>82</v>
      </c>
      <c r="DH77" s="18">
        <f t="shared" si="98"/>
        <v>92</v>
      </c>
      <c r="DI77" s="18">
        <f t="shared" si="99"/>
        <v>92</v>
      </c>
      <c r="DJ77" s="17">
        <f t="shared" si="100"/>
        <v>88</v>
      </c>
      <c r="DK77" s="18">
        <f t="shared" si="101"/>
        <v>74.599999999999994</v>
      </c>
      <c r="DL77" s="18">
        <f t="shared" si="102"/>
        <v>95</v>
      </c>
      <c r="DM77" s="18">
        <f t="shared" si="103"/>
        <v>82</v>
      </c>
      <c r="DN77" s="17">
        <f t="shared" si="104"/>
        <v>82.94</v>
      </c>
      <c r="DO77" s="18">
        <f t="shared" si="105"/>
        <v>80.8</v>
      </c>
      <c r="DP77" s="18">
        <f t="shared" si="106"/>
        <v>95</v>
      </c>
      <c r="DQ77" s="18">
        <f t="shared" si="107"/>
        <v>85</v>
      </c>
      <c r="DR77" s="17">
        <f t="shared" si="108"/>
        <v>86.320000000000007</v>
      </c>
      <c r="DS77" s="18">
        <f t="shared" si="109"/>
        <v>82</v>
      </c>
      <c r="DT77" s="18">
        <f t="shared" si="110"/>
        <v>82</v>
      </c>
      <c r="DU77" s="18">
        <f t="shared" si="111"/>
        <v>77.5</v>
      </c>
      <c r="DV77" s="18">
        <f t="shared" si="112"/>
        <v>77.5</v>
      </c>
      <c r="DW77" s="18">
        <f t="shared" si="113"/>
        <v>79</v>
      </c>
      <c r="DX77" s="17">
        <f t="shared" si="114"/>
        <v>79</v>
      </c>
      <c r="DY77" s="18">
        <f t="shared" si="115"/>
        <v>81.666666666666671</v>
      </c>
      <c r="DZ77" s="18">
        <f t="shared" si="116"/>
        <v>95</v>
      </c>
      <c r="EA77" s="18">
        <f t="shared" si="117"/>
        <v>70</v>
      </c>
      <c r="EB77" s="17">
        <f t="shared" si="118"/>
        <v>82.166666666666671</v>
      </c>
      <c r="EC77" s="18">
        <f t="shared" si="119"/>
        <v>85.666666666666671</v>
      </c>
      <c r="ED77" s="18">
        <f t="shared" si="120"/>
        <v>95</v>
      </c>
      <c r="EE77" s="18">
        <f t="shared" si="121"/>
        <v>83</v>
      </c>
      <c r="EF77" s="17">
        <f t="shared" si="122"/>
        <v>87.666666666666671</v>
      </c>
      <c r="EG77" s="18">
        <f t="shared" si="123"/>
        <v>94</v>
      </c>
      <c r="EH77" s="18">
        <f t="shared" si="124"/>
        <v>79.333333333333329</v>
      </c>
      <c r="EI77" s="18">
        <f t="shared" si="125"/>
        <v>95</v>
      </c>
      <c r="EJ77" s="18">
        <f t="shared" si="126"/>
        <v>80</v>
      </c>
      <c r="EK77" s="17">
        <f t="shared" si="127"/>
        <v>84.23333333333332</v>
      </c>
      <c r="EL77" s="19">
        <f t="shared" si="128"/>
        <v>89.66</v>
      </c>
      <c r="EM77" s="19">
        <f t="shared" si="129"/>
        <v>90.62</v>
      </c>
      <c r="EN77" s="19">
        <f t="shared" si="130"/>
        <v>85.02000000000001</v>
      </c>
      <c r="EO77" s="19">
        <f t="shared" si="131"/>
        <v>82.25</v>
      </c>
      <c r="EP77" s="19">
        <f t="shared" si="132"/>
        <v>83.5</v>
      </c>
      <c r="EQ77" s="19">
        <f t="shared" si="133"/>
        <v>83.5</v>
      </c>
      <c r="ER77" s="19">
        <f t="shared" si="134"/>
        <v>76.25</v>
      </c>
      <c r="ES77" s="19">
        <f t="shared" si="135"/>
        <v>88</v>
      </c>
      <c r="ET77" s="19">
        <f t="shared" si="136"/>
        <v>82.94</v>
      </c>
      <c r="EU77" s="19">
        <f t="shared" si="137"/>
        <v>86.320000000000007</v>
      </c>
      <c r="EV77" s="19">
        <f t="shared" si="138"/>
        <v>82</v>
      </c>
      <c r="EW77" s="19">
        <f t="shared" si="139"/>
        <v>77.5</v>
      </c>
      <c r="EX77" s="19">
        <f t="shared" si="140"/>
        <v>79</v>
      </c>
      <c r="EY77" s="19">
        <f t="shared" si="141"/>
        <v>82.166666666666671</v>
      </c>
      <c r="EZ77" s="19">
        <f t="shared" si="142"/>
        <v>87.666666666666671</v>
      </c>
      <c r="FA77" s="19">
        <f t="shared" si="143"/>
        <v>94</v>
      </c>
      <c r="FB77" s="19">
        <f t="shared" si="144"/>
        <v>84.23333333333332</v>
      </c>
      <c r="FC77" s="19">
        <f t="shared" si="145"/>
        <v>84.389803921568628</v>
      </c>
    </row>
    <row r="78" spans="1:159" ht="20.100000000000001" customHeight="1">
      <c r="A78" s="11">
        <v>74</v>
      </c>
      <c r="B78" s="12" t="s">
        <v>200</v>
      </c>
      <c r="C78" s="13" t="s">
        <v>201</v>
      </c>
      <c r="D78" s="25" t="s">
        <v>197</v>
      </c>
      <c r="E78" s="14">
        <v>94</v>
      </c>
      <c r="F78" s="14">
        <v>96</v>
      </c>
      <c r="G78" s="14">
        <v>90</v>
      </c>
      <c r="H78" s="14">
        <v>88</v>
      </c>
      <c r="I78" s="14">
        <v>85</v>
      </c>
      <c r="J78" s="14">
        <v>91</v>
      </c>
      <c r="K78" s="14">
        <v>83</v>
      </c>
      <c r="L78" s="14">
        <v>88</v>
      </c>
      <c r="M78" s="14">
        <v>95</v>
      </c>
      <c r="N78" s="14">
        <v>95</v>
      </c>
      <c r="O78" s="14">
        <v>95</v>
      </c>
      <c r="P78" s="15">
        <v>80</v>
      </c>
      <c r="Q78" s="15">
        <v>95</v>
      </c>
      <c r="R78" s="14">
        <v>91</v>
      </c>
      <c r="S78" s="14">
        <v>90</v>
      </c>
      <c r="T78" s="14">
        <v>92</v>
      </c>
      <c r="U78" s="14">
        <v>89</v>
      </c>
      <c r="V78" s="14">
        <v>78</v>
      </c>
      <c r="W78" s="14">
        <v>81</v>
      </c>
      <c r="X78" s="14">
        <v>84</v>
      </c>
      <c r="Y78" s="14">
        <v>80</v>
      </c>
      <c r="Z78" s="14">
        <v>84</v>
      </c>
      <c r="AA78" s="14">
        <v>83</v>
      </c>
      <c r="AB78" s="15">
        <v>88</v>
      </c>
      <c r="AC78" s="15">
        <v>86</v>
      </c>
      <c r="AD78" s="14">
        <v>82</v>
      </c>
      <c r="AE78" s="14">
        <v>84</v>
      </c>
      <c r="AF78" s="14">
        <v>84</v>
      </c>
      <c r="AG78" s="14">
        <v>82</v>
      </c>
      <c r="AH78" s="14">
        <v>76</v>
      </c>
      <c r="AI78" s="14">
        <v>75</v>
      </c>
      <c r="AJ78" s="14">
        <v>82</v>
      </c>
      <c r="AK78" s="14">
        <v>88</v>
      </c>
      <c r="AL78" s="15">
        <v>78</v>
      </c>
      <c r="AM78" s="15">
        <v>74</v>
      </c>
      <c r="AN78" s="14">
        <v>82</v>
      </c>
      <c r="AO78" s="14">
        <v>95</v>
      </c>
      <c r="AP78" s="14">
        <v>95</v>
      </c>
      <c r="AQ78" s="14">
        <v>90</v>
      </c>
      <c r="AR78" s="14">
        <v>83</v>
      </c>
      <c r="AS78" s="14">
        <v>87</v>
      </c>
      <c r="AT78" s="14">
        <v>89</v>
      </c>
      <c r="AU78" s="14">
        <v>89</v>
      </c>
      <c r="AV78" s="14">
        <v>89</v>
      </c>
      <c r="AW78" s="14">
        <v>88</v>
      </c>
      <c r="AX78" s="15">
        <v>83</v>
      </c>
      <c r="AY78" s="15">
        <v>92</v>
      </c>
      <c r="AZ78" s="14">
        <v>98</v>
      </c>
      <c r="BA78" s="14">
        <v>85</v>
      </c>
      <c r="BB78" s="14">
        <v>92</v>
      </c>
      <c r="BC78" s="14">
        <v>86</v>
      </c>
      <c r="BD78" s="14">
        <v>80</v>
      </c>
      <c r="BE78" s="37">
        <v>84</v>
      </c>
      <c r="BF78" s="37">
        <v>89</v>
      </c>
      <c r="BG78" s="37">
        <v>83</v>
      </c>
      <c r="BH78" s="14">
        <v>82</v>
      </c>
      <c r="BI78" s="37">
        <v>90</v>
      </c>
      <c r="BJ78" s="37">
        <v>91</v>
      </c>
      <c r="BK78" s="37">
        <v>88</v>
      </c>
      <c r="BL78" s="14">
        <v>82</v>
      </c>
      <c r="BM78" s="37">
        <v>77</v>
      </c>
      <c r="BN78" s="37">
        <v>88</v>
      </c>
      <c r="BO78" s="37">
        <v>85</v>
      </c>
      <c r="BP78" s="14">
        <v>82</v>
      </c>
      <c r="BQ78" s="15">
        <f t="shared" si="73"/>
        <v>83.666666666666671</v>
      </c>
      <c r="BR78" s="15">
        <f t="shared" si="74"/>
        <v>89.333333333333329</v>
      </c>
      <c r="BS78" s="15">
        <f t="shared" si="75"/>
        <v>85.333333333333329</v>
      </c>
      <c r="BT78" s="15">
        <f t="shared" si="76"/>
        <v>82</v>
      </c>
      <c r="BU78" s="15">
        <v>88</v>
      </c>
      <c r="BV78" s="15">
        <v>93</v>
      </c>
      <c r="BW78" s="15">
        <v>85</v>
      </c>
      <c r="BX78" s="15">
        <v>82</v>
      </c>
      <c r="BY78" s="15">
        <v>83</v>
      </c>
      <c r="BZ78" s="15">
        <v>88</v>
      </c>
      <c r="CA78" s="15">
        <v>94</v>
      </c>
      <c r="CB78" s="15">
        <v>88</v>
      </c>
      <c r="CC78" s="15">
        <v>83</v>
      </c>
      <c r="CD78" s="39">
        <v>91</v>
      </c>
      <c r="CE78" s="40">
        <v>95</v>
      </c>
      <c r="CF78" s="40">
        <v>86</v>
      </c>
      <c r="CG78" s="40">
        <v>94</v>
      </c>
      <c r="CH78" s="40">
        <v>91</v>
      </c>
      <c r="CI78" s="40">
        <v>90</v>
      </c>
      <c r="CJ78" s="40">
        <v>82</v>
      </c>
      <c r="CK78" s="39">
        <v>93</v>
      </c>
      <c r="CL78" s="40">
        <v>95</v>
      </c>
      <c r="CM78" s="41">
        <f t="shared" si="77"/>
        <v>90.6</v>
      </c>
      <c r="CN78" s="41">
        <f t="shared" si="78"/>
        <v>91</v>
      </c>
      <c r="CO78" s="41">
        <f t="shared" si="79"/>
        <v>91</v>
      </c>
      <c r="CP78" s="17">
        <f t="shared" si="80"/>
        <v>90.84</v>
      </c>
      <c r="CQ78" s="16">
        <f t="shared" si="81"/>
        <v>91.2</v>
      </c>
      <c r="CR78" s="16">
        <f t="shared" si="82"/>
        <v>80</v>
      </c>
      <c r="CS78" s="16">
        <f t="shared" si="83"/>
        <v>95</v>
      </c>
      <c r="CT78" s="17">
        <f t="shared" si="84"/>
        <v>88.97999999999999</v>
      </c>
      <c r="CU78" s="17">
        <f t="shared" si="85"/>
        <v>91.4</v>
      </c>
      <c r="CV78" s="17">
        <f t="shared" si="86"/>
        <v>78</v>
      </c>
      <c r="CW78" s="17">
        <f t="shared" si="87"/>
        <v>86</v>
      </c>
      <c r="CX78" s="17">
        <f t="shared" si="88"/>
        <v>85.76</v>
      </c>
      <c r="CY78" s="18">
        <f t="shared" si="89"/>
        <v>82.25</v>
      </c>
      <c r="CZ78" s="18">
        <f t="shared" si="90"/>
        <v>82.25</v>
      </c>
      <c r="DA78" s="18">
        <f t="shared" si="91"/>
        <v>84.75</v>
      </c>
      <c r="DB78" s="18">
        <f t="shared" si="92"/>
        <v>84.75</v>
      </c>
      <c r="DC78" s="18">
        <f t="shared" si="93"/>
        <v>84</v>
      </c>
      <c r="DD78" s="18">
        <f t="shared" si="94"/>
        <v>84</v>
      </c>
      <c r="DE78" s="18">
        <f t="shared" si="95"/>
        <v>78.75</v>
      </c>
      <c r="DF78" s="18">
        <f t="shared" si="96"/>
        <v>78.75</v>
      </c>
      <c r="DG78" s="18">
        <f t="shared" si="97"/>
        <v>88</v>
      </c>
      <c r="DH78" s="18">
        <f t="shared" si="98"/>
        <v>78</v>
      </c>
      <c r="DI78" s="18">
        <f t="shared" si="99"/>
        <v>94</v>
      </c>
      <c r="DJ78" s="17">
        <f t="shared" si="100"/>
        <v>86.8</v>
      </c>
      <c r="DK78" s="18">
        <f t="shared" si="101"/>
        <v>87.2</v>
      </c>
      <c r="DL78" s="18">
        <f t="shared" si="102"/>
        <v>83</v>
      </c>
      <c r="DM78" s="18">
        <f t="shared" si="103"/>
        <v>91</v>
      </c>
      <c r="DN78" s="17">
        <f t="shared" si="104"/>
        <v>87.08</v>
      </c>
      <c r="DO78" s="18">
        <f t="shared" si="105"/>
        <v>88.4</v>
      </c>
      <c r="DP78" s="18">
        <f t="shared" si="106"/>
        <v>83</v>
      </c>
      <c r="DQ78" s="18">
        <f t="shared" si="107"/>
        <v>90</v>
      </c>
      <c r="DR78" s="17">
        <f t="shared" si="108"/>
        <v>87.26</v>
      </c>
      <c r="DS78" s="18">
        <f t="shared" si="109"/>
        <v>95</v>
      </c>
      <c r="DT78" s="18">
        <f t="shared" si="110"/>
        <v>95</v>
      </c>
      <c r="DU78" s="18">
        <f t="shared" si="111"/>
        <v>88.5</v>
      </c>
      <c r="DV78" s="18">
        <f t="shared" si="112"/>
        <v>88.5</v>
      </c>
      <c r="DW78" s="18">
        <f t="shared" si="113"/>
        <v>83</v>
      </c>
      <c r="DX78" s="17">
        <f t="shared" si="114"/>
        <v>83</v>
      </c>
      <c r="DY78" s="18">
        <f t="shared" si="115"/>
        <v>86.1111111111111</v>
      </c>
      <c r="DZ78" s="18">
        <f t="shared" si="116"/>
        <v>82</v>
      </c>
      <c r="EA78" s="18">
        <f t="shared" si="117"/>
        <v>95</v>
      </c>
      <c r="EB78" s="17">
        <f t="shared" si="118"/>
        <v>87.544444444444437</v>
      </c>
      <c r="EC78" s="18">
        <f t="shared" si="119"/>
        <v>88.666666666666671</v>
      </c>
      <c r="ED78" s="18">
        <f t="shared" si="120"/>
        <v>82</v>
      </c>
      <c r="EE78" s="18">
        <f t="shared" si="121"/>
        <v>93</v>
      </c>
      <c r="EF78" s="17">
        <f t="shared" si="122"/>
        <v>87.966666666666669</v>
      </c>
      <c r="EG78" s="18">
        <f t="shared" si="123"/>
        <v>83</v>
      </c>
      <c r="EH78" s="18">
        <f t="shared" si="124"/>
        <v>90</v>
      </c>
      <c r="EI78" s="18">
        <f t="shared" si="125"/>
        <v>83</v>
      </c>
      <c r="EJ78" s="18">
        <f t="shared" si="126"/>
        <v>82</v>
      </c>
      <c r="EK78" s="17">
        <f t="shared" si="127"/>
        <v>85.5</v>
      </c>
      <c r="EL78" s="19">
        <f t="shared" si="128"/>
        <v>90.84</v>
      </c>
      <c r="EM78" s="19">
        <f t="shared" si="129"/>
        <v>88.97999999999999</v>
      </c>
      <c r="EN78" s="19">
        <f t="shared" si="130"/>
        <v>85.76</v>
      </c>
      <c r="EO78" s="19">
        <f t="shared" si="131"/>
        <v>82.25</v>
      </c>
      <c r="EP78" s="19">
        <f t="shared" si="132"/>
        <v>84.75</v>
      </c>
      <c r="EQ78" s="19">
        <f t="shared" si="133"/>
        <v>84</v>
      </c>
      <c r="ER78" s="19">
        <f t="shared" si="134"/>
        <v>78.75</v>
      </c>
      <c r="ES78" s="19">
        <f t="shared" si="135"/>
        <v>86.8</v>
      </c>
      <c r="ET78" s="19">
        <f t="shared" si="136"/>
        <v>87.08</v>
      </c>
      <c r="EU78" s="19">
        <f t="shared" si="137"/>
        <v>87.26</v>
      </c>
      <c r="EV78" s="19">
        <f t="shared" si="138"/>
        <v>95</v>
      </c>
      <c r="EW78" s="19">
        <f t="shared" si="139"/>
        <v>88.5</v>
      </c>
      <c r="EX78" s="19">
        <f t="shared" si="140"/>
        <v>83</v>
      </c>
      <c r="EY78" s="19">
        <f t="shared" si="141"/>
        <v>87.544444444444437</v>
      </c>
      <c r="EZ78" s="19">
        <f t="shared" si="142"/>
        <v>87.966666666666669</v>
      </c>
      <c r="FA78" s="19">
        <f t="shared" si="143"/>
        <v>83</v>
      </c>
      <c r="FB78" s="19">
        <f t="shared" si="144"/>
        <v>85.5</v>
      </c>
      <c r="FC78" s="19">
        <f t="shared" si="145"/>
        <v>86.293006535947711</v>
      </c>
    </row>
    <row r="79" spans="1:159" ht="20.100000000000001" customHeight="1">
      <c r="A79" s="11">
        <v>75</v>
      </c>
      <c r="B79" s="12" t="s">
        <v>202</v>
      </c>
      <c r="C79" s="13" t="s">
        <v>203</v>
      </c>
      <c r="D79" s="25" t="s">
        <v>197</v>
      </c>
      <c r="E79" s="14">
        <v>88</v>
      </c>
      <c r="F79" s="14">
        <v>88</v>
      </c>
      <c r="G79" s="14">
        <v>87</v>
      </c>
      <c r="H79" s="14">
        <v>85</v>
      </c>
      <c r="I79" s="14">
        <v>84</v>
      </c>
      <c r="J79" s="14">
        <v>80</v>
      </c>
      <c r="K79" s="14">
        <v>80</v>
      </c>
      <c r="L79" s="14">
        <v>80</v>
      </c>
      <c r="M79" s="14">
        <v>90</v>
      </c>
      <c r="N79" s="14">
        <v>90</v>
      </c>
      <c r="O79" s="14">
        <v>93</v>
      </c>
      <c r="P79" s="15">
        <v>80</v>
      </c>
      <c r="Q79" s="15">
        <v>85</v>
      </c>
      <c r="R79" s="14">
        <v>86</v>
      </c>
      <c r="S79" s="14">
        <v>85</v>
      </c>
      <c r="T79" s="14">
        <v>87</v>
      </c>
      <c r="U79" s="14">
        <v>82</v>
      </c>
      <c r="V79" s="14">
        <v>78</v>
      </c>
      <c r="W79" s="14">
        <v>81</v>
      </c>
      <c r="X79" s="14">
        <v>84</v>
      </c>
      <c r="Y79" s="14">
        <v>80</v>
      </c>
      <c r="Z79" s="14">
        <v>85</v>
      </c>
      <c r="AA79" s="14">
        <v>80</v>
      </c>
      <c r="AB79" s="15">
        <v>80</v>
      </c>
      <c r="AC79" s="15">
        <v>82</v>
      </c>
      <c r="AD79" s="14">
        <v>83</v>
      </c>
      <c r="AE79" s="14">
        <v>83</v>
      </c>
      <c r="AF79" s="14">
        <v>85</v>
      </c>
      <c r="AG79" s="14">
        <v>81</v>
      </c>
      <c r="AH79" s="14">
        <v>77</v>
      </c>
      <c r="AI79" s="14">
        <v>72</v>
      </c>
      <c r="AJ79" s="14">
        <v>83</v>
      </c>
      <c r="AK79" s="14">
        <v>83</v>
      </c>
      <c r="AL79" s="15">
        <v>78</v>
      </c>
      <c r="AM79" s="15">
        <v>70</v>
      </c>
      <c r="AN79" s="14">
        <v>71</v>
      </c>
      <c r="AO79" s="14">
        <v>82</v>
      </c>
      <c r="AP79" s="14">
        <v>83</v>
      </c>
      <c r="AQ79" s="14">
        <v>82</v>
      </c>
      <c r="AR79" s="14">
        <v>80</v>
      </c>
      <c r="AS79" s="14">
        <v>81</v>
      </c>
      <c r="AT79" s="14">
        <v>78</v>
      </c>
      <c r="AU79" s="14">
        <v>80</v>
      </c>
      <c r="AV79" s="14">
        <v>85</v>
      </c>
      <c r="AW79" s="14">
        <v>82</v>
      </c>
      <c r="AX79" s="15">
        <v>80</v>
      </c>
      <c r="AY79" s="15">
        <v>92</v>
      </c>
      <c r="AZ79" s="14">
        <v>93</v>
      </c>
      <c r="BA79" s="14">
        <v>78</v>
      </c>
      <c r="BB79" s="14">
        <v>87</v>
      </c>
      <c r="BC79" s="14">
        <v>82</v>
      </c>
      <c r="BD79" s="14">
        <v>80</v>
      </c>
      <c r="BE79" s="37">
        <v>84</v>
      </c>
      <c r="BF79" s="37">
        <v>90</v>
      </c>
      <c r="BG79" s="37">
        <v>86</v>
      </c>
      <c r="BH79" s="14">
        <v>81</v>
      </c>
      <c r="BI79" s="37">
        <v>86</v>
      </c>
      <c r="BJ79" s="37">
        <v>92</v>
      </c>
      <c r="BK79" s="37">
        <v>88</v>
      </c>
      <c r="BL79" s="14">
        <v>81</v>
      </c>
      <c r="BM79" s="37">
        <v>72</v>
      </c>
      <c r="BN79" s="37">
        <v>86</v>
      </c>
      <c r="BO79" s="37">
        <v>86</v>
      </c>
      <c r="BP79" s="14">
        <v>81</v>
      </c>
      <c r="BQ79" s="15">
        <f t="shared" si="73"/>
        <v>80.666666666666671</v>
      </c>
      <c r="BR79" s="15">
        <f t="shared" si="74"/>
        <v>89.333333333333329</v>
      </c>
      <c r="BS79" s="15">
        <f t="shared" si="75"/>
        <v>86.666666666666671</v>
      </c>
      <c r="BT79" s="15">
        <f t="shared" si="76"/>
        <v>81</v>
      </c>
      <c r="BU79" s="15">
        <v>87</v>
      </c>
      <c r="BV79" s="15">
        <v>84</v>
      </c>
      <c r="BW79" s="15">
        <v>85</v>
      </c>
      <c r="BX79" s="15">
        <v>81</v>
      </c>
      <c r="BY79" s="15">
        <v>80</v>
      </c>
      <c r="BZ79" s="15">
        <v>85</v>
      </c>
      <c r="CA79" s="15">
        <v>91</v>
      </c>
      <c r="CB79" s="15">
        <v>74</v>
      </c>
      <c r="CC79" s="15">
        <v>80</v>
      </c>
      <c r="CD79" s="39">
        <v>86</v>
      </c>
      <c r="CE79" s="40">
        <v>88</v>
      </c>
      <c r="CF79" s="40">
        <v>88</v>
      </c>
      <c r="CG79" s="40">
        <v>94</v>
      </c>
      <c r="CH79" s="40">
        <v>83</v>
      </c>
      <c r="CI79" s="40">
        <v>85</v>
      </c>
      <c r="CJ79" s="40">
        <v>90</v>
      </c>
      <c r="CK79" s="39">
        <v>85</v>
      </c>
      <c r="CL79" s="40">
        <v>95</v>
      </c>
      <c r="CM79" s="41">
        <f t="shared" si="77"/>
        <v>86.4</v>
      </c>
      <c r="CN79" s="41">
        <f t="shared" si="78"/>
        <v>80</v>
      </c>
      <c r="CO79" s="41">
        <f t="shared" si="79"/>
        <v>86</v>
      </c>
      <c r="CP79" s="17">
        <f t="shared" si="80"/>
        <v>84.36</v>
      </c>
      <c r="CQ79" s="16">
        <f t="shared" si="81"/>
        <v>86.6</v>
      </c>
      <c r="CR79" s="16">
        <f t="shared" si="82"/>
        <v>80</v>
      </c>
      <c r="CS79" s="16">
        <f t="shared" si="83"/>
        <v>88</v>
      </c>
      <c r="CT79" s="17">
        <f t="shared" si="84"/>
        <v>85.039999999999992</v>
      </c>
      <c r="CU79" s="17">
        <f t="shared" si="85"/>
        <v>85</v>
      </c>
      <c r="CV79" s="17">
        <f t="shared" si="86"/>
        <v>78</v>
      </c>
      <c r="CW79" s="17">
        <f t="shared" si="87"/>
        <v>88</v>
      </c>
      <c r="CX79" s="17">
        <f t="shared" si="88"/>
        <v>83.8</v>
      </c>
      <c r="CY79" s="18">
        <f t="shared" si="89"/>
        <v>82.5</v>
      </c>
      <c r="CZ79" s="18">
        <f t="shared" si="90"/>
        <v>82.5</v>
      </c>
      <c r="DA79" s="18">
        <f t="shared" si="91"/>
        <v>81.25</v>
      </c>
      <c r="DB79" s="18">
        <f t="shared" si="92"/>
        <v>81.25</v>
      </c>
      <c r="DC79" s="18">
        <f t="shared" si="93"/>
        <v>84</v>
      </c>
      <c r="DD79" s="18">
        <f t="shared" si="94"/>
        <v>84</v>
      </c>
      <c r="DE79" s="18">
        <f t="shared" si="95"/>
        <v>78.25</v>
      </c>
      <c r="DF79" s="18">
        <f t="shared" si="96"/>
        <v>78.25</v>
      </c>
      <c r="DG79" s="18">
        <f t="shared" si="97"/>
        <v>83</v>
      </c>
      <c r="DH79" s="18">
        <f t="shared" si="98"/>
        <v>78</v>
      </c>
      <c r="DI79" s="18">
        <f t="shared" si="99"/>
        <v>94</v>
      </c>
      <c r="DJ79" s="17">
        <f t="shared" si="100"/>
        <v>84.8</v>
      </c>
      <c r="DK79" s="18">
        <f t="shared" si="101"/>
        <v>77.599999999999994</v>
      </c>
      <c r="DL79" s="18">
        <f t="shared" si="102"/>
        <v>80</v>
      </c>
      <c r="DM79" s="18">
        <f t="shared" si="103"/>
        <v>83</v>
      </c>
      <c r="DN79" s="17">
        <f t="shared" si="104"/>
        <v>79.94</v>
      </c>
      <c r="DO79" s="18">
        <f t="shared" si="105"/>
        <v>81.2</v>
      </c>
      <c r="DP79" s="18">
        <f t="shared" si="106"/>
        <v>80</v>
      </c>
      <c r="DQ79" s="18">
        <f t="shared" si="107"/>
        <v>85</v>
      </c>
      <c r="DR79" s="17">
        <f t="shared" si="108"/>
        <v>81.97999999999999</v>
      </c>
      <c r="DS79" s="18">
        <f t="shared" si="109"/>
        <v>92.5</v>
      </c>
      <c r="DT79" s="18">
        <f t="shared" si="110"/>
        <v>92.5</v>
      </c>
      <c r="DU79" s="18">
        <f t="shared" si="111"/>
        <v>82.5</v>
      </c>
      <c r="DV79" s="18">
        <f t="shared" si="112"/>
        <v>82.5</v>
      </c>
      <c r="DW79" s="18">
        <f t="shared" si="113"/>
        <v>81</v>
      </c>
      <c r="DX79" s="17">
        <f t="shared" si="114"/>
        <v>81</v>
      </c>
      <c r="DY79" s="18">
        <f t="shared" si="115"/>
        <v>85.555555555555557</v>
      </c>
      <c r="DZ79" s="18">
        <f t="shared" si="116"/>
        <v>81</v>
      </c>
      <c r="EA79" s="18">
        <f t="shared" si="117"/>
        <v>95</v>
      </c>
      <c r="EB79" s="17">
        <f t="shared" si="118"/>
        <v>87.022222222222211</v>
      </c>
      <c r="EC79" s="18">
        <f t="shared" si="119"/>
        <v>85.333333333333329</v>
      </c>
      <c r="ED79" s="18">
        <f t="shared" si="120"/>
        <v>81</v>
      </c>
      <c r="EE79" s="18">
        <f t="shared" si="121"/>
        <v>85</v>
      </c>
      <c r="EF79" s="17">
        <f t="shared" si="122"/>
        <v>83.933333333333323</v>
      </c>
      <c r="EG79" s="18">
        <f t="shared" si="123"/>
        <v>80</v>
      </c>
      <c r="EH79" s="18">
        <f t="shared" si="124"/>
        <v>83.333333333333329</v>
      </c>
      <c r="EI79" s="18">
        <f t="shared" si="125"/>
        <v>80</v>
      </c>
      <c r="EJ79" s="18">
        <f t="shared" si="126"/>
        <v>90</v>
      </c>
      <c r="EK79" s="17">
        <f t="shared" si="127"/>
        <v>84.333333333333329</v>
      </c>
      <c r="EL79" s="19">
        <f t="shared" si="128"/>
        <v>84.36</v>
      </c>
      <c r="EM79" s="19">
        <f t="shared" si="129"/>
        <v>85.039999999999992</v>
      </c>
      <c r="EN79" s="19">
        <f t="shared" si="130"/>
        <v>83.8</v>
      </c>
      <c r="EO79" s="19">
        <f t="shared" si="131"/>
        <v>82.5</v>
      </c>
      <c r="EP79" s="19">
        <f t="shared" si="132"/>
        <v>81.25</v>
      </c>
      <c r="EQ79" s="19">
        <f t="shared" si="133"/>
        <v>84</v>
      </c>
      <c r="ER79" s="19">
        <f t="shared" si="134"/>
        <v>78.25</v>
      </c>
      <c r="ES79" s="19">
        <f t="shared" si="135"/>
        <v>84.8</v>
      </c>
      <c r="ET79" s="19">
        <f t="shared" si="136"/>
        <v>79.94</v>
      </c>
      <c r="EU79" s="19">
        <f t="shared" si="137"/>
        <v>81.97999999999999</v>
      </c>
      <c r="EV79" s="19">
        <f t="shared" si="138"/>
        <v>92.5</v>
      </c>
      <c r="EW79" s="19">
        <f t="shared" si="139"/>
        <v>82.5</v>
      </c>
      <c r="EX79" s="19">
        <f t="shared" si="140"/>
        <v>81</v>
      </c>
      <c r="EY79" s="19">
        <f t="shared" si="141"/>
        <v>87.022222222222211</v>
      </c>
      <c r="EZ79" s="19">
        <f t="shared" si="142"/>
        <v>83.933333333333323</v>
      </c>
      <c r="FA79" s="19">
        <f t="shared" si="143"/>
        <v>80</v>
      </c>
      <c r="FB79" s="19">
        <f t="shared" si="144"/>
        <v>84.333333333333329</v>
      </c>
      <c r="FC79" s="19">
        <f t="shared" si="145"/>
        <v>83.365228758169934</v>
      </c>
    </row>
    <row r="80" spans="1:159" ht="20.100000000000001" customHeight="1">
      <c r="A80" s="11">
        <v>76</v>
      </c>
      <c r="B80" s="12" t="s">
        <v>204</v>
      </c>
      <c r="C80" s="13" t="s">
        <v>205</v>
      </c>
      <c r="D80" s="25" t="s">
        <v>197</v>
      </c>
      <c r="E80" s="14">
        <v>91</v>
      </c>
      <c r="F80" s="14">
        <v>88</v>
      </c>
      <c r="G80" s="14">
        <v>87</v>
      </c>
      <c r="H80" s="14">
        <v>85</v>
      </c>
      <c r="I80" s="14">
        <v>91</v>
      </c>
      <c r="J80" s="14">
        <v>85</v>
      </c>
      <c r="K80" s="14">
        <v>84</v>
      </c>
      <c r="L80" s="14">
        <v>83</v>
      </c>
      <c r="M80" s="14">
        <v>88</v>
      </c>
      <c r="N80" s="14">
        <v>80</v>
      </c>
      <c r="O80" s="14">
        <v>85</v>
      </c>
      <c r="P80" s="15">
        <v>85</v>
      </c>
      <c r="Q80" s="15">
        <v>89</v>
      </c>
      <c r="R80" s="14">
        <v>82</v>
      </c>
      <c r="S80" s="14">
        <v>80</v>
      </c>
      <c r="T80" s="14">
        <v>81</v>
      </c>
      <c r="U80" s="14">
        <v>78</v>
      </c>
      <c r="V80" s="14">
        <v>82</v>
      </c>
      <c r="W80" s="14">
        <v>81</v>
      </c>
      <c r="X80" s="14">
        <v>84</v>
      </c>
      <c r="Y80" s="14">
        <v>80</v>
      </c>
      <c r="Z80" s="14">
        <v>84</v>
      </c>
      <c r="AA80" s="14">
        <v>85</v>
      </c>
      <c r="AB80" s="15">
        <v>83</v>
      </c>
      <c r="AC80" s="15">
        <v>83</v>
      </c>
      <c r="AD80" s="14">
        <v>83</v>
      </c>
      <c r="AE80" s="14">
        <v>83</v>
      </c>
      <c r="AF80" s="14">
        <v>85</v>
      </c>
      <c r="AG80" s="14">
        <v>78</v>
      </c>
      <c r="AH80" s="14">
        <v>75</v>
      </c>
      <c r="AI80" s="14">
        <v>76</v>
      </c>
      <c r="AJ80" s="14">
        <v>83</v>
      </c>
      <c r="AK80" s="14">
        <v>80</v>
      </c>
      <c r="AL80" s="15">
        <v>82</v>
      </c>
      <c r="AM80" s="15">
        <v>75</v>
      </c>
      <c r="AN80" s="14">
        <v>77</v>
      </c>
      <c r="AO80" s="14">
        <v>74</v>
      </c>
      <c r="AP80" s="14">
        <v>75</v>
      </c>
      <c r="AQ80" s="14">
        <v>79</v>
      </c>
      <c r="AR80" s="14">
        <v>80</v>
      </c>
      <c r="AS80" s="14">
        <v>78</v>
      </c>
      <c r="AT80" s="14">
        <v>79</v>
      </c>
      <c r="AU80" s="14">
        <v>80</v>
      </c>
      <c r="AV80" s="14">
        <v>82</v>
      </c>
      <c r="AW80" s="14">
        <v>80</v>
      </c>
      <c r="AX80" s="15">
        <v>80</v>
      </c>
      <c r="AY80" s="15">
        <v>87</v>
      </c>
      <c r="AZ80" s="14">
        <v>82</v>
      </c>
      <c r="BA80" s="14">
        <v>75</v>
      </c>
      <c r="BB80" s="14">
        <v>86</v>
      </c>
      <c r="BC80" s="14">
        <v>74</v>
      </c>
      <c r="BD80" s="14">
        <v>83</v>
      </c>
      <c r="BE80" s="37">
        <v>82</v>
      </c>
      <c r="BF80" s="37">
        <v>85</v>
      </c>
      <c r="BG80" s="37">
        <v>74</v>
      </c>
      <c r="BH80" s="14">
        <v>80</v>
      </c>
      <c r="BI80" s="37">
        <v>83</v>
      </c>
      <c r="BJ80" s="37">
        <v>85</v>
      </c>
      <c r="BK80" s="37">
        <v>88</v>
      </c>
      <c r="BL80" s="14">
        <v>80</v>
      </c>
      <c r="BM80" s="37">
        <v>73</v>
      </c>
      <c r="BN80" s="37">
        <v>79</v>
      </c>
      <c r="BO80" s="37">
        <v>83</v>
      </c>
      <c r="BP80" s="14">
        <v>80</v>
      </c>
      <c r="BQ80" s="15">
        <f t="shared" si="73"/>
        <v>79.333333333333329</v>
      </c>
      <c r="BR80" s="15">
        <f t="shared" si="74"/>
        <v>83</v>
      </c>
      <c r="BS80" s="15">
        <f t="shared" si="75"/>
        <v>81.666666666666671</v>
      </c>
      <c r="BT80" s="15">
        <f t="shared" si="76"/>
        <v>80</v>
      </c>
      <c r="BU80" s="15">
        <v>88</v>
      </c>
      <c r="BV80" s="15">
        <v>84</v>
      </c>
      <c r="BW80" s="15">
        <v>83</v>
      </c>
      <c r="BX80" s="15">
        <v>80</v>
      </c>
      <c r="BY80" s="15">
        <v>82</v>
      </c>
      <c r="BZ80" s="15">
        <v>78</v>
      </c>
      <c r="CA80" s="15">
        <v>87</v>
      </c>
      <c r="CB80" s="15">
        <v>73</v>
      </c>
      <c r="CC80" s="15">
        <v>80</v>
      </c>
      <c r="CD80" s="39">
        <v>87</v>
      </c>
      <c r="CE80" s="40">
        <v>88</v>
      </c>
      <c r="CF80" s="40">
        <v>88</v>
      </c>
      <c r="CG80" s="40">
        <v>80</v>
      </c>
      <c r="CH80" s="40">
        <v>79</v>
      </c>
      <c r="CI80" s="40">
        <v>82</v>
      </c>
      <c r="CJ80" s="40">
        <v>80</v>
      </c>
      <c r="CK80" s="39">
        <v>83</v>
      </c>
      <c r="CL80" s="40">
        <v>92</v>
      </c>
      <c r="CM80" s="41">
        <f t="shared" si="77"/>
        <v>88.4</v>
      </c>
      <c r="CN80" s="41">
        <f t="shared" si="78"/>
        <v>85</v>
      </c>
      <c r="CO80" s="41">
        <f t="shared" si="79"/>
        <v>87</v>
      </c>
      <c r="CP80" s="17">
        <f t="shared" si="80"/>
        <v>86.960000000000008</v>
      </c>
      <c r="CQ80" s="16">
        <f t="shared" si="81"/>
        <v>84</v>
      </c>
      <c r="CR80" s="16">
        <f t="shared" si="82"/>
        <v>85</v>
      </c>
      <c r="CS80" s="16">
        <f t="shared" si="83"/>
        <v>88</v>
      </c>
      <c r="CT80" s="17">
        <f t="shared" si="84"/>
        <v>85.5</v>
      </c>
      <c r="CU80" s="17">
        <f t="shared" si="85"/>
        <v>82</v>
      </c>
      <c r="CV80" s="17">
        <f t="shared" si="86"/>
        <v>82</v>
      </c>
      <c r="CW80" s="17">
        <f t="shared" si="87"/>
        <v>88</v>
      </c>
      <c r="CX80" s="17">
        <f t="shared" si="88"/>
        <v>83.8</v>
      </c>
      <c r="CY80" s="18">
        <f t="shared" si="89"/>
        <v>82.25</v>
      </c>
      <c r="CZ80" s="18">
        <f t="shared" si="90"/>
        <v>82.25</v>
      </c>
      <c r="DA80" s="18">
        <f t="shared" si="91"/>
        <v>83.5</v>
      </c>
      <c r="DB80" s="18">
        <f t="shared" si="92"/>
        <v>83.5</v>
      </c>
      <c r="DC80" s="18">
        <f t="shared" si="93"/>
        <v>84</v>
      </c>
      <c r="DD80" s="18">
        <f t="shared" si="94"/>
        <v>84</v>
      </c>
      <c r="DE80" s="18">
        <f t="shared" si="95"/>
        <v>78</v>
      </c>
      <c r="DF80" s="18">
        <f t="shared" si="96"/>
        <v>78</v>
      </c>
      <c r="DG80" s="18">
        <f t="shared" si="97"/>
        <v>80</v>
      </c>
      <c r="DH80" s="18">
        <f t="shared" si="98"/>
        <v>82</v>
      </c>
      <c r="DI80" s="18">
        <f t="shared" si="99"/>
        <v>80</v>
      </c>
      <c r="DJ80" s="17">
        <f t="shared" si="100"/>
        <v>80.599999999999994</v>
      </c>
      <c r="DK80" s="18">
        <f t="shared" si="101"/>
        <v>76</v>
      </c>
      <c r="DL80" s="18">
        <f t="shared" si="102"/>
        <v>80</v>
      </c>
      <c r="DM80" s="18">
        <f t="shared" si="103"/>
        <v>79</v>
      </c>
      <c r="DN80" s="17">
        <f t="shared" si="104"/>
        <v>78.099999999999994</v>
      </c>
      <c r="DO80" s="18">
        <f t="shared" si="105"/>
        <v>79.8</v>
      </c>
      <c r="DP80" s="18">
        <f t="shared" si="106"/>
        <v>80</v>
      </c>
      <c r="DQ80" s="18">
        <f t="shared" si="107"/>
        <v>82</v>
      </c>
      <c r="DR80" s="17">
        <f t="shared" si="108"/>
        <v>80.52000000000001</v>
      </c>
      <c r="DS80" s="18">
        <f t="shared" si="109"/>
        <v>84.5</v>
      </c>
      <c r="DT80" s="18">
        <f t="shared" si="110"/>
        <v>84.5</v>
      </c>
      <c r="DU80" s="18">
        <f t="shared" si="111"/>
        <v>80.5</v>
      </c>
      <c r="DV80" s="18">
        <f t="shared" si="112"/>
        <v>80.5</v>
      </c>
      <c r="DW80" s="18">
        <f t="shared" si="113"/>
        <v>78.5</v>
      </c>
      <c r="DX80" s="17">
        <f t="shared" si="114"/>
        <v>78.5</v>
      </c>
      <c r="DY80" s="18">
        <f t="shared" si="115"/>
        <v>81.333333333333329</v>
      </c>
      <c r="DZ80" s="18">
        <f t="shared" si="116"/>
        <v>80</v>
      </c>
      <c r="EA80" s="18">
        <f t="shared" si="117"/>
        <v>92</v>
      </c>
      <c r="EB80" s="17">
        <f t="shared" si="118"/>
        <v>84.133333333333326</v>
      </c>
      <c r="EC80" s="18">
        <f t="shared" si="119"/>
        <v>85</v>
      </c>
      <c r="ED80" s="18">
        <f t="shared" si="120"/>
        <v>80</v>
      </c>
      <c r="EE80" s="18">
        <f t="shared" si="121"/>
        <v>83</v>
      </c>
      <c r="EF80" s="17">
        <f t="shared" si="122"/>
        <v>82.9</v>
      </c>
      <c r="EG80" s="18">
        <f t="shared" si="123"/>
        <v>82</v>
      </c>
      <c r="EH80" s="18">
        <f t="shared" si="124"/>
        <v>79.333333333333329</v>
      </c>
      <c r="EI80" s="18">
        <f t="shared" si="125"/>
        <v>80</v>
      </c>
      <c r="EJ80" s="18">
        <f t="shared" si="126"/>
        <v>80</v>
      </c>
      <c r="EK80" s="17">
        <f t="shared" si="127"/>
        <v>79.73333333333332</v>
      </c>
      <c r="EL80" s="19">
        <f t="shared" si="128"/>
        <v>86.960000000000008</v>
      </c>
      <c r="EM80" s="19">
        <f t="shared" si="129"/>
        <v>85.5</v>
      </c>
      <c r="EN80" s="19">
        <f t="shared" si="130"/>
        <v>83.8</v>
      </c>
      <c r="EO80" s="19">
        <f t="shared" si="131"/>
        <v>82.25</v>
      </c>
      <c r="EP80" s="19">
        <f t="shared" si="132"/>
        <v>83.5</v>
      </c>
      <c r="EQ80" s="19">
        <f t="shared" si="133"/>
        <v>84</v>
      </c>
      <c r="ER80" s="19">
        <f t="shared" si="134"/>
        <v>78</v>
      </c>
      <c r="ES80" s="19">
        <f t="shared" si="135"/>
        <v>80.599999999999994</v>
      </c>
      <c r="ET80" s="19">
        <f t="shared" si="136"/>
        <v>78.099999999999994</v>
      </c>
      <c r="EU80" s="19">
        <f t="shared" si="137"/>
        <v>80.52000000000001</v>
      </c>
      <c r="EV80" s="19">
        <f t="shared" si="138"/>
        <v>84.5</v>
      </c>
      <c r="EW80" s="19">
        <f t="shared" si="139"/>
        <v>80.5</v>
      </c>
      <c r="EX80" s="19">
        <f t="shared" si="140"/>
        <v>78.5</v>
      </c>
      <c r="EY80" s="19">
        <f t="shared" si="141"/>
        <v>84.133333333333326</v>
      </c>
      <c r="EZ80" s="19">
        <f t="shared" si="142"/>
        <v>82.9</v>
      </c>
      <c r="FA80" s="19">
        <f t="shared" si="143"/>
        <v>82</v>
      </c>
      <c r="FB80" s="19">
        <f t="shared" si="144"/>
        <v>79.73333333333332</v>
      </c>
      <c r="FC80" s="19">
        <f t="shared" si="145"/>
        <v>82.08803921568628</v>
      </c>
    </row>
    <row r="81" spans="1:159" ht="20.100000000000001" customHeight="1">
      <c r="A81" s="11">
        <v>77</v>
      </c>
      <c r="B81" s="12" t="s">
        <v>206</v>
      </c>
      <c r="C81" s="13" t="s">
        <v>207</v>
      </c>
      <c r="D81" s="25" t="s">
        <v>197</v>
      </c>
      <c r="E81" s="14">
        <v>80</v>
      </c>
      <c r="F81" s="14">
        <v>85</v>
      </c>
      <c r="G81" s="14">
        <v>89</v>
      </c>
      <c r="H81" s="14">
        <v>87</v>
      </c>
      <c r="I81" s="14">
        <v>89</v>
      </c>
      <c r="J81" s="14">
        <v>85</v>
      </c>
      <c r="K81" s="14">
        <v>81</v>
      </c>
      <c r="L81" s="14">
        <v>81</v>
      </c>
      <c r="M81" s="14">
        <v>87</v>
      </c>
      <c r="N81" s="14">
        <v>80</v>
      </c>
      <c r="O81" s="14">
        <v>85</v>
      </c>
      <c r="P81" s="15">
        <v>89</v>
      </c>
      <c r="Q81" s="15">
        <v>85</v>
      </c>
      <c r="R81" s="14">
        <v>86</v>
      </c>
      <c r="S81" s="14">
        <v>80</v>
      </c>
      <c r="T81" s="14">
        <v>80</v>
      </c>
      <c r="U81" s="14">
        <v>79</v>
      </c>
      <c r="V81" s="14">
        <v>83</v>
      </c>
      <c r="W81" s="14">
        <v>82</v>
      </c>
      <c r="X81" s="14">
        <v>85</v>
      </c>
      <c r="Y81" s="14">
        <v>81</v>
      </c>
      <c r="Z81" s="14">
        <v>85</v>
      </c>
      <c r="AA81" s="14">
        <v>77</v>
      </c>
      <c r="AB81" s="15">
        <v>80</v>
      </c>
      <c r="AC81" s="15">
        <v>82</v>
      </c>
      <c r="AD81" s="14">
        <v>80</v>
      </c>
      <c r="AE81" s="14">
        <v>83</v>
      </c>
      <c r="AF81" s="14">
        <v>84</v>
      </c>
      <c r="AG81" s="14">
        <v>76</v>
      </c>
      <c r="AH81" s="14">
        <v>75</v>
      </c>
      <c r="AI81" s="14">
        <v>71</v>
      </c>
      <c r="AJ81" s="14">
        <v>80</v>
      </c>
      <c r="AK81" s="14">
        <v>80</v>
      </c>
      <c r="AL81" s="15">
        <v>83</v>
      </c>
      <c r="AM81" s="15">
        <v>70</v>
      </c>
      <c r="AN81" s="14">
        <v>73</v>
      </c>
      <c r="AO81" s="14">
        <v>72</v>
      </c>
      <c r="AP81" s="14">
        <v>73</v>
      </c>
      <c r="AQ81" s="14">
        <v>78</v>
      </c>
      <c r="AR81" s="14">
        <v>89</v>
      </c>
      <c r="AS81" s="14">
        <v>73</v>
      </c>
      <c r="AT81" s="14">
        <v>79</v>
      </c>
      <c r="AU81" s="14">
        <v>80</v>
      </c>
      <c r="AV81" s="14">
        <v>80</v>
      </c>
      <c r="AW81" s="14">
        <v>79</v>
      </c>
      <c r="AX81" s="15">
        <v>89</v>
      </c>
      <c r="AY81" s="15">
        <v>89</v>
      </c>
      <c r="AZ81" s="14">
        <v>89</v>
      </c>
      <c r="BA81" s="14">
        <v>77</v>
      </c>
      <c r="BB81" s="14">
        <v>85</v>
      </c>
      <c r="BC81" s="14">
        <v>86</v>
      </c>
      <c r="BD81" s="14">
        <v>83</v>
      </c>
      <c r="BE81" s="37">
        <v>82</v>
      </c>
      <c r="BF81" s="37">
        <v>75</v>
      </c>
      <c r="BG81" s="37">
        <v>81</v>
      </c>
      <c r="BH81" s="14">
        <v>89</v>
      </c>
      <c r="BI81" s="37">
        <v>81</v>
      </c>
      <c r="BJ81" s="37">
        <v>78</v>
      </c>
      <c r="BK81" s="37">
        <v>71</v>
      </c>
      <c r="BL81" s="14">
        <v>89</v>
      </c>
      <c r="BM81" s="37">
        <v>70</v>
      </c>
      <c r="BN81" s="37">
        <v>75</v>
      </c>
      <c r="BO81" s="37">
        <v>83</v>
      </c>
      <c r="BP81" s="14">
        <v>89</v>
      </c>
      <c r="BQ81" s="15">
        <f t="shared" si="73"/>
        <v>77.666666666666671</v>
      </c>
      <c r="BR81" s="15">
        <f t="shared" si="74"/>
        <v>76</v>
      </c>
      <c r="BS81" s="15">
        <f t="shared" si="75"/>
        <v>78.333333333333329</v>
      </c>
      <c r="BT81" s="15">
        <f t="shared" si="76"/>
        <v>89</v>
      </c>
      <c r="BU81" s="15">
        <v>87</v>
      </c>
      <c r="BV81" s="15">
        <v>83</v>
      </c>
      <c r="BW81" s="15">
        <v>82</v>
      </c>
      <c r="BX81" s="15">
        <v>89</v>
      </c>
      <c r="BY81" s="15">
        <v>87</v>
      </c>
      <c r="BZ81" s="15">
        <v>74</v>
      </c>
      <c r="CA81" s="15">
        <v>83</v>
      </c>
      <c r="CB81" s="15">
        <v>78</v>
      </c>
      <c r="CC81" s="15">
        <v>89</v>
      </c>
      <c r="CD81" s="39">
        <v>90</v>
      </c>
      <c r="CE81" s="40">
        <v>90</v>
      </c>
      <c r="CF81" s="40">
        <v>80</v>
      </c>
      <c r="CG81" s="40">
        <v>87</v>
      </c>
      <c r="CH81" s="40">
        <v>79</v>
      </c>
      <c r="CI81" s="40">
        <v>80</v>
      </c>
      <c r="CJ81" s="40">
        <v>80</v>
      </c>
      <c r="CK81" s="39">
        <v>84</v>
      </c>
      <c r="CL81" s="40">
        <v>95</v>
      </c>
      <c r="CM81" s="41">
        <f t="shared" si="77"/>
        <v>86</v>
      </c>
      <c r="CN81" s="41">
        <f t="shared" si="78"/>
        <v>85</v>
      </c>
      <c r="CO81" s="41">
        <f t="shared" si="79"/>
        <v>90</v>
      </c>
      <c r="CP81" s="17">
        <f t="shared" si="80"/>
        <v>86.9</v>
      </c>
      <c r="CQ81" s="16">
        <f t="shared" si="81"/>
        <v>82.8</v>
      </c>
      <c r="CR81" s="16">
        <f t="shared" si="82"/>
        <v>89</v>
      </c>
      <c r="CS81" s="16">
        <f t="shared" si="83"/>
        <v>90</v>
      </c>
      <c r="CT81" s="17">
        <f t="shared" si="84"/>
        <v>86.820000000000007</v>
      </c>
      <c r="CU81" s="17">
        <f t="shared" si="85"/>
        <v>82</v>
      </c>
      <c r="CV81" s="17">
        <f t="shared" si="86"/>
        <v>83</v>
      </c>
      <c r="CW81" s="17">
        <f t="shared" si="87"/>
        <v>80</v>
      </c>
      <c r="CX81" s="17">
        <f t="shared" si="88"/>
        <v>81.7</v>
      </c>
      <c r="CY81" s="18">
        <f t="shared" si="89"/>
        <v>83.25</v>
      </c>
      <c r="CZ81" s="18">
        <f t="shared" si="90"/>
        <v>83.25</v>
      </c>
      <c r="DA81" s="18">
        <f t="shared" si="91"/>
        <v>79.75</v>
      </c>
      <c r="DB81" s="18">
        <f t="shared" si="92"/>
        <v>79.75</v>
      </c>
      <c r="DC81" s="18">
        <f t="shared" si="93"/>
        <v>83.5</v>
      </c>
      <c r="DD81" s="18">
        <f t="shared" si="94"/>
        <v>83.5</v>
      </c>
      <c r="DE81" s="18">
        <f t="shared" si="95"/>
        <v>75.5</v>
      </c>
      <c r="DF81" s="18">
        <f t="shared" si="96"/>
        <v>75.5</v>
      </c>
      <c r="DG81" s="18">
        <f t="shared" si="97"/>
        <v>80</v>
      </c>
      <c r="DH81" s="18">
        <f t="shared" si="98"/>
        <v>83</v>
      </c>
      <c r="DI81" s="18">
        <f t="shared" si="99"/>
        <v>87</v>
      </c>
      <c r="DJ81" s="17">
        <f t="shared" si="100"/>
        <v>83</v>
      </c>
      <c r="DK81" s="18">
        <f t="shared" si="101"/>
        <v>73.2</v>
      </c>
      <c r="DL81" s="18">
        <f t="shared" si="102"/>
        <v>89</v>
      </c>
      <c r="DM81" s="18">
        <f t="shared" si="103"/>
        <v>79</v>
      </c>
      <c r="DN81" s="17">
        <f t="shared" si="104"/>
        <v>79.679999999999993</v>
      </c>
      <c r="DO81" s="18">
        <f t="shared" si="105"/>
        <v>78.2</v>
      </c>
      <c r="DP81" s="18">
        <f t="shared" si="106"/>
        <v>89</v>
      </c>
      <c r="DQ81" s="18">
        <f t="shared" si="107"/>
        <v>80</v>
      </c>
      <c r="DR81" s="17">
        <f t="shared" si="108"/>
        <v>81.97999999999999</v>
      </c>
      <c r="DS81" s="18">
        <f t="shared" si="109"/>
        <v>89</v>
      </c>
      <c r="DT81" s="18">
        <f t="shared" si="110"/>
        <v>89</v>
      </c>
      <c r="DU81" s="18">
        <f t="shared" si="111"/>
        <v>81</v>
      </c>
      <c r="DV81" s="18">
        <f t="shared" si="112"/>
        <v>81</v>
      </c>
      <c r="DW81" s="18">
        <f t="shared" si="113"/>
        <v>84.5</v>
      </c>
      <c r="DX81" s="17">
        <f t="shared" si="114"/>
        <v>84.5</v>
      </c>
      <c r="DY81" s="18">
        <f t="shared" si="115"/>
        <v>77.333333333333329</v>
      </c>
      <c r="DZ81" s="18">
        <f t="shared" si="116"/>
        <v>89</v>
      </c>
      <c r="EA81" s="18">
        <f t="shared" si="117"/>
        <v>95</v>
      </c>
      <c r="EB81" s="17">
        <f t="shared" si="118"/>
        <v>86.133333333333326</v>
      </c>
      <c r="EC81" s="18">
        <f t="shared" si="119"/>
        <v>84</v>
      </c>
      <c r="ED81" s="18">
        <f t="shared" si="120"/>
        <v>89</v>
      </c>
      <c r="EE81" s="18">
        <f t="shared" si="121"/>
        <v>84</v>
      </c>
      <c r="EF81" s="17">
        <f t="shared" si="122"/>
        <v>85.5</v>
      </c>
      <c r="EG81" s="18">
        <f t="shared" si="123"/>
        <v>87</v>
      </c>
      <c r="EH81" s="18">
        <f t="shared" si="124"/>
        <v>78.333333333333329</v>
      </c>
      <c r="EI81" s="18">
        <f t="shared" si="125"/>
        <v>89</v>
      </c>
      <c r="EJ81" s="18">
        <f t="shared" si="126"/>
        <v>80</v>
      </c>
      <c r="EK81" s="17">
        <f t="shared" si="127"/>
        <v>82.033333333333331</v>
      </c>
      <c r="EL81" s="19">
        <f t="shared" si="128"/>
        <v>86.9</v>
      </c>
      <c r="EM81" s="19">
        <f t="shared" si="129"/>
        <v>86.820000000000007</v>
      </c>
      <c r="EN81" s="19">
        <f t="shared" si="130"/>
        <v>81.7</v>
      </c>
      <c r="EO81" s="19">
        <f t="shared" si="131"/>
        <v>83.25</v>
      </c>
      <c r="EP81" s="19">
        <f t="shared" si="132"/>
        <v>79.75</v>
      </c>
      <c r="EQ81" s="19">
        <f t="shared" si="133"/>
        <v>83.5</v>
      </c>
      <c r="ER81" s="19">
        <f t="shared" si="134"/>
        <v>75.5</v>
      </c>
      <c r="ES81" s="19">
        <f t="shared" si="135"/>
        <v>83</v>
      </c>
      <c r="ET81" s="19">
        <f t="shared" si="136"/>
        <v>79.679999999999993</v>
      </c>
      <c r="EU81" s="19">
        <f t="shared" si="137"/>
        <v>81.97999999999999</v>
      </c>
      <c r="EV81" s="19">
        <f t="shared" si="138"/>
        <v>89</v>
      </c>
      <c r="EW81" s="19">
        <f t="shared" si="139"/>
        <v>81</v>
      </c>
      <c r="EX81" s="19">
        <f t="shared" si="140"/>
        <v>84.5</v>
      </c>
      <c r="EY81" s="19">
        <f t="shared" si="141"/>
        <v>86.133333333333326</v>
      </c>
      <c r="EZ81" s="19">
        <f t="shared" si="142"/>
        <v>85.5</v>
      </c>
      <c r="FA81" s="19">
        <f t="shared" si="143"/>
        <v>87</v>
      </c>
      <c r="FB81" s="19">
        <f t="shared" si="144"/>
        <v>82.033333333333331</v>
      </c>
      <c r="FC81" s="19">
        <f t="shared" si="145"/>
        <v>83.36745098039215</v>
      </c>
    </row>
    <row r="82" spans="1:159" ht="20.100000000000001" customHeight="1">
      <c r="A82" s="11">
        <v>78</v>
      </c>
      <c r="B82" s="12" t="s">
        <v>208</v>
      </c>
      <c r="C82" s="13" t="s">
        <v>209</v>
      </c>
      <c r="D82" s="25" t="s">
        <v>197</v>
      </c>
      <c r="E82" s="14">
        <v>82</v>
      </c>
      <c r="F82" s="14">
        <v>81</v>
      </c>
      <c r="G82" s="14">
        <v>88</v>
      </c>
      <c r="H82" s="14">
        <v>87</v>
      </c>
      <c r="I82" s="14">
        <v>91</v>
      </c>
      <c r="J82" s="14">
        <v>95</v>
      </c>
      <c r="K82" s="14">
        <v>80</v>
      </c>
      <c r="L82" s="14">
        <v>81</v>
      </c>
      <c r="M82" s="14">
        <v>86</v>
      </c>
      <c r="N82" s="14">
        <v>82</v>
      </c>
      <c r="O82" s="14">
        <v>87</v>
      </c>
      <c r="P82" s="15">
        <v>95</v>
      </c>
      <c r="Q82" s="15">
        <v>83</v>
      </c>
      <c r="R82" s="14">
        <v>88</v>
      </c>
      <c r="S82" s="14">
        <v>89</v>
      </c>
      <c r="T82" s="14">
        <v>89</v>
      </c>
      <c r="U82" s="14">
        <v>85</v>
      </c>
      <c r="V82" s="14">
        <v>92</v>
      </c>
      <c r="W82" s="14">
        <v>80</v>
      </c>
      <c r="X82" s="14">
        <v>84</v>
      </c>
      <c r="Y82" s="14">
        <v>81</v>
      </c>
      <c r="Z82" s="14">
        <v>84</v>
      </c>
      <c r="AA82" s="14">
        <v>75</v>
      </c>
      <c r="AB82" s="15">
        <v>82</v>
      </c>
      <c r="AC82" s="15">
        <v>83</v>
      </c>
      <c r="AD82" s="14">
        <v>85</v>
      </c>
      <c r="AE82" s="14">
        <v>84</v>
      </c>
      <c r="AF82" s="14">
        <v>84</v>
      </c>
      <c r="AG82" s="14">
        <v>81</v>
      </c>
      <c r="AH82" s="14">
        <v>80</v>
      </c>
      <c r="AI82" s="14">
        <v>80</v>
      </c>
      <c r="AJ82" s="14">
        <v>85</v>
      </c>
      <c r="AK82" s="14">
        <v>80</v>
      </c>
      <c r="AL82" s="15">
        <v>92</v>
      </c>
      <c r="AM82" s="15">
        <v>71</v>
      </c>
      <c r="AN82" s="14">
        <v>74</v>
      </c>
      <c r="AO82" s="14">
        <v>77</v>
      </c>
      <c r="AP82" s="14">
        <v>78</v>
      </c>
      <c r="AQ82" s="14">
        <v>79</v>
      </c>
      <c r="AR82" s="14">
        <v>95</v>
      </c>
      <c r="AS82" s="14">
        <v>79</v>
      </c>
      <c r="AT82" s="14">
        <v>79</v>
      </c>
      <c r="AU82" s="14">
        <v>80</v>
      </c>
      <c r="AV82" s="14">
        <v>82</v>
      </c>
      <c r="AW82" s="14">
        <v>82</v>
      </c>
      <c r="AX82" s="15">
        <v>95</v>
      </c>
      <c r="AY82" s="15">
        <v>89</v>
      </c>
      <c r="AZ82" s="14">
        <v>90</v>
      </c>
      <c r="BA82" s="14">
        <v>75</v>
      </c>
      <c r="BB82" s="14">
        <v>83</v>
      </c>
      <c r="BC82" s="14">
        <v>81</v>
      </c>
      <c r="BD82" s="14">
        <v>80</v>
      </c>
      <c r="BE82" s="37">
        <v>82</v>
      </c>
      <c r="BF82" s="37">
        <v>82</v>
      </c>
      <c r="BG82" s="37">
        <v>74</v>
      </c>
      <c r="BH82" s="14">
        <v>95</v>
      </c>
      <c r="BI82" s="37">
        <v>86</v>
      </c>
      <c r="BJ82" s="37">
        <v>82</v>
      </c>
      <c r="BK82" s="37">
        <v>89</v>
      </c>
      <c r="BL82" s="14">
        <v>95</v>
      </c>
      <c r="BM82" s="37">
        <v>73</v>
      </c>
      <c r="BN82" s="37">
        <v>76</v>
      </c>
      <c r="BO82" s="37">
        <v>84</v>
      </c>
      <c r="BP82" s="14">
        <v>95</v>
      </c>
      <c r="BQ82" s="15">
        <f t="shared" si="73"/>
        <v>80.333333333333329</v>
      </c>
      <c r="BR82" s="15">
        <f t="shared" si="74"/>
        <v>80</v>
      </c>
      <c r="BS82" s="15">
        <f t="shared" si="75"/>
        <v>82.333333333333329</v>
      </c>
      <c r="BT82" s="15">
        <f t="shared" si="76"/>
        <v>95</v>
      </c>
      <c r="BU82" s="15">
        <v>88</v>
      </c>
      <c r="BV82" s="15">
        <v>86</v>
      </c>
      <c r="BW82" s="15">
        <v>83</v>
      </c>
      <c r="BX82" s="15">
        <v>95</v>
      </c>
      <c r="BY82" s="15">
        <v>94</v>
      </c>
      <c r="BZ82" s="15">
        <v>72</v>
      </c>
      <c r="CA82" s="15">
        <v>85</v>
      </c>
      <c r="CB82" s="15">
        <v>74</v>
      </c>
      <c r="CC82" s="15">
        <v>95</v>
      </c>
      <c r="CD82" s="39">
        <v>87</v>
      </c>
      <c r="CE82" s="40">
        <v>80</v>
      </c>
      <c r="CF82" s="40">
        <v>86</v>
      </c>
      <c r="CG82" s="40">
        <v>92</v>
      </c>
      <c r="CH82" s="40">
        <v>79</v>
      </c>
      <c r="CI82" s="40">
        <v>87</v>
      </c>
      <c r="CJ82" s="40">
        <v>80</v>
      </c>
      <c r="CK82" s="39">
        <v>90</v>
      </c>
      <c r="CL82" s="40">
        <v>85</v>
      </c>
      <c r="CM82" s="41">
        <f t="shared" si="77"/>
        <v>85.8</v>
      </c>
      <c r="CN82" s="41">
        <f t="shared" si="78"/>
        <v>95</v>
      </c>
      <c r="CO82" s="41">
        <f t="shared" si="79"/>
        <v>87</v>
      </c>
      <c r="CP82" s="17">
        <f t="shared" si="80"/>
        <v>88.92</v>
      </c>
      <c r="CQ82" s="16">
        <f t="shared" si="81"/>
        <v>83.2</v>
      </c>
      <c r="CR82" s="16">
        <f t="shared" si="82"/>
        <v>95</v>
      </c>
      <c r="CS82" s="16">
        <f t="shared" si="83"/>
        <v>80</v>
      </c>
      <c r="CT82" s="17">
        <f t="shared" si="84"/>
        <v>85.78</v>
      </c>
      <c r="CU82" s="17">
        <f t="shared" si="85"/>
        <v>86.8</v>
      </c>
      <c r="CV82" s="17">
        <f t="shared" si="86"/>
        <v>92</v>
      </c>
      <c r="CW82" s="17">
        <f t="shared" si="87"/>
        <v>86</v>
      </c>
      <c r="CX82" s="17">
        <f t="shared" si="88"/>
        <v>88.12</v>
      </c>
      <c r="CY82" s="18">
        <f t="shared" si="89"/>
        <v>82.25</v>
      </c>
      <c r="CZ82" s="18">
        <f t="shared" si="90"/>
        <v>82.25</v>
      </c>
      <c r="DA82" s="18">
        <f t="shared" si="91"/>
        <v>81.25</v>
      </c>
      <c r="DB82" s="18">
        <f t="shared" si="92"/>
        <v>81.25</v>
      </c>
      <c r="DC82" s="18">
        <f t="shared" si="93"/>
        <v>84</v>
      </c>
      <c r="DD82" s="18">
        <f t="shared" si="94"/>
        <v>84</v>
      </c>
      <c r="DE82" s="18">
        <f t="shared" si="95"/>
        <v>81.5</v>
      </c>
      <c r="DF82" s="18">
        <f t="shared" si="96"/>
        <v>81.5</v>
      </c>
      <c r="DG82" s="18">
        <f t="shared" si="97"/>
        <v>80</v>
      </c>
      <c r="DH82" s="18">
        <f t="shared" si="98"/>
        <v>92</v>
      </c>
      <c r="DI82" s="18">
        <f t="shared" si="99"/>
        <v>92</v>
      </c>
      <c r="DJ82" s="17">
        <f t="shared" si="100"/>
        <v>87.2</v>
      </c>
      <c r="DK82" s="18">
        <f t="shared" si="101"/>
        <v>75.8</v>
      </c>
      <c r="DL82" s="18">
        <f t="shared" si="102"/>
        <v>95</v>
      </c>
      <c r="DM82" s="18">
        <f t="shared" si="103"/>
        <v>79</v>
      </c>
      <c r="DN82" s="17">
        <f t="shared" si="104"/>
        <v>82.52000000000001</v>
      </c>
      <c r="DO82" s="18">
        <f t="shared" si="105"/>
        <v>80.400000000000006</v>
      </c>
      <c r="DP82" s="18">
        <f t="shared" si="106"/>
        <v>95</v>
      </c>
      <c r="DQ82" s="18">
        <f t="shared" si="107"/>
        <v>87</v>
      </c>
      <c r="DR82" s="17">
        <f t="shared" si="108"/>
        <v>86.76</v>
      </c>
      <c r="DS82" s="18">
        <f t="shared" si="109"/>
        <v>89.5</v>
      </c>
      <c r="DT82" s="18">
        <f t="shared" si="110"/>
        <v>89.5</v>
      </c>
      <c r="DU82" s="18">
        <f t="shared" si="111"/>
        <v>79</v>
      </c>
      <c r="DV82" s="18">
        <f t="shared" si="112"/>
        <v>79</v>
      </c>
      <c r="DW82" s="18">
        <f t="shared" si="113"/>
        <v>80.5</v>
      </c>
      <c r="DX82" s="17">
        <f t="shared" si="114"/>
        <v>80.5</v>
      </c>
      <c r="DY82" s="18">
        <f t="shared" si="115"/>
        <v>80.888888888888872</v>
      </c>
      <c r="DZ82" s="18">
        <f t="shared" si="116"/>
        <v>95</v>
      </c>
      <c r="EA82" s="18">
        <f t="shared" si="117"/>
        <v>85</v>
      </c>
      <c r="EB82" s="17">
        <f t="shared" si="118"/>
        <v>86.35555555555554</v>
      </c>
      <c r="EC82" s="18">
        <f t="shared" si="119"/>
        <v>85.666666666666671</v>
      </c>
      <c r="ED82" s="18">
        <f t="shared" si="120"/>
        <v>95</v>
      </c>
      <c r="EE82" s="18">
        <f t="shared" si="121"/>
        <v>90</v>
      </c>
      <c r="EF82" s="17">
        <f t="shared" si="122"/>
        <v>89.76666666666668</v>
      </c>
      <c r="EG82" s="18">
        <f t="shared" si="123"/>
        <v>94</v>
      </c>
      <c r="EH82" s="18">
        <f t="shared" si="124"/>
        <v>77</v>
      </c>
      <c r="EI82" s="18">
        <f t="shared" si="125"/>
        <v>95</v>
      </c>
      <c r="EJ82" s="18">
        <f t="shared" si="126"/>
        <v>80</v>
      </c>
      <c r="EK82" s="17">
        <f t="shared" si="127"/>
        <v>83.3</v>
      </c>
      <c r="EL82" s="19">
        <f t="shared" si="128"/>
        <v>88.92</v>
      </c>
      <c r="EM82" s="19">
        <f t="shared" si="129"/>
        <v>85.78</v>
      </c>
      <c r="EN82" s="19">
        <f t="shared" si="130"/>
        <v>88.12</v>
      </c>
      <c r="EO82" s="19">
        <f t="shared" si="131"/>
        <v>82.25</v>
      </c>
      <c r="EP82" s="19">
        <f t="shared" si="132"/>
        <v>81.25</v>
      </c>
      <c r="EQ82" s="19">
        <f t="shared" si="133"/>
        <v>84</v>
      </c>
      <c r="ER82" s="19">
        <f t="shared" si="134"/>
        <v>81.5</v>
      </c>
      <c r="ES82" s="19">
        <f t="shared" si="135"/>
        <v>87.2</v>
      </c>
      <c r="ET82" s="19">
        <f t="shared" si="136"/>
        <v>82.52000000000001</v>
      </c>
      <c r="EU82" s="19">
        <f t="shared" si="137"/>
        <v>86.76</v>
      </c>
      <c r="EV82" s="19">
        <f t="shared" si="138"/>
        <v>89.5</v>
      </c>
      <c r="EW82" s="19">
        <f t="shared" si="139"/>
        <v>79</v>
      </c>
      <c r="EX82" s="19">
        <f t="shared" si="140"/>
        <v>80.5</v>
      </c>
      <c r="EY82" s="19">
        <f t="shared" si="141"/>
        <v>86.35555555555554</v>
      </c>
      <c r="EZ82" s="19">
        <f t="shared" si="142"/>
        <v>89.76666666666668</v>
      </c>
      <c r="FA82" s="19">
        <f t="shared" si="143"/>
        <v>94</v>
      </c>
      <c r="FB82" s="19">
        <f t="shared" si="144"/>
        <v>83.3</v>
      </c>
      <c r="FC82" s="19">
        <f t="shared" si="145"/>
        <v>85.33660130718954</v>
      </c>
    </row>
    <row r="83" spans="1:159" ht="20.100000000000001" customHeight="1">
      <c r="A83" s="11">
        <v>79</v>
      </c>
      <c r="B83" s="12" t="s">
        <v>210</v>
      </c>
      <c r="C83" s="13" t="s">
        <v>211</v>
      </c>
      <c r="D83" s="25" t="s">
        <v>197</v>
      </c>
      <c r="E83" s="14">
        <v>95</v>
      </c>
      <c r="F83" s="14">
        <v>95</v>
      </c>
      <c r="G83" s="14">
        <v>87</v>
      </c>
      <c r="H83" s="14">
        <v>83</v>
      </c>
      <c r="I83" s="14">
        <v>91</v>
      </c>
      <c r="J83" s="14">
        <v>74</v>
      </c>
      <c r="K83" s="14">
        <v>82</v>
      </c>
      <c r="L83" s="14">
        <v>82</v>
      </c>
      <c r="M83" s="14">
        <v>91</v>
      </c>
      <c r="N83" s="14">
        <v>84</v>
      </c>
      <c r="O83" s="14">
        <v>88</v>
      </c>
      <c r="P83" s="15">
        <v>74</v>
      </c>
      <c r="Q83" s="15">
        <v>89</v>
      </c>
      <c r="R83" s="14">
        <v>86</v>
      </c>
      <c r="S83" s="14">
        <v>85</v>
      </c>
      <c r="T83" s="14">
        <v>86</v>
      </c>
      <c r="U83" s="14">
        <v>82</v>
      </c>
      <c r="V83" s="14">
        <v>77</v>
      </c>
      <c r="W83" s="14">
        <v>80</v>
      </c>
      <c r="X83" s="14">
        <v>84</v>
      </c>
      <c r="Y83" s="14">
        <v>80</v>
      </c>
      <c r="Z83" s="14">
        <v>85</v>
      </c>
      <c r="AA83" s="14">
        <v>82</v>
      </c>
      <c r="AB83" s="15">
        <v>82</v>
      </c>
      <c r="AC83" s="15">
        <v>83</v>
      </c>
      <c r="AD83" s="14">
        <v>84</v>
      </c>
      <c r="AE83" s="14">
        <v>84</v>
      </c>
      <c r="AF83" s="14">
        <v>84</v>
      </c>
      <c r="AG83" s="14">
        <v>84</v>
      </c>
      <c r="AH83" s="14">
        <v>78</v>
      </c>
      <c r="AI83" s="14">
        <v>80</v>
      </c>
      <c r="AJ83" s="14">
        <v>84</v>
      </c>
      <c r="AK83" s="14">
        <v>80</v>
      </c>
      <c r="AL83" s="15">
        <v>77</v>
      </c>
      <c r="AM83" s="15">
        <v>71</v>
      </c>
      <c r="AN83" s="14">
        <v>78</v>
      </c>
      <c r="AO83" s="14">
        <v>78</v>
      </c>
      <c r="AP83" s="14">
        <v>78</v>
      </c>
      <c r="AQ83" s="14">
        <v>79</v>
      </c>
      <c r="AR83" s="14">
        <v>80</v>
      </c>
      <c r="AS83" s="14">
        <v>75</v>
      </c>
      <c r="AT83" s="14">
        <v>79</v>
      </c>
      <c r="AU83" s="14">
        <v>80</v>
      </c>
      <c r="AV83" s="14">
        <v>82</v>
      </c>
      <c r="AW83" s="14">
        <v>80</v>
      </c>
      <c r="AX83" s="15">
        <v>80</v>
      </c>
      <c r="AY83" s="15">
        <v>76</v>
      </c>
      <c r="AZ83" s="14">
        <v>88</v>
      </c>
      <c r="BA83" s="14">
        <v>80</v>
      </c>
      <c r="BB83" s="14">
        <v>85</v>
      </c>
      <c r="BC83" s="14">
        <v>80</v>
      </c>
      <c r="BD83" s="14">
        <v>73</v>
      </c>
      <c r="BE83" s="37">
        <v>81</v>
      </c>
      <c r="BF83" s="37">
        <v>82</v>
      </c>
      <c r="BG83" s="37">
        <v>80</v>
      </c>
      <c r="BH83" s="14">
        <v>80</v>
      </c>
      <c r="BI83" s="37">
        <v>85</v>
      </c>
      <c r="BJ83" s="37">
        <v>81</v>
      </c>
      <c r="BK83" s="37">
        <v>87</v>
      </c>
      <c r="BL83" s="14">
        <v>80</v>
      </c>
      <c r="BM83" s="37">
        <v>70</v>
      </c>
      <c r="BN83" s="37">
        <v>75</v>
      </c>
      <c r="BO83" s="37">
        <v>83</v>
      </c>
      <c r="BP83" s="14">
        <v>80</v>
      </c>
      <c r="BQ83" s="15">
        <f t="shared" si="73"/>
        <v>78.666666666666671</v>
      </c>
      <c r="BR83" s="15">
        <f t="shared" si="74"/>
        <v>79.333333333333329</v>
      </c>
      <c r="BS83" s="15">
        <f t="shared" si="75"/>
        <v>83.333333333333329</v>
      </c>
      <c r="BT83" s="15">
        <f t="shared" si="76"/>
        <v>80</v>
      </c>
      <c r="BU83" s="15">
        <v>88</v>
      </c>
      <c r="BV83" s="15">
        <v>84</v>
      </c>
      <c r="BW83" s="15">
        <v>83</v>
      </c>
      <c r="BX83" s="15">
        <v>80</v>
      </c>
      <c r="BY83" s="15">
        <v>77</v>
      </c>
      <c r="BZ83" s="15">
        <v>74</v>
      </c>
      <c r="CA83" s="15">
        <v>87</v>
      </c>
      <c r="CB83" s="15">
        <v>73</v>
      </c>
      <c r="CC83" s="15">
        <v>80</v>
      </c>
      <c r="CD83" s="39">
        <v>88</v>
      </c>
      <c r="CE83" s="40">
        <v>80</v>
      </c>
      <c r="CF83" s="40">
        <v>85</v>
      </c>
      <c r="CG83" s="40">
        <v>70</v>
      </c>
      <c r="CH83" s="40">
        <v>79</v>
      </c>
      <c r="CI83" s="40">
        <v>80</v>
      </c>
      <c r="CJ83" s="40">
        <v>80</v>
      </c>
      <c r="CK83" s="39">
        <v>87</v>
      </c>
      <c r="CL83" s="40">
        <v>97</v>
      </c>
      <c r="CM83" s="41">
        <f t="shared" si="77"/>
        <v>90.2</v>
      </c>
      <c r="CN83" s="41">
        <f t="shared" si="78"/>
        <v>74</v>
      </c>
      <c r="CO83" s="41">
        <f t="shared" si="79"/>
        <v>88</v>
      </c>
      <c r="CP83" s="17">
        <f t="shared" si="80"/>
        <v>84.679999999999993</v>
      </c>
      <c r="CQ83" s="16">
        <f t="shared" si="81"/>
        <v>85.4</v>
      </c>
      <c r="CR83" s="16">
        <f t="shared" si="82"/>
        <v>74</v>
      </c>
      <c r="CS83" s="16">
        <f t="shared" si="83"/>
        <v>80</v>
      </c>
      <c r="CT83" s="17">
        <f t="shared" si="84"/>
        <v>80.36</v>
      </c>
      <c r="CU83" s="17">
        <f t="shared" si="85"/>
        <v>85.6</v>
      </c>
      <c r="CV83" s="17">
        <f t="shared" si="86"/>
        <v>77</v>
      </c>
      <c r="CW83" s="17">
        <f t="shared" si="87"/>
        <v>85</v>
      </c>
      <c r="CX83" s="17">
        <f t="shared" si="88"/>
        <v>82.84</v>
      </c>
      <c r="CY83" s="18">
        <f t="shared" si="89"/>
        <v>82.25</v>
      </c>
      <c r="CZ83" s="18">
        <f t="shared" si="90"/>
        <v>82.25</v>
      </c>
      <c r="DA83" s="18">
        <f t="shared" si="91"/>
        <v>82.75</v>
      </c>
      <c r="DB83" s="18">
        <f t="shared" si="92"/>
        <v>82.75</v>
      </c>
      <c r="DC83" s="18">
        <f t="shared" si="93"/>
        <v>84</v>
      </c>
      <c r="DD83" s="18">
        <f t="shared" si="94"/>
        <v>84</v>
      </c>
      <c r="DE83" s="18">
        <f t="shared" si="95"/>
        <v>81.5</v>
      </c>
      <c r="DF83" s="18">
        <f t="shared" si="96"/>
        <v>81.5</v>
      </c>
      <c r="DG83" s="18">
        <f t="shared" si="97"/>
        <v>80</v>
      </c>
      <c r="DH83" s="18">
        <f t="shared" si="98"/>
        <v>77</v>
      </c>
      <c r="DI83" s="18">
        <f t="shared" si="99"/>
        <v>70</v>
      </c>
      <c r="DJ83" s="17">
        <f t="shared" si="100"/>
        <v>76.099999999999994</v>
      </c>
      <c r="DK83" s="18">
        <f t="shared" si="101"/>
        <v>76.8</v>
      </c>
      <c r="DL83" s="18">
        <f t="shared" si="102"/>
        <v>80</v>
      </c>
      <c r="DM83" s="18">
        <f t="shared" si="103"/>
        <v>79</v>
      </c>
      <c r="DN83" s="17">
        <f t="shared" si="104"/>
        <v>78.42</v>
      </c>
      <c r="DO83" s="18">
        <f t="shared" si="105"/>
        <v>79.2</v>
      </c>
      <c r="DP83" s="18">
        <f t="shared" si="106"/>
        <v>80</v>
      </c>
      <c r="DQ83" s="18">
        <f t="shared" si="107"/>
        <v>80</v>
      </c>
      <c r="DR83" s="17">
        <f t="shared" si="108"/>
        <v>79.679999999999993</v>
      </c>
      <c r="DS83" s="18">
        <f t="shared" si="109"/>
        <v>82</v>
      </c>
      <c r="DT83" s="18">
        <f t="shared" si="110"/>
        <v>82</v>
      </c>
      <c r="DU83" s="18">
        <f t="shared" si="111"/>
        <v>82.5</v>
      </c>
      <c r="DV83" s="18">
        <f t="shared" si="112"/>
        <v>82.5</v>
      </c>
      <c r="DW83" s="18">
        <f t="shared" si="113"/>
        <v>76.5</v>
      </c>
      <c r="DX83" s="17">
        <f t="shared" si="114"/>
        <v>76.5</v>
      </c>
      <c r="DY83" s="18">
        <f t="shared" si="115"/>
        <v>80.444444444444443</v>
      </c>
      <c r="DZ83" s="18">
        <f t="shared" si="116"/>
        <v>80</v>
      </c>
      <c r="EA83" s="18">
        <f t="shared" si="117"/>
        <v>97</v>
      </c>
      <c r="EB83" s="17">
        <f t="shared" si="118"/>
        <v>85.277777777777786</v>
      </c>
      <c r="EC83" s="18">
        <f t="shared" si="119"/>
        <v>85</v>
      </c>
      <c r="ED83" s="18">
        <f t="shared" si="120"/>
        <v>80</v>
      </c>
      <c r="EE83" s="18">
        <f t="shared" si="121"/>
        <v>87</v>
      </c>
      <c r="EF83" s="17">
        <f t="shared" si="122"/>
        <v>84.1</v>
      </c>
      <c r="EG83" s="18">
        <f t="shared" si="123"/>
        <v>77</v>
      </c>
      <c r="EH83" s="18">
        <f t="shared" si="124"/>
        <v>78</v>
      </c>
      <c r="EI83" s="18">
        <f t="shared" si="125"/>
        <v>80</v>
      </c>
      <c r="EJ83" s="18">
        <f t="shared" si="126"/>
        <v>80</v>
      </c>
      <c r="EK83" s="17">
        <f t="shared" si="127"/>
        <v>79.2</v>
      </c>
      <c r="EL83" s="19">
        <f t="shared" si="128"/>
        <v>84.679999999999993</v>
      </c>
      <c r="EM83" s="19">
        <f t="shared" si="129"/>
        <v>80.36</v>
      </c>
      <c r="EN83" s="19">
        <f t="shared" si="130"/>
        <v>82.84</v>
      </c>
      <c r="EO83" s="19">
        <f t="shared" si="131"/>
        <v>82.25</v>
      </c>
      <c r="EP83" s="19">
        <f t="shared" si="132"/>
        <v>82.75</v>
      </c>
      <c r="EQ83" s="19">
        <f t="shared" si="133"/>
        <v>84</v>
      </c>
      <c r="ER83" s="19">
        <f t="shared" si="134"/>
        <v>81.5</v>
      </c>
      <c r="ES83" s="19">
        <f t="shared" si="135"/>
        <v>76.099999999999994</v>
      </c>
      <c r="ET83" s="19">
        <f t="shared" si="136"/>
        <v>78.42</v>
      </c>
      <c r="EU83" s="19">
        <f t="shared" si="137"/>
        <v>79.679999999999993</v>
      </c>
      <c r="EV83" s="19">
        <f t="shared" si="138"/>
        <v>82</v>
      </c>
      <c r="EW83" s="19">
        <f t="shared" si="139"/>
        <v>82.5</v>
      </c>
      <c r="EX83" s="19">
        <f t="shared" si="140"/>
        <v>76.5</v>
      </c>
      <c r="EY83" s="19">
        <f t="shared" si="141"/>
        <v>85.277777777777786</v>
      </c>
      <c r="EZ83" s="19">
        <f t="shared" si="142"/>
        <v>84.1</v>
      </c>
      <c r="FA83" s="19">
        <f t="shared" si="143"/>
        <v>77</v>
      </c>
      <c r="FB83" s="19">
        <f t="shared" si="144"/>
        <v>79.2</v>
      </c>
      <c r="FC83" s="19">
        <f t="shared" si="145"/>
        <v>81.126928104575157</v>
      </c>
    </row>
    <row r="84" spans="1:159" ht="20.100000000000001" customHeight="1">
      <c r="A84" s="11">
        <v>80</v>
      </c>
      <c r="B84" s="12" t="s">
        <v>212</v>
      </c>
      <c r="C84" s="13" t="s">
        <v>213</v>
      </c>
      <c r="D84" s="25" t="s">
        <v>197</v>
      </c>
      <c r="E84" s="14">
        <v>84</v>
      </c>
      <c r="F84" s="14">
        <v>95</v>
      </c>
      <c r="G84" s="14">
        <v>86</v>
      </c>
      <c r="H84" s="14">
        <v>84</v>
      </c>
      <c r="I84" s="14">
        <v>92</v>
      </c>
      <c r="J84" s="14">
        <v>93</v>
      </c>
      <c r="K84" s="14">
        <v>78</v>
      </c>
      <c r="L84" s="14">
        <v>80</v>
      </c>
      <c r="M84" s="14">
        <v>82</v>
      </c>
      <c r="N84" s="14">
        <v>80</v>
      </c>
      <c r="O84" s="14">
        <v>80</v>
      </c>
      <c r="P84" s="15">
        <v>95</v>
      </c>
      <c r="Q84" s="15">
        <v>88</v>
      </c>
      <c r="R84" s="14">
        <v>88</v>
      </c>
      <c r="S84" s="14">
        <v>84</v>
      </c>
      <c r="T84" s="14">
        <v>84</v>
      </c>
      <c r="U84" s="14">
        <v>79</v>
      </c>
      <c r="V84" s="14">
        <v>84</v>
      </c>
      <c r="W84" s="14">
        <v>82</v>
      </c>
      <c r="X84" s="14">
        <v>84</v>
      </c>
      <c r="Y84" s="14">
        <v>82</v>
      </c>
      <c r="Z84" s="14">
        <v>85</v>
      </c>
      <c r="AA84" s="14">
        <v>75</v>
      </c>
      <c r="AB84" s="15">
        <v>80</v>
      </c>
      <c r="AC84" s="15">
        <v>83</v>
      </c>
      <c r="AD84" s="14">
        <v>85</v>
      </c>
      <c r="AE84" s="14">
        <v>83</v>
      </c>
      <c r="AF84" s="14">
        <v>81</v>
      </c>
      <c r="AG84" s="14">
        <v>85</v>
      </c>
      <c r="AH84" s="14">
        <v>80</v>
      </c>
      <c r="AI84" s="14">
        <v>72</v>
      </c>
      <c r="AJ84" s="14">
        <v>85</v>
      </c>
      <c r="AK84" s="14">
        <v>80</v>
      </c>
      <c r="AL84" s="15">
        <v>84</v>
      </c>
      <c r="AM84" s="15">
        <v>71</v>
      </c>
      <c r="AN84" s="14">
        <v>72</v>
      </c>
      <c r="AO84" s="14">
        <v>73</v>
      </c>
      <c r="AP84" s="14">
        <v>74</v>
      </c>
      <c r="AQ84" s="14">
        <v>78</v>
      </c>
      <c r="AR84" s="14">
        <v>85</v>
      </c>
      <c r="AS84" s="14">
        <v>72</v>
      </c>
      <c r="AT84" s="14">
        <v>80</v>
      </c>
      <c r="AU84" s="14">
        <v>80</v>
      </c>
      <c r="AV84" s="14">
        <v>80</v>
      </c>
      <c r="AW84" s="14">
        <v>80</v>
      </c>
      <c r="AX84" s="15">
        <v>85</v>
      </c>
      <c r="AY84" s="15">
        <v>89</v>
      </c>
      <c r="AZ84" s="14">
        <v>86</v>
      </c>
      <c r="BA84" s="14">
        <v>73</v>
      </c>
      <c r="BB84" s="14">
        <v>80</v>
      </c>
      <c r="BC84" s="14">
        <v>74</v>
      </c>
      <c r="BD84" s="14">
        <v>80</v>
      </c>
      <c r="BE84" s="37">
        <v>83</v>
      </c>
      <c r="BF84" s="37">
        <v>78</v>
      </c>
      <c r="BG84" s="37">
        <v>81</v>
      </c>
      <c r="BH84" s="14">
        <v>90</v>
      </c>
      <c r="BI84" s="37">
        <v>71</v>
      </c>
      <c r="BJ84" s="37">
        <v>87</v>
      </c>
      <c r="BK84" s="37">
        <v>70</v>
      </c>
      <c r="BL84" s="14">
        <v>90</v>
      </c>
      <c r="BM84" s="37">
        <v>72</v>
      </c>
      <c r="BN84" s="37">
        <v>77</v>
      </c>
      <c r="BO84" s="37">
        <v>84</v>
      </c>
      <c r="BP84" s="14">
        <v>90</v>
      </c>
      <c r="BQ84" s="15">
        <f t="shared" si="73"/>
        <v>75.333333333333329</v>
      </c>
      <c r="BR84" s="15">
        <f t="shared" si="74"/>
        <v>80.666666666666671</v>
      </c>
      <c r="BS84" s="15">
        <f t="shared" si="75"/>
        <v>78.333333333333329</v>
      </c>
      <c r="BT84" s="15">
        <f t="shared" si="76"/>
        <v>90</v>
      </c>
      <c r="BU84" s="15">
        <v>88</v>
      </c>
      <c r="BV84" s="15">
        <v>83</v>
      </c>
      <c r="BW84" s="15">
        <v>81</v>
      </c>
      <c r="BX84" s="15">
        <v>90</v>
      </c>
      <c r="BY84" s="15">
        <v>89</v>
      </c>
      <c r="BZ84" s="15">
        <v>73</v>
      </c>
      <c r="CA84" s="15">
        <v>79</v>
      </c>
      <c r="CB84" s="15">
        <v>75</v>
      </c>
      <c r="CC84" s="15">
        <v>85</v>
      </c>
      <c r="CD84" s="39">
        <v>88</v>
      </c>
      <c r="CE84" s="40">
        <v>82</v>
      </c>
      <c r="CF84" s="40">
        <v>78</v>
      </c>
      <c r="CG84" s="40">
        <v>87</v>
      </c>
      <c r="CH84" s="40">
        <v>79</v>
      </c>
      <c r="CI84" s="40">
        <v>80</v>
      </c>
      <c r="CJ84" s="40">
        <v>80</v>
      </c>
      <c r="CK84" s="39">
        <v>78</v>
      </c>
      <c r="CL84" s="40">
        <v>82</v>
      </c>
      <c r="CM84" s="41">
        <f t="shared" si="77"/>
        <v>88.2</v>
      </c>
      <c r="CN84" s="41">
        <f t="shared" si="78"/>
        <v>93</v>
      </c>
      <c r="CO84" s="41">
        <f t="shared" si="79"/>
        <v>88</v>
      </c>
      <c r="CP84" s="17">
        <f t="shared" si="80"/>
        <v>89.58</v>
      </c>
      <c r="CQ84" s="16">
        <f t="shared" si="81"/>
        <v>80</v>
      </c>
      <c r="CR84" s="16">
        <f t="shared" si="82"/>
        <v>95</v>
      </c>
      <c r="CS84" s="16">
        <f t="shared" si="83"/>
        <v>82</v>
      </c>
      <c r="CT84" s="17">
        <f t="shared" si="84"/>
        <v>85.1</v>
      </c>
      <c r="CU84" s="17">
        <f t="shared" si="85"/>
        <v>84.6</v>
      </c>
      <c r="CV84" s="17">
        <f t="shared" si="86"/>
        <v>84</v>
      </c>
      <c r="CW84" s="17">
        <f t="shared" si="87"/>
        <v>78</v>
      </c>
      <c r="CX84" s="17">
        <f t="shared" si="88"/>
        <v>82.44</v>
      </c>
      <c r="CY84" s="18">
        <f t="shared" si="89"/>
        <v>83.25</v>
      </c>
      <c r="CZ84" s="18">
        <f t="shared" si="90"/>
        <v>83.25</v>
      </c>
      <c r="DA84" s="18">
        <f t="shared" si="91"/>
        <v>80.75</v>
      </c>
      <c r="DB84" s="18">
        <f t="shared" si="92"/>
        <v>80.75</v>
      </c>
      <c r="DC84" s="18">
        <f t="shared" si="93"/>
        <v>82</v>
      </c>
      <c r="DD84" s="18">
        <f t="shared" si="94"/>
        <v>82</v>
      </c>
      <c r="DE84" s="18">
        <f t="shared" si="95"/>
        <v>80.5</v>
      </c>
      <c r="DF84" s="18">
        <f t="shared" si="96"/>
        <v>80.5</v>
      </c>
      <c r="DG84" s="18">
        <f t="shared" si="97"/>
        <v>80</v>
      </c>
      <c r="DH84" s="18">
        <f t="shared" si="98"/>
        <v>84</v>
      </c>
      <c r="DI84" s="18">
        <f t="shared" si="99"/>
        <v>87</v>
      </c>
      <c r="DJ84" s="17">
        <f t="shared" si="100"/>
        <v>83.3</v>
      </c>
      <c r="DK84" s="18">
        <f t="shared" si="101"/>
        <v>73.599999999999994</v>
      </c>
      <c r="DL84" s="18">
        <f t="shared" si="102"/>
        <v>85</v>
      </c>
      <c r="DM84" s="18">
        <f t="shared" si="103"/>
        <v>79</v>
      </c>
      <c r="DN84" s="17">
        <f t="shared" si="104"/>
        <v>78.64</v>
      </c>
      <c r="DO84" s="18">
        <f t="shared" si="105"/>
        <v>78.400000000000006</v>
      </c>
      <c r="DP84" s="18">
        <f t="shared" si="106"/>
        <v>85</v>
      </c>
      <c r="DQ84" s="18">
        <f t="shared" si="107"/>
        <v>80</v>
      </c>
      <c r="DR84" s="17">
        <f t="shared" si="108"/>
        <v>80.86</v>
      </c>
      <c r="DS84" s="18">
        <f t="shared" si="109"/>
        <v>87.5</v>
      </c>
      <c r="DT84" s="18">
        <f t="shared" si="110"/>
        <v>87.5</v>
      </c>
      <c r="DU84" s="18">
        <f t="shared" si="111"/>
        <v>76.5</v>
      </c>
      <c r="DV84" s="18">
        <f t="shared" si="112"/>
        <v>76.5</v>
      </c>
      <c r="DW84" s="18">
        <f t="shared" si="113"/>
        <v>77</v>
      </c>
      <c r="DX84" s="17">
        <f t="shared" si="114"/>
        <v>77</v>
      </c>
      <c r="DY84" s="18">
        <f t="shared" si="115"/>
        <v>78.1111111111111</v>
      </c>
      <c r="DZ84" s="18">
        <f t="shared" si="116"/>
        <v>90</v>
      </c>
      <c r="EA84" s="18">
        <f t="shared" si="117"/>
        <v>82</v>
      </c>
      <c r="EB84" s="17">
        <f t="shared" si="118"/>
        <v>82.844444444444434</v>
      </c>
      <c r="EC84" s="18">
        <f t="shared" si="119"/>
        <v>84</v>
      </c>
      <c r="ED84" s="18">
        <f t="shared" si="120"/>
        <v>90</v>
      </c>
      <c r="EE84" s="18">
        <f t="shared" si="121"/>
        <v>78</v>
      </c>
      <c r="EF84" s="17">
        <f t="shared" si="122"/>
        <v>84</v>
      </c>
      <c r="EG84" s="18">
        <f t="shared" si="123"/>
        <v>89</v>
      </c>
      <c r="EH84" s="18">
        <f t="shared" si="124"/>
        <v>75.666666666666671</v>
      </c>
      <c r="EI84" s="18">
        <f t="shared" si="125"/>
        <v>85</v>
      </c>
      <c r="EJ84" s="18">
        <f t="shared" si="126"/>
        <v>80</v>
      </c>
      <c r="EK84" s="17">
        <f t="shared" si="127"/>
        <v>79.76666666666668</v>
      </c>
      <c r="EL84" s="19">
        <f t="shared" si="128"/>
        <v>89.58</v>
      </c>
      <c r="EM84" s="19">
        <f t="shared" si="129"/>
        <v>85.1</v>
      </c>
      <c r="EN84" s="19">
        <f t="shared" si="130"/>
        <v>82.44</v>
      </c>
      <c r="EO84" s="19">
        <f t="shared" si="131"/>
        <v>83.25</v>
      </c>
      <c r="EP84" s="19">
        <f t="shared" si="132"/>
        <v>80.75</v>
      </c>
      <c r="EQ84" s="19">
        <f t="shared" si="133"/>
        <v>82</v>
      </c>
      <c r="ER84" s="19">
        <f t="shared" si="134"/>
        <v>80.5</v>
      </c>
      <c r="ES84" s="19">
        <f t="shared" si="135"/>
        <v>83.3</v>
      </c>
      <c r="ET84" s="19">
        <f t="shared" si="136"/>
        <v>78.64</v>
      </c>
      <c r="EU84" s="19">
        <f t="shared" si="137"/>
        <v>80.86</v>
      </c>
      <c r="EV84" s="19">
        <f t="shared" si="138"/>
        <v>87.5</v>
      </c>
      <c r="EW84" s="19">
        <f t="shared" si="139"/>
        <v>76.5</v>
      </c>
      <c r="EX84" s="19">
        <f t="shared" si="140"/>
        <v>77</v>
      </c>
      <c r="EY84" s="19">
        <f t="shared" si="141"/>
        <v>82.844444444444434</v>
      </c>
      <c r="EZ84" s="19">
        <f t="shared" si="142"/>
        <v>84</v>
      </c>
      <c r="FA84" s="19">
        <f t="shared" si="143"/>
        <v>89</v>
      </c>
      <c r="FB84" s="19">
        <f t="shared" si="144"/>
        <v>79.76666666666668</v>
      </c>
      <c r="FC84" s="19">
        <f t="shared" si="145"/>
        <v>82.531241830065369</v>
      </c>
    </row>
    <row r="85" spans="1:159" ht="20.100000000000001" customHeight="1">
      <c r="A85" s="11">
        <v>81</v>
      </c>
      <c r="B85" s="12" t="s">
        <v>214</v>
      </c>
      <c r="C85" s="13" t="s">
        <v>215</v>
      </c>
      <c r="D85" s="25" t="s">
        <v>197</v>
      </c>
      <c r="E85" s="14">
        <v>80</v>
      </c>
      <c r="F85" s="14">
        <v>82</v>
      </c>
      <c r="G85" s="14">
        <v>86</v>
      </c>
      <c r="H85" s="14">
        <v>83</v>
      </c>
      <c r="I85" s="14">
        <v>91</v>
      </c>
      <c r="J85" s="14">
        <v>95</v>
      </c>
      <c r="K85" s="14">
        <v>83</v>
      </c>
      <c r="L85" s="14">
        <v>81</v>
      </c>
      <c r="M85" s="14">
        <v>83</v>
      </c>
      <c r="N85" s="14">
        <v>87</v>
      </c>
      <c r="O85" s="14">
        <v>88</v>
      </c>
      <c r="P85" s="15">
        <v>93</v>
      </c>
      <c r="Q85" s="15">
        <v>78</v>
      </c>
      <c r="R85" s="14">
        <v>83</v>
      </c>
      <c r="S85" s="14">
        <v>78</v>
      </c>
      <c r="T85" s="14">
        <v>76</v>
      </c>
      <c r="U85" s="14">
        <v>76</v>
      </c>
      <c r="V85" s="14">
        <v>91</v>
      </c>
      <c r="W85" s="14">
        <v>81</v>
      </c>
      <c r="X85" s="14">
        <v>84</v>
      </c>
      <c r="Y85" s="14">
        <v>80</v>
      </c>
      <c r="Z85" s="14">
        <v>85</v>
      </c>
      <c r="AA85" s="14">
        <v>81</v>
      </c>
      <c r="AB85" s="15">
        <v>81</v>
      </c>
      <c r="AC85" s="15">
        <v>83</v>
      </c>
      <c r="AD85" s="14">
        <v>81</v>
      </c>
      <c r="AE85" s="14">
        <v>82</v>
      </c>
      <c r="AF85" s="14">
        <v>85</v>
      </c>
      <c r="AG85" s="14">
        <v>78</v>
      </c>
      <c r="AH85" s="14">
        <v>80</v>
      </c>
      <c r="AI85" s="14">
        <v>77</v>
      </c>
      <c r="AJ85" s="14">
        <v>81</v>
      </c>
      <c r="AK85" s="14">
        <v>80</v>
      </c>
      <c r="AL85" s="15">
        <v>91</v>
      </c>
      <c r="AM85" s="15">
        <v>70</v>
      </c>
      <c r="AN85" s="14">
        <v>70</v>
      </c>
      <c r="AO85" s="14">
        <v>75</v>
      </c>
      <c r="AP85" s="14">
        <v>76</v>
      </c>
      <c r="AQ85" s="14">
        <v>79</v>
      </c>
      <c r="AR85" s="14">
        <v>95</v>
      </c>
      <c r="AS85" s="14">
        <v>73</v>
      </c>
      <c r="AT85" s="14">
        <v>79</v>
      </c>
      <c r="AU85" s="14">
        <v>80</v>
      </c>
      <c r="AV85" s="14">
        <v>80</v>
      </c>
      <c r="AW85" s="14">
        <v>79</v>
      </c>
      <c r="AX85" s="15">
        <v>95</v>
      </c>
      <c r="AY85" s="15">
        <v>72</v>
      </c>
      <c r="AZ85" s="14">
        <v>88</v>
      </c>
      <c r="BA85" s="14">
        <v>70</v>
      </c>
      <c r="BB85" s="14">
        <v>82</v>
      </c>
      <c r="BC85" s="14">
        <v>83</v>
      </c>
      <c r="BD85" s="14">
        <v>80</v>
      </c>
      <c r="BE85" s="37">
        <v>82</v>
      </c>
      <c r="BF85" s="37">
        <v>85</v>
      </c>
      <c r="BG85" s="37">
        <v>78</v>
      </c>
      <c r="BH85" s="14">
        <v>95</v>
      </c>
      <c r="BI85" s="37">
        <v>80</v>
      </c>
      <c r="BJ85" s="37">
        <v>85</v>
      </c>
      <c r="BK85" s="37">
        <v>71</v>
      </c>
      <c r="BL85" s="14">
        <v>95</v>
      </c>
      <c r="BM85" s="37">
        <v>70</v>
      </c>
      <c r="BN85" s="37">
        <v>71</v>
      </c>
      <c r="BO85" s="37">
        <v>82</v>
      </c>
      <c r="BP85" s="14">
        <v>95</v>
      </c>
      <c r="BQ85" s="15">
        <f t="shared" si="73"/>
        <v>77.333333333333329</v>
      </c>
      <c r="BR85" s="15">
        <f t="shared" si="74"/>
        <v>80.333333333333329</v>
      </c>
      <c r="BS85" s="15">
        <f t="shared" si="75"/>
        <v>77</v>
      </c>
      <c r="BT85" s="15">
        <f t="shared" si="76"/>
        <v>95</v>
      </c>
      <c r="BU85" s="15">
        <v>88</v>
      </c>
      <c r="BV85" s="15">
        <v>86</v>
      </c>
      <c r="BW85" s="15">
        <v>82</v>
      </c>
      <c r="BX85" s="15">
        <v>95</v>
      </c>
      <c r="BY85" s="15">
        <v>94</v>
      </c>
      <c r="BZ85" s="15">
        <v>70</v>
      </c>
      <c r="CA85" s="15">
        <v>81</v>
      </c>
      <c r="CB85" s="15">
        <v>74</v>
      </c>
      <c r="CC85" s="15">
        <v>95</v>
      </c>
      <c r="CD85" s="39">
        <v>81</v>
      </c>
      <c r="CE85" s="40">
        <v>82</v>
      </c>
      <c r="CF85" s="40">
        <v>85</v>
      </c>
      <c r="CG85" s="40">
        <v>82</v>
      </c>
      <c r="CH85" s="40">
        <v>80</v>
      </c>
      <c r="CI85" s="40">
        <v>80</v>
      </c>
      <c r="CJ85" s="40">
        <v>80</v>
      </c>
      <c r="CK85" s="39">
        <v>88</v>
      </c>
      <c r="CL85" s="40">
        <v>92</v>
      </c>
      <c r="CM85" s="41">
        <f t="shared" si="77"/>
        <v>84.4</v>
      </c>
      <c r="CN85" s="41">
        <f t="shared" si="78"/>
        <v>95</v>
      </c>
      <c r="CO85" s="41">
        <f t="shared" si="79"/>
        <v>81</v>
      </c>
      <c r="CP85" s="17">
        <f t="shared" si="80"/>
        <v>86.56</v>
      </c>
      <c r="CQ85" s="16">
        <f t="shared" si="81"/>
        <v>84.4</v>
      </c>
      <c r="CR85" s="16">
        <f t="shared" si="82"/>
        <v>93</v>
      </c>
      <c r="CS85" s="16">
        <f t="shared" si="83"/>
        <v>82</v>
      </c>
      <c r="CT85" s="17">
        <f t="shared" si="84"/>
        <v>86.26</v>
      </c>
      <c r="CU85" s="17">
        <f t="shared" si="85"/>
        <v>78.2</v>
      </c>
      <c r="CV85" s="17">
        <f t="shared" si="86"/>
        <v>91</v>
      </c>
      <c r="CW85" s="17">
        <f t="shared" si="87"/>
        <v>85</v>
      </c>
      <c r="CX85" s="17">
        <f t="shared" si="88"/>
        <v>84.08</v>
      </c>
      <c r="CY85" s="18">
        <f t="shared" si="89"/>
        <v>82.5</v>
      </c>
      <c r="CZ85" s="18">
        <f t="shared" si="90"/>
        <v>82.5</v>
      </c>
      <c r="DA85" s="18">
        <f t="shared" si="91"/>
        <v>81.5</v>
      </c>
      <c r="DB85" s="18">
        <f t="shared" si="92"/>
        <v>81.5</v>
      </c>
      <c r="DC85" s="18">
        <f t="shared" si="93"/>
        <v>83.5</v>
      </c>
      <c r="DD85" s="18">
        <f t="shared" si="94"/>
        <v>83.5</v>
      </c>
      <c r="DE85" s="18">
        <f t="shared" si="95"/>
        <v>79</v>
      </c>
      <c r="DF85" s="18">
        <f t="shared" si="96"/>
        <v>79</v>
      </c>
      <c r="DG85" s="18">
        <f t="shared" si="97"/>
        <v>80</v>
      </c>
      <c r="DH85" s="18">
        <f t="shared" si="98"/>
        <v>91</v>
      </c>
      <c r="DI85" s="18">
        <f t="shared" si="99"/>
        <v>82</v>
      </c>
      <c r="DJ85" s="17">
        <f t="shared" si="100"/>
        <v>83.9</v>
      </c>
      <c r="DK85" s="18">
        <f t="shared" si="101"/>
        <v>74</v>
      </c>
      <c r="DL85" s="18">
        <f t="shared" si="102"/>
        <v>95</v>
      </c>
      <c r="DM85" s="18">
        <f t="shared" si="103"/>
        <v>80</v>
      </c>
      <c r="DN85" s="17">
        <f t="shared" si="104"/>
        <v>82.1</v>
      </c>
      <c r="DO85" s="18">
        <f t="shared" si="105"/>
        <v>78.2</v>
      </c>
      <c r="DP85" s="18">
        <f t="shared" si="106"/>
        <v>95</v>
      </c>
      <c r="DQ85" s="18">
        <f t="shared" si="107"/>
        <v>80</v>
      </c>
      <c r="DR85" s="17">
        <f t="shared" si="108"/>
        <v>83.78</v>
      </c>
      <c r="DS85" s="18">
        <f t="shared" si="109"/>
        <v>80</v>
      </c>
      <c r="DT85" s="18">
        <f t="shared" si="110"/>
        <v>80</v>
      </c>
      <c r="DU85" s="18">
        <f t="shared" si="111"/>
        <v>76</v>
      </c>
      <c r="DV85" s="18">
        <f t="shared" si="112"/>
        <v>76</v>
      </c>
      <c r="DW85" s="18">
        <f t="shared" si="113"/>
        <v>81.5</v>
      </c>
      <c r="DX85" s="17">
        <f t="shared" si="114"/>
        <v>81.5</v>
      </c>
      <c r="DY85" s="18">
        <f t="shared" si="115"/>
        <v>78.222222222222214</v>
      </c>
      <c r="DZ85" s="18">
        <f t="shared" si="116"/>
        <v>95</v>
      </c>
      <c r="EA85" s="18">
        <f t="shared" si="117"/>
        <v>92</v>
      </c>
      <c r="EB85" s="17">
        <f t="shared" si="118"/>
        <v>87.388888888888886</v>
      </c>
      <c r="EC85" s="18">
        <f t="shared" si="119"/>
        <v>85.333333333333329</v>
      </c>
      <c r="ED85" s="18">
        <f t="shared" si="120"/>
        <v>95</v>
      </c>
      <c r="EE85" s="18">
        <f t="shared" si="121"/>
        <v>88</v>
      </c>
      <c r="EF85" s="17">
        <f t="shared" si="122"/>
        <v>89.033333333333331</v>
      </c>
      <c r="EG85" s="18">
        <f t="shared" si="123"/>
        <v>94</v>
      </c>
      <c r="EH85" s="18">
        <f t="shared" si="124"/>
        <v>75</v>
      </c>
      <c r="EI85" s="18">
        <f t="shared" si="125"/>
        <v>95</v>
      </c>
      <c r="EJ85" s="18">
        <f t="shared" si="126"/>
        <v>80</v>
      </c>
      <c r="EK85" s="17">
        <f t="shared" si="127"/>
        <v>82.5</v>
      </c>
      <c r="EL85" s="19">
        <f t="shared" si="128"/>
        <v>86.56</v>
      </c>
      <c r="EM85" s="19">
        <f t="shared" si="129"/>
        <v>86.26</v>
      </c>
      <c r="EN85" s="19">
        <f t="shared" si="130"/>
        <v>84.08</v>
      </c>
      <c r="EO85" s="19">
        <f t="shared" si="131"/>
        <v>82.5</v>
      </c>
      <c r="EP85" s="19">
        <f t="shared" si="132"/>
        <v>81.5</v>
      </c>
      <c r="EQ85" s="19">
        <f t="shared" si="133"/>
        <v>83.5</v>
      </c>
      <c r="ER85" s="19">
        <f t="shared" si="134"/>
        <v>79</v>
      </c>
      <c r="ES85" s="19">
        <f t="shared" si="135"/>
        <v>83.9</v>
      </c>
      <c r="ET85" s="19">
        <f t="shared" si="136"/>
        <v>82.1</v>
      </c>
      <c r="EU85" s="19">
        <f t="shared" si="137"/>
        <v>83.78</v>
      </c>
      <c r="EV85" s="19">
        <f t="shared" si="138"/>
        <v>80</v>
      </c>
      <c r="EW85" s="19">
        <f t="shared" si="139"/>
        <v>76</v>
      </c>
      <c r="EX85" s="19">
        <f t="shared" si="140"/>
        <v>81.5</v>
      </c>
      <c r="EY85" s="19">
        <f t="shared" si="141"/>
        <v>87.388888888888886</v>
      </c>
      <c r="EZ85" s="19">
        <f t="shared" si="142"/>
        <v>89.033333333333331</v>
      </c>
      <c r="FA85" s="19">
        <f t="shared" si="143"/>
        <v>94</v>
      </c>
      <c r="FB85" s="19">
        <f t="shared" si="144"/>
        <v>82.5</v>
      </c>
      <c r="FC85" s="19">
        <f t="shared" si="145"/>
        <v>83.741307189542468</v>
      </c>
    </row>
    <row r="86" spans="1:159" ht="20.100000000000001" customHeight="1">
      <c r="A86" s="11">
        <v>82</v>
      </c>
      <c r="B86" s="12" t="s">
        <v>216</v>
      </c>
      <c r="C86" s="13" t="s">
        <v>217</v>
      </c>
      <c r="D86" s="25" t="s">
        <v>197</v>
      </c>
      <c r="E86" s="14">
        <v>90</v>
      </c>
      <c r="F86" s="14">
        <v>96</v>
      </c>
      <c r="G86" s="14">
        <v>87</v>
      </c>
      <c r="H86" s="14">
        <v>83</v>
      </c>
      <c r="I86" s="14">
        <v>89</v>
      </c>
      <c r="J86" s="14">
        <v>80</v>
      </c>
      <c r="K86" s="14">
        <v>80</v>
      </c>
      <c r="L86" s="14">
        <v>93</v>
      </c>
      <c r="M86" s="14">
        <v>95</v>
      </c>
      <c r="N86" s="14">
        <v>94</v>
      </c>
      <c r="O86" s="14">
        <v>95</v>
      </c>
      <c r="P86" s="15">
        <v>80</v>
      </c>
      <c r="Q86" s="15">
        <v>98</v>
      </c>
      <c r="R86" s="14">
        <v>93</v>
      </c>
      <c r="S86" s="14">
        <v>85</v>
      </c>
      <c r="T86" s="14">
        <v>86</v>
      </c>
      <c r="U86" s="14">
        <v>86</v>
      </c>
      <c r="V86" s="14">
        <v>78</v>
      </c>
      <c r="W86" s="14">
        <v>82</v>
      </c>
      <c r="X86" s="14">
        <v>85</v>
      </c>
      <c r="Y86" s="14">
        <v>84</v>
      </c>
      <c r="Z86" s="14">
        <v>86</v>
      </c>
      <c r="AA86" s="14">
        <v>84</v>
      </c>
      <c r="AB86" s="15">
        <v>84</v>
      </c>
      <c r="AC86" s="15">
        <v>83</v>
      </c>
      <c r="AD86" s="14">
        <v>84</v>
      </c>
      <c r="AE86" s="14">
        <v>84</v>
      </c>
      <c r="AF86" s="14">
        <v>85</v>
      </c>
      <c r="AG86" s="14">
        <v>82</v>
      </c>
      <c r="AH86" s="14">
        <v>78</v>
      </c>
      <c r="AI86" s="14">
        <v>75</v>
      </c>
      <c r="AJ86" s="14">
        <v>84</v>
      </c>
      <c r="AK86" s="14">
        <v>88</v>
      </c>
      <c r="AL86" s="15">
        <v>78</v>
      </c>
      <c r="AM86" s="15">
        <v>76</v>
      </c>
      <c r="AN86" s="14">
        <v>82</v>
      </c>
      <c r="AO86" s="14">
        <v>84</v>
      </c>
      <c r="AP86" s="14">
        <v>85</v>
      </c>
      <c r="AQ86" s="14">
        <v>93</v>
      </c>
      <c r="AR86" s="14">
        <v>80</v>
      </c>
      <c r="AS86" s="14">
        <v>85</v>
      </c>
      <c r="AT86" s="14">
        <v>88</v>
      </c>
      <c r="AU86" s="14">
        <v>88</v>
      </c>
      <c r="AV86" s="14">
        <v>86</v>
      </c>
      <c r="AW86" s="14">
        <v>87</v>
      </c>
      <c r="AX86" s="15">
        <v>80</v>
      </c>
      <c r="AY86" s="15">
        <v>92</v>
      </c>
      <c r="AZ86" s="14">
        <v>93</v>
      </c>
      <c r="BA86" s="14">
        <v>88</v>
      </c>
      <c r="BB86" s="14">
        <v>89</v>
      </c>
      <c r="BC86" s="14">
        <v>82</v>
      </c>
      <c r="BD86" s="14">
        <v>83</v>
      </c>
      <c r="BE86" s="37">
        <v>84</v>
      </c>
      <c r="BF86" s="37">
        <v>90</v>
      </c>
      <c r="BG86" s="37">
        <v>85</v>
      </c>
      <c r="BH86" s="14">
        <v>80</v>
      </c>
      <c r="BI86" s="37">
        <v>85</v>
      </c>
      <c r="BJ86" s="37">
        <v>90</v>
      </c>
      <c r="BK86" s="37">
        <v>88</v>
      </c>
      <c r="BL86" s="14">
        <v>80</v>
      </c>
      <c r="BM86" s="37">
        <v>74</v>
      </c>
      <c r="BN86" s="37">
        <v>90</v>
      </c>
      <c r="BO86" s="37">
        <v>86</v>
      </c>
      <c r="BP86" s="14">
        <v>80</v>
      </c>
      <c r="BQ86" s="15">
        <f t="shared" si="73"/>
        <v>81</v>
      </c>
      <c r="BR86" s="15">
        <f t="shared" si="74"/>
        <v>90</v>
      </c>
      <c r="BS86" s="15">
        <f t="shared" si="75"/>
        <v>86.333333333333329</v>
      </c>
      <c r="BT86" s="15">
        <f t="shared" si="76"/>
        <v>80</v>
      </c>
      <c r="BU86" s="15">
        <v>87</v>
      </c>
      <c r="BV86" s="15">
        <v>87</v>
      </c>
      <c r="BW86" s="15">
        <v>86</v>
      </c>
      <c r="BX86" s="15">
        <v>80</v>
      </c>
      <c r="BY86" s="15">
        <v>80</v>
      </c>
      <c r="BZ86" s="15">
        <v>79</v>
      </c>
      <c r="CA86" s="15">
        <v>91</v>
      </c>
      <c r="CB86" s="15">
        <v>81</v>
      </c>
      <c r="CC86" s="15">
        <v>80</v>
      </c>
      <c r="CD86" s="39">
        <v>92</v>
      </c>
      <c r="CE86" s="40">
        <v>95</v>
      </c>
      <c r="CF86" s="40">
        <v>82</v>
      </c>
      <c r="CG86" s="40">
        <v>92</v>
      </c>
      <c r="CH86" s="40">
        <v>93</v>
      </c>
      <c r="CI86" s="40">
        <v>90</v>
      </c>
      <c r="CJ86" s="40">
        <v>90</v>
      </c>
      <c r="CK86" s="39">
        <v>85</v>
      </c>
      <c r="CL86" s="40">
        <v>92</v>
      </c>
      <c r="CM86" s="41">
        <f t="shared" si="77"/>
        <v>89</v>
      </c>
      <c r="CN86" s="41">
        <f t="shared" si="78"/>
        <v>80</v>
      </c>
      <c r="CO86" s="41">
        <f t="shared" si="79"/>
        <v>92</v>
      </c>
      <c r="CP86" s="17">
        <f t="shared" si="80"/>
        <v>87.2</v>
      </c>
      <c r="CQ86" s="16">
        <f t="shared" si="81"/>
        <v>91.4</v>
      </c>
      <c r="CR86" s="16">
        <f t="shared" si="82"/>
        <v>80</v>
      </c>
      <c r="CS86" s="16">
        <f t="shared" si="83"/>
        <v>95</v>
      </c>
      <c r="CT86" s="17">
        <f t="shared" si="84"/>
        <v>89.06</v>
      </c>
      <c r="CU86" s="17">
        <f t="shared" si="85"/>
        <v>89.6</v>
      </c>
      <c r="CV86" s="17">
        <f t="shared" si="86"/>
        <v>78</v>
      </c>
      <c r="CW86" s="17">
        <f t="shared" si="87"/>
        <v>82</v>
      </c>
      <c r="CX86" s="17">
        <f t="shared" si="88"/>
        <v>83.84</v>
      </c>
      <c r="CY86" s="18">
        <f t="shared" si="89"/>
        <v>84.25</v>
      </c>
      <c r="CZ86" s="18">
        <f t="shared" si="90"/>
        <v>84.25</v>
      </c>
      <c r="DA86" s="18">
        <f t="shared" si="91"/>
        <v>83.75</v>
      </c>
      <c r="DB86" s="18">
        <f t="shared" si="92"/>
        <v>83.75</v>
      </c>
      <c r="DC86" s="18">
        <f t="shared" si="93"/>
        <v>84.5</v>
      </c>
      <c r="DD86" s="18">
        <f t="shared" si="94"/>
        <v>84.5</v>
      </c>
      <c r="DE86" s="18">
        <f t="shared" si="95"/>
        <v>79.75</v>
      </c>
      <c r="DF86" s="18">
        <f t="shared" si="96"/>
        <v>79.75</v>
      </c>
      <c r="DG86" s="18">
        <f t="shared" si="97"/>
        <v>88</v>
      </c>
      <c r="DH86" s="18">
        <f t="shared" si="98"/>
        <v>78</v>
      </c>
      <c r="DI86" s="18">
        <f t="shared" si="99"/>
        <v>92</v>
      </c>
      <c r="DJ86" s="17">
        <f t="shared" si="100"/>
        <v>86.2</v>
      </c>
      <c r="DK86" s="18">
        <f t="shared" si="101"/>
        <v>84</v>
      </c>
      <c r="DL86" s="18">
        <f t="shared" si="102"/>
        <v>80</v>
      </c>
      <c r="DM86" s="18">
        <f t="shared" si="103"/>
        <v>93</v>
      </c>
      <c r="DN86" s="17">
        <f t="shared" si="104"/>
        <v>85.5</v>
      </c>
      <c r="DO86" s="18">
        <f t="shared" si="105"/>
        <v>86.8</v>
      </c>
      <c r="DP86" s="18">
        <f t="shared" si="106"/>
        <v>80</v>
      </c>
      <c r="DQ86" s="18">
        <f t="shared" si="107"/>
        <v>90</v>
      </c>
      <c r="DR86" s="17">
        <f t="shared" si="108"/>
        <v>85.72</v>
      </c>
      <c r="DS86" s="18">
        <f t="shared" si="109"/>
        <v>92.5</v>
      </c>
      <c r="DT86" s="18">
        <f t="shared" si="110"/>
        <v>92.5</v>
      </c>
      <c r="DU86" s="18">
        <f t="shared" si="111"/>
        <v>88.5</v>
      </c>
      <c r="DV86" s="18">
        <f t="shared" si="112"/>
        <v>88.5</v>
      </c>
      <c r="DW86" s="18">
        <f t="shared" si="113"/>
        <v>82.5</v>
      </c>
      <c r="DX86" s="17">
        <f t="shared" si="114"/>
        <v>82.5</v>
      </c>
      <c r="DY86" s="18">
        <f t="shared" si="115"/>
        <v>85.777777777777771</v>
      </c>
      <c r="DZ86" s="18">
        <f t="shared" si="116"/>
        <v>80</v>
      </c>
      <c r="EA86" s="18">
        <f t="shared" si="117"/>
        <v>92</v>
      </c>
      <c r="EB86" s="17">
        <f t="shared" si="118"/>
        <v>85.911111111111111</v>
      </c>
      <c r="EC86" s="18">
        <f t="shared" si="119"/>
        <v>86.666666666666671</v>
      </c>
      <c r="ED86" s="18">
        <f t="shared" si="120"/>
        <v>80</v>
      </c>
      <c r="EE86" s="18">
        <f t="shared" si="121"/>
        <v>85</v>
      </c>
      <c r="EF86" s="17">
        <f t="shared" si="122"/>
        <v>84.166666666666671</v>
      </c>
      <c r="EG86" s="18">
        <f t="shared" si="123"/>
        <v>80</v>
      </c>
      <c r="EH86" s="18">
        <f t="shared" si="124"/>
        <v>83.666666666666671</v>
      </c>
      <c r="EI86" s="18">
        <f t="shared" si="125"/>
        <v>80</v>
      </c>
      <c r="EJ86" s="18">
        <f t="shared" si="126"/>
        <v>90</v>
      </c>
      <c r="EK86" s="17">
        <f t="shared" si="127"/>
        <v>84.466666666666669</v>
      </c>
      <c r="EL86" s="19">
        <f t="shared" si="128"/>
        <v>87.2</v>
      </c>
      <c r="EM86" s="19">
        <f t="shared" si="129"/>
        <v>89.06</v>
      </c>
      <c r="EN86" s="19">
        <f t="shared" si="130"/>
        <v>83.84</v>
      </c>
      <c r="EO86" s="19">
        <f t="shared" si="131"/>
        <v>84.25</v>
      </c>
      <c r="EP86" s="19">
        <f t="shared" si="132"/>
        <v>83.75</v>
      </c>
      <c r="EQ86" s="19">
        <f t="shared" si="133"/>
        <v>84.5</v>
      </c>
      <c r="ER86" s="19">
        <f t="shared" si="134"/>
        <v>79.75</v>
      </c>
      <c r="ES86" s="19">
        <f t="shared" si="135"/>
        <v>86.2</v>
      </c>
      <c r="ET86" s="19">
        <f t="shared" si="136"/>
        <v>85.5</v>
      </c>
      <c r="EU86" s="19">
        <f t="shared" si="137"/>
        <v>85.72</v>
      </c>
      <c r="EV86" s="19">
        <f t="shared" si="138"/>
        <v>92.5</v>
      </c>
      <c r="EW86" s="19">
        <f t="shared" si="139"/>
        <v>88.5</v>
      </c>
      <c r="EX86" s="19">
        <f t="shared" si="140"/>
        <v>82.5</v>
      </c>
      <c r="EY86" s="19">
        <f t="shared" si="141"/>
        <v>85.911111111111111</v>
      </c>
      <c r="EZ86" s="19">
        <f t="shared" si="142"/>
        <v>84.166666666666671</v>
      </c>
      <c r="FA86" s="19">
        <f t="shared" si="143"/>
        <v>80</v>
      </c>
      <c r="FB86" s="19">
        <f t="shared" si="144"/>
        <v>84.466666666666669</v>
      </c>
      <c r="FC86" s="19">
        <f t="shared" si="145"/>
        <v>85.165555555555557</v>
      </c>
    </row>
    <row r="87" spans="1:159" ht="20.100000000000001" customHeight="1">
      <c r="A87" s="11">
        <v>83</v>
      </c>
      <c r="B87" s="12" t="s">
        <v>218</v>
      </c>
      <c r="C87" s="13" t="s">
        <v>219</v>
      </c>
      <c r="D87" s="25" t="s">
        <v>197</v>
      </c>
      <c r="E87" s="14">
        <v>89</v>
      </c>
      <c r="F87" s="14">
        <v>90</v>
      </c>
      <c r="G87" s="14">
        <v>89</v>
      </c>
      <c r="H87" s="14">
        <v>90</v>
      </c>
      <c r="I87" s="14">
        <v>89</v>
      </c>
      <c r="J87" s="14">
        <v>85</v>
      </c>
      <c r="K87" s="14">
        <v>84</v>
      </c>
      <c r="L87" s="14">
        <v>83</v>
      </c>
      <c r="M87" s="14">
        <v>86</v>
      </c>
      <c r="N87" s="14">
        <v>86</v>
      </c>
      <c r="O87" s="14">
        <v>91</v>
      </c>
      <c r="P87" s="15">
        <v>85</v>
      </c>
      <c r="Q87" s="15">
        <v>97</v>
      </c>
      <c r="R87" s="14">
        <v>88</v>
      </c>
      <c r="S87" s="14">
        <v>80</v>
      </c>
      <c r="T87" s="14">
        <v>87</v>
      </c>
      <c r="U87" s="14">
        <v>80</v>
      </c>
      <c r="V87" s="14">
        <v>78</v>
      </c>
      <c r="W87" s="14">
        <v>82</v>
      </c>
      <c r="X87" s="14">
        <v>85</v>
      </c>
      <c r="Y87" s="14">
        <v>82</v>
      </c>
      <c r="Z87" s="14">
        <v>85</v>
      </c>
      <c r="AA87" s="14">
        <v>84</v>
      </c>
      <c r="AB87" s="15">
        <v>80</v>
      </c>
      <c r="AC87" s="15">
        <v>83</v>
      </c>
      <c r="AD87" s="14">
        <v>84</v>
      </c>
      <c r="AE87" s="14">
        <v>84</v>
      </c>
      <c r="AF87" s="14">
        <v>85</v>
      </c>
      <c r="AG87" s="14">
        <v>83</v>
      </c>
      <c r="AH87" s="14">
        <v>82</v>
      </c>
      <c r="AI87" s="14">
        <v>75</v>
      </c>
      <c r="AJ87" s="14">
        <v>84</v>
      </c>
      <c r="AK87" s="14">
        <v>82</v>
      </c>
      <c r="AL87" s="15">
        <v>78</v>
      </c>
      <c r="AM87" s="15">
        <v>74</v>
      </c>
      <c r="AN87" s="14">
        <v>75</v>
      </c>
      <c r="AO87" s="14">
        <v>78</v>
      </c>
      <c r="AP87" s="14">
        <v>79</v>
      </c>
      <c r="AQ87" s="14">
        <v>80</v>
      </c>
      <c r="AR87" s="14">
        <v>74</v>
      </c>
      <c r="AS87" s="14">
        <v>77</v>
      </c>
      <c r="AT87" s="14">
        <v>80</v>
      </c>
      <c r="AU87" s="14">
        <v>80</v>
      </c>
      <c r="AV87" s="14">
        <v>80</v>
      </c>
      <c r="AW87" s="14">
        <v>80</v>
      </c>
      <c r="AX87" s="15">
        <v>74</v>
      </c>
      <c r="AY87" s="15">
        <v>89</v>
      </c>
      <c r="AZ87" s="14">
        <v>84</v>
      </c>
      <c r="BA87" s="14">
        <v>87</v>
      </c>
      <c r="BB87" s="14">
        <v>85</v>
      </c>
      <c r="BC87" s="14">
        <v>73</v>
      </c>
      <c r="BD87" s="14">
        <v>80</v>
      </c>
      <c r="BE87" s="37">
        <v>84</v>
      </c>
      <c r="BF87" s="37">
        <v>88</v>
      </c>
      <c r="BG87" s="37">
        <v>85</v>
      </c>
      <c r="BH87" s="14">
        <v>82</v>
      </c>
      <c r="BI87" s="37">
        <v>80</v>
      </c>
      <c r="BJ87" s="37">
        <v>84</v>
      </c>
      <c r="BK87" s="37">
        <v>88</v>
      </c>
      <c r="BL87" s="14">
        <v>82</v>
      </c>
      <c r="BM87" s="37">
        <v>73</v>
      </c>
      <c r="BN87" s="37">
        <v>80</v>
      </c>
      <c r="BO87" s="37">
        <v>85</v>
      </c>
      <c r="BP87" s="14">
        <v>82</v>
      </c>
      <c r="BQ87" s="15">
        <f t="shared" si="73"/>
        <v>79</v>
      </c>
      <c r="BR87" s="15">
        <f t="shared" si="74"/>
        <v>84</v>
      </c>
      <c r="BS87" s="15">
        <f t="shared" si="75"/>
        <v>86</v>
      </c>
      <c r="BT87" s="15">
        <f t="shared" si="76"/>
        <v>82</v>
      </c>
      <c r="BU87" s="15">
        <v>87</v>
      </c>
      <c r="BV87" s="15">
        <v>85</v>
      </c>
      <c r="BW87" s="15">
        <v>85</v>
      </c>
      <c r="BX87" s="15">
        <v>82</v>
      </c>
      <c r="BY87" s="15">
        <v>81</v>
      </c>
      <c r="BZ87" s="15">
        <v>71</v>
      </c>
      <c r="CA87" s="15">
        <v>83</v>
      </c>
      <c r="CB87" s="15">
        <v>75</v>
      </c>
      <c r="CC87" s="15">
        <v>74</v>
      </c>
      <c r="CD87" s="39">
        <v>88</v>
      </c>
      <c r="CE87" s="40">
        <v>88</v>
      </c>
      <c r="CF87" s="40">
        <v>84</v>
      </c>
      <c r="CG87" s="40">
        <v>94</v>
      </c>
      <c r="CH87" s="40">
        <v>81</v>
      </c>
      <c r="CI87" s="40">
        <v>83</v>
      </c>
      <c r="CJ87" s="40">
        <v>80</v>
      </c>
      <c r="CK87" s="39">
        <v>84</v>
      </c>
      <c r="CL87" s="40">
        <v>70</v>
      </c>
      <c r="CM87" s="41">
        <f t="shared" si="77"/>
        <v>89.4</v>
      </c>
      <c r="CN87" s="41">
        <f t="shared" si="78"/>
        <v>85</v>
      </c>
      <c r="CO87" s="41">
        <f t="shared" si="79"/>
        <v>88</v>
      </c>
      <c r="CP87" s="17">
        <f t="shared" si="80"/>
        <v>87.66</v>
      </c>
      <c r="CQ87" s="16">
        <f t="shared" si="81"/>
        <v>86</v>
      </c>
      <c r="CR87" s="16">
        <f t="shared" si="82"/>
        <v>85</v>
      </c>
      <c r="CS87" s="16">
        <f t="shared" si="83"/>
        <v>88</v>
      </c>
      <c r="CT87" s="17">
        <f t="shared" si="84"/>
        <v>86.3</v>
      </c>
      <c r="CU87" s="17">
        <f t="shared" si="85"/>
        <v>86.4</v>
      </c>
      <c r="CV87" s="17">
        <f t="shared" si="86"/>
        <v>78</v>
      </c>
      <c r="CW87" s="17">
        <f t="shared" si="87"/>
        <v>84</v>
      </c>
      <c r="CX87" s="17">
        <f t="shared" si="88"/>
        <v>83.16</v>
      </c>
      <c r="CY87" s="18">
        <f t="shared" si="89"/>
        <v>83.5</v>
      </c>
      <c r="CZ87" s="18">
        <f t="shared" si="90"/>
        <v>83.5</v>
      </c>
      <c r="DA87" s="18">
        <f t="shared" si="91"/>
        <v>82.75</v>
      </c>
      <c r="DB87" s="18">
        <f t="shared" si="92"/>
        <v>82.75</v>
      </c>
      <c r="DC87" s="18">
        <f t="shared" si="93"/>
        <v>84.5</v>
      </c>
      <c r="DD87" s="18">
        <f t="shared" si="94"/>
        <v>84.5</v>
      </c>
      <c r="DE87" s="18">
        <f t="shared" si="95"/>
        <v>81</v>
      </c>
      <c r="DF87" s="18">
        <f t="shared" si="96"/>
        <v>81</v>
      </c>
      <c r="DG87" s="18">
        <f t="shared" si="97"/>
        <v>82</v>
      </c>
      <c r="DH87" s="18">
        <f t="shared" si="98"/>
        <v>78</v>
      </c>
      <c r="DI87" s="18">
        <f t="shared" si="99"/>
        <v>94</v>
      </c>
      <c r="DJ87" s="17">
        <f t="shared" si="100"/>
        <v>84.4</v>
      </c>
      <c r="DK87" s="18">
        <f t="shared" si="101"/>
        <v>77.2</v>
      </c>
      <c r="DL87" s="18">
        <f t="shared" si="102"/>
        <v>74</v>
      </c>
      <c r="DM87" s="18">
        <f t="shared" si="103"/>
        <v>81</v>
      </c>
      <c r="DN87" s="17">
        <f t="shared" si="104"/>
        <v>77.38</v>
      </c>
      <c r="DO87" s="18">
        <f t="shared" si="105"/>
        <v>79.400000000000006</v>
      </c>
      <c r="DP87" s="18">
        <f t="shared" si="106"/>
        <v>74</v>
      </c>
      <c r="DQ87" s="18">
        <f t="shared" si="107"/>
        <v>83</v>
      </c>
      <c r="DR87" s="17">
        <f t="shared" si="108"/>
        <v>78.86</v>
      </c>
      <c r="DS87" s="18">
        <f t="shared" si="109"/>
        <v>86.5</v>
      </c>
      <c r="DT87" s="18">
        <f t="shared" si="110"/>
        <v>86.5</v>
      </c>
      <c r="DU87" s="18">
        <f t="shared" si="111"/>
        <v>86</v>
      </c>
      <c r="DV87" s="18">
        <f t="shared" si="112"/>
        <v>86</v>
      </c>
      <c r="DW87" s="18">
        <f t="shared" si="113"/>
        <v>76.5</v>
      </c>
      <c r="DX87" s="17">
        <f t="shared" si="114"/>
        <v>76.5</v>
      </c>
      <c r="DY87" s="18">
        <f t="shared" si="115"/>
        <v>83</v>
      </c>
      <c r="DZ87" s="18">
        <f t="shared" si="116"/>
        <v>82</v>
      </c>
      <c r="EA87" s="18">
        <f t="shared" si="117"/>
        <v>70</v>
      </c>
      <c r="EB87" s="17">
        <f t="shared" si="118"/>
        <v>78.8</v>
      </c>
      <c r="EC87" s="18">
        <f t="shared" si="119"/>
        <v>85.666666666666671</v>
      </c>
      <c r="ED87" s="18">
        <f t="shared" si="120"/>
        <v>82</v>
      </c>
      <c r="EE87" s="18">
        <f t="shared" si="121"/>
        <v>84</v>
      </c>
      <c r="EF87" s="17">
        <f t="shared" si="122"/>
        <v>84.066666666666677</v>
      </c>
      <c r="EG87" s="18">
        <f t="shared" si="123"/>
        <v>81</v>
      </c>
      <c r="EH87" s="18">
        <f t="shared" si="124"/>
        <v>76.333333333333329</v>
      </c>
      <c r="EI87" s="18">
        <f t="shared" si="125"/>
        <v>74</v>
      </c>
      <c r="EJ87" s="18">
        <f t="shared" si="126"/>
        <v>80</v>
      </c>
      <c r="EK87" s="17">
        <f t="shared" si="127"/>
        <v>76.73333333333332</v>
      </c>
      <c r="EL87" s="19">
        <f t="shared" si="128"/>
        <v>87.66</v>
      </c>
      <c r="EM87" s="19">
        <f t="shared" si="129"/>
        <v>86.3</v>
      </c>
      <c r="EN87" s="19">
        <f t="shared" si="130"/>
        <v>83.16</v>
      </c>
      <c r="EO87" s="19">
        <f t="shared" si="131"/>
        <v>83.5</v>
      </c>
      <c r="EP87" s="19">
        <f t="shared" si="132"/>
        <v>82.75</v>
      </c>
      <c r="EQ87" s="19">
        <f t="shared" si="133"/>
        <v>84.5</v>
      </c>
      <c r="ER87" s="19">
        <f t="shared" si="134"/>
        <v>81</v>
      </c>
      <c r="ES87" s="19">
        <f t="shared" si="135"/>
        <v>84.4</v>
      </c>
      <c r="ET87" s="19">
        <f t="shared" si="136"/>
        <v>77.38</v>
      </c>
      <c r="EU87" s="19">
        <f t="shared" si="137"/>
        <v>78.86</v>
      </c>
      <c r="EV87" s="19">
        <f t="shared" si="138"/>
        <v>86.5</v>
      </c>
      <c r="EW87" s="19">
        <f t="shared" si="139"/>
        <v>86</v>
      </c>
      <c r="EX87" s="19">
        <f t="shared" si="140"/>
        <v>76.5</v>
      </c>
      <c r="EY87" s="19">
        <f t="shared" si="141"/>
        <v>78.8</v>
      </c>
      <c r="EZ87" s="19">
        <f t="shared" si="142"/>
        <v>84.066666666666677</v>
      </c>
      <c r="FA87" s="19">
        <f t="shared" si="143"/>
        <v>81</v>
      </c>
      <c r="FB87" s="19">
        <f t="shared" si="144"/>
        <v>76.73333333333332</v>
      </c>
      <c r="FC87" s="19">
        <f t="shared" si="145"/>
        <v>82.300588235294114</v>
      </c>
    </row>
    <row r="88" spans="1:159" ht="20.100000000000001" customHeight="1">
      <c r="A88" s="11">
        <v>84</v>
      </c>
      <c r="B88" s="12" t="s">
        <v>220</v>
      </c>
      <c r="C88" s="13" t="s">
        <v>221</v>
      </c>
      <c r="D88" s="25" t="s">
        <v>197</v>
      </c>
      <c r="E88" s="14">
        <v>96</v>
      </c>
      <c r="F88" s="14">
        <v>92</v>
      </c>
      <c r="G88" s="14">
        <v>88</v>
      </c>
      <c r="H88" s="14">
        <v>83</v>
      </c>
      <c r="I88" s="14">
        <v>86</v>
      </c>
      <c r="J88" s="14">
        <v>86</v>
      </c>
      <c r="K88" s="14">
        <v>86</v>
      </c>
      <c r="L88" s="14">
        <v>89</v>
      </c>
      <c r="M88" s="14">
        <v>86</v>
      </c>
      <c r="N88" s="14">
        <v>89</v>
      </c>
      <c r="O88" s="14">
        <v>93</v>
      </c>
      <c r="P88" s="15">
        <v>87</v>
      </c>
      <c r="Q88" s="15">
        <v>92</v>
      </c>
      <c r="R88" s="14">
        <v>96</v>
      </c>
      <c r="S88" s="14">
        <v>87</v>
      </c>
      <c r="T88" s="14">
        <v>92</v>
      </c>
      <c r="U88" s="14">
        <v>90</v>
      </c>
      <c r="V88" s="14">
        <v>82</v>
      </c>
      <c r="W88" s="14">
        <v>80</v>
      </c>
      <c r="X88" s="14">
        <v>84</v>
      </c>
      <c r="Y88" s="14">
        <v>81</v>
      </c>
      <c r="Z88" s="14">
        <v>84</v>
      </c>
      <c r="AA88" s="14">
        <v>88</v>
      </c>
      <c r="AB88" s="15">
        <v>85</v>
      </c>
      <c r="AC88" s="15">
        <v>85</v>
      </c>
      <c r="AD88" s="14">
        <v>86</v>
      </c>
      <c r="AE88" s="14">
        <v>84</v>
      </c>
      <c r="AF88" s="14">
        <v>85</v>
      </c>
      <c r="AG88" s="14">
        <v>87</v>
      </c>
      <c r="AH88" s="14">
        <v>83</v>
      </c>
      <c r="AI88" s="14">
        <v>81</v>
      </c>
      <c r="AJ88" s="14">
        <v>86</v>
      </c>
      <c r="AK88" s="14">
        <v>84</v>
      </c>
      <c r="AL88" s="15">
        <v>82</v>
      </c>
      <c r="AM88" s="15">
        <v>72</v>
      </c>
      <c r="AN88" s="14">
        <v>73</v>
      </c>
      <c r="AO88" s="14">
        <v>79</v>
      </c>
      <c r="AP88" s="14">
        <v>80</v>
      </c>
      <c r="AQ88" s="14">
        <v>82</v>
      </c>
      <c r="AR88" s="14">
        <v>86</v>
      </c>
      <c r="AS88" s="14">
        <v>78</v>
      </c>
      <c r="AT88" s="14">
        <v>80</v>
      </c>
      <c r="AU88" s="14">
        <v>80</v>
      </c>
      <c r="AV88" s="14">
        <v>84</v>
      </c>
      <c r="AW88" s="14">
        <v>85</v>
      </c>
      <c r="AX88" s="15">
        <v>86</v>
      </c>
      <c r="AY88" s="15">
        <v>92</v>
      </c>
      <c r="AZ88" s="14">
        <v>89</v>
      </c>
      <c r="BA88" s="14">
        <v>92</v>
      </c>
      <c r="BB88" s="14">
        <v>87</v>
      </c>
      <c r="BC88" s="14">
        <v>76</v>
      </c>
      <c r="BD88" s="14">
        <v>80</v>
      </c>
      <c r="BE88" s="37">
        <v>83</v>
      </c>
      <c r="BF88" s="37">
        <v>83</v>
      </c>
      <c r="BG88" s="37">
        <v>82</v>
      </c>
      <c r="BH88" s="14">
        <v>87</v>
      </c>
      <c r="BI88" s="37">
        <v>83</v>
      </c>
      <c r="BJ88" s="37">
        <v>85</v>
      </c>
      <c r="BK88" s="37">
        <v>88</v>
      </c>
      <c r="BL88" s="14">
        <v>87</v>
      </c>
      <c r="BM88" s="37">
        <v>74</v>
      </c>
      <c r="BN88" s="37">
        <v>82</v>
      </c>
      <c r="BO88" s="37">
        <v>81</v>
      </c>
      <c r="BP88" s="14">
        <v>87</v>
      </c>
      <c r="BQ88" s="15">
        <f t="shared" si="73"/>
        <v>80</v>
      </c>
      <c r="BR88" s="15">
        <f t="shared" si="74"/>
        <v>83.333333333333329</v>
      </c>
      <c r="BS88" s="15">
        <f t="shared" si="75"/>
        <v>83.666666666666671</v>
      </c>
      <c r="BT88" s="15">
        <f t="shared" si="76"/>
        <v>87</v>
      </c>
      <c r="BU88" s="15">
        <v>88</v>
      </c>
      <c r="BV88" s="15">
        <v>92</v>
      </c>
      <c r="BW88" s="15">
        <v>82</v>
      </c>
      <c r="BX88" s="15">
        <v>87</v>
      </c>
      <c r="BY88" s="15">
        <v>86</v>
      </c>
      <c r="BZ88" s="15">
        <v>74</v>
      </c>
      <c r="CA88" s="15">
        <v>89</v>
      </c>
      <c r="CB88" s="15">
        <v>75</v>
      </c>
      <c r="CC88" s="15">
        <v>86</v>
      </c>
      <c r="CD88" s="39">
        <v>88</v>
      </c>
      <c r="CE88" s="40">
        <v>90</v>
      </c>
      <c r="CF88" s="40">
        <v>88</v>
      </c>
      <c r="CG88" s="40">
        <v>90</v>
      </c>
      <c r="CH88" s="40">
        <v>82</v>
      </c>
      <c r="CI88" s="40">
        <v>85</v>
      </c>
      <c r="CJ88" s="40">
        <v>80</v>
      </c>
      <c r="CK88" s="39">
        <v>89</v>
      </c>
      <c r="CL88" s="40">
        <v>92</v>
      </c>
      <c r="CM88" s="41">
        <f t="shared" si="77"/>
        <v>89</v>
      </c>
      <c r="CN88" s="41">
        <f t="shared" si="78"/>
        <v>86</v>
      </c>
      <c r="CO88" s="41">
        <f t="shared" si="79"/>
        <v>88</v>
      </c>
      <c r="CP88" s="17">
        <f t="shared" si="80"/>
        <v>87.8</v>
      </c>
      <c r="CQ88" s="16">
        <f t="shared" si="81"/>
        <v>88.6</v>
      </c>
      <c r="CR88" s="16">
        <f t="shared" si="82"/>
        <v>87</v>
      </c>
      <c r="CS88" s="16">
        <f t="shared" si="83"/>
        <v>90</v>
      </c>
      <c r="CT88" s="17">
        <f t="shared" si="84"/>
        <v>88.539999999999992</v>
      </c>
      <c r="CU88" s="17">
        <f t="shared" si="85"/>
        <v>91.4</v>
      </c>
      <c r="CV88" s="17">
        <f t="shared" si="86"/>
        <v>82</v>
      </c>
      <c r="CW88" s="17">
        <f t="shared" si="87"/>
        <v>88</v>
      </c>
      <c r="CX88" s="17">
        <f t="shared" si="88"/>
        <v>87.56</v>
      </c>
      <c r="CY88" s="18">
        <f t="shared" si="89"/>
        <v>82.25</v>
      </c>
      <c r="CZ88" s="18">
        <f t="shared" si="90"/>
        <v>82.25</v>
      </c>
      <c r="DA88" s="18">
        <f t="shared" si="91"/>
        <v>86</v>
      </c>
      <c r="DB88" s="18">
        <f t="shared" si="92"/>
        <v>86</v>
      </c>
      <c r="DC88" s="18">
        <f t="shared" si="93"/>
        <v>84.5</v>
      </c>
      <c r="DD88" s="18">
        <f t="shared" si="94"/>
        <v>84.5</v>
      </c>
      <c r="DE88" s="18">
        <f t="shared" si="95"/>
        <v>84.25</v>
      </c>
      <c r="DF88" s="18">
        <f t="shared" si="96"/>
        <v>84.25</v>
      </c>
      <c r="DG88" s="18">
        <f t="shared" si="97"/>
        <v>84</v>
      </c>
      <c r="DH88" s="18">
        <f t="shared" si="98"/>
        <v>82</v>
      </c>
      <c r="DI88" s="18">
        <f t="shared" si="99"/>
        <v>90</v>
      </c>
      <c r="DJ88" s="17">
        <f t="shared" si="100"/>
        <v>85.2</v>
      </c>
      <c r="DK88" s="18">
        <f t="shared" si="101"/>
        <v>77.2</v>
      </c>
      <c r="DL88" s="18">
        <f t="shared" si="102"/>
        <v>86</v>
      </c>
      <c r="DM88" s="18">
        <f t="shared" si="103"/>
        <v>82</v>
      </c>
      <c r="DN88" s="17">
        <f t="shared" si="104"/>
        <v>81.28</v>
      </c>
      <c r="DO88" s="18">
        <f t="shared" si="105"/>
        <v>81.400000000000006</v>
      </c>
      <c r="DP88" s="18">
        <f t="shared" si="106"/>
        <v>86</v>
      </c>
      <c r="DQ88" s="18">
        <f t="shared" si="107"/>
        <v>85</v>
      </c>
      <c r="DR88" s="17">
        <f t="shared" si="108"/>
        <v>83.86</v>
      </c>
      <c r="DS88" s="18">
        <f t="shared" si="109"/>
        <v>90.5</v>
      </c>
      <c r="DT88" s="18">
        <f t="shared" si="110"/>
        <v>90.5</v>
      </c>
      <c r="DU88" s="18">
        <f t="shared" si="111"/>
        <v>89.5</v>
      </c>
      <c r="DV88" s="18">
        <f t="shared" si="112"/>
        <v>89.5</v>
      </c>
      <c r="DW88" s="18">
        <f t="shared" si="113"/>
        <v>78</v>
      </c>
      <c r="DX88" s="17">
        <f t="shared" si="114"/>
        <v>78</v>
      </c>
      <c r="DY88" s="18">
        <f t="shared" si="115"/>
        <v>82.333333333333329</v>
      </c>
      <c r="DZ88" s="18">
        <f t="shared" si="116"/>
        <v>87</v>
      </c>
      <c r="EA88" s="18">
        <f t="shared" si="117"/>
        <v>92</v>
      </c>
      <c r="EB88" s="17">
        <f t="shared" si="118"/>
        <v>86.633333333333326</v>
      </c>
      <c r="EC88" s="18">
        <f t="shared" si="119"/>
        <v>87.333333333333329</v>
      </c>
      <c r="ED88" s="18">
        <f t="shared" si="120"/>
        <v>87</v>
      </c>
      <c r="EE88" s="18">
        <f t="shared" si="121"/>
        <v>89</v>
      </c>
      <c r="EF88" s="17">
        <f t="shared" si="122"/>
        <v>87.73333333333332</v>
      </c>
      <c r="EG88" s="18">
        <f t="shared" si="123"/>
        <v>86</v>
      </c>
      <c r="EH88" s="18">
        <f t="shared" si="124"/>
        <v>79.333333333333329</v>
      </c>
      <c r="EI88" s="18">
        <f t="shared" si="125"/>
        <v>86</v>
      </c>
      <c r="EJ88" s="18">
        <f t="shared" si="126"/>
        <v>80</v>
      </c>
      <c r="EK88" s="17">
        <f t="shared" si="127"/>
        <v>81.533333333333331</v>
      </c>
      <c r="EL88" s="19">
        <f t="shared" si="128"/>
        <v>87.8</v>
      </c>
      <c r="EM88" s="19">
        <f t="shared" si="129"/>
        <v>88.539999999999992</v>
      </c>
      <c r="EN88" s="19">
        <f t="shared" si="130"/>
        <v>87.56</v>
      </c>
      <c r="EO88" s="19">
        <f t="shared" si="131"/>
        <v>82.25</v>
      </c>
      <c r="EP88" s="19">
        <f t="shared" si="132"/>
        <v>86</v>
      </c>
      <c r="EQ88" s="19">
        <f t="shared" si="133"/>
        <v>84.5</v>
      </c>
      <c r="ER88" s="19">
        <f t="shared" si="134"/>
        <v>84.25</v>
      </c>
      <c r="ES88" s="19">
        <f t="shared" si="135"/>
        <v>85.2</v>
      </c>
      <c r="ET88" s="19">
        <f t="shared" si="136"/>
        <v>81.28</v>
      </c>
      <c r="EU88" s="19">
        <f t="shared" si="137"/>
        <v>83.86</v>
      </c>
      <c r="EV88" s="19">
        <f t="shared" si="138"/>
        <v>90.5</v>
      </c>
      <c r="EW88" s="19">
        <f t="shared" si="139"/>
        <v>89.5</v>
      </c>
      <c r="EX88" s="19">
        <f t="shared" si="140"/>
        <v>78</v>
      </c>
      <c r="EY88" s="19">
        <f t="shared" si="141"/>
        <v>86.633333333333326</v>
      </c>
      <c r="EZ88" s="19">
        <f t="shared" si="142"/>
        <v>87.73333333333332</v>
      </c>
      <c r="FA88" s="19">
        <f t="shared" si="143"/>
        <v>86</v>
      </c>
      <c r="FB88" s="19">
        <f t="shared" si="144"/>
        <v>81.533333333333331</v>
      </c>
      <c r="FC88" s="19">
        <f t="shared" si="145"/>
        <v>85.361176470588248</v>
      </c>
    </row>
    <row r="89" spans="1:159" ht="20.100000000000001" customHeight="1">
      <c r="A89" s="11">
        <v>85</v>
      </c>
      <c r="B89" s="12" t="s">
        <v>222</v>
      </c>
      <c r="C89" s="13" t="s">
        <v>223</v>
      </c>
      <c r="D89" s="25" t="s">
        <v>197</v>
      </c>
      <c r="E89" s="14">
        <v>80</v>
      </c>
      <c r="F89" s="14">
        <v>81</v>
      </c>
      <c r="G89" s="14">
        <v>88</v>
      </c>
      <c r="H89" s="14">
        <v>85</v>
      </c>
      <c r="I89" s="14">
        <v>91</v>
      </c>
      <c r="J89" s="14">
        <v>70</v>
      </c>
      <c r="K89" s="14">
        <v>84</v>
      </c>
      <c r="L89" s="14">
        <v>79</v>
      </c>
      <c r="M89" s="14">
        <v>82</v>
      </c>
      <c r="N89" s="14">
        <v>84</v>
      </c>
      <c r="O89" s="14">
        <v>89</v>
      </c>
      <c r="P89" s="15">
        <v>70</v>
      </c>
      <c r="Q89" s="15">
        <v>87</v>
      </c>
      <c r="R89" s="14">
        <v>82</v>
      </c>
      <c r="S89" s="14">
        <v>76</v>
      </c>
      <c r="T89" s="14">
        <v>77</v>
      </c>
      <c r="U89" s="14">
        <v>82</v>
      </c>
      <c r="V89" s="14">
        <v>70</v>
      </c>
      <c r="W89" s="14">
        <v>82</v>
      </c>
      <c r="X89" s="14">
        <v>84</v>
      </c>
      <c r="Y89" s="14">
        <v>80</v>
      </c>
      <c r="Z89" s="14">
        <v>84</v>
      </c>
      <c r="AA89" s="14">
        <v>81</v>
      </c>
      <c r="AB89" s="15">
        <v>80</v>
      </c>
      <c r="AC89" s="15">
        <v>85</v>
      </c>
      <c r="AD89" s="14">
        <v>81</v>
      </c>
      <c r="AE89" s="14">
        <v>82</v>
      </c>
      <c r="AF89" s="14">
        <v>85</v>
      </c>
      <c r="AG89" s="14">
        <v>78</v>
      </c>
      <c r="AH89" s="14">
        <v>78</v>
      </c>
      <c r="AI89" s="14">
        <v>76</v>
      </c>
      <c r="AJ89" s="14">
        <v>81</v>
      </c>
      <c r="AK89" s="14">
        <v>80</v>
      </c>
      <c r="AL89" s="15">
        <v>70</v>
      </c>
      <c r="AM89" s="15">
        <v>79</v>
      </c>
      <c r="AN89" s="14">
        <v>80</v>
      </c>
      <c r="AO89" s="14">
        <v>74</v>
      </c>
      <c r="AP89" s="14">
        <v>75</v>
      </c>
      <c r="AQ89" s="14">
        <v>79</v>
      </c>
      <c r="AR89" s="14">
        <v>75</v>
      </c>
      <c r="AS89" s="14">
        <v>78</v>
      </c>
      <c r="AT89" s="14">
        <v>80</v>
      </c>
      <c r="AU89" s="14">
        <v>80</v>
      </c>
      <c r="AV89" s="14">
        <v>80</v>
      </c>
      <c r="AW89" s="14">
        <v>79</v>
      </c>
      <c r="AX89" s="15">
        <v>75</v>
      </c>
      <c r="AY89" s="15">
        <v>92</v>
      </c>
      <c r="AZ89" s="14">
        <v>82</v>
      </c>
      <c r="BA89" s="14">
        <v>87</v>
      </c>
      <c r="BB89" s="14">
        <v>86</v>
      </c>
      <c r="BC89" s="14">
        <v>79</v>
      </c>
      <c r="BD89" s="14">
        <v>80</v>
      </c>
      <c r="BE89" s="37">
        <v>85</v>
      </c>
      <c r="BF89" s="37">
        <v>84</v>
      </c>
      <c r="BG89" s="37">
        <v>84</v>
      </c>
      <c r="BH89" s="14">
        <v>70</v>
      </c>
      <c r="BI89" s="37">
        <v>79</v>
      </c>
      <c r="BJ89" s="37">
        <v>86</v>
      </c>
      <c r="BK89" s="37">
        <v>88</v>
      </c>
      <c r="BL89" s="14">
        <v>70</v>
      </c>
      <c r="BM89" s="37">
        <v>70</v>
      </c>
      <c r="BN89" s="37">
        <v>80</v>
      </c>
      <c r="BO89" s="37">
        <v>85</v>
      </c>
      <c r="BP89" s="14">
        <v>70</v>
      </c>
      <c r="BQ89" s="15">
        <f t="shared" si="73"/>
        <v>78</v>
      </c>
      <c r="BR89" s="15">
        <f t="shared" si="74"/>
        <v>83.333333333333329</v>
      </c>
      <c r="BS89" s="15">
        <f t="shared" si="75"/>
        <v>85.666666666666671</v>
      </c>
      <c r="BT89" s="15">
        <f t="shared" si="76"/>
        <v>70</v>
      </c>
      <c r="BU89" s="15">
        <v>87</v>
      </c>
      <c r="BV89" s="15">
        <v>84</v>
      </c>
      <c r="BW89" s="15">
        <v>82</v>
      </c>
      <c r="BX89" s="15">
        <v>70</v>
      </c>
      <c r="BY89" s="15">
        <v>71</v>
      </c>
      <c r="BZ89" s="15">
        <v>73</v>
      </c>
      <c r="CA89" s="15">
        <v>89</v>
      </c>
      <c r="CB89" s="15">
        <v>73</v>
      </c>
      <c r="CC89" s="15">
        <v>75</v>
      </c>
      <c r="CD89" s="39">
        <v>83</v>
      </c>
      <c r="CE89" s="40">
        <v>85</v>
      </c>
      <c r="CF89" s="40">
        <v>88</v>
      </c>
      <c r="CG89" s="40">
        <v>85</v>
      </c>
      <c r="CH89" s="40">
        <v>79</v>
      </c>
      <c r="CI89" s="40">
        <v>82</v>
      </c>
      <c r="CJ89" s="40">
        <v>80</v>
      </c>
      <c r="CK89" s="39">
        <v>78</v>
      </c>
      <c r="CL89" s="40">
        <v>70</v>
      </c>
      <c r="CM89" s="41">
        <f t="shared" si="77"/>
        <v>85</v>
      </c>
      <c r="CN89" s="41">
        <f t="shared" si="78"/>
        <v>70</v>
      </c>
      <c r="CO89" s="41">
        <f t="shared" si="79"/>
        <v>83</v>
      </c>
      <c r="CP89" s="17">
        <f t="shared" si="80"/>
        <v>79.900000000000006</v>
      </c>
      <c r="CQ89" s="16">
        <f t="shared" si="81"/>
        <v>83.6</v>
      </c>
      <c r="CR89" s="16">
        <f t="shared" si="82"/>
        <v>70</v>
      </c>
      <c r="CS89" s="16">
        <f t="shared" si="83"/>
        <v>85</v>
      </c>
      <c r="CT89" s="17">
        <f t="shared" si="84"/>
        <v>79.94</v>
      </c>
      <c r="CU89" s="17">
        <f t="shared" si="85"/>
        <v>80.8</v>
      </c>
      <c r="CV89" s="17">
        <f t="shared" si="86"/>
        <v>70</v>
      </c>
      <c r="CW89" s="17">
        <f t="shared" si="87"/>
        <v>88</v>
      </c>
      <c r="CX89" s="17">
        <f t="shared" si="88"/>
        <v>79.72</v>
      </c>
      <c r="CY89" s="18">
        <f t="shared" si="89"/>
        <v>82.5</v>
      </c>
      <c r="CZ89" s="18">
        <f t="shared" si="90"/>
        <v>82.5</v>
      </c>
      <c r="DA89" s="18">
        <f t="shared" si="91"/>
        <v>81.75</v>
      </c>
      <c r="DB89" s="18">
        <f t="shared" si="92"/>
        <v>81.75</v>
      </c>
      <c r="DC89" s="18">
        <f t="shared" si="93"/>
        <v>83.5</v>
      </c>
      <c r="DD89" s="18">
        <f t="shared" si="94"/>
        <v>83.5</v>
      </c>
      <c r="DE89" s="18">
        <f t="shared" si="95"/>
        <v>78.25</v>
      </c>
      <c r="DF89" s="18">
        <f t="shared" si="96"/>
        <v>78.25</v>
      </c>
      <c r="DG89" s="18">
        <f t="shared" si="97"/>
        <v>80</v>
      </c>
      <c r="DH89" s="18">
        <f t="shared" si="98"/>
        <v>70</v>
      </c>
      <c r="DI89" s="18">
        <f t="shared" si="99"/>
        <v>85</v>
      </c>
      <c r="DJ89" s="17">
        <f t="shared" si="100"/>
        <v>78.5</v>
      </c>
      <c r="DK89" s="18">
        <f t="shared" si="101"/>
        <v>77.400000000000006</v>
      </c>
      <c r="DL89" s="18">
        <f t="shared" si="102"/>
        <v>75</v>
      </c>
      <c r="DM89" s="18">
        <f t="shared" si="103"/>
        <v>79</v>
      </c>
      <c r="DN89" s="17">
        <f t="shared" si="104"/>
        <v>77.16</v>
      </c>
      <c r="DO89" s="18">
        <f t="shared" si="105"/>
        <v>79.400000000000006</v>
      </c>
      <c r="DP89" s="18">
        <f t="shared" si="106"/>
        <v>75</v>
      </c>
      <c r="DQ89" s="18">
        <f t="shared" si="107"/>
        <v>82</v>
      </c>
      <c r="DR89" s="17">
        <f t="shared" si="108"/>
        <v>78.86</v>
      </c>
      <c r="DS89" s="18">
        <f t="shared" si="109"/>
        <v>87</v>
      </c>
      <c r="DT89" s="18">
        <f t="shared" si="110"/>
        <v>87</v>
      </c>
      <c r="DU89" s="18">
        <f t="shared" si="111"/>
        <v>86.5</v>
      </c>
      <c r="DV89" s="18">
        <f t="shared" si="112"/>
        <v>86.5</v>
      </c>
      <c r="DW89" s="18">
        <f t="shared" si="113"/>
        <v>79.5</v>
      </c>
      <c r="DX89" s="17">
        <f t="shared" si="114"/>
        <v>79.5</v>
      </c>
      <c r="DY89" s="18">
        <f t="shared" si="115"/>
        <v>82.333333333333329</v>
      </c>
      <c r="DZ89" s="18">
        <f t="shared" si="116"/>
        <v>70</v>
      </c>
      <c r="EA89" s="18">
        <f t="shared" si="117"/>
        <v>70</v>
      </c>
      <c r="EB89" s="17">
        <f t="shared" si="118"/>
        <v>74.933333333333323</v>
      </c>
      <c r="EC89" s="18">
        <f t="shared" si="119"/>
        <v>84.333333333333329</v>
      </c>
      <c r="ED89" s="18">
        <f t="shared" si="120"/>
        <v>70</v>
      </c>
      <c r="EE89" s="18">
        <f t="shared" si="121"/>
        <v>78</v>
      </c>
      <c r="EF89" s="17">
        <f t="shared" si="122"/>
        <v>78.133333333333326</v>
      </c>
      <c r="EG89" s="18">
        <f t="shared" si="123"/>
        <v>71</v>
      </c>
      <c r="EH89" s="18">
        <f t="shared" si="124"/>
        <v>78.333333333333329</v>
      </c>
      <c r="EI89" s="18">
        <f t="shared" si="125"/>
        <v>75</v>
      </c>
      <c r="EJ89" s="18">
        <f t="shared" si="126"/>
        <v>80</v>
      </c>
      <c r="EK89" s="17">
        <f t="shared" si="127"/>
        <v>77.833333333333329</v>
      </c>
      <c r="EL89" s="19">
        <f t="shared" si="128"/>
        <v>79.900000000000006</v>
      </c>
      <c r="EM89" s="19">
        <f t="shared" si="129"/>
        <v>79.94</v>
      </c>
      <c r="EN89" s="19">
        <f t="shared" si="130"/>
        <v>79.72</v>
      </c>
      <c r="EO89" s="19">
        <f t="shared" si="131"/>
        <v>82.5</v>
      </c>
      <c r="EP89" s="19">
        <f t="shared" si="132"/>
        <v>81.75</v>
      </c>
      <c r="EQ89" s="19">
        <f t="shared" si="133"/>
        <v>83.5</v>
      </c>
      <c r="ER89" s="19">
        <f t="shared" si="134"/>
        <v>78.25</v>
      </c>
      <c r="ES89" s="19">
        <f t="shared" si="135"/>
        <v>78.5</v>
      </c>
      <c r="ET89" s="19">
        <f t="shared" si="136"/>
        <v>77.16</v>
      </c>
      <c r="EU89" s="19">
        <f t="shared" si="137"/>
        <v>78.86</v>
      </c>
      <c r="EV89" s="19">
        <f t="shared" si="138"/>
        <v>87</v>
      </c>
      <c r="EW89" s="19">
        <f t="shared" si="139"/>
        <v>86.5</v>
      </c>
      <c r="EX89" s="19">
        <f t="shared" si="140"/>
        <v>79.5</v>
      </c>
      <c r="EY89" s="19">
        <f t="shared" si="141"/>
        <v>74.933333333333323</v>
      </c>
      <c r="EZ89" s="19">
        <f t="shared" si="142"/>
        <v>78.133333333333326</v>
      </c>
      <c r="FA89" s="19">
        <f t="shared" si="143"/>
        <v>71</v>
      </c>
      <c r="FB89" s="19">
        <f t="shared" si="144"/>
        <v>77.833333333333329</v>
      </c>
      <c r="FC89" s="19">
        <f t="shared" si="145"/>
        <v>79.704705882352926</v>
      </c>
    </row>
    <row r="90" spans="1:159" ht="20.100000000000001" customHeight="1">
      <c r="A90" s="11">
        <v>86</v>
      </c>
      <c r="B90" s="12" t="s">
        <v>224</v>
      </c>
      <c r="C90" s="13" t="s">
        <v>225</v>
      </c>
      <c r="D90" s="25" t="s">
        <v>197</v>
      </c>
      <c r="E90" s="14">
        <v>86</v>
      </c>
      <c r="F90" s="14">
        <v>83</v>
      </c>
      <c r="G90" s="14">
        <v>90</v>
      </c>
      <c r="H90" s="14">
        <v>82</v>
      </c>
      <c r="I90" s="14">
        <v>92</v>
      </c>
      <c r="J90" s="14">
        <v>83</v>
      </c>
      <c r="K90" s="14">
        <v>80</v>
      </c>
      <c r="L90" s="14">
        <v>88</v>
      </c>
      <c r="M90" s="14">
        <v>85</v>
      </c>
      <c r="N90" s="14">
        <v>87</v>
      </c>
      <c r="O90" s="14">
        <v>91</v>
      </c>
      <c r="P90" s="15">
        <v>89</v>
      </c>
      <c r="Q90" s="15">
        <v>94</v>
      </c>
      <c r="R90" s="14">
        <v>84</v>
      </c>
      <c r="S90" s="14">
        <v>88</v>
      </c>
      <c r="T90" s="14">
        <v>83</v>
      </c>
      <c r="U90" s="14">
        <v>81</v>
      </c>
      <c r="V90" s="14">
        <v>81</v>
      </c>
      <c r="W90" s="14">
        <v>81</v>
      </c>
      <c r="X90" s="14">
        <v>84</v>
      </c>
      <c r="Y90" s="14">
        <v>81</v>
      </c>
      <c r="Z90" s="14">
        <v>84</v>
      </c>
      <c r="AA90" s="14">
        <v>82</v>
      </c>
      <c r="AB90" s="15">
        <v>83</v>
      </c>
      <c r="AC90" s="15">
        <v>84</v>
      </c>
      <c r="AD90" s="14">
        <v>85</v>
      </c>
      <c r="AE90" s="14">
        <v>85</v>
      </c>
      <c r="AF90" s="14">
        <v>85</v>
      </c>
      <c r="AG90" s="14">
        <v>88</v>
      </c>
      <c r="AH90" s="14">
        <v>84</v>
      </c>
      <c r="AI90" s="14">
        <v>82</v>
      </c>
      <c r="AJ90" s="14">
        <v>85</v>
      </c>
      <c r="AK90" s="14">
        <v>80</v>
      </c>
      <c r="AL90" s="15">
        <v>81</v>
      </c>
      <c r="AM90" s="15">
        <v>77</v>
      </c>
      <c r="AN90" s="14">
        <v>75</v>
      </c>
      <c r="AO90" s="14">
        <v>74</v>
      </c>
      <c r="AP90" s="14">
        <v>76</v>
      </c>
      <c r="AQ90" s="14">
        <v>80</v>
      </c>
      <c r="AR90" s="14">
        <v>80</v>
      </c>
      <c r="AS90" s="14">
        <v>76</v>
      </c>
      <c r="AT90" s="14">
        <v>84</v>
      </c>
      <c r="AU90" s="14">
        <v>82</v>
      </c>
      <c r="AV90" s="14">
        <v>84</v>
      </c>
      <c r="AW90" s="14">
        <v>79</v>
      </c>
      <c r="AX90" s="15">
        <v>80</v>
      </c>
      <c r="AY90" s="15">
        <v>85</v>
      </c>
      <c r="AZ90" s="14">
        <v>91</v>
      </c>
      <c r="BA90" s="14">
        <v>89</v>
      </c>
      <c r="BB90" s="14">
        <v>86</v>
      </c>
      <c r="BC90" s="14">
        <v>87</v>
      </c>
      <c r="BD90" s="14">
        <v>83</v>
      </c>
      <c r="BE90" s="37">
        <v>79</v>
      </c>
      <c r="BF90" s="37">
        <v>83</v>
      </c>
      <c r="BG90" s="37">
        <v>76</v>
      </c>
      <c r="BH90" s="14">
        <v>85</v>
      </c>
      <c r="BI90" s="37">
        <v>78</v>
      </c>
      <c r="BJ90" s="37">
        <v>84</v>
      </c>
      <c r="BK90" s="37">
        <v>88</v>
      </c>
      <c r="BL90" s="14">
        <v>85</v>
      </c>
      <c r="BM90" s="37">
        <v>73</v>
      </c>
      <c r="BN90" s="37">
        <v>79</v>
      </c>
      <c r="BO90" s="37">
        <v>85</v>
      </c>
      <c r="BP90" s="14">
        <v>85</v>
      </c>
      <c r="BQ90" s="15">
        <f t="shared" si="73"/>
        <v>76.666666666666671</v>
      </c>
      <c r="BR90" s="15">
        <f t="shared" si="74"/>
        <v>82</v>
      </c>
      <c r="BS90" s="15">
        <f t="shared" si="75"/>
        <v>83</v>
      </c>
      <c r="BT90" s="15">
        <f t="shared" si="76"/>
        <v>85</v>
      </c>
      <c r="BU90" s="15">
        <v>88</v>
      </c>
      <c r="BV90" s="15">
        <v>86</v>
      </c>
      <c r="BW90" s="15">
        <v>84</v>
      </c>
      <c r="BX90" s="15">
        <v>85</v>
      </c>
      <c r="BY90" s="15">
        <v>84</v>
      </c>
      <c r="BZ90" s="15">
        <v>75</v>
      </c>
      <c r="CA90" s="15">
        <v>86</v>
      </c>
      <c r="CB90" s="15">
        <v>74</v>
      </c>
      <c r="CC90" s="15">
        <v>80</v>
      </c>
      <c r="CD90" s="39">
        <v>83</v>
      </c>
      <c r="CE90" s="40">
        <v>88</v>
      </c>
      <c r="CF90" s="40">
        <v>82</v>
      </c>
      <c r="CG90" s="40">
        <v>90</v>
      </c>
      <c r="CH90" s="40">
        <v>80</v>
      </c>
      <c r="CI90" s="40">
        <v>87</v>
      </c>
      <c r="CJ90" s="40">
        <v>84</v>
      </c>
      <c r="CK90" s="39">
        <v>88</v>
      </c>
      <c r="CL90" s="40">
        <v>87</v>
      </c>
      <c r="CM90" s="41">
        <f t="shared" si="77"/>
        <v>86.6</v>
      </c>
      <c r="CN90" s="41">
        <f t="shared" si="78"/>
        <v>83</v>
      </c>
      <c r="CO90" s="41">
        <f t="shared" si="79"/>
        <v>83</v>
      </c>
      <c r="CP90" s="17">
        <f t="shared" si="80"/>
        <v>84.44</v>
      </c>
      <c r="CQ90" s="16">
        <f t="shared" si="81"/>
        <v>86.2</v>
      </c>
      <c r="CR90" s="16">
        <f t="shared" si="82"/>
        <v>89</v>
      </c>
      <c r="CS90" s="16">
        <f t="shared" si="83"/>
        <v>88</v>
      </c>
      <c r="CT90" s="17">
        <f t="shared" si="84"/>
        <v>87.58</v>
      </c>
      <c r="CU90" s="17">
        <f t="shared" si="85"/>
        <v>86</v>
      </c>
      <c r="CV90" s="17">
        <f t="shared" si="86"/>
        <v>81</v>
      </c>
      <c r="CW90" s="17">
        <f t="shared" si="87"/>
        <v>82</v>
      </c>
      <c r="CX90" s="17">
        <f t="shared" si="88"/>
        <v>83.3</v>
      </c>
      <c r="CY90" s="18">
        <f t="shared" si="89"/>
        <v>82.5</v>
      </c>
      <c r="CZ90" s="18">
        <f t="shared" si="90"/>
        <v>82.5</v>
      </c>
      <c r="DA90" s="18">
        <f t="shared" si="91"/>
        <v>83.5</v>
      </c>
      <c r="DB90" s="18">
        <f t="shared" si="92"/>
        <v>83.5</v>
      </c>
      <c r="DC90" s="18">
        <f t="shared" si="93"/>
        <v>85</v>
      </c>
      <c r="DD90" s="18">
        <f t="shared" si="94"/>
        <v>85</v>
      </c>
      <c r="DE90" s="18">
        <f t="shared" si="95"/>
        <v>84.75</v>
      </c>
      <c r="DF90" s="18">
        <f t="shared" si="96"/>
        <v>84.75</v>
      </c>
      <c r="DG90" s="18">
        <f t="shared" si="97"/>
        <v>80</v>
      </c>
      <c r="DH90" s="18">
        <f t="shared" si="98"/>
        <v>81</v>
      </c>
      <c r="DI90" s="18">
        <f t="shared" si="99"/>
        <v>90</v>
      </c>
      <c r="DJ90" s="17">
        <f t="shared" si="100"/>
        <v>83.3</v>
      </c>
      <c r="DK90" s="18">
        <f t="shared" si="101"/>
        <v>76.400000000000006</v>
      </c>
      <c r="DL90" s="18">
        <f t="shared" si="102"/>
        <v>80</v>
      </c>
      <c r="DM90" s="18">
        <f t="shared" si="103"/>
        <v>80</v>
      </c>
      <c r="DN90" s="17">
        <f t="shared" si="104"/>
        <v>78.56</v>
      </c>
      <c r="DO90" s="18">
        <f t="shared" si="105"/>
        <v>81</v>
      </c>
      <c r="DP90" s="18">
        <f t="shared" si="106"/>
        <v>80</v>
      </c>
      <c r="DQ90" s="18">
        <f t="shared" si="107"/>
        <v>87</v>
      </c>
      <c r="DR90" s="17">
        <f t="shared" si="108"/>
        <v>82.5</v>
      </c>
      <c r="DS90" s="18">
        <f t="shared" si="109"/>
        <v>88</v>
      </c>
      <c r="DT90" s="18">
        <f t="shared" si="110"/>
        <v>88</v>
      </c>
      <c r="DU90" s="18">
        <f t="shared" si="111"/>
        <v>87.5</v>
      </c>
      <c r="DV90" s="18">
        <f t="shared" si="112"/>
        <v>87.5</v>
      </c>
      <c r="DW90" s="18">
        <f t="shared" si="113"/>
        <v>85</v>
      </c>
      <c r="DX90" s="17">
        <f t="shared" si="114"/>
        <v>85</v>
      </c>
      <c r="DY90" s="18">
        <f t="shared" si="115"/>
        <v>80.555555555555557</v>
      </c>
      <c r="DZ90" s="18">
        <f t="shared" si="116"/>
        <v>85</v>
      </c>
      <c r="EA90" s="18">
        <f t="shared" si="117"/>
        <v>87</v>
      </c>
      <c r="EB90" s="17">
        <f t="shared" si="118"/>
        <v>83.822222222222223</v>
      </c>
      <c r="EC90" s="18">
        <f t="shared" si="119"/>
        <v>86</v>
      </c>
      <c r="ED90" s="18">
        <f t="shared" si="120"/>
        <v>85</v>
      </c>
      <c r="EE90" s="18">
        <f t="shared" si="121"/>
        <v>88</v>
      </c>
      <c r="EF90" s="17">
        <f t="shared" si="122"/>
        <v>86.3</v>
      </c>
      <c r="EG90" s="18">
        <f t="shared" si="123"/>
        <v>84</v>
      </c>
      <c r="EH90" s="18">
        <f t="shared" si="124"/>
        <v>78.333333333333329</v>
      </c>
      <c r="EI90" s="18">
        <f t="shared" si="125"/>
        <v>80</v>
      </c>
      <c r="EJ90" s="18">
        <f t="shared" si="126"/>
        <v>84</v>
      </c>
      <c r="EK90" s="17">
        <f t="shared" si="127"/>
        <v>80.533333333333331</v>
      </c>
      <c r="EL90" s="19">
        <f t="shared" si="128"/>
        <v>84.44</v>
      </c>
      <c r="EM90" s="19">
        <f t="shared" si="129"/>
        <v>87.58</v>
      </c>
      <c r="EN90" s="19">
        <f t="shared" si="130"/>
        <v>83.3</v>
      </c>
      <c r="EO90" s="19">
        <f t="shared" si="131"/>
        <v>82.5</v>
      </c>
      <c r="EP90" s="19">
        <f t="shared" si="132"/>
        <v>83.5</v>
      </c>
      <c r="EQ90" s="19">
        <f t="shared" si="133"/>
        <v>85</v>
      </c>
      <c r="ER90" s="19">
        <f t="shared" si="134"/>
        <v>84.75</v>
      </c>
      <c r="ES90" s="19">
        <f t="shared" si="135"/>
        <v>83.3</v>
      </c>
      <c r="ET90" s="19">
        <f t="shared" si="136"/>
        <v>78.56</v>
      </c>
      <c r="EU90" s="19">
        <f t="shared" si="137"/>
        <v>82.5</v>
      </c>
      <c r="EV90" s="19">
        <f t="shared" si="138"/>
        <v>88</v>
      </c>
      <c r="EW90" s="19">
        <f t="shared" si="139"/>
        <v>87.5</v>
      </c>
      <c r="EX90" s="19">
        <f t="shared" si="140"/>
        <v>85</v>
      </c>
      <c r="EY90" s="19">
        <f t="shared" si="141"/>
        <v>83.822222222222223</v>
      </c>
      <c r="EZ90" s="19">
        <f t="shared" si="142"/>
        <v>86.3</v>
      </c>
      <c r="FA90" s="19">
        <f t="shared" si="143"/>
        <v>84</v>
      </c>
      <c r="FB90" s="19">
        <f t="shared" si="144"/>
        <v>80.533333333333331</v>
      </c>
      <c r="FC90" s="19">
        <f t="shared" si="145"/>
        <v>84.152091503267968</v>
      </c>
    </row>
    <row r="91" spans="1:159" ht="20.100000000000001" customHeight="1">
      <c r="A91" s="11">
        <v>87</v>
      </c>
      <c r="B91" s="12" t="s">
        <v>226</v>
      </c>
      <c r="C91" s="13" t="s">
        <v>227</v>
      </c>
      <c r="D91" s="25" t="s">
        <v>197</v>
      </c>
      <c r="E91" s="14">
        <v>79</v>
      </c>
      <c r="F91" s="14">
        <v>82</v>
      </c>
      <c r="G91" s="14">
        <v>85</v>
      </c>
      <c r="H91" s="14">
        <v>83</v>
      </c>
      <c r="I91" s="14">
        <v>84</v>
      </c>
      <c r="J91" s="14">
        <v>88</v>
      </c>
      <c r="K91" s="14">
        <v>80</v>
      </c>
      <c r="L91" s="14">
        <v>79</v>
      </c>
      <c r="M91" s="14">
        <v>88</v>
      </c>
      <c r="N91" s="14">
        <v>92</v>
      </c>
      <c r="O91" s="14">
        <v>95</v>
      </c>
      <c r="P91" s="15">
        <v>70</v>
      </c>
      <c r="Q91" s="15">
        <v>88</v>
      </c>
      <c r="R91" s="14">
        <v>86</v>
      </c>
      <c r="S91" s="14">
        <v>81</v>
      </c>
      <c r="T91" s="14">
        <v>90</v>
      </c>
      <c r="U91" s="14">
        <v>80</v>
      </c>
      <c r="V91" s="14">
        <v>79</v>
      </c>
      <c r="W91" s="14">
        <v>85</v>
      </c>
      <c r="X91" s="14">
        <v>86</v>
      </c>
      <c r="Y91" s="14">
        <v>82</v>
      </c>
      <c r="Z91" s="14">
        <v>86</v>
      </c>
      <c r="AA91" s="14">
        <v>77</v>
      </c>
      <c r="AB91" s="15">
        <v>83</v>
      </c>
      <c r="AC91" s="15">
        <v>81</v>
      </c>
      <c r="AD91" s="14">
        <v>84</v>
      </c>
      <c r="AE91" s="14">
        <v>83</v>
      </c>
      <c r="AF91" s="14">
        <v>83</v>
      </c>
      <c r="AG91" s="14">
        <v>80</v>
      </c>
      <c r="AH91" s="14">
        <v>79</v>
      </c>
      <c r="AI91" s="14">
        <v>74</v>
      </c>
      <c r="AJ91" s="14">
        <v>84</v>
      </c>
      <c r="AK91" s="14">
        <v>88</v>
      </c>
      <c r="AL91" s="15">
        <v>79</v>
      </c>
      <c r="AM91" s="15">
        <v>78</v>
      </c>
      <c r="AN91" s="14">
        <v>80</v>
      </c>
      <c r="AO91" s="14">
        <v>86</v>
      </c>
      <c r="AP91" s="14">
        <v>87</v>
      </c>
      <c r="AQ91" s="14">
        <v>90</v>
      </c>
      <c r="AR91" s="14">
        <v>88</v>
      </c>
      <c r="AS91" s="14">
        <v>76</v>
      </c>
      <c r="AT91" s="14">
        <v>83</v>
      </c>
      <c r="AU91" s="14">
        <v>85</v>
      </c>
      <c r="AV91" s="14">
        <v>82</v>
      </c>
      <c r="AW91" s="14">
        <v>81</v>
      </c>
      <c r="AX91" s="15">
        <v>88</v>
      </c>
      <c r="AY91" s="15">
        <v>92</v>
      </c>
      <c r="AZ91" s="14">
        <v>90</v>
      </c>
      <c r="BA91" s="14">
        <v>78</v>
      </c>
      <c r="BB91" s="14">
        <v>81</v>
      </c>
      <c r="BC91" s="14">
        <v>82</v>
      </c>
      <c r="BD91" s="14">
        <v>80</v>
      </c>
      <c r="BE91" s="37">
        <v>85</v>
      </c>
      <c r="BF91" s="37">
        <v>91</v>
      </c>
      <c r="BG91" s="37">
        <v>84</v>
      </c>
      <c r="BH91" s="14">
        <v>81</v>
      </c>
      <c r="BI91" s="37">
        <v>86</v>
      </c>
      <c r="BJ91" s="37">
        <v>92</v>
      </c>
      <c r="BK91" s="37">
        <v>88</v>
      </c>
      <c r="BL91" s="14">
        <v>81</v>
      </c>
      <c r="BM91" s="37">
        <v>71</v>
      </c>
      <c r="BN91" s="37">
        <v>91</v>
      </c>
      <c r="BO91" s="37">
        <v>85</v>
      </c>
      <c r="BP91" s="14">
        <v>81</v>
      </c>
      <c r="BQ91" s="15">
        <f t="shared" si="73"/>
        <v>80.666666666666671</v>
      </c>
      <c r="BR91" s="15">
        <f t="shared" si="74"/>
        <v>91.333333333333329</v>
      </c>
      <c r="BS91" s="15">
        <f t="shared" si="75"/>
        <v>85.666666666666671</v>
      </c>
      <c r="BT91" s="15">
        <f t="shared" si="76"/>
        <v>81</v>
      </c>
      <c r="BU91" s="15">
        <v>87</v>
      </c>
      <c r="BV91" s="15">
        <v>87</v>
      </c>
      <c r="BW91" s="15">
        <v>84</v>
      </c>
      <c r="BX91" s="15">
        <v>81</v>
      </c>
      <c r="BY91" s="15">
        <v>81</v>
      </c>
      <c r="BZ91" s="15">
        <v>82</v>
      </c>
      <c r="CA91" s="15">
        <v>86</v>
      </c>
      <c r="CB91" s="15">
        <v>79</v>
      </c>
      <c r="CC91" s="15">
        <v>88</v>
      </c>
      <c r="CD91" s="39">
        <v>88</v>
      </c>
      <c r="CE91" s="40">
        <v>95</v>
      </c>
      <c r="CF91" s="40">
        <v>72</v>
      </c>
      <c r="CG91" s="40">
        <v>70</v>
      </c>
      <c r="CH91" s="40">
        <v>91</v>
      </c>
      <c r="CI91" s="40">
        <v>83</v>
      </c>
      <c r="CJ91" s="40">
        <v>84</v>
      </c>
      <c r="CK91" s="39">
        <v>85</v>
      </c>
      <c r="CL91" s="40">
        <v>85</v>
      </c>
      <c r="CM91" s="41">
        <f t="shared" si="77"/>
        <v>82.6</v>
      </c>
      <c r="CN91" s="41">
        <f t="shared" si="78"/>
        <v>88</v>
      </c>
      <c r="CO91" s="41">
        <f t="shared" si="79"/>
        <v>88</v>
      </c>
      <c r="CP91" s="17">
        <f t="shared" si="80"/>
        <v>85.84</v>
      </c>
      <c r="CQ91" s="16">
        <f t="shared" si="81"/>
        <v>86.8</v>
      </c>
      <c r="CR91" s="16">
        <f t="shared" si="82"/>
        <v>70</v>
      </c>
      <c r="CS91" s="16">
        <f t="shared" si="83"/>
        <v>95</v>
      </c>
      <c r="CT91" s="17">
        <f t="shared" si="84"/>
        <v>84.22</v>
      </c>
      <c r="CU91" s="17">
        <f t="shared" si="85"/>
        <v>85</v>
      </c>
      <c r="CV91" s="17">
        <f t="shared" si="86"/>
        <v>79</v>
      </c>
      <c r="CW91" s="17">
        <f t="shared" si="87"/>
        <v>72</v>
      </c>
      <c r="CX91" s="17">
        <f t="shared" si="88"/>
        <v>79.3</v>
      </c>
      <c r="CY91" s="18">
        <f t="shared" si="89"/>
        <v>84.75</v>
      </c>
      <c r="CZ91" s="18">
        <f t="shared" si="90"/>
        <v>84.75</v>
      </c>
      <c r="DA91" s="18">
        <f t="shared" si="91"/>
        <v>81.25</v>
      </c>
      <c r="DB91" s="18">
        <f t="shared" si="92"/>
        <v>81.25</v>
      </c>
      <c r="DC91" s="18">
        <f t="shared" si="93"/>
        <v>83</v>
      </c>
      <c r="DD91" s="18">
        <f t="shared" si="94"/>
        <v>83</v>
      </c>
      <c r="DE91" s="18">
        <f t="shared" si="95"/>
        <v>79.25</v>
      </c>
      <c r="DF91" s="18">
        <f t="shared" si="96"/>
        <v>79.25</v>
      </c>
      <c r="DG91" s="18">
        <f t="shared" si="97"/>
        <v>88</v>
      </c>
      <c r="DH91" s="18">
        <f t="shared" si="98"/>
        <v>79</v>
      </c>
      <c r="DI91" s="18">
        <f t="shared" si="99"/>
        <v>70</v>
      </c>
      <c r="DJ91" s="17">
        <f t="shared" si="100"/>
        <v>79.900000000000006</v>
      </c>
      <c r="DK91" s="18">
        <f t="shared" si="101"/>
        <v>84.2</v>
      </c>
      <c r="DL91" s="18">
        <f t="shared" si="102"/>
        <v>88</v>
      </c>
      <c r="DM91" s="18">
        <f t="shared" si="103"/>
        <v>91</v>
      </c>
      <c r="DN91" s="17">
        <f t="shared" si="104"/>
        <v>87.38</v>
      </c>
      <c r="DO91" s="18">
        <f t="shared" si="105"/>
        <v>81.400000000000006</v>
      </c>
      <c r="DP91" s="18">
        <f t="shared" si="106"/>
        <v>88</v>
      </c>
      <c r="DQ91" s="18">
        <f t="shared" si="107"/>
        <v>83</v>
      </c>
      <c r="DR91" s="17">
        <f t="shared" si="108"/>
        <v>83.86</v>
      </c>
      <c r="DS91" s="18">
        <f t="shared" si="109"/>
        <v>91</v>
      </c>
      <c r="DT91" s="18">
        <f t="shared" si="110"/>
        <v>91</v>
      </c>
      <c r="DU91" s="18">
        <f t="shared" si="111"/>
        <v>79.5</v>
      </c>
      <c r="DV91" s="18">
        <f t="shared" si="112"/>
        <v>79.5</v>
      </c>
      <c r="DW91" s="18">
        <f t="shared" si="113"/>
        <v>81</v>
      </c>
      <c r="DX91" s="17">
        <f t="shared" si="114"/>
        <v>81</v>
      </c>
      <c r="DY91" s="18">
        <f t="shared" si="115"/>
        <v>85.8888888888889</v>
      </c>
      <c r="DZ91" s="18">
        <f t="shared" si="116"/>
        <v>81</v>
      </c>
      <c r="EA91" s="18">
        <f t="shared" si="117"/>
        <v>85</v>
      </c>
      <c r="EB91" s="17">
        <f t="shared" si="118"/>
        <v>84.155555555555566</v>
      </c>
      <c r="EC91" s="18">
        <f t="shared" si="119"/>
        <v>86</v>
      </c>
      <c r="ED91" s="18">
        <f t="shared" si="120"/>
        <v>81</v>
      </c>
      <c r="EE91" s="18">
        <f t="shared" si="121"/>
        <v>85</v>
      </c>
      <c r="EF91" s="17">
        <f t="shared" si="122"/>
        <v>84.2</v>
      </c>
      <c r="EG91" s="18">
        <f t="shared" si="123"/>
        <v>81</v>
      </c>
      <c r="EH91" s="18">
        <f t="shared" si="124"/>
        <v>82.333333333333329</v>
      </c>
      <c r="EI91" s="18">
        <f t="shared" si="125"/>
        <v>88</v>
      </c>
      <c r="EJ91" s="18">
        <f t="shared" si="126"/>
        <v>84</v>
      </c>
      <c r="EK91" s="17">
        <f t="shared" si="127"/>
        <v>84.533333333333331</v>
      </c>
      <c r="EL91" s="19">
        <f t="shared" si="128"/>
        <v>85.84</v>
      </c>
      <c r="EM91" s="19">
        <f t="shared" si="129"/>
        <v>84.22</v>
      </c>
      <c r="EN91" s="19">
        <f t="shared" si="130"/>
        <v>79.3</v>
      </c>
      <c r="EO91" s="19">
        <f t="shared" si="131"/>
        <v>84.75</v>
      </c>
      <c r="EP91" s="19">
        <f t="shared" si="132"/>
        <v>81.25</v>
      </c>
      <c r="EQ91" s="19">
        <f t="shared" si="133"/>
        <v>83</v>
      </c>
      <c r="ER91" s="19">
        <f t="shared" si="134"/>
        <v>79.25</v>
      </c>
      <c r="ES91" s="19">
        <f t="shared" si="135"/>
        <v>79.900000000000006</v>
      </c>
      <c r="ET91" s="19">
        <f t="shared" si="136"/>
        <v>87.38</v>
      </c>
      <c r="EU91" s="19">
        <f t="shared" si="137"/>
        <v>83.86</v>
      </c>
      <c r="EV91" s="19">
        <f t="shared" si="138"/>
        <v>91</v>
      </c>
      <c r="EW91" s="19">
        <f t="shared" si="139"/>
        <v>79.5</v>
      </c>
      <c r="EX91" s="19">
        <f t="shared" si="140"/>
        <v>81</v>
      </c>
      <c r="EY91" s="19">
        <f t="shared" si="141"/>
        <v>84.155555555555566</v>
      </c>
      <c r="EZ91" s="19">
        <f t="shared" si="142"/>
        <v>84.2</v>
      </c>
      <c r="FA91" s="19">
        <f t="shared" si="143"/>
        <v>81</v>
      </c>
      <c r="FB91" s="19">
        <f t="shared" si="144"/>
        <v>84.533333333333331</v>
      </c>
      <c r="FC91" s="19">
        <f t="shared" si="145"/>
        <v>83.184640522875824</v>
      </c>
    </row>
    <row r="92" spans="1:159" ht="20.100000000000001" customHeight="1">
      <c r="A92" s="11">
        <v>88</v>
      </c>
      <c r="B92" s="12" t="s">
        <v>228</v>
      </c>
      <c r="C92" s="13" t="s">
        <v>229</v>
      </c>
      <c r="D92" s="25" t="s">
        <v>197</v>
      </c>
      <c r="E92" s="14">
        <v>91</v>
      </c>
      <c r="F92" s="14">
        <v>84</v>
      </c>
      <c r="G92" s="14">
        <v>85</v>
      </c>
      <c r="H92" s="14">
        <v>83</v>
      </c>
      <c r="I92" s="14">
        <v>84</v>
      </c>
      <c r="J92" s="14">
        <v>77</v>
      </c>
      <c r="K92" s="14">
        <v>80</v>
      </c>
      <c r="L92" s="14">
        <v>80</v>
      </c>
      <c r="M92" s="14">
        <v>80</v>
      </c>
      <c r="N92" s="14">
        <v>81</v>
      </c>
      <c r="O92" s="14">
        <v>90</v>
      </c>
      <c r="P92" s="15">
        <v>82</v>
      </c>
      <c r="Q92" s="15">
        <v>81</v>
      </c>
      <c r="R92" s="14">
        <v>80</v>
      </c>
      <c r="S92" s="14">
        <v>85</v>
      </c>
      <c r="T92" s="14">
        <v>83</v>
      </c>
      <c r="U92" s="14">
        <v>71</v>
      </c>
      <c r="V92" s="14">
        <v>78</v>
      </c>
      <c r="W92" s="14">
        <v>83</v>
      </c>
      <c r="X92" s="14">
        <v>84</v>
      </c>
      <c r="Y92" s="14">
        <v>80</v>
      </c>
      <c r="Z92" s="14">
        <v>84</v>
      </c>
      <c r="AA92" s="14">
        <v>83</v>
      </c>
      <c r="AB92" s="15">
        <v>83</v>
      </c>
      <c r="AC92" s="15">
        <v>80</v>
      </c>
      <c r="AD92" s="14">
        <v>84</v>
      </c>
      <c r="AE92" s="14">
        <v>81</v>
      </c>
      <c r="AF92" s="14">
        <v>84</v>
      </c>
      <c r="AG92" s="14">
        <v>81</v>
      </c>
      <c r="AH92" s="14">
        <v>78</v>
      </c>
      <c r="AI92" s="14">
        <v>75</v>
      </c>
      <c r="AJ92" s="14">
        <v>84</v>
      </c>
      <c r="AK92" s="14">
        <v>82</v>
      </c>
      <c r="AL92" s="15">
        <v>78</v>
      </c>
      <c r="AM92" s="15">
        <v>70</v>
      </c>
      <c r="AN92" s="14">
        <v>72</v>
      </c>
      <c r="AO92" s="14">
        <v>82</v>
      </c>
      <c r="AP92" s="14">
        <v>82</v>
      </c>
      <c r="AQ92" s="14">
        <v>82</v>
      </c>
      <c r="AR92" s="14">
        <v>80</v>
      </c>
      <c r="AS92" s="14">
        <v>76</v>
      </c>
      <c r="AT92" s="14">
        <v>80</v>
      </c>
      <c r="AU92" s="14">
        <v>82</v>
      </c>
      <c r="AV92" s="14">
        <v>80</v>
      </c>
      <c r="AW92" s="14">
        <v>79</v>
      </c>
      <c r="AX92" s="15">
        <v>80</v>
      </c>
      <c r="AY92" s="15">
        <v>89</v>
      </c>
      <c r="AZ92" s="14">
        <v>94</v>
      </c>
      <c r="BA92" s="14">
        <v>75</v>
      </c>
      <c r="BB92" s="14">
        <v>84</v>
      </c>
      <c r="BC92" s="14">
        <v>77</v>
      </c>
      <c r="BD92" s="14">
        <v>87</v>
      </c>
      <c r="BE92" s="37">
        <v>84</v>
      </c>
      <c r="BF92" s="37">
        <v>84</v>
      </c>
      <c r="BG92" s="37">
        <v>84</v>
      </c>
      <c r="BH92" s="14">
        <v>80</v>
      </c>
      <c r="BI92" s="37">
        <v>79</v>
      </c>
      <c r="BJ92" s="37">
        <v>83</v>
      </c>
      <c r="BK92" s="37">
        <v>88</v>
      </c>
      <c r="BL92" s="14">
        <v>80</v>
      </c>
      <c r="BM92" s="37">
        <v>71</v>
      </c>
      <c r="BN92" s="37">
        <v>77</v>
      </c>
      <c r="BO92" s="37">
        <v>82</v>
      </c>
      <c r="BP92" s="14">
        <v>80</v>
      </c>
      <c r="BQ92" s="15">
        <f t="shared" si="73"/>
        <v>78</v>
      </c>
      <c r="BR92" s="15">
        <f t="shared" si="74"/>
        <v>81.333333333333329</v>
      </c>
      <c r="BS92" s="15">
        <f t="shared" si="75"/>
        <v>84.666666666666671</v>
      </c>
      <c r="BT92" s="15">
        <f t="shared" si="76"/>
        <v>80</v>
      </c>
      <c r="BU92" s="15">
        <v>87</v>
      </c>
      <c r="BV92" s="15">
        <v>87</v>
      </c>
      <c r="BW92" s="15">
        <v>82</v>
      </c>
      <c r="BX92" s="15">
        <v>80</v>
      </c>
      <c r="BY92" s="15">
        <v>79</v>
      </c>
      <c r="BZ92" s="15">
        <v>76</v>
      </c>
      <c r="CA92" s="15">
        <v>83</v>
      </c>
      <c r="CB92" s="15">
        <v>73</v>
      </c>
      <c r="CC92" s="15">
        <v>80</v>
      </c>
      <c r="CD92" s="39">
        <v>82</v>
      </c>
      <c r="CE92" s="40">
        <v>92</v>
      </c>
      <c r="CF92" s="40">
        <v>70</v>
      </c>
      <c r="CG92" s="40">
        <v>90</v>
      </c>
      <c r="CH92" s="40">
        <v>80</v>
      </c>
      <c r="CI92" s="40">
        <v>81</v>
      </c>
      <c r="CJ92" s="40">
        <v>80</v>
      </c>
      <c r="CK92" s="39">
        <v>84</v>
      </c>
      <c r="CL92" s="40">
        <v>70</v>
      </c>
      <c r="CM92" s="41">
        <f t="shared" si="77"/>
        <v>85.4</v>
      </c>
      <c r="CN92" s="41">
        <f t="shared" si="78"/>
        <v>77</v>
      </c>
      <c r="CO92" s="41">
        <f t="shared" si="79"/>
        <v>82</v>
      </c>
      <c r="CP92" s="17">
        <f t="shared" si="80"/>
        <v>81.86</v>
      </c>
      <c r="CQ92" s="16">
        <f t="shared" si="81"/>
        <v>82.2</v>
      </c>
      <c r="CR92" s="16">
        <f t="shared" si="82"/>
        <v>82</v>
      </c>
      <c r="CS92" s="16">
        <f t="shared" si="83"/>
        <v>92</v>
      </c>
      <c r="CT92" s="17">
        <f t="shared" si="84"/>
        <v>85.08</v>
      </c>
      <c r="CU92" s="17">
        <f t="shared" si="85"/>
        <v>80</v>
      </c>
      <c r="CV92" s="17">
        <f t="shared" si="86"/>
        <v>78</v>
      </c>
      <c r="CW92" s="17">
        <f t="shared" si="87"/>
        <v>70</v>
      </c>
      <c r="CX92" s="17">
        <f t="shared" si="88"/>
        <v>76.400000000000006</v>
      </c>
      <c r="CY92" s="18">
        <f t="shared" si="89"/>
        <v>82.75</v>
      </c>
      <c r="CZ92" s="18">
        <f t="shared" si="90"/>
        <v>82.75</v>
      </c>
      <c r="DA92" s="18">
        <f t="shared" si="91"/>
        <v>82.5</v>
      </c>
      <c r="DB92" s="18">
        <f t="shared" si="92"/>
        <v>82.5</v>
      </c>
      <c r="DC92" s="18">
        <f t="shared" si="93"/>
        <v>82.5</v>
      </c>
      <c r="DD92" s="18">
        <f t="shared" si="94"/>
        <v>82.5</v>
      </c>
      <c r="DE92" s="18">
        <f t="shared" si="95"/>
        <v>79.5</v>
      </c>
      <c r="DF92" s="18">
        <f t="shared" si="96"/>
        <v>79.5</v>
      </c>
      <c r="DG92" s="18">
        <f t="shared" si="97"/>
        <v>82</v>
      </c>
      <c r="DH92" s="18">
        <f t="shared" si="98"/>
        <v>78</v>
      </c>
      <c r="DI92" s="18">
        <f t="shared" si="99"/>
        <v>90</v>
      </c>
      <c r="DJ92" s="17">
        <f t="shared" si="100"/>
        <v>83.2</v>
      </c>
      <c r="DK92" s="18">
        <f t="shared" si="101"/>
        <v>77.599999999999994</v>
      </c>
      <c r="DL92" s="18">
        <f t="shared" si="102"/>
        <v>80</v>
      </c>
      <c r="DM92" s="18">
        <f t="shared" si="103"/>
        <v>80</v>
      </c>
      <c r="DN92" s="17">
        <f t="shared" si="104"/>
        <v>79.039999999999992</v>
      </c>
      <c r="DO92" s="18">
        <f t="shared" si="105"/>
        <v>79.400000000000006</v>
      </c>
      <c r="DP92" s="18">
        <f t="shared" si="106"/>
        <v>80</v>
      </c>
      <c r="DQ92" s="18">
        <f t="shared" si="107"/>
        <v>81</v>
      </c>
      <c r="DR92" s="17">
        <f t="shared" si="108"/>
        <v>80.06</v>
      </c>
      <c r="DS92" s="18">
        <f t="shared" si="109"/>
        <v>91.5</v>
      </c>
      <c r="DT92" s="18">
        <f t="shared" si="110"/>
        <v>91.5</v>
      </c>
      <c r="DU92" s="18">
        <f t="shared" si="111"/>
        <v>79.5</v>
      </c>
      <c r="DV92" s="18">
        <f t="shared" si="112"/>
        <v>79.5</v>
      </c>
      <c r="DW92" s="18">
        <f t="shared" si="113"/>
        <v>82</v>
      </c>
      <c r="DX92" s="17">
        <f t="shared" si="114"/>
        <v>82</v>
      </c>
      <c r="DY92" s="18">
        <f t="shared" si="115"/>
        <v>81.333333333333329</v>
      </c>
      <c r="DZ92" s="18">
        <f t="shared" si="116"/>
        <v>80</v>
      </c>
      <c r="EA92" s="18">
        <f t="shared" si="117"/>
        <v>70</v>
      </c>
      <c r="EB92" s="17">
        <f t="shared" si="118"/>
        <v>77.533333333333331</v>
      </c>
      <c r="EC92" s="18">
        <f t="shared" si="119"/>
        <v>85.333333333333329</v>
      </c>
      <c r="ED92" s="18">
        <f t="shared" si="120"/>
        <v>80</v>
      </c>
      <c r="EE92" s="18">
        <f t="shared" si="121"/>
        <v>84</v>
      </c>
      <c r="EF92" s="17">
        <f t="shared" si="122"/>
        <v>83.333333333333329</v>
      </c>
      <c r="EG92" s="18">
        <f t="shared" si="123"/>
        <v>79</v>
      </c>
      <c r="EH92" s="18">
        <f t="shared" si="124"/>
        <v>77.333333333333329</v>
      </c>
      <c r="EI92" s="18">
        <f t="shared" si="125"/>
        <v>80</v>
      </c>
      <c r="EJ92" s="18">
        <f t="shared" si="126"/>
        <v>80</v>
      </c>
      <c r="EK92" s="17">
        <f t="shared" si="127"/>
        <v>78.933333333333323</v>
      </c>
      <c r="EL92" s="19">
        <f t="shared" si="128"/>
        <v>81.86</v>
      </c>
      <c r="EM92" s="19">
        <f t="shared" si="129"/>
        <v>85.08</v>
      </c>
      <c r="EN92" s="19">
        <f t="shared" si="130"/>
        <v>76.400000000000006</v>
      </c>
      <c r="EO92" s="19">
        <f t="shared" si="131"/>
        <v>82.75</v>
      </c>
      <c r="EP92" s="19">
        <f t="shared" si="132"/>
        <v>82.5</v>
      </c>
      <c r="EQ92" s="19">
        <f t="shared" si="133"/>
        <v>82.5</v>
      </c>
      <c r="ER92" s="19">
        <f t="shared" si="134"/>
        <v>79.5</v>
      </c>
      <c r="ES92" s="19">
        <f t="shared" si="135"/>
        <v>83.2</v>
      </c>
      <c r="ET92" s="19">
        <f t="shared" si="136"/>
        <v>79.039999999999992</v>
      </c>
      <c r="EU92" s="19">
        <f t="shared" si="137"/>
        <v>80.06</v>
      </c>
      <c r="EV92" s="19">
        <f t="shared" si="138"/>
        <v>91.5</v>
      </c>
      <c r="EW92" s="19">
        <f t="shared" si="139"/>
        <v>79.5</v>
      </c>
      <c r="EX92" s="19">
        <f t="shared" si="140"/>
        <v>82</v>
      </c>
      <c r="EY92" s="19">
        <f t="shared" si="141"/>
        <v>77.533333333333331</v>
      </c>
      <c r="EZ92" s="19">
        <f t="shared" si="142"/>
        <v>83.333333333333329</v>
      </c>
      <c r="FA92" s="19">
        <f t="shared" si="143"/>
        <v>79</v>
      </c>
      <c r="FB92" s="19">
        <f t="shared" si="144"/>
        <v>78.933333333333323</v>
      </c>
      <c r="FC92" s="19">
        <f t="shared" si="145"/>
        <v>81.452352941176471</v>
      </c>
    </row>
    <row r="93" spans="1:159" ht="20.100000000000001" customHeight="1">
      <c r="A93" s="11">
        <v>89</v>
      </c>
      <c r="B93" s="12" t="s">
        <v>230</v>
      </c>
      <c r="C93" s="13" t="s">
        <v>231</v>
      </c>
      <c r="D93" s="25" t="s">
        <v>197</v>
      </c>
      <c r="E93" s="14">
        <v>93</v>
      </c>
      <c r="F93" s="14">
        <v>92</v>
      </c>
      <c r="G93" s="14">
        <v>87</v>
      </c>
      <c r="H93" s="14">
        <v>85</v>
      </c>
      <c r="I93" s="14">
        <v>89</v>
      </c>
      <c r="J93" s="14">
        <v>92</v>
      </c>
      <c r="K93" s="14">
        <v>86</v>
      </c>
      <c r="L93" s="14">
        <v>89</v>
      </c>
      <c r="M93" s="14">
        <v>95</v>
      </c>
      <c r="N93" s="14">
        <v>88</v>
      </c>
      <c r="O93" s="14">
        <v>92</v>
      </c>
      <c r="P93" s="15">
        <v>93</v>
      </c>
      <c r="Q93" s="15">
        <v>98</v>
      </c>
      <c r="R93" s="14">
        <v>85</v>
      </c>
      <c r="S93" s="14">
        <v>87</v>
      </c>
      <c r="T93" s="14">
        <v>87</v>
      </c>
      <c r="U93" s="14">
        <v>77</v>
      </c>
      <c r="V93" s="14">
        <v>86</v>
      </c>
      <c r="W93" s="14">
        <v>82</v>
      </c>
      <c r="X93" s="14">
        <v>85</v>
      </c>
      <c r="Y93" s="14">
        <v>82</v>
      </c>
      <c r="Z93" s="14">
        <v>85</v>
      </c>
      <c r="AA93" s="14">
        <v>90</v>
      </c>
      <c r="AB93" s="15">
        <v>85</v>
      </c>
      <c r="AC93" s="15">
        <v>83</v>
      </c>
      <c r="AD93" s="14">
        <v>85</v>
      </c>
      <c r="AE93" s="14">
        <v>83</v>
      </c>
      <c r="AF93" s="14">
        <v>85</v>
      </c>
      <c r="AG93" s="14">
        <v>78</v>
      </c>
      <c r="AH93" s="14">
        <v>73</v>
      </c>
      <c r="AI93" s="14">
        <v>71</v>
      </c>
      <c r="AJ93" s="14">
        <v>85</v>
      </c>
      <c r="AK93" s="14">
        <v>86</v>
      </c>
      <c r="AL93" s="15">
        <v>86</v>
      </c>
      <c r="AM93" s="15">
        <v>78</v>
      </c>
      <c r="AN93" s="14">
        <v>83</v>
      </c>
      <c r="AO93" s="14">
        <v>86</v>
      </c>
      <c r="AP93" s="14">
        <v>87</v>
      </c>
      <c r="AQ93" s="14">
        <v>83</v>
      </c>
      <c r="AR93" s="14">
        <v>92</v>
      </c>
      <c r="AS93" s="14">
        <v>77</v>
      </c>
      <c r="AT93" s="14">
        <v>85</v>
      </c>
      <c r="AU93" s="14">
        <v>87</v>
      </c>
      <c r="AV93" s="14">
        <v>86</v>
      </c>
      <c r="AW93" s="14">
        <v>87</v>
      </c>
      <c r="AX93" s="15">
        <v>92</v>
      </c>
      <c r="AY93" s="15">
        <v>89</v>
      </c>
      <c r="AZ93" s="14">
        <v>86</v>
      </c>
      <c r="BA93" s="14">
        <v>88</v>
      </c>
      <c r="BB93" s="14">
        <v>91</v>
      </c>
      <c r="BC93" s="14">
        <v>78</v>
      </c>
      <c r="BD93" s="14">
        <v>73</v>
      </c>
      <c r="BE93" s="37">
        <v>85</v>
      </c>
      <c r="BF93" s="37">
        <v>87</v>
      </c>
      <c r="BG93" s="37">
        <v>86</v>
      </c>
      <c r="BH93" s="14">
        <v>94</v>
      </c>
      <c r="BI93" s="37">
        <v>88</v>
      </c>
      <c r="BJ93" s="37">
        <v>90</v>
      </c>
      <c r="BK93" s="37">
        <v>88</v>
      </c>
      <c r="BL93" s="14">
        <v>94</v>
      </c>
      <c r="BM93" s="37">
        <v>79</v>
      </c>
      <c r="BN93" s="37">
        <v>83</v>
      </c>
      <c r="BO93" s="37">
        <v>85</v>
      </c>
      <c r="BP93" s="14">
        <v>94</v>
      </c>
      <c r="BQ93" s="15">
        <f t="shared" si="73"/>
        <v>84</v>
      </c>
      <c r="BR93" s="15">
        <f t="shared" si="74"/>
        <v>86.666666666666671</v>
      </c>
      <c r="BS93" s="15">
        <f t="shared" si="75"/>
        <v>86.333333333333329</v>
      </c>
      <c r="BT93" s="15">
        <f t="shared" si="76"/>
        <v>94</v>
      </c>
      <c r="BU93" s="15">
        <v>87</v>
      </c>
      <c r="BV93" s="15">
        <v>85</v>
      </c>
      <c r="BW93" s="15">
        <v>83</v>
      </c>
      <c r="BX93" s="15">
        <v>94</v>
      </c>
      <c r="BY93" s="15">
        <v>91</v>
      </c>
      <c r="BZ93" s="15">
        <v>76</v>
      </c>
      <c r="CA93" s="15">
        <v>89</v>
      </c>
      <c r="CB93" s="15">
        <v>75</v>
      </c>
      <c r="CC93" s="15">
        <v>92</v>
      </c>
      <c r="CD93" s="39">
        <v>90</v>
      </c>
      <c r="CE93" s="40">
        <v>95</v>
      </c>
      <c r="CF93" s="40">
        <v>80</v>
      </c>
      <c r="CG93" s="40">
        <v>92</v>
      </c>
      <c r="CH93" s="40">
        <v>84</v>
      </c>
      <c r="CI93" s="40">
        <v>85</v>
      </c>
      <c r="CJ93" s="40">
        <v>85</v>
      </c>
      <c r="CK93" s="39">
        <v>88</v>
      </c>
      <c r="CL93" s="40">
        <v>87</v>
      </c>
      <c r="CM93" s="41">
        <f t="shared" si="77"/>
        <v>89.2</v>
      </c>
      <c r="CN93" s="41">
        <f t="shared" si="78"/>
        <v>92</v>
      </c>
      <c r="CO93" s="41">
        <f t="shared" si="79"/>
        <v>90</v>
      </c>
      <c r="CP93" s="17">
        <f t="shared" si="80"/>
        <v>90.28</v>
      </c>
      <c r="CQ93" s="16">
        <f t="shared" si="81"/>
        <v>90</v>
      </c>
      <c r="CR93" s="16">
        <f t="shared" si="82"/>
        <v>93</v>
      </c>
      <c r="CS93" s="16">
        <f t="shared" si="83"/>
        <v>95</v>
      </c>
      <c r="CT93" s="17">
        <f t="shared" si="84"/>
        <v>92.4</v>
      </c>
      <c r="CU93" s="17">
        <f t="shared" si="85"/>
        <v>86.8</v>
      </c>
      <c r="CV93" s="17">
        <f t="shared" si="86"/>
        <v>86</v>
      </c>
      <c r="CW93" s="17">
        <f t="shared" si="87"/>
        <v>80</v>
      </c>
      <c r="CX93" s="17">
        <f t="shared" si="88"/>
        <v>84.52000000000001</v>
      </c>
      <c r="CY93" s="18">
        <f t="shared" si="89"/>
        <v>83.5</v>
      </c>
      <c r="CZ93" s="18">
        <f t="shared" si="90"/>
        <v>83.5</v>
      </c>
      <c r="DA93" s="18">
        <f t="shared" si="91"/>
        <v>85.75</v>
      </c>
      <c r="DB93" s="18">
        <f t="shared" si="92"/>
        <v>85.75</v>
      </c>
      <c r="DC93" s="18">
        <f t="shared" si="93"/>
        <v>84</v>
      </c>
      <c r="DD93" s="18">
        <f t="shared" si="94"/>
        <v>84</v>
      </c>
      <c r="DE93" s="18">
        <f t="shared" si="95"/>
        <v>76.75</v>
      </c>
      <c r="DF93" s="18">
        <f t="shared" si="96"/>
        <v>76.75</v>
      </c>
      <c r="DG93" s="18">
        <f t="shared" si="97"/>
        <v>86</v>
      </c>
      <c r="DH93" s="18">
        <f t="shared" si="98"/>
        <v>86</v>
      </c>
      <c r="DI93" s="18">
        <f t="shared" si="99"/>
        <v>92</v>
      </c>
      <c r="DJ93" s="17">
        <f t="shared" si="100"/>
        <v>87.8</v>
      </c>
      <c r="DK93" s="18">
        <f t="shared" si="101"/>
        <v>83.4</v>
      </c>
      <c r="DL93" s="18">
        <f t="shared" si="102"/>
        <v>92</v>
      </c>
      <c r="DM93" s="18">
        <f t="shared" si="103"/>
        <v>84</v>
      </c>
      <c r="DN93" s="17">
        <f t="shared" si="104"/>
        <v>86.16</v>
      </c>
      <c r="DO93" s="18">
        <f t="shared" si="105"/>
        <v>84.4</v>
      </c>
      <c r="DP93" s="18">
        <f t="shared" si="106"/>
        <v>92</v>
      </c>
      <c r="DQ93" s="18">
        <f t="shared" si="107"/>
        <v>85</v>
      </c>
      <c r="DR93" s="17">
        <f t="shared" si="108"/>
        <v>86.86</v>
      </c>
      <c r="DS93" s="18">
        <f t="shared" si="109"/>
        <v>87.5</v>
      </c>
      <c r="DT93" s="18">
        <f t="shared" si="110"/>
        <v>87.5</v>
      </c>
      <c r="DU93" s="18">
        <f t="shared" si="111"/>
        <v>89.5</v>
      </c>
      <c r="DV93" s="18">
        <f t="shared" si="112"/>
        <v>89.5</v>
      </c>
      <c r="DW93" s="18">
        <f t="shared" si="113"/>
        <v>75.5</v>
      </c>
      <c r="DX93" s="17">
        <f t="shared" si="114"/>
        <v>75.5</v>
      </c>
      <c r="DY93" s="18">
        <f t="shared" si="115"/>
        <v>85.666666666666671</v>
      </c>
      <c r="DZ93" s="18">
        <f t="shared" si="116"/>
        <v>94</v>
      </c>
      <c r="EA93" s="18">
        <f t="shared" si="117"/>
        <v>87</v>
      </c>
      <c r="EB93" s="17">
        <f t="shared" si="118"/>
        <v>88.566666666666677</v>
      </c>
      <c r="EC93" s="18">
        <f t="shared" si="119"/>
        <v>85</v>
      </c>
      <c r="ED93" s="18">
        <f t="shared" si="120"/>
        <v>94</v>
      </c>
      <c r="EE93" s="18">
        <f t="shared" si="121"/>
        <v>88</v>
      </c>
      <c r="EF93" s="17">
        <f t="shared" si="122"/>
        <v>88.6</v>
      </c>
      <c r="EG93" s="18">
        <f t="shared" si="123"/>
        <v>91</v>
      </c>
      <c r="EH93" s="18">
        <f t="shared" si="124"/>
        <v>80</v>
      </c>
      <c r="EI93" s="18">
        <f t="shared" si="125"/>
        <v>92</v>
      </c>
      <c r="EJ93" s="18">
        <f t="shared" si="126"/>
        <v>85</v>
      </c>
      <c r="EK93" s="17">
        <f t="shared" si="127"/>
        <v>85.1</v>
      </c>
      <c r="EL93" s="19">
        <f t="shared" si="128"/>
        <v>90.28</v>
      </c>
      <c r="EM93" s="19">
        <f t="shared" si="129"/>
        <v>92.4</v>
      </c>
      <c r="EN93" s="19">
        <f t="shared" si="130"/>
        <v>84.52000000000001</v>
      </c>
      <c r="EO93" s="19">
        <f t="shared" si="131"/>
        <v>83.5</v>
      </c>
      <c r="EP93" s="19">
        <f t="shared" si="132"/>
        <v>85.75</v>
      </c>
      <c r="EQ93" s="19">
        <f t="shared" si="133"/>
        <v>84</v>
      </c>
      <c r="ER93" s="19">
        <f t="shared" si="134"/>
        <v>76.75</v>
      </c>
      <c r="ES93" s="19">
        <f t="shared" si="135"/>
        <v>87.8</v>
      </c>
      <c r="ET93" s="19">
        <f t="shared" si="136"/>
        <v>86.16</v>
      </c>
      <c r="EU93" s="19">
        <f t="shared" si="137"/>
        <v>86.86</v>
      </c>
      <c r="EV93" s="19">
        <f t="shared" si="138"/>
        <v>87.5</v>
      </c>
      <c r="EW93" s="19">
        <f t="shared" si="139"/>
        <v>89.5</v>
      </c>
      <c r="EX93" s="19">
        <f t="shared" si="140"/>
        <v>75.5</v>
      </c>
      <c r="EY93" s="19">
        <f t="shared" si="141"/>
        <v>88.566666666666677</v>
      </c>
      <c r="EZ93" s="19">
        <f t="shared" si="142"/>
        <v>88.6</v>
      </c>
      <c r="FA93" s="19">
        <f t="shared" si="143"/>
        <v>91</v>
      </c>
      <c r="FB93" s="19">
        <f t="shared" si="144"/>
        <v>85.1</v>
      </c>
      <c r="FC93" s="19">
        <f t="shared" si="145"/>
        <v>86.105098039215676</v>
      </c>
    </row>
    <row r="94" spans="1:159" ht="20.100000000000001" customHeight="1">
      <c r="A94" s="11">
        <v>90</v>
      </c>
      <c r="B94" s="12" t="s">
        <v>232</v>
      </c>
      <c r="C94" s="13" t="s">
        <v>233</v>
      </c>
      <c r="D94" s="25" t="s">
        <v>197</v>
      </c>
      <c r="E94" s="14">
        <v>97</v>
      </c>
      <c r="F94" s="14">
        <v>98</v>
      </c>
      <c r="G94" s="14">
        <v>90</v>
      </c>
      <c r="H94" s="14">
        <v>89</v>
      </c>
      <c r="I94" s="14">
        <v>90</v>
      </c>
      <c r="J94" s="14">
        <v>80</v>
      </c>
      <c r="K94" s="14">
        <v>81</v>
      </c>
      <c r="L94" s="14">
        <v>93</v>
      </c>
      <c r="M94" s="14">
        <v>95</v>
      </c>
      <c r="N94" s="14">
        <v>95</v>
      </c>
      <c r="O94" s="14">
        <v>95</v>
      </c>
      <c r="P94" s="15">
        <v>90</v>
      </c>
      <c r="Q94" s="15">
        <v>99</v>
      </c>
      <c r="R94" s="14">
        <v>95</v>
      </c>
      <c r="S94" s="14">
        <v>92</v>
      </c>
      <c r="T94" s="14">
        <v>94</v>
      </c>
      <c r="U94" s="14">
        <v>90</v>
      </c>
      <c r="V94" s="14">
        <v>87</v>
      </c>
      <c r="W94" s="14">
        <v>85</v>
      </c>
      <c r="X94" s="14">
        <v>86</v>
      </c>
      <c r="Y94" s="14">
        <v>83</v>
      </c>
      <c r="Z94" s="14">
        <v>86</v>
      </c>
      <c r="AA94" s="14">
        <v>83</v>
      </c>
      <c r="AB94" s="15">
        <v>88</v>
      </c>
      <c r="AC94" s="15">
        <v>85</v>
      </c>
      <c r="AD94" s="14">
        <v>86</v>
      </c>
      <c r="AE94" s="14">
        <v>83</v>
      </c>
      <c r="AF94" s="14">
        <v>86</v>
      </c>
      <c r="AG94" s="14">
        <v>78</v>
      </c>
      <c r="AH94" s="14">
        <v>78</v>
      </c>
      <c r="AI94" s="14">
        <v>72</v>
      </c>
      <c r="AJ94" s="14">
        <v>86</v>
      </c>
      <c r="AK94" s="14">
        <v>82</v>
      </c>
      <c r="AL94" s="15">
        <v>87</v>
      </c>
      <c r="AM94" s="15">
        <v>90</v>
      </c>
      <c r="AN94" s="14">
        <v>91</v>
      </c>
      <c r="AO94" s="14">
        <v>97</v>
      </c>
      <c r="AP94" s="14">
        <v>97</v>
      </c>
      <c r="AQ94" s="14">
        <v>91</v>
      </c>
      <c r="AR94" s="14">
        <v>91</v>
      </c>
      <c r="AS94" s="14">
        <v>78</v>
      </c>
      <c r="AT94" s="14">
        <v>85</v>
      </c>
      <c r="AU94" s="14">
        <v>87</v>
      </c>
      <c r="AV94" s="14">
        <v>88</v>
      </c>
      <c r="AW94" s="14">
        <v>89</v>
      </c>
      <c r="AX94" s="15">
        <v>91</v>
      </c>
      <c r="AY94" s="15">
        <v>92</v>
      </c>
      <c r="AZ94" s="14">
        <v>96</v>
      </c>
      <c r="BA94" s="14">
        <v>95</v>
      </c>
      <c r="BB94" s="14">
        <v>94</v>
      </c>
      <c r="BC94" s="14">
        <v>84</v>
      </c>
      <c r="BD94" s="14">
        <v>88</v>
      </c>
      <c r="BE94" s="37">
        <v>88</v>
      </c>
      <c r="BF94" s="37">
        <v>91</v>
      </c>
      <c r="BG94" s="37">
        <v>87</v>
      </c>
      <c r="BH94" s="14">
        <v>93</v>
      </c>
      <c r="BI94" s="37">
        <v>90</v>
      </c>
      <c r="BJ94" s="37">
        <v>92</v>
      </c>
      <c r="BK94" s="37">
        <v>89</v>
      </c>
      <c r="BL94" s="14">
        <v>93</v>
      </c>
      <c r="BM94" s="37">
        <v>83</v>
      </c>
      <c r="BN94" s="37">
        <v>95</v>
      </c>
      <c r="BO94" s="37">
        <v>85</v>
      </c>
      <c r="BP94" s="14">
        <v>93</v>
      </c>
      <c r="BQ94" s="15">
        <f t="shared" si="73"/>
        <v>87</v>
      </c>
      <c r="BR94" s="15">
        <f t="shared" si="74"/>
        <v>92.666666666666671</v>
      </c>
      <c r="BS94" s="15">
        <f t="shared" si="75"/>
        <v>87</v>
      </c>
      <c r="BT94" s="15">
        <f t="shared" si="76"/>
        <v>93</v>
      </c>
      <c r="BU94" s="15">
        <v>87</v>
      </c>
      <c r="BV94" s="15">
        <v>92</v>
      </c>
      <c r="BW94" s="15">
        <v>85</v>
      </c>
      <c r="BX94" s="15">
        <v>93</v>
      </c>
      <c r="BY94" s="15">
        <v>88</v>
      </c>
      <c r="BZ94" s="15">
        <v>90</v>
      </c>
      <c r="CA94" s="15">
        <v>94</v>
      </c>
      <c r="CB94" s="15">
        <v>88</v>
      </c>
      <c r="CC94" s="15">
        <v>91</v>
      </c>
      <c r="CD94" s="39">
        <v>94</v>
      </c>
      <c r="CE94" s="40">
        <v>95</v>
      </c>
      <c r="CF94" s="40">
        <v>90</v>
      </c>
      <c r="CG94" s="40">
        <v>95</v>
      </c>
      <c r="CH94" s="40">
        <v>92</v>
      </c>
      <c r="CI94" s="40">
        <v>89</v>
      </c>
      <c r="CJ94" s="40">
        <v>88</v>
      </c>
      <c r="CK94" s="39">
        <v>78</v>
      </c>
      <c r="CL94" s="40">
        <v>92</v>
      </c>
      <c r="CM94" s="41">
        <f t="shared" si="77"/>
        <v>92.8</v>
      </c>
      <c r="CN94" s="41">
        <f t="shared" si="78"/>
        <v>80</v>
      </c>
      <c r="CO94" s="41">
        <f t="shared" si="79"/>
        <v>94</v>
      </c>
      <c r="CP94" s="17">
        <f t="shared" si="80"/>
        <v>89.320000000000007</v>
      </c>
      <c r="CQ94" s="16">
        <f t="shared" si="81"/>
        <v>91.8</v>
      </c>
      <c r="CR94" s="16">
        <f t="shared" si="82"/>
        <v>90</v>
      </c>
      <c r="CS94" s="16">
        <f t="shared" si="83"/>
        <v>95</v>
      </c>
      <c r="CT94" s="17">
        <f t="shared" si="84"/>
        <v>92.22</v>
      </c>
      <c r="CU94" s="17">
        <f t="shared" si="85"/>
        <v>94</v>
      </c>
      <c r="CV94" s="17">
        <f t="shared" si="86"/>
        <v>87</v>
      </c>
      <c r="CW94" s="17">
        <f t="shared" si="87"/>
        <v>90</v>
      </c>
      <c r="CX94" s="17">
        <f t="shared" si="88"/>
        <v>90.7</v>
      </c>
      <c r="CY94" s="18">
        <f t="shared" si="89"/>
        <v>85</v>
      </c>
      <c r="CZ94" s="18">
        <f t="shared" si="90"/>
        <v>85</v>
      </c>
      <c r="DA94" s="18">
        <f t="shared" si="91"/>
        <v>85.5</v>
      </c>
      <c r="DB94" s="18">
        <f t="shared" si="92"/>
        <v>85.5</v>
      </c>
      <c r="DC94" s="18">
        <f t="shared" si="93"/>
        <v>84.5</v>
      </c>
      <c r="DD94" s="18">
        <f t="shared" si="94"/>
        <v>84.5</v>
      </c>
      <c r="DE94" s="18">
        <f t="shared" si="95"/>
        <v>78.5</v>
      </c>
      <c r="DF94" s="18">
        <f t="shared" si="96"/>
        <v>78.5</v>
      </c>
      <c r="DG94" s="18">
        <f t="shared" si="97"/>
        <v>82</v>
      </c>
      <c r="DH94" s="18">
        <f t="shared" si="98"/>
        <v>87</v>
      </c>
      <c r="DI94" s="18">
        <f t="shared" si="99"/>
        <v>95</v>
      </c>
      <c r="DJ94" s="17">
        <f t="shared" si="100"/>
        <v>87.4</v>
      </c>
      <c r="DK94" s="18">
        <f t="shared" si="101"/>
        <v>93.2</v>
      </c>
      <c r="DL94" s="18">
        <f t="shared" si="102"/>
        <v>91</v>
      </c>
      <c r="DM94" s="18">
        <f t="shared" si="103"/>
        <v>92</v>
      </c>
      <c r="DN94" s="17">
        <f t="shared" si="104"/>
        <v>92.179999999999993</v>
      </c>
      <c r="DO94" s="18">
        <f t="shared" si="105"/>
        <v>85.4</v>
      </c>
      <c r="DP94" s="18">
        <f t="shared" si="106"/>
        <v>91</v>
      </c>
      <c r="DQ94" s="18">
        <f t="shared" si="107"/>
        <v>89</v>
      </c>
      <c r="DR94" s="17">
        <f t="shared" si="108"/>
        <v>88.16</v>
      </c>
      <c r="DS94" s="18">
        <f t="shared" si="109"/>
        <v>94</v>
      </c>
      <c r="DT94" s="18">
        <f t="shared" si="110"/>
        <v>94</v>
      </c>
      <c r="DU94" s="18">
        <f t="shared" si="111"/>
        <v>94.5</v>
      </c>
      <c r="DV94" s="18">
        <f t="shared" si="112"/>
        <v>94.5</v>
      </c>
      <c r="DW94" s="18">
        <f t="shared" si="113"/>
        <v>86</v>
      </c>
      <c r="DX94" s="17">
        <f t="shared" si="114"/>
        <v>86</v>
      </c>
      <c r="DY94" s="18">
        <f t="shared" si="115"/>
        <v>88.8888888888889</v>
      </c>
      <c r="DZ94" s="18">
        <f t="shared" si="116"/>
        <v>93</v>
      </c>
      <c r="EA94" s="18">
        <f t="shared" si="117"/>
        <v>92</v>
      </c>
      <c r="EB94" s="17">
        <f t="shared" si="118"/>
        <v>91.055555555555571</v>
      </c>
      <c r="EC94" s="18">
        <f t="shared" si="119"/>
        <v>88</v>
      </c>
      <c r="ED94" s="18">
        <f t="shared" si="120"/>
        <v>93</v>
      </c>
      <c r="EE94" s="18">
        <f t="shared" si="121"/>
        <v>78</v>
      </c>
      <c r="EF94" s="17">
        <f t="shared" si="122"/>
        <v>86.5</v>
      </c>
      <c r="EG94" s="18">
        <f t="shared" si="123"/>
        <v>88</v>
      </c>
      <c r="EH94" s="18">
        <f t="shared" si="124"/>
        <v>90.666666666666671</v>
      </c>
      <c r="EI94" s="18">
        <f t="shared" si="125"/>
        <v>91</v>
      </c>
      <c r="EJ94" s="18">
        <f t="shared" si="126"/>
        <v>88</v>
      </c>
      <c r="EK94" s="17">
        <f t="shared" si="127"/>
        <v>89.966666666666669</v>
      </c>
      <c r="EL94" s="19">
        <f t="shared" si="128"/>
        <v>89.320000000000007</v>
      </c>
      <c r="EM94" s="19">
        <f t="shared" si="129"/>
        <v>92.22</v>
      </c>
      <c r="EN94" s="19">
        <f t="shared" si="130"/>
        <v>90.7</v>
      </c>
      <c r="EO94" s="19">
        <f t="shared" si="131"/>
        <v>85</v>
      </c>
      <c r="EP94" s="19">
        <f t="shared" si="132"/>
        <v>85.5</v>
      </c>
      <c r="EQ94" s="19">
        <f t="shared" si="133"/>
        <v>84.5</v>
      </c>
      <c r="ER94" s="19">
        <f t="shared" si="134"/>
        <v>78.5</v>
      </c>
      <c r="ES94" s="19">
        <f t="shared" si="135"/>
        <v>87.4</v>
      </c>
      <c r="ET94" s="19">
        <f t="shared" si="136"/>
        <v>92.179999999999993</v>
      </c>
      <c r="EU94" s="19">
        <f t="shared" si="137"/>
        <v>88.16</v>
      </c>
      <c r="EV94" s="19">
        <f t="shared" si="138"/>
        <v>94</v>
      </c>
      <c r="EW94" s="19">
        <f t="shared" si="139"/>
        <v>94.5</v>
      </c>
      <c r="EX94" s="19">
        <f t="shared" si="140"/>
        <v>86</v>
      </c>
      <c r="EY94" s="19">
        <f t="shared" si="141"/>
        <v>91.055555555555571</v>
      </c>
      <c r="EZ94" s="19">
        <f t="shared" si="142"/>
        <v>86.5</v>
      </c>
      <c r="FA94" s="19">
        <f t="shared" si="143"/>
        <v>88</v>
      </c>
      <c r="FB94" s="19">
        <f t="shared" si="144"/>
        <v>89.966666666666669</v>
      </c>
      <c r="FC94" s="19">
        <f t="shared" si="145"/>
        <v>88.441307189542499</v>
      </c>
    </row>
    <row r="95" spans="1:159" ht="20.100000000000001" customHeight="1">
      <c r="A95" s="11">
        <v>91</v>
      </c>
      <c r="B95" s="12" t="s">
        <v>234</v>
      </c>
      <c r="C95" s="13" t="s">
        <v>235</v>
      </c>
      <c r="D95" s="25" t="s">
        <v>197</v>
      </c>
      <c r="E95" s="14">
        <v>83</v>
      </c>
      <c r="F95" s="14">
        <v>90</v>
      </c>
      <c r="G95" s="14">
        <v>88</v>
      </c>
      <c r="H95" s="14">
        <v>87</v>
      </c>
      <c r="I95" s="14">
        <v>88</v>
      </c>
      <c r="J95" s="14">
        <v>90</v>
      </c>
      <c r="K95" s="14">
        <v>85</v>
      </c>
      <c r="L95" s="14">
        <v>81</v>
      </c>
      <c r="M95" s="14">
        <v>95</v>
      </c>
      <c r="N95" s="14">
        <v>95</v>
      </c>
      <c r="O95" s="14">
        <v>95</v>
      </c>
      <c r="P95" s="15">
        <v>81</v>
      </c>
      <c r="Q95" s="15">
        <v>85</v>
      </c>
      <c r="R95" s="14">
        <v>87</v>
      </c>
      <c r="S95" s="14">
        <v>88</v>
      </c>
      <c r="T95" s="14">
        <v>83</v>
      </c>
      <c r="U95" s="14">
        <v>87</v>
      </c>
      <c r="V95" s="14">
        <v>80</v>
      </c>
      <c r="W95" s="14">
        <v>81</v>
      </c>
      <c r="X95" s="14">
        <v>84</v>
      </c>
      <c r="Y95" s="14">
        <v>80</v>
      </c>
      <c r="Z95" s="14">
        <v>85</v>
      </c>
      <c r="AA95" s="14">
        <v>80</v>
      </c>
      <c r="AB95" s="15">
        <v>85</v>
      </c>
      <c r="AC95" s="15">
        <v>85</v>
      </c>
      <c r="AD95" s="14">
        <v>83</v>
      </c>
      <c r="AE95" s="14">
        <v>87</v>
      </c>
      <c r="AF95" s="14">
        <v>84</v>
      </c>
      <c r="AG95" s="14">
        <v>83</v>
      </c>
      <c r="AH95" s="14">
        <v>79</v>
      </c>
      <c r="AI95" s="14">
        <v>79</v>
      </c>
      <c r="AJ95" s="14">
        <v>83</v>
      </c>
      <c r="AK95" s="14">
        <v>83</v>
      </c>
      <c r="AL95" s="15">
        <v>80</v>
      </c>
      <c r="AM95" s="15">
        <v>71</v>
      </c>
      <c r="AN95" s="14">
        <v>74</v>
      </c>
      <c r="AO95" s="14">
        <v>78</v>
      </c>
      <c r="AP95" s="14">
        <v>79</v>
      </c>
      <c r="AQ95" s="14">
        <v>80</v>
      </c>
      <c r="AR95" s="14">
        <v>80</v>
      </c>
      <c r="AS95" s="14">
        <v>78</v>
      </c>
      <c r="AT95" s="14">
        <v>80</v>
      </c>
      <c r="AU95" s="14">
        <v>83</v>
      </c>
      <c r="AV95" s="14">
        <v>86</v>
      </c>
      <c r="AW95" s="14">
        <v>82</v>
      </c>
      <c r="AX95" s="15">
        <v>80</v>
      </c>
      <c r="AY95" s="15">
        <v>89</v>
      </c>
      <c r="AZ95" s="14">
        <v>88</v>
      </c>
      <c r="BA95" s="14">
        <v>90</v>
      </c>
      <c r="BB95" s="14">
        <v>87</v>
      </c>
      <c r="BC95" s="14">
        <v>87</v>
      </c>
      <c r="BD95" s="14">
        <v>80</v>
      </c>
      <c r="BE95" s="37">
        <v>84</v>
      </c>
      <c r="BF95" s="37">
        <v>84</v>
      </c>
      <c r="BG95" s="37">
        <v>84</v>
      </c>
      <c r="BH95" s="14">
        <v>81</v>
      </c>
      <c r="BI95" s="37">
        <v>83</v>
      </c>
      <c r="BJ95" s="37">
        <v>88</v>
      </c>
      <c r="BK95" s="37">
        <v>88</v>
      </c>
      <c r="BL95" s="14">
        <v>81</v>
      </c>
      <c r="BM95" s="37">
        <v>73</v>
      </c>
      <c r="BN95" s="37">
        <v>84</v>
      </c>
      <c r="BO95" s="37">
        <v>85</v>
      </c>
      <c r="BP95" s="14">
        <v>81</v>
      </c>
      <c r="BQ95" s="15">
        <f t="shared" si="73"/>
        <v>80</v>
      </c>
      <c r="BR95" s="15">
        <f t="shared" si="74"/>
        <v>85.333333333333329</v>
      </c>
      <c r="BS95" s="15">
        <f t="shared" si="75"/>
        <v>85.666666666666671</v>
      </c>
      <c r="BT95" s="15">
        <f t="shared" si="76"/>
        <v>81</v>
      </c>
      <c r="BU95" s="15">
        <v>88</v>
      </c>
      <c r="BV95" s="15">
        <v>88</v>
      </c>
      <c r="BW95" s="15">
        <v>84</v>
      </c>
      <c r="BX95" s="15">
        <v>81</v>
      </c>
      <c r="BY95" s="15">
        <v>82</v>
      </c>
      <c r="BZ95" s="15">
        <v>77</v>
      </c>
      <c r="CA95" s="15">
        <v>90</v>
      </c>
      <c r="CB95" s="15">
        <v>75</v>
      </c>
      <c r="CC95" s="15">
        <v>80</v>
      </c>
      <c r="CD95" s="39">
        <v>89</v>
      </c>
      <c r="CE95" s="40">
        <v>93</v>
      </c>
      <c r="CF95" s="40">
        <v>78</v>
      </c>
      <c r="CG95" s="40">
        <v>87</v>
      </c>
      <c r="CH95" s="40">
        <v>81</v>
      </c>
      <c r="CI95" s="40">
        <v>82</v>
      </c>
      <c r="CJ95" s="40">
        <v>80</v>
      </c>
      <c r="CK95" s="39">
        <v>89</v>
      </c>
      <c r="CL95" s="40">
        <v>80</v>
      </c>
      <c r="CM95" s="41">
        <f t="shared" si="77"/>
        <v>87.2</v>
      </c>
      <c r="CN95" s="41">
        <f t="shared" si="78"/>
        <v>90</v>
      </c>
      <c r="CO95" s="41">
        <f t="shared" si="79"/>
        <v>89</v>
      </c>
      <c r="CP95" s="17">
        <f t="shared" si="80"/>
        <v>88.58</v>
      </c>
      <c r="CQ95" s="16">
        <f t="shared" si="81"/>
        <v>90.2</v>
      </c>
      <c r="CR95" s="16">
        <f t="shared" si="82"/>
        <v>81</v>
      </c>
      <c r="CS95" s="16">
        <f t="shared" si="83"/>
        <v>93</v>
      </c>
      <c r="CT95" s="17">
        <f t="shared" si="84"/>
        <v>88.28</v>
      </c>
      <c r="CU95" s="17">
        <f t="shared" si="85"/>
        <v>86</v>
      </c>
      <c r="CV95" s="17">
        <f t="shared" si="86"/>
        <v>80</v>
      </c>
      <c r="CW95" s="17">
        <f t="shared" si="87"/>
        <v>78</v>
      </c>
      <c r="CX95" s="17">
        <f t="shared" si="88"/>
        <v>81.8</v>
      </c>
      <c r="CY95" s="18">
        <f t="shared" si="89"/>
        <v>82.5</v>
      </c>
      <c r="CZ95" s="18">
        <f t="shared" si="90"/>
        <v>82.5</v>
      </c>
      <c r="DA95" s="18">
        <f t="shared" si="91"/>
        <v>83.25</v>
      </c>
      <c r="DB95" s="18">
        <f t="shared" si="92"/>
        <v>83.25</v>
      </c>
      <c r="DC95" s="18">
        <f t="shared" si="93"/>
        <v>85.5</v>
      </c>
      <c r="DD95" s="18">
        <f t="shared" si="94"/>
        <v>85.5</v>
      </c>
      <c r="DE95" s="18">
        <f t="shared" si="95"/>
        <v>81</v>
      </c>
      <c r="DF95" s="18">
        <f t="shared" si="96"/>
        <v>81</v>
      </c>
      <c r="DG95" s="18">
        <f t="shared" si="97"/>
        <v>83</v>
      </c>
      <c r="DH95" s="18">
        <f t="shared" si="98"/>
        <v>80</v>
      </c>
      <c r="DI95" s="18">
        <f t="shared" si="99"/>
        <v>87</v>
      </c>
      <c r="DJ95" s="17">
        <f t="shared" si="100"/>
        <v>83.3</v>
      </c>
      <c r="DK95" s="18">
        <f t="shared" si="101"/>
        <v>76.400000000000006</v>
      </c>
      <c r="DL95" s="18">
        <f t="shared" si="102"/>
        <v>80</v>
      </c>
      <c r="DM95" s="18">
        <f t="shared" si="103"/>
        <v>81</v>
      </c>
      <c r="DN95" s="17">
        <f t="shared" si="104"/>
        <v>78.86</v>
      </c>
      <c r="DO95" s="18">
        <f t="shared" si="105"/>
        <v>81.8</v>
      </c>
      <c r="DP95" s="18">
        <f t="shared" si="106"/>
        <v>80</v>
      </c>
      <c r="DQ95" s="18">
        <f t="shared" si="107"/>
        <v>82</v>
      </c>
      <c r="DR95" s="17">
        <f t="shared" si="108"/>
        <v>81.320000000000007</v>
      </c>
      <c r="DS95" s="18">
        <f t="shared" si="109"/>
        <v>88.5</v>
      </c>
      <c r="DT95" s="18">
        <f t="shared" si="110"/>
        <v>88.5</v>
      </c>
      <c r="DU95" s="18">
        <f t="shared" si="111"/>
        <v>88.5</v>
      </c>
      <c r="DV95" s="18">
        <f t="shared" si="112"/>
        <v>88.5</v>
      </c>
      <c r="DW95" s="18">
        <f t="shared" si="113"/>
        <v>83.5</v>
      </c>
      <c r="DX95" s="17">
        <f t="shared" si="114"/>
        <v>83.5</v>
      </c>
      <c r="DY95" s="18">
        <f t="shared" si="115"/>
        <v>83.666666666666671</v>
      </c>
      <c r="DZ95" s="18">
        <f t="shared" si="116"/>
        <v>81</v>
      </c>
      <c r="EA95" s="18">
        <f t="shared" si="117"/>
        <v>80</v>
      </c>
      <c r="EB95" s="17">
        <f t="shared" si="118"/>
        <v>81.76666666666668</v>
      </c>
      <c r="EC95" s="18">
        <f t="shared" si="119"/>
        <v>86.666666666666671</v>
      </c>
      <c r="ED95" s="18">
        <f t="shared" si="120"/>
        <v>81</v>
      </c>
      <c r="EE95" s="18">
        <f t="shared" si="121"/>
        <v>89</v>
      </c>
      <c r="EF95" s="17">
        <f t="shared" si="122"/>
        <v>85.666666666666671</v>
      </c>
      <c r="EG95" s="18">
        <f t="shared" si="123"/>
        <v>82</v>
      </c>
      <c r="EH95" s="18">
        <f t="shared" si="124"/>
        <v>80.666666666666671</v>
      </c>
      <c r="EI95" s="18">
        <f t="shared" si="125"/>
        <v>80</v>
      </c>
      <c r="EJ95" s="18">
        <f t="shared" si="126"/>
        <v>80</v>
      </c>
      <c r="EK95" s="17">
        <f t="shared" si="127"/>
        <v>80.26666666666668</v>
      </c>
      <c r="EL95" s="19">
        <f t="shared" si="128"/>
        <v>88.58</v>
      </c>
      <c r="EM95" s="19">
        <f t="shared" si="129"/>
        <v>88.28</v>
      </c>
      <c r="EN95" s="19">
        <f t="shared" si="130"/>
        <v>81.8</v>
      </c>
      <c r="EO95" s="19">
        <f t="shared" si="131"/>
        <v>82.5</v>
      </c>
      <c r="EP95" s="19">
        <f t="shared" si="132"/>
        <v>83.25</v>
      </c>
      <c r="EQ95" s="19">
        <f t="shared" si="133"/>
        <v>85.5</v>
      </c>
      <c r="ER95" s="19">
        <f t="shared" si="134"/>
        <v>81</v>
      </c>
      <c r="ES95" s="19">
        <f t="shared" si="135"/>
        <v>83.3</v>
      </c>
      <c r="ET95" s="19">
        <f t="shared" si="136"/>
        <v>78.86</v>
      </c>
      <c r="EU95" s="19">
        <f t="shared" si="137"/>
        <v>81.320000000000007</v>
      </c>
      <c r="EV95" s="19">
        <f t="shared" si="138"/>
        <v>88.5</v>
      </c>
      <c r="EW95" s="19">
        <f t="shared" si="139"/>
        <v>88.5</v>
      </c>
      <c r="EX95" s="19">
        <f t="shared" si="140"/>
        <v>83.5</v>
      </c>
      <c r="EY95" s="19">
        <f t="shared" si="141"/>
        <v>81.76666666666668</v>
      </c>
      <c r="EZ95" s="19">
        <f t="shared" si="142"/>
        <v>85.666666666666671</v>
      </c>
      <c r="FA95" s="19">
        <f t="shared" si="143"/>
        <v>82</v>
      </c>
      <c r="FB95" s="19">
        <f t="shared" si="144"/>
        <v>80.26666666666668</v>
      </c>
      <c r="FC95" s="19">
        <f t="shared" si="145"/>
        <v>83.799411764705894</v>
      </c>
    </row>
    <row r="96" spans="1:159" ht="20.100000000000001" customHeight="1">
      <c r="A96" s="11">
        <v>92</v>
      </c>
      <c r="B96" s="12" t="s">
        <v>236</v>
      </c>
      <c r="C96" s="13" t="s">
        <v>237</v>
      </c>
      <c r="D96" s="25" t="s">
        <v>197</v>
      </c>
      <c r="E96" s="14">
        <v>90</v>
      </c>
      <c r="F96" s="14">
        <v>81</v>
      </c>
      <c r="G96" s="14">
        <v>88</v>
      </c>
      <c r="H96" s="14">
        <v>86</v>
      </c>
      <c r="I96" s="14">
        <v>88</v>
      </c>
      <c r="J96" s="14">
        <v>84</v>
      </c>
      <c r="K96" s="14">
        <v>85</v>
      </c>
      <c r="L96" s="14">
        <v>81</v>
      </c>
      <c r="M96" s="14">
        <v>95</v>
      </c>
      <c r="N96" s="14">
        <v>95</v>
      </c>
      <c r="O96" s="14">
        <v>95</v>
      </c>
      <c r="P96" s="15">
        <v>80</v>
      </c>
      <c r="Q96" s="15">
        <v>94</v>
      </c>
      <c r="R96" s="14">
        <v>81</v>
      </c>
      <c r="S96" s="14">
        <v>88</v>
      </c>
      <c r="T96" s="14">
        <v>73</v>
      </c>
      <c r="U96" s="14">
        <v>79</v>
      </c>
      <c r="V96" s="14">
        <v>81</v>
      </c>
      <c r="W96" s="14">
        <v>84</v>
      </c>
      <c r="X96" s="14">
        <v>85</v>
      </c>
      <c r="Y96" s="14">
        <v>82</v>
      </c>
      <c r="Z96" s="14">
        <v>85</v>
      </c>
      <c r="AA96" s="14">
        <v>83</v>
      </c>
      <c r="AB96" s="15">
        <v>88</v>
      </c>
      <c r="AC96" s="15">
        <v>85</v>
      </c>
      <c r="AD96" s="14">
        <v>83</v>
      </c>
      <c r="AE96" s="14">
        <v>83</v>
      </c>
      <c r="AF96" s="14">
        <v>82</v>
      </c>
      <c r="AG96" s="14">
        <v>78</v>
      </c>
      <c r="AH96" s="14">
        <v>77</v>
      </c>
      <c r="AI96" s="14">
        <v>72</v>
      </c>
      <c r="AJ96" s="14">
        <v>83</v>
      </c>
      <c r="AK96" s="14">
        <v>83</v>
      </c>
      <c r="AL96" s="15">
        <v>81</v>
      </c>
      <c r="AM96" s="15">
        <v>86</v>
      </c>
      <c r="AN96" s="14">
        <v>86</v>
      </c>
      <c r="AO96" s="14">
        <v>86</v>
      </c>
      <c r="AP96" s="14">
        <v>88</v>
      </c>
      <c r="AQ96" s="14">
        <v>82</v>
      </c>
      <c r="AR96" s="14">
        <v>82</v>
      </c>
      <c r="AS96" s="14">
        <v>79</v>
      </c>
      <c r="AT96" s="14">
        <v>85</v>
      </c>
      <c r="AU96" s="14">
        <v>85</v>
      </c>
      <c r="AV96" s="14">
        <v>80</v>
      </c>
      <c r="AW96" s="14">
        <v>80</v>
      </c>
      <c r="AX96" s="15">
        <v>82</v>
      </c>
      <c r="AY96" s="15">
        <v>92</v>
      </c>
      <c r="AZ96" s="14">
        <v>94</v>
      </c>
      <c r="BA96" s="14">
        <v>82</v>
      </c>
      <c r="BB96" s="14">
        <v>83</v>
      </c>
      <c r="BC96" s="14">
        <v>81</v>
      </c>
      <c r="BD96" s="14">
        <v>80</v>
      </c>
      <c r="BE96" s="37">
        <v>82</v>
      </c>
      <c r="BF96" s="37">
        <v>83</v>
      </c>
      <c r="BG96" s="37">
        <v>78</v>
      </c>
      <c r="BH96" s="14">
        <v>83</v>
      </c>
      <c r="BI96" s="37">
        <v>77</v>
      </c>
      <c r="BJ96" s="37">
        <v>84</v>
      </c>
      <c r="BK96" s="37">
        <v>72</v>
      </c>
      <c r="BL96" s="14">
        <v>83</v>
      </c>
      <c r="BM96" s="37">
        <v>73</v>
      </c>
      <c r="BN96" s="37">
        <v>75</v>
      </c>
      <c r="BO96" s="37">
        <v>84</v>
      </c>
      <c r="BP96" s="14">
        <v>83</v>
      </c>
      <c r="BQ96" s="15">
        <f t="shared" si="73"/>
        <v>77.333333333333329</v>
      </c>
      <c r="BR96" s="15">
        <f t="shared" si="74"/>
        <v>80.666666666666671</v>
      </c>
      <c r="BS96" s="15">
        <f t="shared" si="75"/>
        <v>78</v>
      </c>
      <c r="BT96" s="15">
        <f t="shared" si="76"/>
        <v>83</v>
      </c>
      <c r="BU96" s="15">
        <v>87</v>
      </c>
      <c r="BV96" s="15">
        <v>85</v>
      </c>
      <c r="BW96" s="15">
        <v>84</v>
      </c>
      <c r="BX96" s="15">
        <v>83</v>
      </c>
      <c r="BY96" s="15">
        <v>82</v>
      </c>
      <c r="BZ96" s="15">
        <v>76</v>
      </c>
      <c r="CA96" s="15">
        <v>87</v>
      </c>
      <c r="CB96" s="15">
        <v>80</v>
      </c>
      <c r="CC96" s="15">
        <v>82</v>
      </c>
      <c r="CD96" s="39">
        <v>85</v>
      </c>
      <c r="CE96" s="40">
        <v>93</v>
      </c>
      <c r="CF96" s="40">
        <v>82</v>
      </c>
      <c r="CG96" s="40">
        <v>75</v>
      </c>
      <c r="CH96" s="40">
        <v>80</v>
      </c>
      <c r="CI96" s="40">
        <v>80</v>
      </c>
      <c r="CJ96" s="40">
        <v>80</v>
      </c>
      <c r="CK96" s="39">
        <v>84</v>
      </c>
      <c r="CL96" s="40">
        <v>90</v>
      </c>
      <c r="CM96" s="41">
        <f t="shared" si="77"/>
        <v>86.6</v>
      </c>
      <c r="CN96" s="41">
        <f t="shared" si="78"/>
        <v>84</v>
      </c>
      <c r="CO96" s="41">
        <f t="shared" si="79"/>
        <v>85</v>
      </c>
      <c r="CP96" s="17">
        <f t="shared" si="80"/>
        <v>85.34</v>
      </c>
      <c r="CQ96" s="16">
        <f t="shared" si="81"/>
        <v>90.2</v>
      </c>
      <c r="CR96" s="16">
        <f t="shared" si="82"/>
        <v>80</v>
      </c>
      <c r="CS96" s="16">
        <f t="shared" si="83"/>
        <v>93</v>
      </c>
      <c r="CT96" s="17">
        <f t="shared" si="84"/>
        <v>87.97999999999999</v>
      </c>
      <c r="CU96" s="17">
        <f t="shared" si="85"/>
        <v>83</v>
      </c>
      <c r="CV96" s="17">
        <f t="shared" si="86"/>
        <v>81</v>
      </c>
      <c r="CW96" s="17">
        <f t="shared" si="87"/>
        <v>82</v>
      </c>
      <c r="CX96" s="17">
        <f t="shared" si="88"/>
        <v>82.1</v>
      </c>
      <c r="CY96" s="18">
        <f t="shared" si="89"/>
        <v>84</v>
      </c>
      <c r="CZ96" s="18">
        <f t="shared" si="90"/>
        <v>84</v>
      </c>
      <c r="DA96" s="18">
        <f t="shared" si="91"/>
        <v>84.75</v>
      </c>
      <c r="DB96" s="18">
        <f t="shared" si="92"/>
        <v>84.75</v>
      </c>
      <c r="DC96" s="18">
        <f t="shared" si="93"/>
        <v>82.5</v>
      </c>
      <c r="DD96" s="18">
        <f t="shared" si="94"/>
        <v>82.5</v>
      </c>
      <c r="DE96" s="18">
        <f t="shared" si="95"/>
        <v>77.5</v>
      </c>
      <c r="DF96" s="18">
        <f t="shared" si="96"/>
        <v>77.5</v>
      </c>
      <c r="DG96" s="18">
        <f t="shared" si="97"/>
        <v>83</v>
      </c>
      <c r="DH96" s="18">
        <f t="shared" si="98"/>
        <v>81</v>
      </c>
      <c r="DI96" s="18">
        <f t="shared" si="99"/>
        <v>75</v>
      </c>
      <c r="DJ96" s="17">
        <f t="shared" si="100"/>
        <v>80</v>
      </c>
      <c r="DK96" s="18">
        <f t="shared" si="101"/>
        <v>85.6</v>
      </c>
      <c r="DL96" s="18">
        <f t="shared" si="102"/>
        <v>82</v>
      </c>
      <c r="DM96" s="18">
        <f t="shared" si="103"/>
        <v>80</v>
      </c>
      <c r="DN96" s="17">
        <f t="shared" si="104"/>
        <v>82.84</v>
      </c>
      <c r="DO96" s="18">
        <f t="shared" si="105"/>
        <v>81.8</v>
      </c>
      <c r="DP96" s="18">
        <f t="shared" si="106"/>
        <v>82</v>
      </c>
      <c r="DQ96" s="18">
        <f t="shared" si="107"/>
        <v>80</v>
      </c>
      <c r="DR96" s="17">
        <f t="shared" si="108"/>
        <v>81.320000000000007</v>
      </c>
      <c r="DS96" s="18">
        <f t="shared" si="109"/>
        <v>93</v>
      </c>
      <c r="DT96" s="18">
        <f t="shared" si="110"/>
        <v>93</v>
      </c>
      <c r="DU96" s="18">
        <f t="shared" si="111"/>
        <v>82.5</v>
      </c>
      <c r="DV96" s="18">
        <f t="shared" si="112"/>
        <v>82.5</v>
      </c>
      <c r="DW96" s="18">
        <f t="shared" si="113"/>
        <v>80.5</v>
      </c>
      <c r="DX96" s="17">
        <f t="shared" si="114"/>
        <v>80.5</v>
      </c>
      <c r="DY96" s="18">
        <f t="shared" si="115"/>
        <v>78.666666666666671</v>
      </c>
      <c r="DZ96" s="18">
        <f t="shared" si="116"/>
        <v>83</v>
      </c>
      <c r="EA96" s="18">
        <f t="shared" si="117"/>
        <v>90</v>
      </c>
      <c r="EB96" s="17">
        <f t="shared" si="118"/>
        <v>83.366666666666674</v>
      </c>
      <c r="EC96" s="18">
        <f t="shared" si="119"/>
        <v>85.333333333333329</v>
      </c>
      <c r="ED96" s="18">
        <f t="shared" si="120"/>
        <v>83</v>
      </c>
      <c r="EE96" s="18">
        <f t="shared" si="121"/>
        <v>84</v>
      </c>
      <c r="EF96" s="17">
        <f t="shared" si="122"/>
        <v>84.23333333333332</v>
      </c>
      <c r="EG96" s="18">
        <f t="shared" si="123"/>
        <v>82</v>
      </c>
      <c r="EH96" s="18">
        <f t="shared" si="124"/>
        <v>81</v>
      </c>
      <c r="EI96" s="18">
        <f t="shared" si="125"/>
        <v>82</v>
      </c>
      <c r="EJ96" s="18">
        <f t="shared" si="126"/>
        <v>80</v>
      </c>
      <c r="EK96" s="17">
        <f t="shared" si="127"/>
        <v>81</v>
      </c>
      <c r="EL96" s="19">
        <f t="shared" si="128"/>
        <v>85.34</v>
      </c>
      <c r="EM96" s="19">
        <f t="shared" si="129"/>
        <v>87.97999999999999</v>
      </c>
      <c r="EN96" s="19">
        <f t="shared" si="130"/>
        <v>82.1</v>
      </c>
      <c r="EO96" s="19">
        <f t="shared" si="131"/>
        <v>84</v>
      </c>
      <c r="EP96" s="19">
        <f t="shared" si="132"/>
        <v>84.75</v>
      </c>
      <c r="EQ96" s="19">
        <f t="shared" si="133"/>
        <v>82.5</v>
      </c>
      <c r="ER96" s="19">
        <f t="shared" si="134"/>
        <v>77.5</v>
      </c>
      <c r="ES96" s="19">
        <f t="shared" si="135"/>
        <v>80</v>
      </c>
      <c r="ET96" s="19">
        <f t="shared" si="136"/>
        <v>82.84</v>
      </c>
      <c r="EU96" s="19">
        <f t="shared" si="137"/>
        <v>81.320000000000007</v>
      </c>
      <c r="EV96" s="19">
        <f t="shared" si="138"/>
        <v>93</v>
      </c>
      <c r="EW96" s="19">
        <f t="shared" si="139"/>
        <v>82.5</v>
      </c>
      <c r="EX96" s="19">
        <f t="shared" si="140"/>
        <v>80.5</v>
      </c>
      <c r="EY96" s="19">
        <f t="shared" si="141"/>
        <v>83.366666666666674</v>
      </c>
      <c r="EZ96" s="19">
        <f t="shared" si="142"/>
        <v>84.23333333333332</v>
      </c>
      <c r="FA96" s="19">
        <f t="shared" si="143"/>
        <v>82</v>
      </c>
      <c r="FB96" s="19">
        <f t="shared" si="144"/>
        <v>81</v>
      </c>
      <c r="FC96" s="19">
        <f t="shared" si="145"/>
        <v>83.231176470588238</v>
      </c>
    </row>
    <row r="97" spans="1:159" ht="20.100000000000001" customHeight="1">
      <c r="A97" s="11">
        <v>93</v>
      </c>
      <c r="B97" s="12" t="s">
        <v>238</v>
      </c>
      <c r="C97" s="13" t="s">
        <v>239</v>
      </c>
      <c r="D97" s="25" t="s">
        <v>197</v>
      </c>
      <c r="E97" s="14">
        <v>91</v>
      </c>
      <c r="F97" s="14">
        <v>89</v>
      </c>
      <c r="G97" s="14">
        <v>87</v>
      </c>
      <c r="H97" s="14">
        <v>90</v>
      </c>
      <c r="I97" s="14">
        <v>87</v>
      </c>
      <c r="J97" s="14">
        <v>89</v>
      </c>
      <c r="K97" s="14">
        <v>84</v>
      </c>
      <c r="L97" s="14">
        <v>82</v>
      </c>
      <c r="M97" s="14">
        <v>84</v>
      </c>
      <c r="N97" s="14">
        <v>86</v>
      </c>
      <c r="O97" s="14">
        <v>90</v>
      </c>
      <c r="P97" s="15">
        <v>89</v>
      </c>
      <c r="Q97" s="15">
        <v>87</v>
      </c>
      <c r="R97" s="14">
        <v>85</v>
      </c>
      <c r="S97" s="14">
        <v>86</v>
      </c>
      <c r="T97" s="14">
        <v>87</v>
      </c>
      <c r="U97" s="14">
        <v>87</v>
      </c>
      <c r="V97" s="14">
        <v>84</v>
      </c>
      <c r="W97" s="14">
        <v>80</v>
      </c>
      <c r="X97" s="14">
        <v>84</v>
      </c>
      <c r="Y97" s="14">
        <v>80</v>
      </c>
      <c r="Z97" s="14">
        <v>84</v>
      </c>
      <c r="AA97" s="14">
        <v>81</v>
      </c>
      <c r="AB97" s="15">
        <v>88</v>
      </c>
      <c r="AC97" s="15">
        <v>86</v>
      </c>
      <c r="AD97" s="14">
        <v>84</v>
      </c>
      <c r="AE97" s="14">
        <v>83</v>
      </c>
      <c r="AF97" s="14">
        <v>84</v>
      </c>
      <c r="AG97" s="14">
        <v>84</v>
      </c>
      <c r="AH97" s="14">
        <v>82</v>
      </c>
      <c r="AI97" s="14">
        <v>80</v>
      </c>
      <c r="AJ97" s="14">
        <v>84</v>
      </c>
      <c r="AK97" s="14">
        <v>86</v>
      </c>
      <c r="AL97" s="15">
        <v>84</v>
      </c>
      <c r="AM97" s="15">
        <v>73</v>
      </c>
      <c r="AN97" s="14">
        <v>76</v>
      </c>
      <c r="AO97" s="14">
        <v>80</v>
      </c>
      <c r="AP97" s="14">
        <v>81</v>
      </c>
      <c r="AQ97" s="14">
        <v>85</v>
      </c>
      <c r="AR97" s="14">
        <v>89</v>
      </c>
      <c r="AS97" s="14">
        <v>81</v>
      </c>
      <c r="AT97" s="14">
        <v>84</v>
      </c>
      <c r="AU97" s="14">
        <v>85</v>
      </c>
      <c r="AV97" s="14">
        <v>86</v>
      </c>
      <c r="AW97" s="14">
        <v>85</v>
      </c>
      <c r="AX97" s="15">
        <v>89</v>
      </c>
      <c r="AY97" s="15">
        <v>76</v>
      </c>
      <c r="AZ97" s="14">
        <v>87</v>
      </c>
      <c r="BA97" s="14">
        <v>73</v>
      </c>
      <c r="BB97" s="14">
        <v>84</v>
      </c>
      <c r="BC97" s="14">
        <v>78</v>
      </c>
      <c r="BD97" s="14">
        <v>83</v>
      </c>
      <c r="BE97" s="37">
        <v>85</v>
      </c>
      <c r="BF97" s="37">
        <v>82</v>
      </c>
      <c r="BG97" s="37">
        <v>78</v>
      </c>
      <c r="BH97" s="14">
        <v>89</v>
      </c>
      <c r="BI97" s="37">
        <v>86</v>
      </c>
      <c r="BJ97" s="37">
        <v>85</v>
      </c>
      <c r="BK97" s="37">
        <v>88</v>
      </c>
      <c r="BL97" s="14">
        <v>89</v>
      </c>
      <c r="BM97" s="37">
        <v>75</v>
      </c>
      <c r="BN97" s="37">
        <v>79</v>
      </c>
      <c r="BO97" s="37">
        <v>85</v>
      </c>
      <c r="BP97" s="14">
        <v>89</v>
      </c>
      <c r="BQ97" s="15">
        <f t="shared" si="73"/>
        <v>82</v>
      </c>
      <c r="BR97" s="15">
        <f t="shared" si="74"/>
        <v>82</v>
      </c>
      <c r="BS97" s="15">
        <f t="shared" si="75"/>
        <v>83.666666666666671</v>
      </c>
      <c r="BT97" s="15">
        <f t="shared" si="76"/>
        <v>89</v>
      </c>
      <c r="BU97" s="15">
        <v>88</v>
      </c>
      <c r="BV97" s="15">
        <v>88</v>
      </c>
      <c r="BW97" s="15">
        <v>84</v>
      </c>
      <c r="BX97" s="15">
        <v>89</v>
      </c>
      <c r="BY97" s="15">
        <v>88</v>
      </c>
      <c r="BZ97" s="15">
        <v>77</v>
      </c>
      <c r="CA97" s="15">
        <v>90</v>
      </c>
      <c r="CB97" s="15">
        <v>76</v>
      </c>
      <c r="CC97" s="15">
        <v>89</v>
      </c>
      <c r="CD97" s="39">
        <v>90</v>
      </c>
      <c r="CE97" s="40">
        <v>88</v>
      </c>
      <c r="CF97" s="40">
        <v>85</v>
      </c>
      <c r="CG97" s="40">
        <v>94</v>
      </c>
      <c r="CH97" s="40">
        <v>81</v>
      </c>
      <c r="CI97" s="40">
        <v>88</v>
      </c>
      <c r="CJ97" s="40">
        <v>85</v>
      </c>
      <c r="CK97" s="39">
        <v>90</v>
      </c>
      <c r="CL97" s="40">
        <v>92</v>
      </c>
      <c r="CM97" s="41">
        <f t="shared" si="77"/>
        <v>88.8</v>
      </c>
      <c r="CN97" s="41">
        <f t="shared" si="78"/>
        <v>89</v>
      </c>
      <c r="CO97" s="41">
        <f t="shared" si="79"/>
        <v>90</v>
      </c>
      <c r="CP97" s="17">
        <f t="shared" si="80"/>
        <v>89.22</v>
      </c>
      <c r="CQ97" s="16">
        <f t="shared" si="81"/>
        <v>85.2</v>
      </c>
      <c r="CR97" s="16">
        <f t="shared" si="82"/>
        <v>89</v>
      </c>
      <c r="CS97" s="16">
        <f t="shared" si="83"/>
        <v>88</v>
      </c>
      <c r="CT97" s="17">
        <f t="shared" si="84"/>
        <v>87.179999999999993</v>
      </c>
      <c r="CU97" s="17">
        <f t="shared" si="85"/>
        <v>86.4</v>
      </c>
      <c r="CV97" s="17">
        <f t="shared" si="86"/>
        <v>84</v>
      </c>
      <c r="CW97" s="17">
        <f t="shared" si="87"/>
        <v>85</v>
      </c>
      <c r="CX97" s="17">
        <f t="shared" si="88"/>
        <v>85.26</v>
      </c>
      <c r="CY97" s="18">
        <f t="shared" si="89"/>
        <v>82</v>
      </c>
      <c r="CZ97" s="18">
        <f t="shared" si="90"/>
        <v>82</v>
      </c>
      <c r="DA97" s="18">
        <f t="shared" si="91"/>
        <v>84.75</v>
      </c>
      <c r="DB97" s="18">
        <f t="shared" si="92"/>
        <v>84.75</v>
      </c>
      <c r="DC97" s="18">
        <f t="shared" si="93"/>
        <v>83.5</v>
      </c>
      <c r="DD97" s="18">
        <f t="shared" si="94"/>
        <v>83.5</v>
      </c>
      <c r="DE97" s="18">
        <f t="shared" si="95"/>
        <v>82.5</v>
      </c>
      <c r="DF97" s="18">
        <f t="shared" si="96"/>
        <v>82.5</v>
      </c>
      <c r="DG97" s="18">
        <f t="shared" si="97"/>
        <v>86</v>
      </c>
      <c r="DH97" s="18">
        <f t="shared" si="98"/>
        <v>84</v>
      </c>
      <c r="DI97" s="18">
        <f t="shared" si="99"/>
        <v>94</v>
      </c>
      <c r="DJ97" s="17">
        <f t="shared" si="100"/>
        <v>87.8</v>
      </c>
      <c r="DK97" s="18">
        <f t="shared" si="101"/>
        <v>79</v>
      </c>
      <c r="DL97" s="18">
        <f t="shared" si="102"/>
        <v>89</v>
      </c>
      <c r="DM97" s="18">
        <f t="shared" si="103"/>
        <v>81</v>
      </c>
      <c r="DN97" s="17">
        <f t="shared" si="104"/>
        <v>82.6</v>
      </c>
      <c r="DO97" s="18">
        <f t="shared" si="105"/>
        <v>84.2</v>
      </c>
      <c r="DP97" s="18">
        <f t="shared" si="106"/>
        <v>89</v>
      </c>
      <c r="DQ97" s="18">
        <f t="shared" si="107"/>
        <v>88</v>
      </c>
      <c r="DR97" s="17">
        <f t="shared" si="108"/>
        <v>86.78</v>
      </c>
      <c r="DS97" s="18">
        <f t="shared" si="109"/>
        <v>81.5</v>
      </c>
      <c r="DT97" s="18">
        <f t="shared" si="110"/>
        <v>81.5</v>
      </c>
      <c r="DU97" s="18">
        <f t="shared" si="111"/>
        <v>78.5</v>
      </c>
      <c r="DV97" s="18">
        <f t="shared" si="112"/>
        <v>78.5</v>
      </c>
      <c r="DW97" s="18">
        <f t="shared" si="113"/>
        <v>80.5</v>
      </c>
      <c r="DX97" s="17">
        <f t="shared" si="114"/>
        <v>80.5</v>
      </c>
      <c r="DY97" s="18">
        <f t="shared" si="115"/>
        <v>82.555555555555557</v>
      </c>
      <c r="DZ97" s="18">
        <f t="shared" si="116"/>
        <v>89</v>
      </c>
      <c r="EA97" s="18">
        <f t="shared" si="117"/>
        <v>92</v>
      </c>
      <c r="EB97" s="17">
        <f t="shared" si="118"/>
        <v>87.322222222222223</v>
      </c>
      <c r="EC97" s="18">
        <f t="shared" si="119"/>
        <v>86.666666666666671</v>
      </c>
      <c r="ED97" s="18">
        <f t="shared" si="120"/>
        <v>89</v>
      </c>
      <c r="EE97" s="18">
        <f t="shared" si="121"/>
        <v>90</v>
      </c>
      <c r="EF97" s="17">
        <f t="shared" si="122"/>
        <v>88.366666666666674</v>
      </c>
      <c r="EG97" s="18">
        <f t="shared" si="123"/>
        <v>88</v>
      </c>
      <c r="EH97" s="18">
        <f t="shared" si="124"/>
        <v>81</v>
      </c>
      <c r="EI97" s="18">
        <f t="shared" si="125"/>
        <v>89</v>
      </c>
      <c r="EJ97" s="18">
        <f t="shared" si="126"/>
        <v>85</v>
      </c>
      <c r="EK97" s="17">
        <f t="shared" si="127"/>
        <v>84.6</v>
      </c>
      <c r="EL97" s="19">
        <f t="shared" si="128"/>
        <v>89.22</v>
      </c>
      <c r="EM97" s="19">
        <f t="shared" si="129"/>
        <v>87.179999999999993</v>
      </c>
      <c r="EN97" s="19">
        <f t="shared" si="130"/>
        <v>85.26</v>
      </c>
      <c r="EO97" s="19">
        <f t="shared" si="131"/>
        <v>82</v>
      </c>
      <c r="EP97" s="19">
        <f t="shared" si="132"/>
        <v>84.75</v>
      </c>
      <c r="EQ97" s="19">
        <f t="shared" si="133"/>
        <v>83.5</v>
      </c>
      <c r="ER97" s="19">
        <f t="shared" si="134"/>
        <v>82.5</v>
      </c>
      <c r="ES97" s="19">
        <f t="shared" si="135"/>
        <v>87.8</v>
      </c>
      <c r="ET97" s="19">
        <f t="shared" si="136"/>
        <v>82.6</v>
      </c>
      <c r="EU97" s="19">
        <f t="shared" si="137"/>
        <v>86.78</v>
      </c>
      <c r="EV97" s="19">
        <f t="shared" si="138"/>
        <v>81.5</v>
      </c>
      <c r="EW97" s="19">
        <f t="shared" si="139"/>
        <v>78.5</v>
      </c>
      <c r="EX97" s="19">
        <f t="shared" si="140"/>
        <v>80.5</v>
      </c>
      <c r="EY97" s="19">
        <f t="shared" si="141"/>
        <v>87.322222222222223</v>
      </c>
      <c r="EZ97" s="19">
        <f t="shared" si="142"/>
        <v>88.366666666666674</v>
      </c>
      <c r="FA97" s="19">
        <f t="shared" si="143"/>
        <v>88</v>
      </c>
      <c r="FB97" s="19">
        <f t="shared" si="144"/>
        <v>84.6</v>
      </c>
      <c r="FC97" s="19">
        <f t="shared" si="145"/>
        <v>84.728169934640519</v>
      </c>
    </row>
    <row r="98" spans="1:159" ht="20.100000000000001" customHeight="1">
      <c r="A98" s="11">
        <v>94</v>
      </c>
      <c r="B98" s="12" t="s">
        <v>240</v>
      </c>
      <c r="C98" s="13" t="s">
        <v>241</v>
      </c>
      <c r="D98" s="25" t="s">
        <v>197</v>
      </c>
      <c r="E98" s="14">
        <v>90</v>
      </c>
      <c r="F98" s="14">
        <v>88</v>
      </c>
      <c r="G98" s="14">
        <v>87</v>
      </c>
      <c r="H98" s="14">
        <v>86</v>
      </c>
      <c r="I98" s="14">
        <v>91</v>
      </c>
      <c r="J98" s="14">
        <v>85</v>
      </c>
      <c r="K98" s="14">
        <v>85</v>
      </c>
      <c r="L98" s="14">
        <v>85</v>
      </c>
      <c r="M98" s="14">
        <v>95</v>
      </c>
      <c r="N98" s="14">
        <v>95</v>
      </c>
      <c r="O98" s="14">
        <v>95</v>
      </c>
      <c r="P98" s="15">
        <v>85</v>
      </c>
      <c r="Q98" s="15">
        <v>85</v>
      </c>
      <c r="R98" s="14">
        <v>90</v>
      </c>
      <c r="S98" s="14">
        <v>92</v>
      </c>
      <c r="T98" s="14">
        <v>93</v>
      </c>
      <c r="U98" s="14">
        <v>90</v>
      </c>
      <c r="V98" s="14">
        <v>85</v>
      </c>
      <c r="W98" s="14">
        <v>80</v>
      </c>
      <c r="X98" s="14">
        <v>85</v>
      </c>
      <c r="Y98" s="14">
        <v>80</v>
      </c>
      <c r="Z98" s="14">
        <v>84</v>
      </c>
      <c r="AA98" s="14">
        <v>85</v>
      </c>
      <c r="AB98" s="15">
        <v>85</v>
      </c>
      <c r="AC98" s="15">
        <v>85</v>
      </c>
      <c r="AD98" s="14">
        <v>86</v>
      </c>
      <c r="AE98" s="14">
        <v>84</v>
      </c>
      <c r="AF98" s="14">
        <v>86</v>
      </c>
      <c r="AG98" s="14">
        <v>87</v>
      </c>
      <c r="AH98" s="14">
        <v>82</v>
      </c>
      <c r="AI98" s="14">
        <v>80</v>
      </c>
      <c r="AJ98" s="14">
        <v>86</v>
      </c>
      <c r="AK98" s="14">
        <v>88</v>
      </c>
      <c r="AL98" s="15">
        <v>85</v>
      </c>
      <c r="AM98" s="15">
        <v>80</v>
      </c>
      <c r="AN98" s="14">
        <v>87</v>
      </c>
      <c r="AO98" s="14">
        <v>80</v>
      </c>
      <c r="AP98" s="14">
        <v>81</v>
      </c>
      <c r="AQ98" s="14">
        <v>89</v>
      </c>
      <c r="AR98" s="14">
        <v>85</v>
      </c>
      <c r="AS98" s="14">
        <v>78</v>
      </c>
      <c r="AT98" s="14">
        <v>83</v>
      </c>
      <c r="AU98" s="14">
        <v>83</v>
      </c>
      <c r="AV98" s="14">
        <v>86</v>
      </c>
      <c r="AW98" s="14">
        <v>85</v>
      </c>
      <c r="AX98" s="15">
        <v>85</v>
      </c>
      <c r="AY98" s="15">
        <v>89</v>
      </c>
      <c r="AZ98" s="14">
        <v>91</v>
      </c>
      <c r="BA98" s="14">
        <v>86</v>
      </c>
      <c r="BB98" s="14">
        <v>90</v>
      </c>
      <c r="BC98" s="14">
        <v>76</v>
      </c>
      <c r="BD98" s="14">
        <v>83</v>
      </c>
      <c r="BE98" s="37">
        <v>86</v>
      </c>
      <c r="BF98" s="37">
        <v>89</v>
      </c>
      <c r="BG98" s="37">
        <v>84</v>
      </c>
      <c r="BH98" s="14">
        <v>85</v>
      </c>
      <c r="BI98" s="37">
        <v>90</v>
      </c>
      <c r="BJ98" s="37">
        <v>88</v>
      </c>
      <c r="BK98" s="37">
        <v>88</v>
      </c>
      <c r="BL98" s="14">
        <v>85</v>
      </c>
      <c r="BM98" s="37">
        <v>78</v>
      </c>
      <c r="BN98" s="37">
        <v>87</v>
      </c>
      <c r="BO98" s="37">
        <v>84</v>
      </c>
      <c r="BP98" s="14">
        <v>85</v>
      </c>
      <c r="BQ98" s="15">
        <f t="shared" si="73"/>
        <v>84.666666666666671</v>
      </c>
      <c r="BR98" s="15">
        <f t="shared" si="74"/>
        <v>88</v>
      </c>
      <c r="BS98" s="15">
        <f t="shared" si="75"/>
        <v>85.333333333333329</v>
      </c>
      <c r="BT98" s="15">
        <f t="shared" si="76"/>
        <v>85</v>
      </c>
      <c r="BU98" s="15">
        <v>87</v>
      </c>
      <c r="BV98" s="15">
        <v>84</v>
      </c>
      <c r="BW98" s="15">
        <v>85</v>
      </c>
      <c r="BX98" s="15">
        <v>85</v>
      </c>
      <c r="BY98" s="15">
        <v>85</v>
      </c>
      <c r="BZ98" s="15">
        <v>80</v>
      </c>
      <c r="CA98" s="15">
        <v>91</v>
      </c>
      <c r="CB98" s="15">
        <v>77</v>
      </c>
      <c r="CC98" s="15">
        <v>85</v>
      </c>
      <c r="CD98" s="39">
        <v>92</v>
      </c>
      <c r="CE98" s="40">
        <v>90</v>
      </c>
      <c r="CF98" s="40">
        <v>88</v>
      </c>
      <c r="CG98" s="40">
        <v>94</v>
      </c>
      <c r="CH98" s="40">
        <v>90</v>
      </c>
      <c r="CI98" s="40">
        <v>88</v>
      </c>
      <c r="CJ98" s="40">
        <v>85</v>
      </c>
      <c r="CK98" s="39">
        <v>89</v>
      </c>
      <c r="CL98" s="40">
        <v>85</v>
      </c>
      <c r="CM98" s="41">
        <f t="shared" si="77"/>
        <v>88.4</v>
      </c>
      <c r="CN98" s="41">
        <f t="shared" si="78"/>
        <v>85</v>
      </c>
      <c r="CO98" s="41">
        <f t="shared" si="79"/>
        <v>92</v>
      </c>
      <c r="CP98" s="17">
        <f t="shared" si="80"/>
        <v>88.460000000000008</v>
      </c>
      <c r="CQ98" s="16">
        <f t="shared" si="81"/>
        <v>91</v>
      </c>
      <c r="CR98" s="16">
        <f t="shared" si="82"/>
        <v>85</v>
      </c>
      <c r="CS98" s="16">
        <f t="shared" si="83"/>
        <v>90</v>
      </c>
      <c r="CT98" s="17">
        <f t="shared" si="84"/>
        <v>88.9</v>
      </c>
      <c r="CU98" s="17">
        <f t="shared" si="85"/>
        <v>90</v>
      </c>
      <c r="CV98" s="17">
        <f t="shared" si="86"/>
        <v>85</v>
      </c>
      <c r="CW98" s="17">
        <f t="shared" si="87"/>
        <v>88</v>
      </c>
      <c r="CX98" s="17">
        <f t="shared" si="88"/>
        <v>87.9</v>
      </c>
      <c r="CY98" s="18">
        <f t="shared" si="89"/>
        <v>82.25</v>
      </c>
      <c r="CZ98" s="18">
        <f t="shared" si="90"/>
        <v>82.25</v>
      </c>
      <c r="DA98" s="18">
        <f t="shared" si="91"/>
        <v>85.25</v>
      </c>
      <c r="DB98" s="18">
        <f t="shared" si="92"/>
        <v>85.25</v>
      </c>
      <c r="DC98" s="18">
        <f t="shared" si="93"/>
        <v>85</v>
      </c>
      <c r="DD98" s="18">
        <f t="shared" si="94"/>
        <v>85</v>
      </c>
      <c r="DE98" s="18">
        <f t="shared" si="95"/>
        <v>83.75</v>
      </c>
      <c r="DF98" s="18">
        <f t="shared" si="96"/>
        <v>83.75</v>
      </c>
      <c r="DG98" s="18">
        <f t="shared" si="97"/>
        <v>88</v>
      </c>
      <c r="DH98" s="18">
        <f t="shared" si="98"/>
        <v>85</v>
      </c>
      <c r="DI98" s="18">
        <f t="shared" si="99"/>
        <v>94</v>
      </c>
      <c r="DJ98" s="17">
        <f t="shared" si="100"/>
        <v>88.9</v>
      </c>
      <c r="DK98" s="18">
        <f t="shared" si="101"/>
        <v>83.4</v>
      </c>
      <c r="DL98" s="18">
        <f t="shared" si="102"/>
        <v>85</v>
      </c>
      <c r="DM98" s="18">
        <f t="shared" si="103"/>
        <v>90</v>
      </c>
      <c r="DN98" s="17">
        <f t="shared" si="104"/>
        <v>85.86</v>
      </c>
      <c r="DO98" s="18">
        <f t="shared" si="105"/>
        <v>83</v>
      </c>
      <c r="DP98" s="18">
        <f t="shared" si="106"/>
        <v>85</v>
      </c>
      <c r="DQ98" s="18">
        <f t="shared" si="107"/>
        <v>88</v>
      </c>
      <c r="DR98" s="17">
        <f t="shared" si="108"/>
        <v>85.1</v>
      </c>
      <c r="DS98" s="18">
        <f t="shared" si="109"/>
        <v>90</v>
      </c>
      <c r="DT98" s="18">
        <f t="shared" si="110"/>
        <v>90</v>
      </c>
      <c r="DU98" s="18">
        <f t="shared" si="111"/>
        <v>88</v>
      </c>
      <c r="DV98" s="18">
        <f t="shared" si="112"/>
        <v>88</v>
      </c>
      <c r="DW98" s="18">
        <f t="shared" si="113"/>
        <v>79.5</v>
      </c>
      <c r="DX98" s="17">
        <f t="shared" si="114"/>
        <v>79.5</v>
      </c>
      <c r="DY98" s="18">
        <f t="shared" si="115"/>
        <v>86</v>
      </c>
      <c r="DZ98" s="18">
        <f t="shared" si="116"/>
        <v>85</v>
      </c>
      <c r="EA98" s="18">
        <f t="shared" si="117"/>
        <v>85</v>
      </c>
      <c r="EB98" s="17">
        <f t="shared" si="118"/>
        <v>85.4</v>
      </c>
      <c r="EC98" s="18">
        <f t="shared" si="119"/>
        <v>85.333333333333329</v>
      </c>
      <c r="ED98" s="18">
        <f t="shared" si="120"/>
        <v>85</v>
      </c>
      <c r="EE98" s="18">
        <f t="shared" si="121"/>
        <v>89</v>
      </c>
      <c r="EF98" s="17">
        <f t="shared" si="122"/>
        <v>86.333333333333329</v>
      </c>
      <c r="EG98" s="18">
        <f t="shared" si="123"/>
        <v>85</v>
      </c>
      <c r="EH98" s="18">
        <f t="shared" si="124"/>
        <v>82.666666666666671</v>
      </c>
      <c r="EI98" s="18">
        <f t="shared" si="125"/>
        <v>85</v>
      </c>
      <c r="EJ98" s="18">
        <f t="shared" si="126"/>
        <v>85</v>
      </c>
      <c r="EK98" s="17">
        <f t="shared" si="127"/>
        <v>84.066666666666677</v>
      </c>
      <c r="EL98" s="19">
        <f t="shared" si="128"/>
        <v>88.460000000000008</v>
      </c>
      <c r="EM98" s="19">
        <f t="shared" si="129"/>
        <v>88.9</v>
      </c>
      <c r="EN98" s="19">
        <f t="shared" si="130"/>
        <v>87.9</v>
      </c>
      <c r="EO98" s="19">
        <f t="shared" si="131"/>
        <v>82.25</v>
      </c>
      <c r="EP98" s="19">
        <f t="shared" si="132"/>
        <v>85.25</v>
      </c>
      <c r="EQ98" s="19">
        <f t="shared" si="133"/>
        <v>85</v>
      </c>
      <c r="ER98" s="19">
        <f t="shared" si="134"/>
        <v>83.75</v>
      </c>
      <c r="ES98" s="19">
        <f t="shared" si="135"/>
        <v>88.9</v>
      </c>
      <c r="ET98" s="19">
        <f t="shared" si="136"/>
        <v>85.86</v>
      </c>
      <c r="EU98" s="19">
        <f t="shared" si="137"/>
        <v>85.1</v>
      </c>
      <c r="EV98" s="19">
        <f t="shared" si="138"/>
        <v>90</v>
      </c>
      <c r="EW98" s="19">
        <f t="shared" si="139"/>
        <v>88</v>
      </c>
      <c r="EX98" s="19">
        <f t="shared" si="140"/>
        <v>79.5</v>
      </c>
      <c r="EY98" s="19">
        <f t="shared" si="141"/>
        <v>85.4</v>
      </c>
      <c r="EZ98" s="19">
        <f t="shared" si="142"/>
        <v>86.333333333333329</v>
      </c>
      <c r="FA98" s="19">
        <f t="shared" si="143"/>
        <v>85</v>
      </c>
      <c r="FB98" s="19">
        <f t="shared" si="144"/>
        <v>84.066666666666677</v>
      </c>
      <c r="FC98" s="19">
        <f t="shared" si="145"/>
        <v>85.862941176470585</v>
      </c>
    </row>
    <row r="99" spans="1:159" ht="20.100000000000001" customHeight="1">
      <c r="A99" s="11">
        <v>95</v>
      </c>
      <c r="B99" s="12" t="s">
        <v>242</v>
      </c>
      <c r="C99" s="13" t="s">
        <v>243</v>
      </c>
      <c r="D99" s="25" t="s">
        <v>197</v>
      </c>
      <c r="E99" s="26">
        <v>79</v>
      </c>
      <c r="F99" s="26">
        <v>83</v>
      </c>
      <c r="G99" s="26">
        <v>88</v>
      </c>
      <c r="H99" s="26">
        <v>83</v>
      </c>
      <c r="I99" s="26">
        <v>91</v>
      </c>
      <c r="J99" s="26">
        <v>93</v>
      </c>
      <c r="K99" s="26">
        <v>82</v>
      </c>
      <c r="L99" s="26">
        <v>83</v>
      </c>
      <c r="M99" s="26">
        <v>86</v>
      </c>
      <c r="N99" s="26">
        <v>88</v>
      </c>
      <c r="O99" s="26">
        <v>92</v>
      </c>
      <c r="P99" s="27">
        <v>95</v>
      </c>
      <c r="Q99" s="27">
        <v>80</v>
      </c>
      <c r="R99" s="26">
        <v>83</v>
      </c>
      <c r="S99" s="26">
        <v>88</v>
      </c>
      <c r="T99" s="26">
        <v>87</v>
      </c>
      <c r="U99" s="26">
        <v>88</v>
      </c>
      <c r="V99" s="26">
        <v>87</v>
      </c>
      <c r="W99" s="26">
        <v>81</v>
      </c>
      <c r="X99" s="26">
        <v>84</v>
      </c>
      <c r="Y99" s="26">
        <v>80</v>
      </c>
      <c r="Z99" s="26">
        <v>84</v>
      </c>
      <c r="AA99" s="26">
        <v>74</v>
      </c>
      <c r="AB99" s="27">
        <v>82</v>
      </c>
      <c r="AC99" s="27">
        <v>83</v>
      </c>
      <c r="AD99" s="26">
        <v>85</v>
      </c>
      <c r="AE99" s="26">
        <v>82</v>
      </c>
      <c r="AF99" s="26">
        <v>85</v>
      </c>
      <c r="AG99" s="26">
        <v>86</v>
      </c>
      <c r="AH99" s="26">
        <v>75</v>
      </c>
      <c r="AI99" s="26">
        <v>80</v>
      </c>
      <c r="AJ99" s="26">
        <v>85</v>
      </c>
      <c r="AK99" s="26">
        <v>82</v>
      </c>
      <c r="AL99" s="27">
        <v>87</v>
      </c>
      <c r="AM99" s="27">
        <v>75</v>
      </c>
      <c r="AN99" s="26">
        <v>77</v>
      </c>
      <c r="AO99" s="26">
        <v>76</v>
      </c>
      <c r="AP99" s="26">
        <v>77</v>
      </c>
      <c r="AQ99" s="26">
        <v>82</v>
      </c>
      <c r="AR99" s="26">
        <v>93</v>
      </c>
      <c r="AS99" s="26">
        <v>77</v>
      </c>
      <c r="AT99" s="26">
        <v>80</v>
      </c>
      <c r="AU99" s="26">
        <v>80</v>
      </c>
      <c r="AV99" s="26">
        <v>82</v>
      </c>
      <c r="AW99" s="26">
        <v>82</v>
      </c>
      <c r="AX99" s="27">
        <v>93</v>
      </c>
      <c r="AY99" s="27">
        <v>83</v>
      </c>
      <c r="AZ99" s="26">
        <v>86</v>
      </c>
      <c r="BA99" s="26">
        <v>81</v>
      </c>
      <c r="BB99" s="26">
        <v>84</v>
      </c>
      <c r="BC99" s="26">
        <v>80</v>
      </c>
      <c r="BD99" s="26">
        <v>80</v>
      </c>
      <c r="BE99" s="37">
        <v>84</v>
      </c>
      <c r="BF99" s="37">
        <v>82</v>
      </c>
      <c r="BG99" s="37">
        <v>78</v>
      </c>
      <c r="BH99" s="26">
        <v>95</v>
      </c>
      <c r="BI99" s="37">
        <v>84</v>
      </c>
      <c r="BJ99" s="37">
        <v>83</v>
      </c>
      <c r="BK99" s="37">
        <v>72</v>
      </c>
      <c r="BL99" s="26">
        <v>95</v>
      </c>
      <c r="BM99" s="37">
        <v>72</v>
      </c>
      <c r="BN99" s="37">
        <v>77</v>
      </c>
      <c r="BO99" s="37">
        <v>85</v>
      </c>
      <c r="BP99" s="26">
        <v>95</v>
      </c>
      <c r="BQ99" s="15">
        <f t="shared" si="73"/>
        <v>80</v>
      </c>
      <c r="BR99" s="15">
        <f t="shared" si="74"/>
        <v>80.666666666666671</v>
      </c>
      <c r="BS99" s="15">
        <f t="shared" si="75"/>
        <v>78.333333333333329</v>
      </c>
      <c r="BT99" s="15">
        <f t="shared" si="76"/>
        <v>95</v>
      </c>
      <c r="BU99" s="27">
        <v>88</v>
      </c>
      <c r="BV99" s="27">
        <v>86</v>
      </c>
      <c r="BW99" s="27">
        <v>83</v>
      </c>
      <c r="BX99" s="27">
        <v>95</v>
      </c>
      <c r="BY99" s="27">
        <v>93</v>
      </c>
      <c r="BZ99" s="27">
        <v>81</v>
      </c>
      <c r="CA99" s="27">
        <v>90</v>
      </c>
      <c r="CB99" s="27">
        <v>75</v>
      </c>
      <c r="CC99" s="27">
        <v>93</v>
      </c>
      <c r="CD99" s="39">
        <v>82</v>
      </c>
      <c r="CE99" s="40">
        <v>85</v>
      </c>
      <c r="CF99" s="40">
        <v>78</v>
      </c>
      <c r="CG99" s="40">
        <v>92</v>
      </c>
      <c r="CH99" s="40">
        <v>80</v>
      </c>
      <c r="CI99" s="40">
        <v>82</v>
      </c>
      <c r="CJ99" s="40">
        <v>80</v>
      </c>
      <c r="CK99" s="39">
        <v>94</v>
      </c>
      <c r="CL99" s="40">
        <v>92</v>
      </c>
      <c r="CM99" s="41">
        <f t="shared" si="77"/>
        <v>84.8</v>
      </c>
      <c r="CN99" s="41">
        <f t="shared" si="78"/>
        <v>93</v>
      </c>
      <c r="CO99" s="41">
        <f t="shared" si="79"/>
        <v>82</v>
      </c>
      <c r="CP99" s="17">
        <f t="shared" si="80"/>
        <v>86.42</v>
      </c>
      <c r="CQ99" s="16">
        <f t="shared" si="81"/>
        <v>86.2</v>
      </c>
      <c r="CR99" s="16">
        <f t="shared" si="82"/>
        <v>95</v>
      </c>
      <c r="CS99" s="16">
        <f t="shared" si="83"/>
        <v>85</v>
      </c>
      <c r="CT99" s="17">
        <f t="shared" si="84"/>
        <v>88.47999999999999</v>
      </c>
      <c r="CU99" s="17">
        <f t="shared" si="85"/>
        <v>85.2</v>
      </c>
      <c r="CV99" s="17">
        <f t="shared" si="86"/>
        <v>87</v>
      </c>
      <c r="CW99" s="17">
        <f t="shared" si="87"/>
        <v>78</v>
      </c>
      <c r="CX99" s="17">
        <f t="shared" si="88"/>
        <v>83.58</v>
      </c>
      <c r="CY99" s="18">
        <f t="shared" si="89"/>
        <v>82.25</v>
      </c>
      <c r="CZ99" s="18">
        <f t="shared" si="90"/>
        <v>82.25</v>
      </c>
      <c r="DA99" s="18">
        <f t="shared" si="91"/>
        <v>81</v>
      </c>
      <c r="DB99" s="18">
        <f t="shared" si="92"/>
        <v>81</v>
      </c>
      <c r="DC99" s="18">
        <f t="shared" si="93"/>
        <v>83.5</v>
      </c>
      <c r="DD99" s="18">
        <f t="shared" si="94"/>
        <v>83.5</v>
      </c>
      <c r="DE99" s="18">
        <f t="shared" si="95"/>
        <v>81.5</v>
      </c>
      <c r="DF99" s="18">
        <f t="shared" si="96"/>
        <v>81.5</v>
      </c>
      <c r="DG99" s="18">
        <f t="shared" si="97"/>
        <v>82</v>
      </c>
      <c r="DH99" s="18">
        <f t="shared" si="98"/>
        <v>87</v>
      </c>
      <c r="DI99" s="18">
        <f t="shared" si="99"/>
        <v>92</v>
      </c>
      <c r="DJ99" s="17">
        <f t="shared" si="100"/>
        <v>86.5</v>
      </c>
      <c r="DK99" s="18">
        <f t="shared" si="101"/>
        <v>77.400000000000006</v>
      </c>
      <c r="DL99" s="18">
        <f t="shared" si="102"/>
        <v>93</v>
      </c>
      <c r="DM99" s="18">
        <f t="shared" si="103"/>
        <v>80</v>
      </c>
      <c r="DN99" s="17">
        <f t="shared" si="104"/>
        <v>82.86</v>
      </c>
      <c r="DO99" s="18">
        <f t="shared" si="105"/>
        <v>80.2</v>
      </c>
      <c r="DP99" s="18">
        <f t="shared" si="106"/>
        <v>93</v>
      </c>
      <c r="DQ99" s="18">
        <f t="shared" si="107"/>
        <v>82</v>
      </c>
      <c r="DR99" s="17">
        <f t="shared" si="108"/>
        <v>84.58</v>
      </c>
      <c r="DS99" s="18">
        <f t="shared" si="109"/>
        <v>84.5</v>
      </c>
      <c r="DT99" s="18">
        <f t="shared" si="110"/>
        <v>84.5</v>
      </c>
      <c r="DU99" s="18">
        <f t="shared" si="111"/>
        <v>82.5</v>
      </c>
      <c r="DV99" s="18">
        <f t="shared" si="112"/>
        <v>82.5</v>
      </c>
      <c r="DW99" s="18">
        <f t="shared" si="113"/>
        <v>80</v>
      </c>
      <c r="DX99" s="17">
        <f t="shared" si="114"/>
        <v>80</v>
      </c>
      <c r="DY99" s="18">
        <f t="shared" si="115"/>
        <v>79.666666666666671</v>
      </c>
      <c r="DZ99" s="18">
        <f t="shared" si="116"/>
        <v>95</v>
      </c>
      <c r="EA99" s="18">
        <f t="shared" si="117"/>
        <v>92</v>
      </c>
      <c r="EB99" s="17">
        <f t="shared" si="118"/>
        <v>87.966666666666669</v>
      </c>
      <c r="EC99" s="18">
        <f t="shared" si="119"/>
        <v>85.666666666666671</v>
      </c>
      <c r="ED99" s="18">
        <f t="shared" si="120"/>
        <v>95</v>
      </c>
      <c r="EE99" s="18">
        <f t="shared" si="121"/>
        <v>94</v>
      </c>
      <c r="EF99" s="17">
        <f t="shared" si="122"/>
        <v>90.966666666666669</v>
      </c>
      <c r="EG99" s="18">
        <f t="shared" si="123"/>
        <v>93</v>
      </c>
      <c r="EH99" s="18">
        <f t="shared" si="124"/>
        <v>82</v>
      </c>
      <c r="EI99" s="18">
        <f t="shared" si="125"/>
        <v>93</v>
      </c>
      <c r="EJ99" s="18">
        <f t="shared" si="126"/>
        <v>80</v>
      </c>
      <c r="EK99" s="17">
        <f t="shared" si="127"/>
        <v>84.7</v>
      </c>
      <c r="EL99" s="19">
        <f t="shared" si="128"/>
        <v>86.42</v>
      </c>
      <c r="EM99" s="19">
        <f t="shared" si="129"/>
        <v>88.47999999999999</v>
      </c>
      <c r="EN99" s="19">
        <f t="shared" si="130"/>
        <v>83.58</v>
      </c>
      <c r="EO99" s="19">
        <f t="shared" si="131"/>
        <v>82.25</v>
      </c>
      <c r="EP99" s="19">
        <f t="shared" si="132"/>
        <v>81</v>
      </c>
      <c r="EQ99" s="19">
        <f t="shared" si="133"/>
        <v>83.5</v>
      </c>
      <c r="ER99" s="19">
        <f t="shared" si="134"/>
        <v>81.5</v>
      </c>
      <c r="ES99" s="19">
        <f t="shared" si="135"/>
        <v>86.5</v>
      </c>
      <c r="ET99" s="19">
        <f t="shared" si="136"/>
        <v>82.86</v>
      </c>
      <c r="EU99" s="19">
        <f t="shared" si="137"/>
        <v>84.58</v>
      </c>
      <c r="EV99" s="19">
        <f t="shared" si="138"/>
        <v>84.5</v>
      </c>
      <c r="EW99" s="19">
        <f t="shared" si="139"/>
        <v>82.5</v>
      </c>
      <c r="EX99" s="19">
        <f t="shared" si="140"/>
        <v>80</v>
      </c>
      <c r="EY99" s="19">
        <f t="shared" si="141"/>
        <v>87.966666666666669</v>
      </c>
      <c r="EZ99" s="19">
        <f t="shared" si="142"/>
        <v>90.966666666666669</v>
      </c>
      <c r="FA99" s="19">
        <f t="shared" si="143"/>
        <v>93</v>
      </c>
      <c r="FB99" s="19">
        <f t="shared" si="144"/>
        <v>84.7</v>
      </c>
      <c r="FC99" s="19">
        <f t="shared" si="145"/>
        <v>84.959019607843146</v>
      </c>
    </row>
    <row r="100" spans="1:159" ht="20.100000000000001" customHeight="1">
      <c r="A100" s="11">
        <v>96</v>
      </c>
      <c r="B100" s="12" t="s">
        <v>244</v>
      </c>
      <c r="C100" s="13" t="s">
        <v>245</v>
      </c>
      <c r="D100" s="25" t="s">
        <v>197</v>
      </c>
      <c r="E100" s="26">
        <v>88</v>
      </c>
      <c r="F100" s="26">
        <v>80</v>
      </c>
      <c r="G100" s="26">
        <v>88</v>
      </c>
      <c r="H100" s="26">
        <v>85</v>
      </c>
      <c r="I100" s="26">
        <v>95</v>
      </c>
      <c r="J100" s="26">
        <v>85</v>
      </c>
      <c r="K100" s="26">
        <v>81</v>
      </c>
      <c r="L100" s="26">
        <v>82</v>
      </c>
      <c r="M100" s="26">
        <v>90</v>
      </c>
      <c r="N100" s="26">
        <v>88</v>
      </c>
      <c r="O100" s="26">
        <v>94</v>
      </c>
      <c r="P100" s="27">
        <v>82</v>
      </c>
      <c r="Q100" s="27">
        <v>82</v>
      </c>
      <c r="R100" s="26">
        <v>84</v>
      </c>
      <c r="S100" s="26">
        <v>80</v>
      </c>
      <c r="T100" s="26">
        <v>82</v>
      </c>
      <c r="U100" s="26">
        <v>84</v>
      </c>
      <c r="V100" s="26">
        <v>85</v>
      </c>
      <c r="W100" s="26">
        <v>82</v>
      </c>
      <c r="X100" s="26">
        <v>85</v>
      </c>
      <c r="Y100" s="26">
        <v>81</v>
      </c>
      <c r="Z100" s="26">
        <v>85</v>
      </c>
      <c r="AA100" s="26">
        <v>90</v>
      </c>
      <c r="AB100" s="27">
        <v>80</v>
      </c>
      <c r="AC100" s="27">
        <v>83</v>
      </c>
      <c r="AD100" s="26">
        <v>85</v>
      </c>
      <c r="AE100" s="26">
        <v>83</v>
      </c>
      <c r="AF100" s="26">
        <v>83</v>
      </c>
      <c r="AG100" s="26">
        <v>85</v>
      </c>
      <c r="AH100" s="26">
        <v>80</v>
      </c>
      <c r="AI100" s="26">
        <v>76</v>
      </c>
      <c r="AJ100" s="26">
        <v>85</v>
      </c>
      <c r="AK100" s="26">
        <v>84</v>
      </c>
      <c r="AL100" s="27">
        <v>85</v>
      </c>
      <c r="AM100" s="27">
        <v>73</v>
      </c>
      <c r="AN100" s="26">
        <v>79</v>
      </c>
      <c r="AO100" s="26">
        <v>79</v>
      </c>
      <c r="AP100" s="26">
        <v>83</v>
      </c>
      <c r="AQ100" s="26">
        <v>86</v>
      </c>
      <c r="AR100" s="26">
        <v>74</v>
      </c>
      <c r="AS100" s="26">
        <v>74</v>
      </c>
      <c r="AT100" s="26">
        <v>79</v>
      </c>
      <c r="AU100" s="26">
        <v>84</v>
      </c>
      <c r="AV100" s="26">
        <v>86</v>
      </c>
      <c r="AW100" s="26">
        <v>83</v>
      </c>
      <c r="AX100" s="27">
        <v>74</v>
      </c>
      <c r="AY100" s="27">
        <v>83</v>
      </c>
      <c r="AZ100" s="26">
        <v>91</v>
      </c>
      <c r="BA100" s="26">
        <v>80</v>
      </c>
      <c r="BB100" s="26">
        <v>86</v>
      </c>
      <c r="BC100" s="26">
        <v>76</v>
      </c>
      <c r="BD100" s="26">
        <v>83</v>
      </c>
      <c r="BE100" s="37">
        <v>86</v>
      </c>
      <c r="BF100" s="37">
        <v>88</v>
      </c>
      <c r="BG100" s="37">
        <v>89</v>
      </c>
      <c r="BH100" s="26">
        <v>82</v>
      </c>
      <c r="BI100" s="37">
        <v>90</v>
      </c>
      <c r="BJ100" s="37">
        <v>89</v>
      </c>
      <c r="BK100" s="37">
        <v>89</v>
      </c>
      <c r="BL100" s="26">
        <v>82</v>
      </c>
      <c r="BM100" s="37">
        <v>74</v>
      </c>
      <c r="BN100" s="37">
        <v>82</v>
      </c>
      <c r="BO100" s="37">
        <v>86</v>
      </c>
      <c r="BP100" s="26">
        <v>82</v>
      </c>
      <c r="BQ100" s="15">
        <f t="shared" si="73"/>
        <v>83.333333333333329</v>
      </c>
      <c r="BR100" s="15">
        <f t="shared" si="74"/>
        <v>86.333333333333329</v>
      </c>
      <c r="BS100" s="15">
        <f t="shared" si="75"/>
        <v>88</v>
      </c>
      <c r="BT100" s="15">
        <f t="shared" si="76"/>
        <v>82</v>
      </c>
      <c r="BU100" s="27">
        <v>87</v>
      </c>
      <c r="BV100" s="27">
        <v>84</v>
      </c>
      <c r="BW100" s="27">
        <v>85</v>
      </c>
      <c r="BX100" s="27">
        <v>82</v>
      </c>
      <c r="BY100" s="27">
        <v>82</v>
      </c>
      <c r="BZ100" s="27">
        <v>77</v>
      </c>
      <c r="CA100" s="27">
        <v>89</v>
      </c>
      <c r="CB100" s="27">
        <v>78</v>
      </c>
      <c r="CC100" s="27">
        <v>74</v>
      </c>
      <c r="CD100" s="39">
        <v>90</v>
      </c>
      <c r="CE100" s="40">
        <v>90</v>
      </c>
      <c r="CF100" s="40">
        <v>87</v>
      </c>
      <c r="CG100" s="40">
        <v>93</v>
      </c>
      <c r="CH100" s="40">
        <v>85</v>
      </c>
      <c r="CI100" s="40">
        <v>88</v>
      </c>
      <c r="CJ100" s="40">
        <v>90</v>
      </c>
      <c r="CK100" s="39">
        <v>79</v>
      </c>
      <c r="CL100" s="40">
        <v>95</v>
      </c>
      <c r="CM100" s="41">
        <f t="shared" si="77"/>
        <v>87.2</v>
      </c>
      <c r="CN100" s="41">
        <f t="shared" si="78"/>
        <v>85</v>
      </c>
      <c r="CO100" s="41">
        <f t="shared" si="79"/>
        <v>90</v>
      </c>
      <c r="CP100" s="17">
        <f t="shared" si="80"/>
        <v>87.38</v>
      </c>
      <c r="CQ100" s="16">
        <f t="shared" si="81"/>
        <v>87</v>
      </c>
      <c r="CR100" s="16">
        <f t="shared" si="82"/>
        <v>82</v>
      </c>
      <c r="CS100" s="16">
        <f t="shared" si="83"/>
        <v>90</v>
      </c>
      <c r="CT100" s="17">
        <f t="shared" si="84"/>
        <v>86.4</v>
      </c>
      <c r="CU100" s="17">
        <f t="shared" si="85"/>
        <v>82.4</v>
      </c>
      <c r="CV100" s="17">
        <f t="shared" si="86"/>
        <v>85</v>
      </c>
      <c r="CW100" s="17">
        <f t="shared" si="87"/>
        <v>87</v>
      </c>
      <c r="CX100" s="17">
        <f t="shared" si="88"/>
        <v>84.56</v>
      </c>
      <c r="CY100" s="18">
        <f t="shared" si="89"/>
        <v>83.25</v>
      </c>
      <c r="CZ100" s="18">
        <f t="shared" si="90"/>
        <v>83.25</v>
      </c>
      <c r="DA100" s="18">
        <f t="shared" si="91"/>
        <v>84.5</v>
      </c>
      <c r="DB100" s="18">
        <f t="shared" si="92"/>
        <v>84.5</v>
      </c>
      <c r="DC100" s="18">
        <f t="shared" si="93"/>
        <v>83</v>
      </c>
      <c r="DD100" s="18">
        <f t="shared" si="94"/>
        <v>83</v>
      </c>
      <c r="DE100" s="18">
        <f t="shared" si="95"/>
        <v>81.5</v>
      </c>
      <c r="DF100" s="18">
        <f t="shared" si="96"/>
        <v>81.5</v>
      </c>
      <c r="DG100" s="18">
        <f t="shared" si="97"/>
        <v>84</v>
      </c>
      <c r="DH100" s="18">
        <f t="shared" si="98"/>
        <v>85</v>
      </c>
      <c r="DI100" s="18">
        <f t="shared" si="99"/>
        <v>93</v>
      </c>
      <c r="DJ100" s="17">
        <f t="shared" si="100"/>
        <v>87</v>
      </c>
      <c r="DK100" s="18">
        <f t="shared" si="101"/>
        <v>80</v>
      </c>
      <c r="DL100" s="18">
        <f t="shared" si="102"/>
        <v>74</v>
      </c>
      <c r="DM100" s="18">
        <f t="shared" si="103"/>
        <v>85</v>
      </c>
      <c r="DN100" s="17">
        <f t="shared" si="104"/>
        <v>79.7</v>
      </c>
      <c r="DO100" s="18">
        <f t="shared" si="105"/>
        <v>81.2</v>
      </c>
      <c r="DP100" s="18">
        <f t="shared" si="106"/>
        <v>74</v>
      </c>
      <c r="DQ100" s="18">
        <f t="shared" si="107"/>
        <v>88</v>
      </c>
      <c r="DR100" s="17">
        <f t="shared" si="108"/>
        <v>81.08</v>
      </c>
      <c r="DS100" s="18">
        <f t="shared" si="109"/>
        <v>87</v>
      </c>
      <c r="DT100" s="18">
        <f t="shared" si="110"/>
        <v>87</v>
      </c>
      <c r="DU100" s="18">
        <f t="shared" si="111"/>
        <v>83</v>
      </c>
      <c r="DV100" s="18">
        <f t="shared" si="112"/>
        <v>83</v>
      </c>
      <c r="DW100" s="18">
        <f t="shared" si="113"/>
        <v>79.5</v>
      </c>
      <c r="DX100" s="17">
        <f t="shared" si="114"/>
        <v>79.5</v>
      </c>
      <c r="DY100" s="18">
        <f t="shared" si="115"/>
        <v>85.888888888888872</v>
      </c>
      <c r="DZ100" s="18">
        <f t="shared" si="116"/>
        <v>82</v>
      </c>
      <c r="EA100" s="18">
        <f t="shared" si="117"/>
        <v>95</v>
      </c>
      <c r="EB100" s="17">
        <f t="shared" si="118"/>
        <v>87.455555555555549</v>
      </c>
      <c r="EC100" s="18">
        <f t="shared" si="119"/>
        <v>85.333333333333329</v>
      </c>
      <c r="ED100" s="18">
        <f t="shared" si="120"/>
        <v>82</v>
      </c>
      <c r="EE100" s="18">
        <f t="shared" si="121"/>
        <v>79</v>
      </c>
      <c r="EF100" s="17">
        <f t="shared" si="122"/>
        <v>82.433333333333323</v>
      </c>
      <c r="EG100" s="18">
        <f t="shared" si="123"/>
        <v>82</v>
      </c>
      <c r="EH100" s="18">
        <f t="shared" si="124"/>
        <v>81.333333333333329</v>
      </c>
      <c r="EI100" s="18">
        <f t="shared" si="125"/>
        <v>74</v>
      </c>
      <c r="EJ100" s="18">
        <f t="shared" si="126"/>
        <v>90</v>
      </c>
      <c r="EK100" s="17">
        <f t="shared" si="127"/>
        <v>81.73333333333332</v>
      </c>
      <c r="EL100" s="19">
        <f t="shared" si="128"/>
        <v>87.38</v>
      </c>
      <c r="EM100" s="19">
        <f t="shared" si="129"/>
        <v>86.4</v>
      </c>
      <c r="EN100" s="19">
        <f t="shared" si="130"/>
        <v>84.56</v>
      </c>
      <c r="EO100" s="19">
        <f t="shared" si="131"/>
        <v>83.25</v>
      </c>
      <c r="EP100" s="19">
        <f t="shared" si="132"/>
        <v>84.5</v>
      </c>
      <c r="EQ100" s="19">
        <f t="shared" si="133"/>
        <v>83</v>
      </c>
      <c r="ER100" s="19">
        <f t="shared" si="134"/>
        <v>81.5</v>
      </c>
      <c r="ES100" s="19">
        <f t="shared" si="135"/>
        <v>87</v>
      </c>
      <c r="ET100" s="19">
        <f t="shared" si="136"/>
        <v>79.7</v>
      </c>
      <c r="EU100" s="19">
        <f t="shared" si="137"/>
        <v>81.08</v>
      </c>
      <c r="EV100" s="19">
        <f t="shared" si="138"/>
        <v>87</v>
      </c>
      <c r="EW100" s="19">
        <f t="shared" si="139"/>
        <v>83</v>
      </c>
      <c r="EX100" s="19">
        <f t="shared" si="140"/>
        <v>79.5</v>
      </c>
      <c r="EY100" s="19">
        <f t="shared" si="141"/>
        <v>87.455555555555549</v>
      </c>
      <c r="EZ100" s="19">
        <f t="shared" si="142"/>
        <v>82.433333333333323</v>
      </c>
      <c r="FA100" s="19">
        <f t="shared" si="143"/>
        <v>82</v>
      </c>
      <c r="FB100" s="19">
        <f t="shared" si="144"/>
        <v>81.73333333333332</v>
      </c>
      <c r="FC100" s="19">
        <f t="shared" si="145"/>
        <v>83.617189542483672</v>
      </c>
    </row>
    <row r="101" spans="1:159" ht="20.100000000000001" customHeight="1">
      <c r="A101" s="11">
        <v>97</v>
      </c>
      <c r="B101" s="12" t="s">
        <v>246</v>
      </c>
      <c r="C101" s="13" t="s">
        <v>247</v>
      </c>
      <c r="D101" s="25" t="s">
        <v>197</v>
      </c>
      <c r="E101" s="26">
        <v>85</v>
      </c>
      <c r="F101" s="26">
        <v>80</v>
      </c>
      <c r="G101" s="26">
        <v>88</v>
      </c>
      <c r="H101" s="26">
        <v>84</v>
      </c>
      <c r="I101" s="26">
        <v>83</v>
      </c>
      <c r="J101" s="26">
        <v>85</v>
      </c>
      <c r="K101" s="26">
        <v>82</v>
      </c>
      <c r="L101" s="26">
        <v>80</v>
      </c>
      <c r="M101" s="26">
        <v>85</v>
      </c>
      <c r="N101" s="26">
        <v>88</v>
      </c>
      <c r="O101" s="26">
        <v>90</v>
      </c>
      <c r="P101" s="27">
        <v>80</v>
      </c>
      <c r="Q101" s="27">
        <v>78</v>
      </c>
      <c r="R101" s="26">
        <v>85</v>
      </c>
      <c r="S101" s="26">
        <v>82</v>
      </c>
      <c r="T101" s="26">
        <v>80</v>
      </c>
      <c r="U101" s="26">
        <v>75</v>
      </c>
      <c r="V101" s="26">
        <v>83</v>
      </c>
      <c r="W101" s="26">
        <v>82</v>
      </c>
      <c r="X101" s="26">
        <v>84</v>
      </c>
      <c r="Y101" s="26">
        <v>80</v>
      </c>
      <c r="Z101" s="26">
        <v>84</v>
      </c>
      <c r="AA101" s="26">
        <v>87</v>
      </c>
      <c r="AB101" s="27">
        <v>82</v>
      </c>
      <c r="AC101" s="27">
        <v>82</v>
      </c>
      <c r="AD101" s="26">
        <v>82</v>
      </c>
      <c r="AE101" s="26">
        <v>83</v>
      </c>
      <c r="AF101" s="26">
        <v>82</v>
      </c>
      <c r="AG101" s="26">
        <v>78</v>
      </c>
      <c r="AH101" s="26">
        <v>74</v>
      </c>
      <c r="AI101" s="26">
        <v>75</v>
      </c>
      <c r="AJ101" s="26">
        <v>82</v>
      </c>
      <c r="AK101" s="26">
        <v>80</v>
      </c>
      <c r="AL101" s="27">
        <v>83</v>
      </c>
      <c r="AM101" s="27">
        <v>71</v>
      </c>
      <c r="AN101" s="26">
        <v>73</v>
      </c>
      <c r="AO101" s="26">
        <v>77</v>
      </c>
      <c r="AP101" s="26">
        <v>78</v>
      </c>
      <c r="AQ101" s="26">
        <v>78</v>
      </c>
      <c r="AR101" s="26">
        <v>85</v>
      </c>
      <c r="AS101" s="26">
        <v>78</v>
      </c>
      <c r="AT101" s="26">
        <v>79</v>
      </c>
      <c r="AU101" s="26">
        <v>80</v>
      </c>
      <c r="AV101" s="26">
        <v>82</v>
      </c>
      <c r="AW101" s="26">
        <v>79</v>
      </c>
      <c r="AX101" s="27">
        <v>85</v>
      </c>
      <c r="AY101" s="27">
        <v>87</v>
      </c>
      <c r="AZ101" s="26">
        <v>86</v>
      </c>
      <c r="BA101" s="26">
        <v>77</v>
      </c>
      <c r="BB101" s="26">
        <v>80</v>
      </c>
      <c r="BC101" s="26">
        <v>76</v>
      </c>
      <c r="BD101" s="26">
        <v>80</v>
      </c>
      <c r="BE101" s="37">
        <v>84</v>
      </c>
      <c r="BF101" s="37">
        <v>81</v>
      </c>
      <c r="BG101" s="37">
        <v>82</v>
      </c>
      <c r="BH101" s="26">
        <v>80</v>
      </c>
      <c r="BI101" s="37">
        <v>80</v>
      </c>
      <c r="BJ101" s="37">
        <v>82</v>
      </c>
      <c r="BK101" s="37">
        <v>72</v>
      </c>
      <c r="BL101" s="26">
        <v>80</v>
      </c>
      <c r="BM101" s="37">
        <v>71</v>
      </c>
      <c r="BN101" s="37">
        <v>71</v>
      </c>
      <c r="BO101" s="37">
        <v>82</v>
      </c>
      <c r="BP101" s="26">
        <v>80</v>
      </c>
      <c r="BQ101" s="15">
        <f t="shared" si="73"/>
        <v>78.333333333333329</v>
      </c>
      <c r="BR101" s="15">
        <f t="shared" si="74"/>
        <v>78</v>
      </c>
      <c r="BS101" s="15">
        <f t="shared" si="75"/>
        <v>78.666666666666671</v>
      </c>
      <c r="BT101" s="15">
        <f t="shared" si="76"/>
        <v>80</v>
      </c>
      <c r="BU101" s="27">
        <v>87</v>
      </c>
      <c r="BV101" s="27">
        <v>84</v>
      </c>
      <c r="BW101" s="27">
        <v>83</v>
      </c>
      <c r="BX101" s="27">
        <v>80</v>
      </c>
      <c r="BY101" s="27">
        <v>83</v>
      </c>
      <c r="BZ101" s="27">
        <v>73</v>
      </c>
      <c r="CA101" s="27">
        <v>86</v>
      </c>
      <c r="CB101" s="27">
        <v>76</v>
      </c>
      <c r="CC101" s="27">
        <v>85</v>
      </c>
      <c r="CD101" s="39">
        <v>81</v>
      </c>
      <c r="CE101" s="40">
        <v>80</v>
      </c>
      <c r="CF101" s="40">
        <v>75</v>
      </c>
      <c r="CG101" s="40">
        <v>70</v>
      </c>
      <c r="CH101" s="40">
        <v>78</v>
      </c>
      <c r="CI101" s="40">
        <v>80</v>
      </c>
      <c r="CJ101" s="40">
        <v>80</v>
      </c>
      <c r="CK101" s="39">
        <v>78</v>
      </c>
      <c r="CL101" s="40">
        <v>85</v>
      </c>
      <c r="CM101" s="41">
        <f t="shared" si="77"/>
        <v>84</v>
      </c>
      <c r="CN101" s="41">
        <f t="shared" si="78"/>
        <v>85</v>
      </c>
      <c r="CO101" s="41">
        <f t="shared" si="79"/>
        <v>81</v>
      </c>
      <c r="CP101" s="17">
        <f t="shared" si="80"/>
        <v>83.4</v>
      </c>
      <c r="CQ101" s="16">
        <f t="shared" si="81"/>
        <v>85</v>
      </c>
      <c r="CR101" s="16">
        <f t="shared" si="82"/>
        <v>80</v>
      </c>
      <c r="CS101" s="16">
        <f t="shared" si="83"/>
        <v>80</v>
      </c>
      <c r="CT101" s="17">
        <f t="shared" si="84"/>
        <v>82</v>
      </c>
      <c r="CU101" s="17">
        <f t="shared" si="85"/>
        <v>80</v>
      </c>
      <c r="CV101" s="17">
        <f t="shared" si="86"/>
        <v>83</v>
      </c>
      <c r="CW101" s="17">
        <f t="shared" si="87"/>
        <v>75</v>
      </c>
      <c r="CX101" s="17">
        <f t="shared" si="88"/>
        <v>79.400000000000006</v>
      </c>
      <c r="CY101" s="18">
        <f t="shared" si="89"/>
        <v>82.5</v>
      </c>
      <c r="CZ101" s="18">
        <f t="shared" si="90"/>
        <v>82.5</v>
      </c>
      <c r="DA101" s="18">
        <f t="shared" si="91"/>
        <v>83.25</v>
      </c>
      <c r="DB101" s="18">
        <f t="shared" si="92"/>
        <v>83.25</v>
      </c>
      <c r="DC101" s="18">
        <f t="shared" si="93"/>
        <v>82.5</v>
      </c>
      <c r="DD101" s="18">
        <f t="shared" si="94"/>
        <v>82.5</v>
      </c>
      <c r="DE101" s="18">
        <f t="shared" si="95"/>
        <v>77.25</v>
      </c>
      <c r="DF101" s="18">
        <f t="shared" si="96"/>
        <v>77.25</v>
      </c>
      <c r="DG101" s="18">
        <f t="shared" si="97"/>
        <v>80</v>
      </c>
      <c r="DH101" s="18">
        <f t="shared" si="98"/>
        <v>83</v>
      </c>
      <c r="DI101" s="18">
        <f t="shared" si="99"/>
        <v>70</v>
      </c>
      <c r="DJ101" s="17">
        <f t="shared" si="100"/>
        <v>77.900000000000006</v>
      </c>
      <c r="DK101" s="18">
        <f t="shared" si="101"/>
        <v>75.400000000000006</v>
      </c>
      <c r="DL101" s="18">
        <f t="shared" si="102"/>
        <v>85</v>
      </c>
      <c r="DM101" s="18">
        <f t="shared" si="103"/>
        <v>78</v>
      </c>
      <c r="DN101" s="17">
        <f t="shared" si="104"/>
        <v>79.06</v>
      </c>
      <c r="DO101" s="18">
        <f t="shared" si="105"/>
        <v>79.599999999999994</v>
      </c>
      <c r="DP101" s="18">
        <f t="shared" si="106"/>
        <v>85</v>
      </c>
      <c r="DQ101" s="18">
        <f t="shared" si="107"/>
        <v>80</v>
      </c>
      <c r="DR101" s="17">
        <f t="shared" si="108"/>
        <v>81.34</v>
      </c>
      <c r="DS101" s="18">
        <f t="shared" si="109"/>
        <v>86.5</v>
      </c>
      <c r="DT101" s="18">
        <f t="shared" si="110"/>
        <v>86.5</v>
      </c>
      <c r="DU101" s="18">
        <f t="shared" si="111"/>
        <v>78.5</v>
      </c>
      <c r="DV101" s="18">
        <f t="shared" si="112"/>
        <v>78.5</v>
      </c>
      <c r="DW101" s="18">
        <f t="shared" si="113"/>
        <v>78</v>
      </c>
      <c r="DX101" s="17">
        <f t="shared" si="114"/>
        <v>78</v>
      </c>
      <c r="DY101" s="18">
        <f t="shared" si="115"/>
        <v>78.333333333333329</v>
      </c>
      <c r="DZ101" s="18">
        <f t="shared" si="116"/>
        <v>80</v>
      </c>
      <c r="EA101" s="18">
        <f t="shared" si="117"/>
        <v>85</v>
      </c>
      <c r="EB101" s="17">
        <f t="shared" si="118"/>
        <v>80.833333333333329</v>
      </c>
      <c r="EC101" s="18">
        <f t="shared" si="119"/>
        <v>84.666666666666671</v>
      </c>
      <c r="ED101" s="18">
        <f t="shared" si="120"/>
        <v>80</v>
      </c>
      <c r="EE101" s="18">
        <f t="shared" si="121"/>
        <v>78</v>
      </c>
      <c r="EF101" s="17">
        <f t="shared" si="122"/>
        <v>81.26666666666668</v>
      </c>
      <c r="EG101" s="18">
        <f t="shared" si="123"/>
        <v>83</v>
      </c>
      <c r="EH101" s="18">
        <f t="shared" si="124"/>
        <v>78.333333333333329</v>
      </c>
      <c r="EI101" s="18">
        <f t="shared" si="125"/>
        <v>85</v>
      </c>
      <c r="EJ101" s="18">
        <f t="shared" si="126"/>
        <v>80</v>
      </c>
      <c r="EK101" s="17">
        <f t="shared" si="127"/>
        <v>80.833333333333329</v>
      </c>
      <c r="EL101" s="19">
        <f t="shared" si="128"/>
        <v>83.4</v>
      </c>
      <c r="EM101" s="19">
        <f t="shared" si="129"/>
        <v>82</v>
      </c>
      <c r="EN101" s="19">
        <f t="shared" si="130"/>
        <v>79.400000000000006</v>
      </c>
      <c r="EO101" s="19">
        <f t="shared" si="131"/>
        <v>82.5</v>
      </c>
      <c r="EP101" s="19">
        <f t="shared" si="132"/>
        <v>83.25</v>
      </c>
      <c r="EQ101" s="19">
        <f t="shared" si="133"/>
        <v>82.5</v>
      </c>
      <c r="ER101" s="19">
        <f t="shared" si="134"/>
        <v>77.25</v>
      </c>
      <c r="ES101" s="19">
        <f t="shared" si="135"/>
        <v>77.900000000000006</v>
      </c>
      <c r="ET101" s="19">
        <f t="shared" si="136"/>
        <v>79.06</v>
      </c>
      <c r="EU101" s="19">
        <f t="shared" si="137"/>
        <v>81.34</v>
      </c>
      <c r="EV101" s="19">
        <f t="shared" si="138"/>
        <v>86.5</v>
      </c>
      <c r="EW101" s="19">
        <f t="shared" si="139"/>
        <v>78.5</v>
      </c>
      <c r="EX101" s="19">
        <f t="shared" si="140"/>
        <v>78</v>
      </c>
      <c r="EY101" s="19">
        <f t="shared" si="141"/>
        <v>80.833333333333329</v>
      </c>
      <c r="EZ101" s="19">
        <f t="shared" si="142"/>
        <v>81.26666666666668</v>
      </c>
      <c r="FA101" s="19">
        <f t="shared" si="143"/>
        <v>83</v>
      </c>
      <c r="FB101" s="19">
        <f t="shared" si="144"/>
        <v>80.833333333333329</v>
      </c>
      <c r="FC101" s="19">
        <f t="shared" si="145"/>
        <v>81.031372549019594</v>
      </c>
    </row>
    <row r="102" spans="1:159" ht="20.100000000000001" customHeight="1">
      <c r="A102" s="11">
        <v>98</v>
      </c>
      <c r="B102" s="12" t="s">
        <v>248</v>
      </c>
      <c r="C102" s="13" t="s">
        <v>249</v>
      </c>
      <c r="D102" s="25" t="s">
        <v>197</v>
      </c>
      <c r="E102" s="26">
        <v>90</v>
      </c>
      <c r="F102" s="26">
        <v>91</v>
      </c>
      <c r="G102" s="26">
        <v>88</v>
      </c>
      <c r="H102" s="26">
        <v>83</v>
      </c>
      <c r="I102" s="26">
        <v>90</v>
      </c>
      <c r="J102" s="26">
        <v>73</v>
      </c>
      <c r="K102" s="26">
        <v>84</v>
      </c>
      <c r="L102" s="26">
        <v>87</v>
      </c>
      <c r="M102" s="26">
        <v>92</v>
      </c>
      <c r="N102" s="26">
        <v>85</v>
      </c>
      <c r="O102" s="26">
        <v>90</v>
      </c>
      <c r="P102" s="27">
        <v>82</v>
      </c>
      <c r="Q102" s="27">
        <v>94</v>
      </c>
      <c r="R102" s="26">
        <v>84</v>
      </c>
      <c r="S102" s="26">
        <v>89</v>
      </c>
      <c r="T102" s="26">
        <v>88</v>
      </c>
      <c r="U102" s="26">
        <v>84</v>
      </c>
      <c r="V102" s="26">
        <v>86</v>
      </c>
      <c r="W102" s="26">
        <v>81</v>
      </c>
      <c r="X102" s="26">
        <v>84</v>
      </c>
      <c r="Y102" s="26">
        <v>80</v>
      </c>
      <c r="Z102" s="26">
        <v>84</v>
      </c>
      <c r="AA102" s="26">
        <v>84</v>
      </c>
      <c r="AB102" s="27">
        <v>88</v>
      </c>
      <c r="AC102" s="27">
        <v>82</v>
      </c>
      <c r="AD102" s="26">
        <v>87</v>
      </c>
      <c r="AE102" s="26">
        <v>83</v>
      </c>
      <c r="AF102" s="26">
        <v>85</v>
      </c>
      <c r="AG102" s="26">
        <v>88</v>
      </c>
      <c r="AH102" s="26">
        <v>84</v>
      </c>
      <c r="AI102" s="26">
        <v>81</v>
      </c>
      <c r="AJ102" s="26">
        <v>87</v>
      </c>
      <c r="AK102" s="26">
        <v>84</v>
      </c>
      <c r="AL102" s="27">
        <v>86</v>
      </c>
      <c r="AM102" s="27">
        <v>78</v>
      </c>
      <c r="AN102" s="26">
        <v>81</v>
      </c>
      <c r="AO102" s="26">
        <v>80</v>
      </c>
      <c r="AP102" s="26">
        <v>81</v>
      </c>
      <c r="AQ102" s="26">
        <v>84</v>
      </c>
      <c r="AR102" s="26">
        <v>83</v>
      </c>
      <c r="AS102" s="26">
        <v>80</v>
      </c>
      <c r="AT102" s="26">
        <v>86</v>
      </c>
      <c r="AU102" s="26">
        <v>82</v>
      </c>
      <c r="AV102" s="26">
        <v>86</v>
      </c>
      <c r="AW102" s="26">
        <v>85</v>
      </c>
      <c r="AX102" s="27">
        <v>83</v>
      </c>
      <c r="AY102" s="27">
        <v>92</v>
      </c>
      <c r="AZ102" s="26">
        <v>97</v>
      </c>
      <c r="BA102" s="26">
        <v>92</v>
      </c>
      <c r="BB102" s="26">
        <v>95</v>
      </c>
      <c r="BC102" s="26">
        <v>88</v>
      </c>
      <c r="BD102" s="26">
        <v>83</v>
      </c>
      <c r="BE102" s="37">
        <v>86</v>
      </c>
      <c r="BF102" s="37">
        <v>89</v>
      </c>
      <c r="BG102" s="37">
        <v>82</v>
      </c>
      <c r="BH102" s="26">
        <v>79</v>
      </c>
      <c r="BI102" s="37">
        <v>90</v>
      </c>
      <c r="BJ102" s="37">
        <v>90</v>
      </c>
      <c r="BK102" s="37">
        <v>88</v>
      </c>
      <c r="BL102" s="26">
        <v>79</v>
      </c>
      <c r="BM102" s="37">
        <v>75</v>
      </c>
      <c r="BN102" s="37">
        <v>89</v>
      </c>
      <c r="BO102" s="37">
        <v>86</v>
      </c>
      <c r="BP102" s="26">
        <v>79</v>
      </c>
      <c r="BQ102" s="15">
        <f t="shared" si="73"/>
        <v>83.666666666666671</v>
      </c>
      <c r="BR102" s="15">
        <f t="shared" si="74"/>
        <v>89.333333333333329</v>
      </c>
      <c r="BS102" s="15">
        <f t="shared" si="75"/>
        <v>85.333333333333329</v>
      </c>
      <c r="BT102" s="15">
        <f t="shared" si="76"/>
        <v>79</v>
      </c>
      <c r="BU102" s="27">
        <v>87</v>
      </c>
      <c r="BV102" s="27">
        <v>84</v>
      </c>
      <c r="BW102" s="27">
        <v>85</v>
      </c>
      <c r="BX102" s="27">
        <v>79</v>
      </c>
      <c r="BY102" s="27">
        <v>81</v>
      </c>
      <c r="BZ102" s="27">
        <v>79</v>
      </c>
      <c r="CA102" s="27">
        <v>87</v>
      </c>
      <c r="CB102" s="27">
        <v>75</v>
      </c>
      <c r="CC102" s="27">
        <v>83</v>
      </c>
      <c r="CD102" s="39">
        <v>87</v>
      </c>
      <c r="CE102" s="40">
        <v>94</v>
      </c>
      <c r="CF102" s="40">
        <v>80</v>
      </c>
      <c r="CG102" s="40">
        <v>87</v>
      </c>
      <c r="CH102" s="40">
        <v>84</v>
      </c>
      <c r="CI102" s="40">
        <v>88</v>
      </c>
      <c r="CJ102" s="40">
        <v>90</v>
      </c>
      <c r="CK102" s="39">
        <v>78</v>
      </c>
      <c r="CL102" s="40">
        <v>90</v>
      </c>
      <c r="CM102" s="41">
        <f t="shared" si="77"/>
        <v>88.4</v>
      </c>
      <c r="CN102" s="41">
        <f t="shared" si="78"/>
        <v>73</v>
      </c>
      <c r="CO102" s="41">
        <f t="shared" si="79"/>
        <v>87</v>
      </c>
      <c r="CP102" s="17">
        <f t="shared" si="80"/>
        <v>83.36</v>
      </c>
      <c r="CQ102" s="16">
        <f t="shared" si="81"/>
        <v>87.6</v>
      </c>
      <c r="CR102" s="16">
        <f t="shared" si="82"/>
        <v>82</v>
      </c>
      <c r="CS102" s="16">
        <f t="shared" si="83"/>
        <v>94</v>
      </c>
      <c r="CT102" s="17">
        <f t="shared" si="84"/>
        <v>87.84</v>
      </c>
      <c r="CU102" s="17">
        <f t="shared" si="85"/>
        <v>87.8</v>
      </c>
      <c r="CV102" s="17">
        <f t="shared" si="86"/>
        <v>86</v>
      </c>
      <c r="CW102" s="17">
        <f t="shared" si="87"/>
        <v>80</v>
      </c>
      <c r="CX102" s="17">
        <f t="shared" si="88"/>
        <v>84.92</v>
      </c>
      <c r="CY102" s="18">
        <f t="shared" si="89"/>
        <v>82.25</v>
      </c>
      <c r="CZ102" s="18">
        <f t="shared" si="90"/>
        <v>82.25</v>
      </c>
      <c r="DA102" s="18">
        <f t="shared" si="91"/>
        <v>85.25</v>
      </c>
      <c r="DB102" s="18">
        <f t="shared" si="92"/>
        <v>85.25</v>
      </c>
      <c r="DC102" s="18">
        <f t="shared" si="93"/>
        <v>84</v>
      </c>
      <c r="DD102" s="18">
        <f t="shared" si="94"/>
        <v>84</v>
      </c>
      <c r="DE102" s="18">
        <f t="shared" si="95"/>
        <v>85</v>
      </c>
      <c r="DF102" s="18">
        <f t="shared" si="96"/>
        <v>85</v>
      </c>
      <c r="DG102" s="18">
        <f t="shared" si="97"/>
        <v>84</v>
      </c>
      <c r="DH102" s="18">
        <f t="shared" si="98"/>
        <v>86</v>
      </c>
      <c r="DI102" s="18">
        <f t="shared" si="99"/>
        <v>87</v>
      </c>
      <c r="DJ102" s="17">
        <f t="shared" si="100"/>
        <v>85.5</v>
      </c>
      <c r="DK102" s="18">
        <f t="shared" si="101"/>
        <v>80.8</v>
      </c>
      <c r="DL102" s="18">
        <f t="shared" si="102"/>
        <v>83</v>
      </c>
      <c r="DM102" s="18">
        <f t="shared" si="103"/>
        <v>84</v>
      </c>
      <c r="DN102" s="17">
        <f t="shared" si="104"/>
        <v>82.42</v>
      </c>
      <c r="DO102" s="18">
        <f t="shared" si="105"/>
        <v>83.8</v>
      </c>
      <c r="DP102" s="18">
        <f t="shared" si="106"/>
        <v>83</v>
      </c>
      <c r="DQ102" s="18">
        <f t="shared" si="107"/>
        <v>88</v>
      </c>
      <c r="DR102" s="17">
        <f t="shared" si="108"/>
        <v>84.820000000000007</v>
      </c>
      <c r="DS102" s="18">
        <f t="shared" si="109"/>
        <v>94.5</v>
      </c>
      <c r="DT102" s="18">
        <f t="shared" si="110"/>
        <v>94.5</v>
      </c>
      <c r="DU102" s="18">
        <f t="shared" si="111"/>
        <v>93.5</v>
      </c>
      <c r="DV102" s="18">
        <f t="shared" si="112"/>
        <v>93.5</v>
      </c>
      <c r="DW102" s="18">
        <f t="shared" si="113"/>
        <v>85.5</v>
      </c>
      <c r="DX102" s="17">
        <f t="shared" si="114"/>
        <v>85.5</v>
      </c>
      <c r="DY102" s="18">
        <f t="shared" si="115"/>
        <v>86.1111111111111</v>
      </c>
      <c r="DZ102" s="18">
        <f t="shared" si="116"/>
        <v>79</v>
      </c>
      <c r="EA102" s="18">
        <f t="shared" si="117"/>
        <v>90</v>
      </c>
      <c r="EB102" s="17">
        <f t="shared" si="118"/>
        <v>85.144444444444431</v>
      </c>
      <c r="EC102" s="18">
        <f t="shared" si="119"/>
        <v>85.333333333333329</v>
      </c>
      <c r="ED102" s="18">
        <f t="shared" si="120"/>
        <v>79</v>
      </c>
      <c r="EE102" s="18">
        <f t="shared" si="121"/>
        <v>78</v>
      </c>
      <c r="EF102" s="17">
        <f t="shared" si="122"/>
        <v>81.23333333333332</v>
      </c>
      <c r="EG102" s="18">
        <f t="shared" si="123"/>
        <v>81</v>
      </c>
      <c r="EH102" s="18">
        <f t="shared" si="124"/>
        <v>80.333333333333329</v>
      </c>
      <c r="EI102" s="18">
        <f t="shared" si="125"/>
        <v>83</v>
      </c>
      <c r="EJ102" s="18">
        <f t="shared" si="126"/>
        <v>90</v>
      </c>
      <c r="EK102" s="17">
        <f t="shared" si="127"/>
        <v>84.033333333333331</v>
      </c>
      <c r="EL102" s="19">
        <f t="shared" si="128"/>
        <v>83.36</v>
      </c>
      <c r="EM102" s="19">
        <f t="shared" si="129"/>
        <v>87.84</v>
      </c>
      <c r="EN102" s="19">
        <f t="shared" si="130"/>
        <v>84.92</v>
      </c>
      <c r="EO102" s="19">
        <f t="shared" si="131"/>
        <v>82.25</v>
      </c>
      <c r="EP102" s="19">
        <f t="shared" si="132"/>
        <v>85.25</v>
      </c>
      <c r="EQ102" s="19">
        <f t="shared" si="133"/>
        <v>84</v>
      </c>
      <c r="ER102" s="19">
        <f t="shared" si="134"/>
        <v>85</v>
      </c>
      <c r="ES102" s="19">
        <f t="shared" si="135"/>
        <v>85.5</v>
      </c>
      <c r="ET102" s="19">
        <f t="shared" si="136"/>
        <v>82.42</v>
      </c>
      <c r="EU102" s="19">
        <f t="shared" si="137"/>
        <v>84.820000000000007</v>
      </c>
      <c r="EV102" s="19">
        <f t="shared" si="138"/>
        <v>94.5</v>
      </c>
      <c r="EW102" s="19">
        <f t="shared" si="139"/>
        <v>93.5</v>
      </c>
      <c r="EX102" s="19">
        <f t="shared" si="140"/>
        <v>85.5</v>
      </c>
      <c r="EY102" s="19">
        <f t="shared" si="141"/>
        <v>85.144444444444431</v>
      </c>
      <c r="EZ102" s="19">
        <f t="shared" si="142"/>
        <v>81.23333333333332</v>
      </c>
      <c r="FA102" s="19">
        <f t="shared" si="143"/>
        <v>81</v>
      </c>
      <c r="FB102" s="19">
        <f t="shared" si="144"/>
        <v>84.033333333333331</v>
      </c>
      <c r="FC102" s="19">
        <f t="shared" si="145"/>
        <v>85.310065359477122</v>
      </c>
    </row>
    <row r="103" spans="1:159" s="34" customFormat="1" ht="20.100000000000001" customHeight="1">
      <c r="A103" s="28">
        <v>99</v>
      </c>
      <c r="B103" s="29" t="s">
        <v>250</v>
      </c>
      <c r="C103" s="30" t="s">
        <v>251</v>
      </c>
      <c r="D103" s="31" t="s">
        <v>197</v>
      </c>
      <c r="E103" s="32">
        <v>79</v>
      </c>
      <c r="F103" s="32">
        <v>80</v>
      </c>
      <c r="G103" s="32">
        <v>87</v>
      </c>
      <c r="H103" s="32">
        <v>88</v>
      </c>
      <c r="I103" s="32">
        <v>88</v>
      </c>
      <c r="J103" s="32">
        <v>75</v>
      </c>
      <c r="K103" s="32">
        <v>80</v>
      </c>
      <c r="L103" s="32">
        <v>80</v>
      </c>
      <c r="M103" s="32">
        <v>81</v>
      </c>
      <c r="N103" s="32">
        <v>83</v>
      </c>
      <c r="O103" s="32">
        <v>90</v>
      </c>
      <c r="P103" s="33">
        <v>78</v>
      </c>
      <c r="Q103" s="33">
        <v>87</v>
      </c>
      <c r="R103" s="32">
        <v>85</v>
      </c>
      <c r="S103" s="32">
        <v>78</v>
      </c>
      <c r="T103" s="32">
        <v>78</v>
      </c>
      <c r="U103" s="32">
        <v>80</v>
      </c>
      <c r="V103" s="32">
        <v>76</v>
      </c>
      <c r="W103" s="32">
        <v>81</v>
      </c>
      <c r="X103" s="32">
        <v>85</v>
      </c>
      <c r="Y103" s="32">
        <v>81</v>
      </c>
      <c r="Z103" s="32">
        <v>85</v>
      </c>
      <c r="AA103" s="32">
        <v>81</v>
      </c>
      <c r="AB103" s="33">
        <v>84</v>
      </c>
      <c r="AC103" s="33">
        <v>82</v>
      </c>
      <c r="AD103" s="32">
        <v>84</v>
      </c>
      <c r="AE103" s="32">
        <v>83</v>
      </c>
      <c r="AF103" s="32">
        <v>84</v>
      </c>
      <c r="AG103" s="32">
        <v>81</v>
      </c>
      <c r="AH103" s="32">
        <v>79</v>
      </c>
      <c r="AI103" s="32">
        <v>75</v>
      </c>
      <c r="AJ103" s="32">
        <v>84</v>
      </c>
      <c r="AK103" s="32">
        <v>82</v>
      </c>
      <c r="AL103" s="33">
        <v>76</v>
      </c>
      <c r="AM103" s="33">
        <v>70</v>
      </c>
      <c r="AN103" s="32">
        <v>70</v>
      </c>
      <c r="AO103" s="32">
        <v>81</v>
      </c>
      <c r="AP103" s="32">
        <v>82</v>
      </c>
      <c r="AQ103" s="32">
        <v>81</v>
      </c>
      <c r="AR103" s="32">
        <v>77</v>
      </c>
      <c r="AS103" s="32">
        <v>77</v>
      </c>
      <c r="AT103" s="32">
        <v>79</v>
      </c>
      <c r="AU103" s="32">
        <v>79</v>
      </c>
      <c r="AV103" s="32">
        <v>80</v>
      </c>
      <c r="AW103" s="32">
        <v>80</v>
      </c>
      <c r="AX103" s="33">
        <v>77</v>
      </c>
      <c r="AY103" s="33">
        <v>79</v>
      </c>
      <c r="AZ103" s="32">
        <v>85</v>
      </c>
      <c r="BA103" s="32">
        <v>74</v>
      </c>
      <c r="BB103" s="32">
        <v>82</v>
      </c>
      <c r="BC103" s="32">
        <v>77</v>
      </c>
      <c r="BD103" s="32">
        <v>87</v>
      </c>
      <c r="BE103" s="37">
        <v>84</v>
      </c>
      <c r="BF103" s="37">
        <v>82</v>
      </c>
      <c r="BG103" s="37">
        <v>83</v>
      </c>
      <c r="BH103" s="32">
        <v>78</v>
      </c>
      <c r="BI103" s="37">
        <v>86</v>
      </c>
      <c r="BJ103" s="37">
        <v>84</v>
      </c>
      <c r="BK103" s="37">
        <v>88</v>
      </c>
      <c r="BL103" s="32">
        <v>78</v>
      </c>
      <c r="BM103" s="37">
        <v>72</v>
      </c>
      <c r="BN103" s="37">
        <v>80</v>
      </c>
      <c r="BO103" s="37">
        <v>82</v>
      </c>
      <c r="BP103" s="32">
        <v>78</v>
      </c>
      <c r="BQ103" s="15">
        <f t="shared" si="73"/>
        <v>80.666666666666671</v>
      </c>
      <c r="BR103" s="15">
        <f t="shared" si="74"/>
        <v>82</v>
      </c>
      <c r="BS103" s="15">
        <f t="shared" si="75"/>
        <v>84.333333333333329</v>
      </c>
      <c r="BT103" s="15">
        <f t="shared" si="76"/>
        <v>78</v>
      </c>
      <c r="BU103" s="33">
        <v>87</v>
      </c>
      <c r="BV103" s="33">
        <v>84</v>
      </c>
      <c r="BW103" s="33">
        <v>83</v>
      </c>
      <c r="BX103" s="33">
        <v>78</v>
      </c>
      <c r="BY103" s="33">
        <v>77</v>
      </c>
      <c r="BZ103" s="33">
        <v>72</v>
      </c>
      <c r="CA103" s="33">
        <v>84</v>
      </c>
      <c r="CB103" s="33">
        <v>72</v>
      </c>
      <c r="CC103" s="33">
        <v>77</v>
      </c>
      <c r="CD103" s="39">
        <v>87</v>
      </c>
      <c r="CE103" s="40">
        <v>80</v>
      </c>
      <c r="CF103" s="40">
        <v>80</v>
      </c>
      <c r="CG103" s="40">
        <v>75</v>
      </c>
      <c r="CH103" s="40">
        <v>79</v>
      </c>
      <c r="CI103" s="40">
        <v>83</v>
      </c>
      <c r="CJ103" s="40">
        <v>80</v>
      </c>
      <c r="CK103" s="39">
        <v>78</v>
      </c>
      <c r="CL103" s="40">
        <v>77</v>
      </c>
      <c r="CM103" s="41">
        <f t="shared" si="77"/>
        <v>84.4</v>
      </c>
      <c r="CN103" s="41">
        <f t="shared" si="78"/>
        <v>75</v>
      </c>
      <c r="CO103" s="41">
        <f t="shared" si="79"/>
        <v>87</v>
      </c>
      <c r="CP103" s="17">
        <f t="shared" si="80"/>
        <v>82.36</v>
      </c>
      <c r="CQ103" s="16">
        <f t="shared" si="81"/>
        <v>82.8</v>
      </c>
      <c r="CR103" s="16">
        <f t="shared" si="82"/>
        <v>78</v>
      </c>
      <c r="CS103" s="16">
        <f t="shared" si="83"/>
        <v>80</v>
      </c>
      <c r="CT103" s="17">
        <f t="shared" si="84"/>
        <v>80.52000000000001</v>
      </c>
      <c r="CU103" s="17">
        <f t="shared" si="85"/>
        <v>81.599999999999994</v>
      </c>
      <c r="CV103" s="17">
        <f t="shared" si="86"/>
        <v>76</v>
      </c>
      <c r="CW103" s="17">
        <f t="shared" si="87"/>
        <v>80</v>
      </c>
      <c r="CX103" s="17">
        <f t="shared" si="88"/>
        <v>79.44</v>
      </c>
      <c r="CY103" s="18">
        <f t="shared" si="89"/>
        <v>83</v>
      </c>
      <c r="CZ103" s="18">
        <f t="shared" si="90"/>
        <v>83</v>
      </c>
      <c r="DA103" s="18">
        <f t="shared" si="91"/>
        <v>82.75</v>
      </c>
      <c r="DB103" s="18">
        <f t="shared" si="92"/>
        <v>82.75</v>
      </c>
      <c r="DC103" s="18">
        <f t="shared" si="93"/>
        <v>83.5</v>
      </c>
      <c r="DD103" s="18">
        <f t="shared" si="94"/>
        <v>83.5</v>
      </c>
      <c r="DE103" s="18">
        <f t="shared" si="95"/>
        <v>79.75</v>
      </c>
      <c r="DF103" s="18">
        <f t="shared" si="96"/>
        <v>79.75</v>
      </c>
      <c r="DG103" s="18">
        <f t="shared" si="97"/>
        <v>82</v>
      </c>
      <c r="DH103" s="18">
        <f t="shared" si="98"/>
        <v>76</v>
      </c>
      <c r="DI103" s="18">
        <f t="shared" si="99"/>
        <v>75</v>
      </c>
      <c r="DJ103" s="17">
        <f t="shared" si="100"/>
        <v>78.099999999999994</v>
      </c>
      <c r="DK103" s="18">
        <f t="shared" si="101"/>
        <v>76.8</v>
      </c>
      <c r="DL103" s="18">
        <f t="shared" si="102"/>
        <v>77</v>
      </c>
      <c r="DM103" s="18">
        <f t="shared" si="103"/>
        <v>79</v>
      </c>
      <c r="DN103" s="17">
        <f t="shared" si="104"/>
        <v>77.52000000000001</v>
      </c>
      <c r="DO103" s="18">
        <f t="shared" si="105"/>
        <v>79</v>
      </c>
      <c r="DP103" s="18">
        <f t="shared" si="106"/>
        <v>77</v>
      </c>
      <c r="DQ103" s="18">
        <f t="shared" si="107"/>
        <v>83</v>
      </c>
      <c r="DR103" s="17">
        <f t="shared" si="108"/>
        <v>79.599999999999994</v>
      </c>
      <c r="DS103" s="18">
        <f t="shared" si="109"/>
        <v>82</v>
      </c>
      <c r="DT103" s="18">
        <f t="shared" si="110"/>
        <v>82</v>
      </c>
      <c r="DU103" s="18">
        <f t="shared" si="111"/>
        <v>78</v>
      </c>
      <c r="DV103" s="18">
        <f t="shared" si="112"/>
        <v>78</v>
      </c>
      <c r="DW103" s="18">
        <f t="shared" si="113"/>
        <v>82</v>
      </c>
      <c r="DX103" s="17">
        <f t="shared" si="114"/>
        <v>82</v>
      </c>
      <c r="DY103" s="18">
        <f t="shared" si="115"/>
        <v>82.333333333333329</v>
      </c>
      <c r="DZ103" s="18">
        <f t="shared" si="116"/>
        <v>78</v>
      </c>
      <c r="EA103" s="18">
        <f t="shared" si="117"/>
        <v>77</v>
      </c>
      <c r="EB103" s="17">
        <f t="shared" si="118"/>
        <v>79.433333333333323</v>
      </c>
      <c r="EC103" s="18">
        <f t="shared" si="119"/>
        <v>84.666666666666671</v>
      </c>
      <c r="ED103" s="18">
        <f t="shared" si="120"/>
        <v>78</v>
      </c>
      <c r="EE103" s="18">
        <f t="shared" si="121"/>
        <v>78</v>
      </c>
      <c r="EF103" s="17">
        <f t="shared" si="122"/>
        <v>80.666666666666671</v>
      </c>
      <c r="EG103" s="18">
        <f t="shared" si="123"/>
        <v>77</v>
      </c>
      <c r="EH103" s="18">
        <f t="shared" si="124"/>
        <v>76</v>
      </c>
      <c r="EI103" s="18">
        <f t="shared" si="125"/>
        <v>77</v>
      </c>
      <c r="EJ103" s="18">
        <f t="shared" si="126"/>
        <v>80</v>
      </c>
      <c r="EK103" s="17">
        <f t="shared" si="127"/>
        <v>77.5</v>
      </c>
      <c r="EL103" s="19">
        <f t="shared" si="128"/>
        <v>82.36</v>
      </c>
      <c r="EM103" s="19">
        <f t="shared" si="129"/>
        <v>80.52000000000001</v>
      </c>
      <c r="EN103" s="19">
        <f t="shared" si="130"/>
        <v>79.44</v>
      </c>
      <c r="EO103" s="19">
        <f t="shared" si="131"/>
        <v>83</v>
      </c>
      <c r="EP103" s="19">
        <f t="shared" si="132"/>
        <v>82.75</v>
      </c>
      <c r="EQ103" s="19">
        <f t="shared" si="133"/>
        <v>83.5</v>
      </c>
      <c r="ER103" s="19">
        <f t="shared" si="134"/>
        <v>79.75</v>
      </c>
      <c r="ES103" s="19">
        <f t="shared" si="135"/>
        <v>78.099999999999994</v>
      </c>
      <c r="ET103" s="19">
        <f t="shared" si="136"/>
        <v>77.52000000000001</v>
      </c>
      <c r="EU103" s="19">
        <f t="shared" si="137"/>
        <v>79.599999999999994</v>
      </c>
      <c r="EV103" s="19">
        <f t="shared" si="138"/>
        <v>82</v>
      </c>
      <c r="EW103" s="19">
        <f t="shared" si="139"/>
        <v>78</v>
      </c>
      <c r="EX103" s="19">
        <f t="shared" si="140"/>
        <v>82</v>
      </c>
      <c r="EY103" s="19">
        <f t="shared" si="141"/>
        <v>79.433333333333323</v>
      </c>
      <c r="EZ103" s="19">
        <f t="shared" si="142"/>
        <v>80.666666666666671</v>
      </c>
      <c r="FA103" s="19">
        <f t="shared" si="143"/>
        <v>77</v>
      </c>
      <c r="FB103" s="19">
        <f t="shared" si="144"/>
        <v>77.5</v>
      </c>
      <c r="FC103" s="19">
        <f t="shared" si="145"/>
        <v>80.184705882352944</v>
      </c>
    </row>
    <row r="104" spans="1:159" ht="20.100000000000001" customHeight="1">
      <c r="A104" s="11">
        <v>100</v>
      </c>
      <c r="B104" s="12" t="s">
        <v>252</v>
      </c>
      <c r="C104" s="13" t="s">
        <v>253</v>
      </c>
      <c r="D104" s="25" t="s">
        <v>197</v>
      </c>
      <c r="E104" s="26">
        <v>83</v>
      </c>
      <c r="F104" s="26">
        <v>82</v>
      </c>
      <c r="G104" s="26">
        <v>89</v>
      </c>
      <c r="H104" s="26">
        <v>83</v>
      </c>
      <c r="I104" s="26">
        <v>89</v>
      </c>
      <c r="J104" s="26">
        <v>85</v>
      </c>
      <c r="K104" s="26">
        <v>80</v>
      </c>
      <c r="L104" s="26">
        <v>89</v>
      </c>
      <c r="M104" s="26">
        <v>83</v>
      </c>
      <c r="N104" s="26">
        <v>84</v>
      </c>
      <c r="O104" s="26">
        <v>85</v>
      </c>
      <c r="P104" s="27">
        <v>85</v>
      </c>
      <c r="Q104" s="27">
        <v>80</v>
      </c>
      <c r="R104" s="26">
        <v>85</v>
      </c>
      <c r="S104" s="26">
        <v>80</v>
      </c>
      <c r="T104" s="26">
        <v>83</v>
      </c>
      <c r="U104" s="26">
        <v>73</v>
      </c>
      <c r="V104" s="26">
        <v>82</v>
      </c>
      <c r="W104" s="26">
        <v>80</v>
      </c>
      <c r="X104" s="26">
        <v>84</v>
      </c>
      <c r="Y104" s="26">
        <v>81</v>
      </c>
      <c r="Z104" s="26">
        <v>84</v>
      </c>
      <c r="AA104" s="26">
        <v>81</v>
      </c>
      <c r="AB104" s="27">
        <v>85</v>
      </c>
      <c r="AC104" s="27">
        <v>82</v>
      </c>
      <c r="AD104" s="26">
        <v>81</v>
      </c>
      <c r="AE104" s="26">
        <v>82</v>
      </c>
      <c r="AF104" s="26">
        <v>83</v>
      </c>
      <c r="AG104" s="26">
        <v>84</v>
      </c>
      <c r="AH104" s="26">
        <v>76</v>
      </c>
      <c r="AI104" s="26">
        <v>72</v>
      </c>
      <c r="AJ104" s="26">
        <v>81</v>
      </c>
      <c r="AK104" s="26">
        <v>80</v>
      </c>
      <c r="AL104" s="27">
        <v>82</v>
      </c>
      <c r="AM104" s="27">
        <v>71</v>
      </c>
      <c r="AN104" s="26">
        <v>73</v>
      </c>
      <c r="AO104" s="26">
        <v>75</v>
      </c>
      <c r="AP104" s="26">
        <v>76</v>
      </c>
      <c r="AQ104" s="26">
        <v>80</v>
      </c>
      <c r="AR104" s="26">
        <v>85</v>
      </c>
      <c r="AS104" s="26">
        <v>75</v>
      </c>
      <c r="AT104" s="26">
        <v>78</v>
      </c>
      <c r="AU104" s="26">
        <v>80</v>
      </c>
      <c r="AV104" s="26">
        <v>80</v>
      </c>
      <c r="AW104" s="26">
        <v>78</v>
      </c>
      <c r="AX104" s="27">
        <v>85</v>
      </c>
      <c r="AY104" s="27">
        <v>92</v>
      </c>
      <c r="AZ104" s="26">
        <v>83</v>
      </c>
      <c r="BA104" s="26">
        <v>84</v>
      </c>
      <c r="BB104" s="26">
        <v>86</v>
      </c>
      <c r="BC104" s="26">
        <v>82</v>
      </c>
      <c r="BD104" s="26">
        <v>83</v>
      </c>
      <c r="BE104" s="37">
        <v>79</v>
      </c>
      <c r="BF104" s="37">
        <v>82</v>
      </c>
      <c r="BG104" s="37">
        <v>83</v>
      </c>
      <c r="BH104" s="26">
        <v>85</v>
      </c>
      <c r="BI104" s="37">
        <v>76</v>
      </c>
      <c r="BJ104" s="37">
        <v>81</v>
      </c>
      <c r="BK104" s="37">
        <v>88</v>
      </c>
      <c r="BL104" s="26">
        <v>85</v>
      </c>
      <c r="BM104" s="37">
        <v>70</v>
      </c>
      <c r="BN104" s="37">
        <v>73</v>
      </c>
      <c r="BO104" s="37">
        <v>84</v>
      </c>
      <c r="BP104" s="26">
        <v>85</v>
      </c>
      <c r="BQ104" s="15">
        <f t="shared" si="73"/>
        <v>75</v>
      </c>
      <c r="BR104" s="15">
        <f t="shared" si="74"/>
        <v>78.666666666666671</v>
      </c>
      <c r="BS104" s="15">
        <f t="shared" si="75"/>
        <v>85</v>
      </c>
      <c r="BT104" s="15">
        <f t="shared" si="76"/>
        <v>85</v>
      </c>
      <c r="BU104" s="27">
        <v>88</v>
      </c>
      <c r="BV104" s="27">
        <v>86</v>
      </c>
      <c r="BW104" s="27">
        <v>82</v>
      </c>
      <c r="BX104" s="27">
        <v>85</v>
      </c>
      <c r="BY104" s="27">
        <v>84</v>
      </c>
      <c r="BZ104" s="27">
        <v>75</v>
      </c>
      <c r="CA104" s="27">
        <v>83</v>
      </c>
      <c r="CB104" s="27">
        <v>71</v>
      </c>
      <c r="CC104" s="27">
        <v>85</v>
      </c>
      <c r="CD104" s="39">
        <v>86</v>
      </c>
      <c r="CE104" s="40">
        <v>85</v>
      </c>
      <c r="CF104" s="40">
        <v>80</v>
      </c>
      <c r="CG104" s="40">
        <v>82</v>
      </c>
      <c r="CH104" s="40">
        <v>79</v>
      </c>
      <c r="CI104" s="40">
        <v>80</v>
      </c>
      <c r="CJ104" s="40">
        <v>80</v>
      </c>
      <c r="CK104" s="39">
        <v>88</v>
      </c>
      <c r="CL104" s="40">
        <v>95</v>
      </c>
      <c r="CM104" s="41">
        <f t="shared" si="77"/>
        <v>85.2</v>
      </c>
      <c r="CN104" s="41">
        <f t="shared" si="78"/>
        <v>85</v>
      </c>
      <c r="CO104" s="41">
        <f t="shared" si="79"/>
        <v>86</v>
      </c>
      <c r="CP104" s="17">
        <f t="shared" si="80"/>
        <v>85.38</v>
      </c>
      <c r="CQ104" s="16">
        <f t="shared" si="81"/>
        <v>84.2</v>
      </c>
      <c r="CR104" s="16">
        <f t="shared" si="82"/>
        <v>85</v>
      </c>
      <c r="CS104" s="16">
        <f t="shared" si="83"/>
        <v>85</v>
      </c>
      <c r="CT104" s="17">
        <f t="shared" si="84"/>
        <v>84.679999999999993</v>
      </c>
      <c r="CU104" s="17">
        <f t="shared" si="85"/>
        <v>80.2</v>
      </c>
      <c r="CV104" s="17">
        <f t="shared" si="86"/>
        <v>82</v>
      </c>
      <c r="CW104" s="17">
        <f t="shared" si="87"/>
        <v>80</v>
      </c>
      <c r="CX104" s="17">
        <f t="shared" si="88"/>
        <v>80.679999999999993</v>
      </c>
      <c r="CY104" s="18">
        <f t="shared" si="89"/>
        <v>82.25</v>
      </c>
      <c r="CZ104" s="18">
        <f t="shared" si="90"/>
        <v>82.25</v>
      </c>
      <c r="DA104" s="18">
        <f t="shared" si="91"/>
        <v>82.25</v>
      </c>
      <c r="DB104" s="18">
        <f t="shared" si="92"/>
        <v>82.25</v>
      </c>
      <c r="DC104" s="18">
        <f t="shared" si="93"/>
        <v>82.5</v>
      </c>
      <c r="DD104" s="18">
        <f t="shared" si="94"/>
        <v>82.5</v>
      </c>
      <c r="DE104" s="18">
        <f t="shared" si="95"/>
        <v>78.25</v>
      </c>
      <c r="DF104" s="18">
        <f t="shared" si="96"/>
        <v>78.25</v>
      </c>
      <c r="DG104" s="18">
        <f t="shared" si="97"/>
        <v>80</v>
      </c>
      <c r="DH104" s="18">
        <f t="shared" si="98"/>
        <v>82</v>
      </c>
      <c r="DI104" s="18">
        <f t="shared" si="99"/>
        <v>82</v>
      </c>
      <c r="DJ104" s="17">
        <f t="shared" si="100"/>
        <v>81.2</v>
      </c>
      <c r="DK104" s="18">
        <f t="shared" si="101"/>
        <v>75</v>
      </c>
      <c r="DL104" s="18">
        <f t="shared" si="102"/>
        <v>85</v>
      </c>
      <c r="DM104" s="18">
        <f t="shared" si="103"/>
        <v>79</v>
      </c>
      <c r="DN104" s="17">
        <f t="shared" si="104"/>
        <v>79.2</v>
      </c>
      <c r="DO104" s="18">
        <f t="shared" si="105"/>
        <v>78.2</v>
      </c>
      <c r="DP104" s="18">
        <f t="shared" si="106"/>
        <v>85</v>
      </c>
      <c r="DQ104" s="18">
        <f t="shared" si="107"/>
        <v>80</v>
      </c>
      <c r="DR104" s="17">
        <f t="shared" si="108"/>
        <v>80.78</v>
      </c>
      <c r="DS104" s="18">
        <f t="shared" si="109"/>
        <v>87.5</v>
      </c>
      <c r="DT104" s="18">
        <f t="shared" si="110"/>
        <v>87.5</v>
      </c>
      <c r="DU104" s="18">
        <f t="shared" si="111"/>
        <v>85</v>
      </c>
      <c r="DV104" s="18">
        <f t="shared" si="112"/>
        <v>85</v>
      </c>
      <c r="DW104" s="18">
        <f t="shared" si="113"/>
        <v>82.5</v>
      </c>
      <c r="DX104" s="17">
        <f t="shared" si="114"/>
        <v>82.5</v>
      </c>
      <c r="DY104" s="18">
        <f t="shared" si="115"/>
        <v>79.555555555555557</v>
      </c>
      <c r="DZ104" s="18">
        <f t="shared" si="116"/>
        <v>85</v>
      </c>
      <c r="EA104" s="18">
        <f t="shared" si="117"/>
        <v>95</v>
      </c>
      <c r="EB104" s="17">
        <f t="shared" si="118"/>
        <v>85.822222222222223</v>
      </c>
      <c r="EC104" s="18">
        <f t="shared" si="119"/>
        <v>85.333333333333329</v>
      </c>
      <c r="ED104" s="18">
        <f t="shared" si="120"/>
        <v>85</v>
      </c>
      <c r="EE104" s="18">
        <f t="shared" si="121"/>
        <v>88</v>
      </c>
      <c r="EF104" s="17">
        <f t="shared" si="122"/>
        <v>86.033333333333331</v>
      </c>
      <c r="EG104" s="18">
        <f t="shared" si="123"/>
        <v>84</v>
      </c>
      <c r="EH104" s="18">
        <f t="shared" si="124"/>
        <v>76.333333333333329</v>
      </c>
      <c r="EI104" s="18">
        <f t="shared" si="125"/>
        <v>85</v>
      </c>
      <c r="EJ104" s="18">
        <f t="shared" si="126"/>
        <v>80</v>
      </c>
      <c r="EK104" s="17">
        <f t="shared" si="127"/>
        <v>80.033333333333331</v>
      </c>
      <c r="EL104" s="19">
        <f t="shared" si="128"/>
        <v>85.38</v>
      </c>
      <c r="EM104" s="19">
        <f t="shared" si="129"/>
        <v>84.679999999999993</v>
      </c>
      <c r="EN104" s="19">
        <f t="shared" si="130"/>
        <v>80.679999999999993</v>
      </c>
      <c r="EO104" s="19">
        <f t="shared" si="131"/>
        <v>82.25</v>
      </c>
      <c r="EP104" s="19">
        <f t="shared" si="132"/>
        <v>82.25</v>
      </c>
      <c r="EQ104" s="19">
        <f t="shared" si="133"/>
        <v>82.5</v>
      </c>
      <c r="ER104" s="19">
        <f t="shared" si="134"/>
        <v>78.25</v>
      </c>
      <c r="ES104" s="19">
        <f t="shared" si="135"/>
        <v>81.2</v>
      </c>
      <c r="ET104" s="19">
        <f t="shared" si="136"/>
        <v>79.2</v>
      </c>
      <c r="EU104" s="19">
        <f t="shared" si="137"/>
        <v>80.78</v>
      </c>
      <c r="EV104" s="19">
        <f t="shared" si="138"/>
        <v>87.5</v>
      </c>
      <c r="EW104" s="19">
        <f t="shared" si="139"/>
        <v>85</v>
      </c>
      <c r="EX104" s="19">
        <f t="shared" si="140"/>
        <v>82.5</v>
      </c>
      <c r="EY104" s="19">
        <f t="shared" si="141"/>
        <v>85.822222222222223</v>
      </c>
      <c r="EZ104" s="19">
        <f t="shared" si="142"/>
        <v>86.033333333333331</v>
      </c>
      <c r="FA104" s="19">
        <f t="shared" si="143"/>
        <v>84</v>
      </c>
      <c r="FB104" s="19">
        <f t="shared" si="144"/>
        <v>80.033333333333331</v>
      </c>
      <c r="FC104" s="19">
        <f t="shared" si="145"/>
        <v>82.826993464052293</v>
      </c>
    </row>
    <row r="105" spans="1:159" ht="20.100000000000001" customHeight="1">
      <c r="A105" s="11">
        <v>101</v>
      </c>
      <c r="B105" s="12" t="s">
        <v>254</v>
      </c>
      <c r="C105" s="13" t="s">
        <v>255</v>
      </c>
      <c r="D105" s="25" t="s">
        <v>197</v>
      </c>
      <c r="E105" s="26">
        <v>78</v>
      </c>
      <c r="F105" s="26">
        <v>80</v>
      </c>
      <c r="G105" s="26">
        <v>89</v>
      </c>
      <c r="H105" s="26">
        <v>82</v>
      </c>
      <c r="I105" s="26">
        <v>87</v>
      </c>
      <c r="J105" s="26">
        <v>80</v>
      </c>
      <c r="K105" s="26">
        <v>76</v>
      </c>
      <c r="L105" s="26">
        <v>86</v>
      </c>
      <c r="M105" s="26">
        <v>80</v>
      </c>
      <c r="N105" s="26">
        <v>83</v>
      </c>
      <c r="O105" s="26">
        <v>90</v>
      </c>
      <c r="P105" s="27">
        <v>88</v>
      </c>
      <c r="Q105" s="27">
        <v>80</v>
      </c>
      <c r="R105" s="26">
        <v>82</v>
      </c>
      <c r="S105" s="26">
        <v>72</v>
      </c>
      <c r="T105" s="26">
        <v>77</v>
      </c>
      <c r="U105" s="26">
        <v>74</v>
      </c>
      <c r="V105" s="26">
        <v>79</v>
      </c>
      <c r="W105" s="26">
        <v>80</v>
      </c>
      <c r="X105" s="26">
        <v>84</v>
      </c>
      <c r="Y105" s="26">
        <v>80</v>
      </c>
      <c r="Z105" s="26">
        <v>83</v>
      </c>
      <c r="AA105" s="26">
        <v>79</v>
      </c>
      <c r="AB105" s="27">
        <v>81</v>
      </c>
      <c r="AC105" s="27">
        <v>81</v>
      </c>
      <c r="AD105" s="26">
        <v>80</v>
      </c>
      <c r="AE105" s="26">
        <v>83</v>
      </c>
      <c r="AF105" s="26">
        <v>84</v>
      </c>
      <c r="AG105" s="26">
        <v>76</v>
      </c>
      <c r="AH105" s="26">
        <v>75</v>
      </c>
      <c r="AI105" s="26">
        <v>70</v>
      </c>
      <c r="AJ105" s="26">
        <v>80</v>
      </c>
      <c r="AK105" s="26">
        <v>82</v>
      </c>
      <c r="AL105" s="27">
        <v>79</v>
      </c>
      <c r="AM105" s="27">
        <v>70</v>
      </c>
      <c r="AN105" s="26">
        <v>70</v>
      </c>
      <c r="AO105" s="26">
        <v>72</v>
      </c>
      <c r="AP105" s="26">
        <v>73</v>
      </c>
      <c r="AQ105" s="26">
        <v>80</v>
      </c>
      <c r="AR105" s="26">
        <v>80</v>
      </c>
      <c r="AS105" s="26">
        <v>75</v>
      </c>
      <c r="AT105" s="26">
        <v>78</v>
      </c>
      <c r="AU105" s="26">
        <v>80</v>
      </c>
      <c r="AV105" s="26">
        <v>80</v>
      </c>
      <c r="AW105" s="26">
        <v>78</v>
      </c>
      <c r="AX105" s="27">
        <v>80</v>
      </c>
      <c r="AY105" s="27">
        <v>76</v>
      </c>
      <c r="AZ105" s="26">
        <v>76</v>
      </c>
      <c r="BA105" s="26">
        <v>75</v>
      </c>
      <c r="BB105" s="26">
        <v>82</v>
      </c>
      <c r="BC105" s="26">
        <v>76</v>
      </c>
      <c r="BD105" s="26">
        <v>83</v>
      </c>
      <c r="BE105" s="37">
        <v>79</v>
      </c>
      <c r="BF105" s="37">
        <v>71</v>
      </c>
      <c r="BG105" s="37">
        <v>78</v>
      </c>
      <c r="BH105" s="26">
        <v>79</v>
      </c>
      <c r="BI105" s="37">
        <v>74</v>
      </c>
      <c r="BJ105" s="37">
        <v>73</v>
      </c>
      <c r="BK105" s="37">
        <v>72</v>
      </c>
      <c r="BL105" s="26">
        <v>79</v>
      </c>
      <c r="BM105" s="37">
        <v>70</v>
      </c>
      <c r="BN105" s="37">
        <v>70</v>
      </c>
      <c r="BO105" s="37">
        <v>81</v>
      </c>
      <c r="BP105" s="26">
        <v>79</v>
      </c>
      <c r="BQ105" s="15">
        <f t="shared" si="73"/>
        <v>74.333333333333329</v>
      </c>
      <c r="BR105" s="15">
        <f t="shared" si="74"/>
        <v>71.333333333333329</v>
      </c>
      <c r="BS105" s="15">
        <f t="shared" si="75"/>
        <v>77</v>
      </c>
      <c r="BT105" s="15">
        <f t="shared" si="76"/>
        <v>79</v>
      </c>
      <c r="BU105" s="27">
        <v>88</v>
      </c>
      <c r="BV105" s="27">
        <v>87</v>
      </c>
      <c r="BW105" s="27">
        <v>81</v>
      </c>
      <c r="BX105" s="27">
        <v>79</v>
      </c>
      <c r="BY105" s="27">
        <v>81</v>
      </c>
      <c r="BZ105" s="27">
        <v>74</v>
      </c>
      <c r="CA105" s="27">
        <v>79</v>
      </c>
      <c r="CB105" s="27">
        <v>74</v>
      </c>
      <c r="CC105" s="27">
        <v>80</v>
      </c>
      <c r="CD105" s="39">
        <v>84</v>
      </c>
      <c r="CE105" s="40">
        <v>90</v>
      </c>
      <c r="CF105" s="40">
        <v>78</v>
      </c>
      <c r="CG105" s="40">
        <v>92</v>
      </c>
      <c r="CH105" s="40">
        <v>79</v>
      </c>
      <c r="CI105" s="40">
        <v>80</v>
      </c>
      <c r="CJ105" s="40">
        <v>80</v>
      </c>
      <c r="CK105" s="39">
        <v>78</v>
      </c>
      <c r="CL105" s="40">
        <v>72</v>
      </c>
      <c r="CM105" s="41">
        <f t="shared" si="77"/>
        <v>83.2</v>
      </c>
      <c r="CN105" s="41">
        <f t="shared" si="78"/>
        <v>80</v>
      </c>
      <c r="CO105" s="41">
        <f t="shared" si="79"/>
        <v>84</v>
      </c>
      <c r="CP105" s="17">
        <f t="shared" si="80"/>
        <v>82.47999999999999</v>
      </c>
      <c r="CQ105" s="16">
        <f t="shared" si="81"/>
        <v>83</v>
      </c>
      <c r="CR105" s="16">
        <f t="shared" si="82"/>
        <v>88</v>
      </c>
      <c r="CS105" s="16">
        <f t="shared" si="83"/>
        <v>90</v>
      </c>
      <c r="CT105" s="17">
        <f t="shared" si="84"/>
        <v>86.6</v>
      </c>
      <c r="CU105" s="17">
        <f t="shared" si="85"/>
        <v>77</v>
      </c>
      <c r="CV105" s="17">
        <f t="shared" si="86"/>
        <v>79</v>
      </c>
      <c r="CW105" s="17">
        <f t="shared" si="87"/>
        <v>78</v>
      </c>
      <c r="CX105" s="17">
        <f t="shared" si="88"/>
        <v>77.900000000000006</v>
      </c>
      <c r="CY105" s="18">
        <f t="shared" si="89"/>
        <v>81.75</v>
      </c>
      <c r="CZ105" s="18">
        <f t="shared" si="90"/>
        <v>81.75</v>
      </c>
      <c r="DA105" s="18">
        <f t="shared" si="91"/>
        <v>80.25</v>
      </c>
      <c r="DB105" s="18">
        <f t="shared" si="92"/>
        <v>80.25</v>
      </c>
      <c r="DC105" s="18">
        <f t="shared" si="93"/>
        <v>83.5</v>
      </c>
      <c r="DD105" s="18">
        <f t="shared" si="94"/>
        <v>83.5</v>
      </c>
      <c r="DE105" s="18">
        <f t="shared" si="95"/>
        <v>75.25</v>
      </c>
      <c r="DF105" s="18">
        <f t="shared" si="96"/>
        <v>75.25</v>
      </c>
      <c r="DG105" s="18">
        <f t="shared" si="97"/>
        <v>82</v>
      </c>
      <c r="DH105" s="18">
        <f t="shared" si="98"/>
        <v>79</v>
      </c>
      <c r="DI105" s="18">
        <f t="shared" si="99"/>
        <v>92</v>
      </c>
      <c r="DJ105" s="17">
        <f t="shared" si="100"/>
        <v>84.1</v>
      </c>
      <c r="DK105" s="18">
        <f t="shared" si="101"/>
        <v>73</v>
      </c>
      <c r="DL105" s="18">
        <f t="shared" si="102"/>
        <v>80</v>
      </c>
      <c r="DM105" s="18">
        <f t="shared" si="103"/>
        <v>79</v>
      </c>
      <c r="DN105" s="17">
        <f t="shared" si="104"/>
        <v>76.900000000000006</v>
      </c>
      <c r="DO105" s="18">
        <f t="shared" si="105"/>
        <v>78.2</v>
      </c>
      <c r="DP105" s="18">
        <f t="shared" si="106"/>
        <v>80</v>
      </c>
      <c r="DQ105" s="18">
        <f t="shared" si="107"/>
        <v>80</v>
      </c>
      <c r="DR105" s="17">
        <f t="shared" si="108"/>
        <v>79.28</v>
      </c>
      <c r="DS105" s="18">
        <f t="shared" si="109"/>
        <v>76</v>
      </c>
      <c r="DT105" s="18">
        <f t="shared" si="110"/>
        <v>76</v>
      </c>
      <c r="DU105" s="18">
        <f t="shared" si="111"/>
        <v>78.5</v>
      </c>
      <c r="DV105" s="18">
        <f t="shared" si="112"/>
        <v>78.5</v>
      </c>
      <c r="DW105" s="18">
        <f t="shared" si="113"/>
        <v>79.5</v>
      </c>
      <c r="DX105" s="17">
        <f t="shared" si="114"/>
        <v>79.5</v>
      </c>
      <c r="DY105" s="18">
        <f t="shared" si="115"/>
        <v>74.222222222222214</v>
      </c>
      <c r="DZ105" s="18">
        <f t="shared" si="116"/>
        <v>79</v>
      </c>
      <c r="EA105" s="18">
        <f t="shared" si="117"/>
        <v>72</v>
      </c>
      <c r="EB105" s="17">
        <f t="shared" si="118"/>
        <v>74.988888888888894</v>
      </c>
      <c r="EC105" s="18">
        <f t="shared" si="119"/>
        <v>85.333333333333329</v>
      </c>
      <c r="ED105" s="18">
        <f t="shared" si="120"/>
        <v>79</v>
      </c>
      <c r="EE105" s="18">
        <f t="shared" si="121"/>
        <v>78</v>
      </c>
      <c r="EF105" s="17">
        <f t="shared" si="122"/>
        <v>81.23333333333332</v>
      </c>
      <c r="EG105" s="18">
        <f t="shared" si="123"/>
        <v>81</v>
      </c>
      <c r="EH105" s="18">
        <f t="shared" si="124"/>
        <v>75.666666666666671</v>
      </c>
      <c r="EI105" s="18">
        <f t="shared" si="125"/>
        <v>80</v>
      </c>
      <c r="EJ105" s="18">
        <f t="shared" si="126"/>
        <v>80</v>
      </c>
      <c r="EK105" s="17">
        <f t="shared" si="127"/>
        <v>78.26666666666668</v>
      </c>
      <c r="EL105" s="19">
        <f t="shared" si="128"/>
        <v>82.47999999999999</v>
      </c>
      <c r="EM105" s="19">
        <f t="shared" si="129"/>
        <v>86.6</v>
      </c>
      <c r="EN105" s="19">
        <f t="shared" si="130"/>
        <v>77.900000000000006</v>
      </c>
      <c r="EO105" s="19">
        <f t="shared" si="131"/>
        <v>81.75</v>
      </c>
      <c r="EP105" s="19">
        <f t="shared" si="132"/>
        <v>80.25</v>
      </c>
      <c r="EQ105" s="19">
        <f t="shared" si="133"/>
        <v>83.5</v>
      </c>
      <c r="ER105" s="19">
        <f t="shared" si="134"/>
        <v>75.25</v>
      </c>
      <c r="ES105" s="19">
        <f t="shared" si="135"/>
        <v>84.1</v>
      </c>
      <c r="ET105" s="19">
        <f t="shared" si="136"/>
        <v>76.900000000000006</v>
      </c>
      <c r="EU105" s="19">
        <f t="shared" si="137"/>
        <v>79.28</v>
      </c>
      <c r="EV105" s="19">
        <f t="shared" si="138"/>
        <v>76</v>
      </c>
      <c r="EW105" s="19">
        <f t="shared" si="139"/>
        <v>78.5</v>
      </c>
      <c r="EX105" s="19">
        <f t="shared" si="140"/>
        <v>79.5</v>
      </c>
      <c r="EY105" s="19">
        <f t="shared" si="141"/>
        <v>74.988888888888894</v>
      </c>
      <c r="EZ105" s="19">
        <f t="shared" si="142"/>
        <v>81.23333333333332</v>
      </c>
      <c r="FA105" s="19">
        <f t="shared" si="143"/>
        <v>81</v>
      </c>
      <c r="FB105" s="19">
        <f t="shared" si="144"/>
        <v>78.26666666666668</v>
      </c>
      <c r="FC105" s="19">
        <f t="shared" si="145"/>
        <v>79.85287581699346</v>
      </c>
    </row>
    <row r="106" spans="1:159" ht="20.100000000000001" customHeight="1">
      <c r="A106" s="11">
        <v>102</v>
      </c>
      <c r="B106" s="12" t="s">
        <v>256</v>
      </c>
      <c r="C106" s="13" t="s">
        <v>257</v>
      </c>
      <c r="D106" s="25" t="s">
        <v>197</v>
      </c>
      <c r="E106" s="26">
        <v>90</v>
      </c>
      <c r="F106" s="26">
        <v>81</v>
      </c>
      <c r="G106" s="26">
        <v>85</v>
      </c>
      <c r="H106" s="26">
        <v>82</v>
      </c>
      <c r="I106" s="26">
        <v>84</v>
      </c>
      <c r="J106" s="26">
        <v>79</v>
      </c>
      <c r="K106" s="26">
        <v>79</v>
      </c>
      <c r="L106" s="26">
        <v>79</v>
      </c>
      <c r="M106" s="26">
        <v>87</v>
      </c>
      <c r="N106" s="26">
        <v>87</v>
      </c>
      <c r="O106" s="26">
        <v>87</v>
      </c>
      <c r="P106" s="27">
        <v>79</v>
      </c>
      <c r="Q106" s="27">
        <v>90</v>
      </c>
      <c r="R106" s="26">
        <v>84</v>
      </c>
      <c r="S106" s="26">
        <v>80</v>
      </c>
      <c r="T106" s="26">
        <v>82</v>
      </c>
      <c r="U106" s="26">
        <v>80</v>
      </c>
      <c r="V106" s="26">
        <v>77</v>
      </c>
      <c r="W106" s="26">
        <v>82</v>
      </c>
      <c r="X106" s="26">
        <v>84</v>
      </c>
      <c r="Y106" s="26">
        <v>80</v>
      </c>
      <c r="Z106" s="26">
        <v>84</v>
      </c>
      <c r="AA106" s="26">
        <v>78</v>
      </c>
      <c r="AB106" s="27">
        <v>80</v>
      </c>
      <c r="AC106" s="27">
        <v>80</v>
      </c>
      <c r="AD106" s="26">
        <v>85</v>
      </c>
      <c r="AE106" s="26">
        <v>82</v>
      </c>
      <c r="AF106" s="26">
        <v>81</v>
      </c>
      <c r="AG106" s="26">
        <v>86</v>
      </c>
      <c r="AH106" s="26">
        <v>73</v>
      </c>
      <c r="AI106" s="26">
        <v>77</v>
      </c>
      <c r="AJ106" s="26">
        <v>85</v>
      </c>
      <c r="AK106" s="26">
        <v>83</v>
      </c>
      <c r="AL106" s="27">
        <v>77</v>
      </c>
      <c r="AM106" s="27">
        <v>72</v>
      </c>
      <c r="AN106" s="26">
        <v>72</v>
      </c>
      <c r="AO106" s="26">
        <v>79</v>
      </c>
      <c r="AP106" s="26">
        <v>80</v>
      </c>
      <c r="AQ106" s="26">
        <v>81</v>
      </c>
      <c r="AR106" s="26">
        <v>78</v>
      </c>
      <c r="AS106" s="26">
        <v>76</v>
      </c>
      <c r="AT106" s="26">
        <v>78</v>
      </c>
      <c r="AU106" s="26">
        <v>78</v>
      </c>
      <c r="AV106" s="26">
        <v>80</v>
      </c>
      <c r="AW106" s="26">
        <v>80</v>
      </c>
      <c r="AX106" s="27">
        <v>78</v>
      </c>
      <c r="AY106" s="27">
        <v>92</v>
      </c>
      <c r="AZ106" s="26">
        <v>89</v>
      </c>
      <c r="BA106" s="26">
        <v>75</v>
      </c>
      <c r="BB106" s="26">
        <v>80</v>
      </c>
      <c r="BC106" s="26">
        <v>92</v>
      </c>
      <c r="BD106" s="26">
        <v>83</v>
      </c>
      <c r="BE106" s="37">
        <v>74</v>
      </c>
      <c r="BF106" s="37">
        <v>80</v>
      </c>
      <c r="BG106" s="37">
        <v>81</v>
      </c>
      <c r="BH106" s="26">
        <v>77</v>
      </c>
      <c r="BI106" s="37">
        <v>76</v>
      </c>
      <c r="BJ106" s="37">
        <v>79</v>
      </c>
      <c r="BK106" s="37">
        <v>88</v>
      </c>
      <c r="BL106" s="26">
        <v>77</v>
      </c>
      <c r="BM106" s="37">
        <v>70</v>
      </c>
      <c r="BN106" s="37">
        <v>78</v>
      </c>
      <c r="BO106" s="37">
        <v>82</v>
      </c>
      <c r="BP106" s="26">
        <v>77</v>
      </c>
      <c r="BQ106" s="15">
        <f t="shared" si="73"/>
        <v>73.333333333333329</v>
      </c>
      <c r="BR106" s="15">
        <f t="shared" si="74"/>
        <v>79</v>
      </c>
      <c r="BS106" s="15">
        <f t="shared" si="75"/>
        <v>83.666666666666671</v>
      </c>
      <c r="BT106" s="15">
        <f t="shared" si="76"/>
        <v>77</v>
      </c>
      <c r="BU106" s="27">
        <v>86</v>
      </c>
      <c r="BV106" s="27">
        <v>82</v>
      </c>
      <c r="BW106" s="27">
        <v>84</v>
      </c>
      <c r="BX106" s="27">
        <v>77</v>
      </c>
      <c r="BY106" s="27">
        <v>78</v>
      </c>
      <c r="BZ106" s="27">
        <v>76</v>
      </c>
      <c r="CA106" s="27">
        <v>80</v>
      </c>
      <c r="CB106" s="27">
        <v>74</v>
      </c>
      <c r="CC106" s="27">
        <v>78</v>
      </c>
      <c r="CD106" s="39">
        <v>83</v>
      </c>
      <c r="CE106" s="40">
        <v>94</v>
      </c>
      <c r="CF106" s="40">
        <v>80</v>
      </c>
      <c r="CG106" s="40">
        <v>90</v>
      </c>
      <c r="CH106" s="40">
        <v>80</v>
      </c>
      <c r="CI106" s="40">
        <v>80</v>
      </c>
      <c r="CJ106" s="40">
        <v>80</v>
      </c>
      <c r="CK106" s="39">
        <v>84</v>
      </c>
      <c r="CL106" s="40">
        <v>85</v>
      </c>
      <c r="CM106" s="41">
        <f t="shared" si="77"/>
        <v>84.4</v>
      </c>
      <c r="CN106" s="41">
        <f t="shared" si="78"/>
        <v>79</v>
      </c>
      <c r="CO106" s="41">
        <f t="shared" si="79"/>
        <v>83</v>
      </c>
      <c r="CP106" s="17">
        <f t="shared" si="80"/>
        <v>82.36</v>
      </c>
      <c r="CQ106" s="16">
        <f t="shared" si="81"/>
        <v>83.8</v>
      </c>
      <c r="CR106" s="16">
        <f t="shared" si="82"/>
        <v>79</v>
      </c>
      <c r="CS106" s="16">
        <f t="shared" si="83"/>
        <v>94</v>
      </c>
      <c r="CT106" s="17">
        <f t="shared" si="84"/>
        <v>85.42</v>
      </c>
      <c r="CU106" s="17">
        <f t="shared" si="85"/>
        <v>83.2</v>
      </c>
      <c r="CV106" s="17">
        <f t="shared" si="86"/>
        <v>77</v>
      </c>
      <c r="CW106" s="17">
        <f t="shared" si="87"/>
        <v>80</v>
      </c>
      <c r="CX106" s="17">
        <f t="shared" si="88"/>
        <v>80.38</v>
      </c>
      <c r="CY106" s="18">
        <f t="shared" si="89"/>
        <v>82.5</v>
      </c>
      <c r="CZ106" s="18">
        <f t="shared" si="90"/>
        <v>82.5</v>
      </c>
      <c r="DA106" s="18">
        <f t="shared" si="91"/>
        <v>80.75</v>
      </c>
      <c r="DB106" s="18">
        <f t="shared" si="92"/>
        <v>80.75</v>
      </c>
      <c r="DC106" s="18">
        <f t="shared" si="93"/>
        <v>81.5</v>
      </c>
      <c r="DD106" s="18">
        <f t="shared" si="94"/>
        <v>81.5</v>
      </c>
      <c r="DE106" s="18">
        <f t="shared" si="95"/>
        <v>80.25</v>
      </c>
      <c r="DF106" s="18">
        <f t="shared" si="96"/>
        <v>80.25</v>
      </c>
      <c r="DG106" s="18">
        <f t="shared" si="97"/>
        <v>83</v>
      </c>
      <c r="DH106" s="18">
        <f t="shared" si="98"/>
        <v>77</v>
      </c>
      <c r="DI106" s="18">
        <f t="shared" si="99"/>
        <v>90</v>
      </c>
      <c r="DJ106" s="17">
        <f t="shared" si="100"/>
        <v>83.3</v>
      </c>
      <c r="DK106" s="18">
        <f t="shared" si="101"/>
        <v>76.8</v>
      </c>
      <c r="DL106" s="18">
        <f t="shared" si="102"/>
        <v>78</v>
      </c>
      <c r="DM106" s="18">
        <f t="shared" si="103"/>
        <v>80</v>
      </c>
      <c r="DN106" s="17">
        <f t="shared" si="104"/>
        <v>78.12</v>
      </c>
      <c r="DO106" s="18">
        <f t="shared" si="105"/>
        <v>78.400000000000006</v>
      </c>
      <c r="DP106" s="18">
        <f t="shared" si="106"/>
        <v>78</v>
      </c>
      <c r="DQ106" s="18">
        <f t="shared" si="107"/>
        <v>80</v>
      </c>
      <c r="DR106" s="17">
        <f t="shared" si="108"/>
        <v>78.760000000000005</v>
      </c>
      <c r="DS106" s="18">
        <f t="shared" si="109"/>
        <v>90.5</v>
      </c>
      <c r="DT106" s="18">
        <f t="shared" si="110"/>
        <v>90.5</v>
      </c>
      <c r="DU106" s="18">
        <f t="shared" si="111"/>
        <v>77.5</v>
      </c>
      <c r="DV106" s="18">
        <f t="shared" si="112"/>
        <v>77.5</v>
      </c>
      <c r="DW106" s="18">
        <f t="shared" si="113"/>
        <v>87.5</v>
      </c>
      <c r="DX106" s="17">
        <f t="shared" si="114"/>
        <v>87.5</v>
      </c>
      <c r="DY106" s="18">
        <f t="shared" si="115"/>
        <v>78.666666666666671</v>
      </c>
      <c r="DZ106" s="18">
        <f t="shared" si="116"/>
        <v>77</v>
      </c>
      <c r="EA106" s="18">
        <f t="shared" si="117"/>
        <v>85</v>
      </c>
      <c r="EB106" s="17">
        <f t="shared" si="118"/>
        <v>80.066666666666677</v>
      </c>
      <c r="EC106" s="18">
        <f t="shared" si="119"/>
        <v>84</v>
      </c>
      <c r="ED106" s="18">
        <f t="shared" si="120"/>
        <v>77</v>
      </c>
      <c r="EE106" s="18">
        <f t="shared" si="121"/>
        <v>84</v>
      </c>
      <c r="EF106" s="17">
        <f t="shared" si="122"/>
        <v>81.900000000000006</v>
      </c>
      <c r="EG106" s="18">
        <f t="shared" si="123"/>
        <v>78</v>
      </c>
      <c r="EH106" s="18">
        <f t="shared" si="124"/>
        <v>76.666666666666671</v>
      </c>
      <c r="EI106" s="18">
        <f t="shared" si="125"/>
        <v>78</v>
      </c>
      <c r="EJ106" s="18">
        <f t="shared" si="126"/>
        <v>80</v>
      </c>
      <c r="EK106" s="17">
        <f t="shared" si="127"/>
        <v>78.066666666666677</v>
      </c>
      <c r="EL106" s="19">
        <f t="shared" si="128"/>
        <v>82.36</v>
      </c>
      <c r="EM106" s="19">
        <f t="shared" si="129"/>
        <v>85.42</v>
      </c>
      <c r="EN106" s="19">
        <f t="shared" si="130"/>
        <v>80.38</v>
      </c>
      <c r="EO106" s="19">
        <f t="shared" si="131"/>
        <v>82.5</v>
      </c>
      <c r="EP106" s="19">
        <f t="shared" si="132"/>
        <v>80.75</v>
      </c>
      <c r="EQ106" s="19">
        <f t="shared" si="133"/>
        <v>81.5</v>
      </c>
      <c r="ER106" s="19">
        <f t="shared" si="134"/>
        <v>80.25</v>
      </c>
      <c r="ES106" s="19">
        <f t="shared" si="135"/>
        <v>83.3</v>
      </c>
      <c r="ET106" s="19">
        <f t="shared" si="136"/>
        <v>78.12</v>
      </c>
      <c r="EU106" s="19">
        <f t="shared" si="137"/>
        <v>78.760000000000005</v>
      </c>
      <c r="EV106" s="19">
        <f t="shared" si="138"/>
        <v>90.5</v>
      </c>
      <c r="EW106" s="19">
        <f t="shared" si="139"/>
        <v>77.5</v>
      </c>
      <c r="EX106" s="19">
        <f t="shared" si="140"/>
        <v>87.5</v>
      </c>
      <c r="EY106" s="19">
        <f t="shared" si="141"/>
        <v>80.066666666666677</v>
      </c>
      <c r="EZ106" s="19">
        <f t="shared" si="142"/>
        <v>81.900000000000006</v>
      </c>
      <c r="FA106" s="19">
        <f t="shared" si="143"/>
        <v>78</v>
      </c>
      <c r="FB106" s="19">
        <f t="shared" si="144"/>
        <v>78.066666666666677</v>
      </c>
      <c r="FC106" s="19">
        <f t="shared" si="145"/>
        <v>81.580784313725488</v>
      </c>
    </row>
    <row r="107" spans="1:159" ht="20.100000000000001" customHeight="1">
      <c r="A107" s="11">
        <v>103</v>
      </c>
      <c r="B107" s="12" t="s">
        <v>258</v>
      </c>
      <c r="C107" s="13" t="s">
        <v>259</v>
      </c>
      <c r="D107" s="25" t="s">
        <v>197</v>
      </c>
      <c r="E107" s="26">
        <v>83</v>
      </c>
      <c r="F107" s="26">
        <v>80</v>
      </c>
      <c r="G107" s="26">
        <v>86</v>
      </c>
      <c r="H107" s="26">
        <v>84</v>
      </c>
      <c r="I107" s="26">
        <v>85</v>
      </c>
      <c r="J107" s="26">
        <v>86</v>
      </c>
      <c r="K107" s="26">
        <v>81</v>
      </c>
      <c r="L107" s="26">
        <v>82</v>
      </c>
      <c r="M107" s="26">
        <v>81</v>
      </c>
      <c r="N107" s="26">
        <v>83</v>
      </c>
      <c r="O107" s="26">
        <v>85</v>
      </c>
      <c r="P107" s="27">
        <v>87</v>
      </c>
      <c r="Q107" s="27">
        <v>80</v>
      </c>
      <c r="R107" s="26">
        <v>83</v>
      </c>
      <c r="S107" s="26">
        <v>81</v>
      </c>
      <c r="T107" s="26">
        <v>83</v>
      </c>
      <c r="U107" s="26">
        <v>85</v>
      </c>
      <c r="V107" s="26">
        <v>82</v>
      </c>
      <c r="W107" s="26">
        <v>81</v>
      </c>
      <c r="X107" s="26">
        <v>84</v>
      </c>
      <c r="Y107" s="26">
        <v>80</v>
      </c>
      <c r="Z107" s="26">
        <v>84</v>
      </c>
      <c r="AA107" s="26">
        <v>80</v>
      </c>
      <c r="AB107" s="27">
        <v>85</v>
      </c>
      <c r="AC107" s="27">
        <v>83</v>
      </c>
      <c r="AD107" s="26">
        <v>84</v>
      </c>
      <c r="AE107" s="26">
        <v>82</v>
      </c>
      <c r="AF107" s="26">
        <v>85</v>
      </c>
      <c r="AG107" s="26">
        <v>82</v>
      </c>
      <c r="AH107" s="26">
        <v>80</v>
      </c>
      <c r="AI107" s="26">
        <v>75</v>
      </c>
      <c r="AJ107" s="26">
        <v>84</v>
      </c>
      <c r="AK107" s="26">
        <v>82</v>
      </c>
      <c r="AL107" s="27">
        <v>82</v>
      </c>
      <c r="AM107" s="27">
        <v>70</v>
      </c>
      <c r="AN107" s="26">
        <v>72</v>
      </c>
      <c r="AO107" s="26">
        <v>74</v>
      </c>
      <c r="AP107" s="26">
        <v>75</v>
      </c>
      <c r="AQ107" s="26">
        <v>80</v>
      </c>
      <c r="AR107" s="26">
        <v>84</v>
      </c>
      <c r="AS107" s="26">
        <v>76</v>
      </c>
      <c r="AT107" s="26">
        <v>78</v>
      </c>
      <c r="AU107" s="26">
        <v>80</v>
      </c>
      <c r="AV107" s="26">
        <v>80</v>
      </c>
      <c r="AW107" s="26">
        <v>80</v>
      </c>
      <c r="AX107" s="27">
        <v>84</v>
      </c>
      <c r="AY107" s="27">
        <v>83</v>
      </c>
      <c r="AZ107" s="26">
        <v>84</v>
      </c>
      <c r="BA107" s="26">
        <v>76</v>
      </c>
      <c r="BB107" s="26">
        <v>80</v>
      </c>
      <c r="BC107" s="26">
        <v>86</v>
      </c>
      <c r="BD107" s="26">
        <v>80</v>
      </c>
      <c r="BE107" s="37">
        <v>82</v>
      </c>
      <c r="BF107" s="37">
        <v>81</v>
      </c>
      <c r="BG107" s="37">
        <v>78</v>
      </c>
      <c r="BH107" s="26">
        <v>86</v>
      </c>
      <c r="BI107" s="37">
        <v>83</v>
      </c>
      <c r="BJ107" s="37">
        <v>80</v>
      </c>
      <c r="BK107" s="37">
        <v>88</v>
      </c>
      <c r="BL107" s="26">
        <v>86</v>
      </c>
      <c r="BM107" s="37">
        <v>70</v>
      </c>
      <c r="BN107" s="37">
        <v>76</v>
      </c>
      <c r="BO107" s="37">
        <v>82</v>
      </c>
      <c r="BP107" s="26">
        <v>86</v>
      </c>
      <c r="BQ107" s="15">
        <f t="shared" si="73"/>
        <v>78.333333333333329</v>
      </c>
      <c r="BR107" s="15">
        <f t="shared" si="74"/>
        <v>79</v>
      </c>
      <c r="BS107" s="15">
        <f t="shared" si="75"/>
        <v>82.666666666666671</v>
      </c>
      <c r="BT107" s="15">
        <f t="shared" si="76"/>
        <v>86</v>
      </c>
      <c r="BU107" s="27">
        <v>88</v>
      </c>
      <c r="BV107" s="27">
        <v>86</v>
      </c>
      <c r="BW107" s="27">
        <v>82</v>
      </c>
      <c r="BX107" s="27">
        <v>86</v>
      </c>
      <c r="BY107" s="27">
        <v>85</v>
      </c>
      <c r="BZ107" s="27">
        <v>73</v>
      </c>
      <c r="CA107" s="27">
        <v>85</v>
      </c>
      <c r="CB107" s="27">
        <v>75</v>
      </c>
      <c r="CC107" s="27">
        <v>84</v>
      </c>
      <c r="CD107" s="39">
        <v>84</v>
      </c>
      <c r="CE107" s="40">
        <v>88</v>
      </c>
      <c r="CF107" s="40">
        <v>80</v>
      </c>
      <c r="CG107" s="40">
        <v>90</v>
      </c>
      <c r="CH107" s="40">
        <v>80</v>
      </c>
      <c r="CI107" s="40">
        <v>80</v>
      </c>
      <c r="CJ107" s="40">
        <v>81</v>
      </c>
      <c r="CK107" s="39">
        <v>87</v>
      </c>
      <c r="CL107" s="40">
        <v>87</v>
      </c>
      <c r="CM107" s="41">
        <f t="shared" si="77"/>
        <v>83.6</v>
      </c>
      <c r="CN107" s="41">
        <f t="shared" si="78"/>
        <v>86</v>
      </c>
      <c r="CO107" s="41">
        <f t="shared" si="79"/>
        <v>84</v>
      </c>
      <c r="CP107" s="17">
        <f t="shared" si="80"/>
        <v>84.44</v>
      </c>
      <c r="CQ107" s="16">
        <f t="shared" si="81"/>
        <v>82.4</v>
      </c>
      <c r="CR107" s="16">
        <f t="shared" si="82"/>
        <v>87</v>
      </c>
      <c r="CS107" s="16">
        <f t="shared" si="83"/>
        <v>88</v>
      </c>
      <c r="CT107" s="17">
        <f t="shared" si="84"/>
        <v>85.460000000000008</v>
      </c>
      <c r="CU107" s="17">
        <f t="shared" si="85"/>
        <v>82.4</v>
      </c>
      <c r="CV107" s="17">
        <f t="shared" si="86"/>
        <v>82</v>
      </c>
      <c r="CW107" s="17">
        <f t="shared" si="87"/>
        <v>80</v>
      </c>
      <c r="CX107" s="17">
        <f t="shared" si="88"/>
        <v>81.56</v>
      </c>
      <c r="CY107" s="18">
        <f t="shared" si="89"/>
        <v>82.25</v>
      </c>
      <c r="CZ107" s="18">
        <f t="shared" si="90"/>
        <v>82.25</v>
      </c>
      <c r="DA107" s="18">
        <f t="shared" si="91"/>
        <v>83</v>
      </c>
      <c r="DB107" s="18">
        <f t="shared" si="92"/>
        <v>83</v>
      </c>
      <c r="DC107" s="18">
        <f t="shared" si="93"/>
        <v>83.5</v>
      </c>
      <c r="DD107" s="18">
        <f t="shared" si="94"/>
        <v>83.5</v>
      </c>
      <c r="DE107" s="18">
        <f t="shared" si="95"/>
        <v>80.25</v>
      </c>
      <c r="DF107" s="18">
        <f t="shared" si="96"/>
        <v>80.25</v>
      </c>
      <c r="DG107" s="18">
        <f t="shared" si="97"/>
        <v>82</v>
      </c>
      <c r="DH107" s="18">
        <f t="shared" si="98"/>
        <v>82</v>
      </c>
      <c r="DI107" s="18">
        <f t="shared" si="99"/>
        <v>90</v>
      </c>
      <c r="DJ107" s="17">
        <f t="shared" si="100"/>
        <v>84.4</v>
      </c>
      <c r="DK107" s="18">
        <f t="shared" si="101"/>
        <v>74.2</v>
      </c>
      <c r="DL107" s="18">
        <f t="shared" si="102"/>
        <v>84</v>
      </c>
      <c r="DM107" s="18">
        <f t="shared" si="103"/>
        <v>80</v>
      </c>
      <c r="DN107" s="17">
        <f t="shared" si="104"/>
        <v>78.88</v>
      </c>
      <c r="DO107" s="18">
        <f t="shared" si="105"/>
        <v>78.8</v>
      </c>
      <c r="DP107" s="18">
        <f t="shared" si="106"/>
        <v>84</v>
      </c>
      <c r="DQ107" s="18">
        <f t="shared" si="107"/>
        <v>80</v>
      </c>
      <c r="DR107" s="17">
        <f t="shared" si="108"/>
        <v>80.72</v>
      </c>
      <c r="DS107" s="18">
        <f t="shared" si="109"/>
        <v>83.5</v>
      </c>
      <c r="DT107" s="18">
        <f t="shared" si="110"/>
        <v>83.5</v>
      </c>
      <c r="DU107" s="18">
        <f t="shared" si="111"/>
        <v>78</v>
      </c>
      <c r="DV107" s="18">
        <f t="shared" si="112"/>
        <v>78</v>
      </c>
      <c r="DW107" s="18">
        <f t="shared" si="113"/>
        <v>83</v>
      </c>
      <c r="DX107" s="17">
        <f t="shared" si="114"/>
        <v>83</v>
      </c>
      <c r="DY107" s="18">
        <f t="shared" si="115"/>
        <v>80</v>
      </c>
      <c r="DZ107" s="18">
        <f t="shared" si="116"/>
        <v>86</v>
      </c>
      <c r="EA107" s="18">
        <f t="shared" si="117"/>
        <v>87</v>
      </c>
      <c r="EB107" s="17">
        <f t="shared" si="118"/>
        <v>83.9</v>
      </c>
      <c r="EC107" s="18">
        <f t="shared" si="119"/>
        <v>85.333333333333329</v>
      </c>
      <c r="ED107" s="18">
        <f t="shared" si="120"/>
        <v>86</v>
      </c>
      <c r="EE107" s="18">
        <f t="shared" si="121"/>
        <v>87</v>
      </c>
      <c r="EF107" s="17">
        <f t="shared" si="122"/>
        <v>86.033333333333331</v>
      </c>
      <c r="EG107" s="18">
        <f t="shared" si="123"/>
        <v>85</v>
      </c>
      <c r="EH107" s="18">
        <f t="shared" si="124"/>
        <v>77.666666666666671</v>
      </c>
      <c r="EI107" s="18">
        <f t="shared" si="125"/>
        <v>84</v>
      </c>
      <c r="EJ107" s="18">
        <f t="shared" si="126"/>
        <v>81</v>
      </c>
      <c r="EK107" s="17">
        <f t="shared" si="127"/>
        <v>80.566666666666677</v>
      </c>
      <c r="EL107" s="19">
        <f t="shared" si="128"/>
        <v>84.44</v>
      </c>
      <c r="EM107" s="19">
        <f t="shared" si="129"/>
        <v>85.460000000000008</v>
      </c>
      <c r="EN107" s="19">
        <f t="shared" si="130"/>
        <v>81.56</v>
      </c>
      <c r="EO107" s="19">
        <f t="shared" si="131"/>
        <v>82.25</v>
      </c>
      <c r="EP107" s="19">
        <f t="shared" si="132"/>
        <v>83</v>
      </c>
      <c r="EQ107" s="19">
        <f t="shared" si="133"/>
        <v>83.5</v>
      </c>
      <c r="ER107" s="19">
        <f t="shared" si="134"/>
        <v>80.25</v>
      </c>
      <c r="ES107" s="19">
        <f t="shared" si="135"/>
        <v>84.4</v>
      </c>
      <c r="ET107" s="19">
        <f t="shared" si="136"/>
        <v>78.88</v>
      </c>
      <c r="EU107" s="19">
        <f t="shared" si="137"/>
        <v>80.72</v>
      </c>
      <c r="EV107" s="19">
        <f t="shared" si="138"/>
        <v>83.5</v>
      </c>
      <c r="EW107" s="19">
        <f t="shared" si="139"/>
        <v>78</v>
      </c>
      <c r="EX107" s="19">
        <f t="shared" si="140"/>
        <v>83</v>
      </c>
      <c r="EY107" s="19">
        <f t="shared" si="141"/>
        <v>83.9</v>
      </c>
      <c r="EZ107" s="19">
        <f t="shared" si="142"/>
        <v>86.033333333333331</v>
      </c>
      <c r="FA107" s="19">
        <f t="shared" si="143"/>
        <v>85</v>
      </c>
      <c r="FB107" s="19">
        <f t="shared" si="144"/>
        <v>80.566666666666677</v>
      </c>
      <c r="FC107" s="19">
        <f t="shared" si="145"/>
        <v>82.615294117647068</v>
      </c>
    </row>
    <row r="108" spans="1:159" ht="20.100000000000001" customHeight="1">
      <c r="A108" s="11">
        <v>104</v>
      </c>
      <c r="B108" s="12" t="s">
        <v>260</v>
      </c>
      <c r="C108" s="13" t="s">
        <v>261</v>
      </c>
      <c r="D108" s="25" t="s">
        <v>197</v>
      </c>
      <c r="E108" s="26">
        <v>78</v>
      </c>
      <c r="F108" s="26">
        <v>84</v>
      </c>
      <c r="G108" s="26">
        <v>88</v>
      </c>
      <c r="H108" s="26">
        <v>83</v>
      </c>
      <c r="I108" s="26">
        <v>84</v>
      </c>
      <c r="J108" s="26">
        <v>88</v>
      </c>
      <c r="K108" s="26">
        <v>90</v>
      </c>
      <c r="L108" s="26">
        <v>83</v>
      </c>
      <c r="M108" s="26">
        <v>95</v>
      </c>
      <c r="N108" s="26">
        <v>95</v>
      </c>
      <c r="O108" s="26">
        <v>92</v>
      </c>
      <c r="P108" s="27">
        <v>90</v>
      </c>
      <c r="Q108" s="27">
        <v>83</v>
      </c>
      <c r="R108" s="26">
        <v>80</v>
      </c>
      <c r="S108" s="26">
        <v>90</v>
      </c>
      <c r="T108" s="26">
        <v>92</v>
      </c>
      <c r="U108" s="26">
        <v>86</v>
      </c>
      <c r="V108" s="26">
        <v>85</v>
      </c>
      <c r="W108" s="26">
        <v>82</v>
      </c>
      <c r="X108" s="26">
        <v>80</v>
      </c>
      <c r="Y108" s="26">
        <v>80</v>
      </c>
      <c r="Z108" s="26">
        <v>84</v>
      </c>
      <c r="AA108" s="26">
        <v>93</v>
      </c>
      <c r="AB108" s="27">
        <v>90</v>
      </c>
      <c r="AC108" s="27">
        <v>86</v>
      </c>
      <c r="AD108" s="26">
        <v>87</v>
      </c>
      <c r="AE108" s="26">
        <v>83</v>
      </c>
      <c r="AF108" s="26">
        <v>83</v>
      </c>
      <c r="AG108" s="26">
        <v>80</v>
      </c>
      <c r="AH108" s="26">
        <v>81</v>
      </c>
      <c r="AI108" s="26">
        <v>76</v>
      </c>
      <c r="AJ108" s="26">
        <v>82</v>
      </c>
      <c r="AK108" s="26">
        <v>88</v>
      </c>
      <c r="AL108" s="27">
        <v>85</v>
      </c>
      <c r="AM108" s="27">
        <v>79</v>
      </c>
      <c r="AN108" s="26">
        <v>81</v>
      </c>
      <c r="AO108" s="26">
        <v>80</v>
      </c>
      <c r="AP108" s="26">
        <v>85</v>
      </c>
      <c r="AQ108" s="26">
        <v>89</v>
      </c>
      <c r="AR108" s="26">
        <v>88</v>
      </c>
      <c r="AS108" s="26">
        <v>78</v>
      </c>
      <c r="AT108" s="26">
        <v>79</v>
      </c>
      <c r="AU108" s="26">
        <v>85</v>
      </c>
      <c r="AV108" s="26">
        <v>87</v>
      </c>
      <c r="AW108" s="26">
        <v>87</v>
      </c>
      <c r="AX108" s="27">
        <v>88</v>
      </c>
      <c r="AY108" s="27">
        <v>84</v>
      </c>
      <c r="AZ108" s="26">
        <v>82</v>
      </c>
      <c r="BA108" s="26">
        <v>87</v>
      </c>
      <c r="BB108" s="26">
        <v>85</v>
      </c>
      <c r="BC108" s="26">
        <v>82</v>
      </c>
      <c r="BD108" s="26">
        <v>84</v>
      </c>
      <c r="BE108" s="37">
        <v>85</v>
      </c>
      <c r="BF108" s="37">
        <v>87</v>
      </c>
      <c r="BG108" s="37">
        <v>89</v>
      </c>
      <c r="BH108" s="26">
        <v>89</v>
      </c>
      <c r="BI108" s="37">
        <v>90</v>
      </c>
      <c r="BJ108" s="37">
        <v>88</v>
      </c>
      <c r="BK108" s="37">
        <v>90</v>
      </c>
      <c r="BL108" s="26">
        <v>89</v>
      </c>
      <c r="BM108" s="37">
        <v>80</v>
      </c>
      <c r="BN108" s="37">
        <v>88</v>
      </c>
      <c r="BO108" s="37">
        <v>84</v>
      </c>
      <c r="BP108" s="26">
        <v>89</v>
      </c>
      <c r="BQ108" s="15">
        <f t="shared" si="73"/>
        <v>85</v>
      </c>
      <c r="BR108" s="15">
        <f t="shared" si="74"/>
        <v>87.666666666666671</v>
      </c>
      <c r="BS108" s="15">
        <f t="shared" si="75"/>
        <v>87.666666666666671</v>
      </c>
      <c r="BT108" s="15">
        <f t="shared" si="76"/>
        <v>89</v>
      </c>
      <c r="BU108" s="27">
        <v>89</v>
      </c>
      <c r="BV108" s="27">
        <v>86</v>
      </c>
      <c r="BW108" s="27">
        <v>85</v>
      </c>
      <c r="BX108" s="27">
        <v>89</v>
      </c>
      <c r="BY108" s="27">
        <v>88</v>
      </c>
      <c r="BZ108" s="27">
        <v>77</v>
      </c>
      <c r="CA108" s="27">
        <v>86</v>
      </c>
      <c r="CB108" s="27">
        <v>76</v>
      </c>
      <c r="CC108" s="27">
        <v>88</v>
      </c>
      <c r="CD108" s="39">
        <v>88</v>
      </c>
      <c r="CE108" s="40">
        <v>95</v>
      </c>
      <c r="CF108" s="40">
        <v>85</v>
      </c>
      <c r="CG108" s="40">
        <v>90</v>
      </c>
      <c r="CH108" s="40">
        <v>90</v>
      </c>
      <c r="CI108" s="40">
        <v>88</v>
      </c>
      <c r="CJ108" s="40">
        <v>88</v>
      </c>
      <c r="CK108" s="39">
        <v>87</v>
      </c>
      <c r="CL108" s="40">
        <v>87</v>
      </c>
      <c r="CM108" s="41">
        <f t="shared" si="77"/>
        <v>83.4</v>
      </c>
      <c r="CN108" s="41">
        <f t="shared" si="78"/>
        <v>88</v>
      </c>
      <c r="CO108" s="41">
        <f t="shared" si="79"/>
        <v>88</v>
      </c>
      <c r="CP108" s="17">
        <f t="shared" si="80"/>
        <v>86.16</v>
      </c>
      <c r="CQ108" s="16">
        <f t="shared" si="81"/>
        <v>91</v>
      </c>
      <c r="CR108" s="16">
        <f t="shared" si="82"/>
        <v>90</v>
      </c>
      <c r="CS108" s="16">
        <f t="shared" si="83"/>
        <v>95</v>
      </c>
      <c r="CT108" s="17">
        <f t="shared" si="84"/>
        <v>91.9</v>
      </c>
      <c r="CU108" s="17">
        <f t="shared" si="85"/>
        <v>86.2</v>
      </c>
      <c r="CV108" s="17">
        <f t="shared" si="86"/>
        <v>85</v>
      </c>
      <c r="CW108" s="17">
        <f t="shared" si="87"/>
        <v>85</v>
      </c>
      <c r="CX108" s="17">
        <f t="shared" si="88"/>
        <v>85.47999999999999</v>
      </c>
      <c r="CY108" s="18">
        <f t="shared" si="89"/>
        <v>81.5</v>
      </c>
      <c r="CZ108" s="18">
        <f t="shared" si="90"/>
        <v>81.5</v>
      </c>
      <c r="DA108" s="18">
        <f t="shared" si="91"/>
        <v>89</v>
      </c>
      <c r="DB108" s="18">
        <f t="shared" si="92"/>
        <v>89</v>
      </c>
      <c r="DC108" s="18">
        <f t="shared" si="93"/>
        <v>83</v>
      </c>
      <c r="DD108" s="18">
        <f t="shared" si="94"/>
        <v>83</v>
      </c>
      <c r="DE108" s="18">
        <f t="shared" si="95"/>
        <v>79.75</v>
      </c>
      <c r="DF108" s="18">
        <f t="shared" si="96"/>
        <v>79.75</v>
      </c>
      <c r="DG108" s="18">
        <f t="shared" si="97"/>
        <v>88</v>
      </c>
      <c r="DH108" s="18">
        <f t="shared" si="98"/>
        <v>85</v>
      </c>
      <c r="DI108" s="18">
        <f t="shared" si="99"/>
        <v>90</v>
      </c>
      <c r="DJ108" s="17">
        <f t="shared" si="100"/>
        <v>87.7</v>
      </c>
      <c r="DK108" s="18">
        <f t="shared" si="101"/>
        <v>82.8</v>
      </c>
      <c r="DL108" s="18">
        <f t="shared" si="102"/>
        <v>88</v>
      </c>
      <c r="DM108" s="18">
        <f t="shared" si="103"/>
        <v>90</v>
      </c>
      <c r="DN108" s="17">
        <f t="shared" si="104"/>
        <v>86.52000000000001</v>
      </c>
      <c r="DO108" s="18">
        <f t="shared" si="105"/>
        <v>83.2</v>
      </c>
      <c r="DP108" s="18">
        <f t="shared" si="106"/>
        <v>88</v>
      </c>
      <c r="DQ108" s="18">
        <f t="shared" si="107"/>
        <v>88</v>
      </c>
      <c r="DR108" s="17">
        <f t="shared" si="108"/>
        <v>86.08</v>
      </c>
      <c r="DS108" s="18">
        <f t="shared" si="109"/>
        <v>83</v>
      </c>
      <c r="DT108" s="18">
        <f t="shared" si="110"/>
        <v>83</v>
      </c>
      <c r="DU108" s="18">
        <f t="shared" si="111"/>
        <v>86</v>
      </c>
      <c r="DV108" s="18">
        <f t="shared" si="112"/>
        <v>86</v>
      </c>
      <c r="DW108" s="18">
        <f t="shared" si="113"/>
        <v>83</v>
      </c>
      <c r="DX108" s="17">
        <f t="shared" si="114"/>
        <v>83</v>
      </c>
      <c r="DY108" s="18">
        <f t="shared" si="115"/>
        <v>86.777777777777786</v>
      </c>
      <c r="DZ108" s="18">
        <f t="shared" si="116"/>
        <v>89</v>
      </c>
      <c r="EA108" s="18">
        <f t="shared" si="117"/>
        <v>87</v>
      </c>
      <c r="EB108" s="17">
        <f t="shared" si="118"/>
        <v>87.511111111111106</v>
      </c>
      <c r="EC108" s="18">
        <f t="shared" si="119"/>
        <v>86.666666666666671</v>
      </c>
      <c r="ED108" s="18">
        <f t="shared" si="120"/>
        <v>89</v>
      </c>
      <c r="EE108" s="18">
        <f t="shared" si="121"/>
        <v>87</v>
      </c>
      <c r="EF108" s="17">
        <f t="shared" si="122"/>
        <v>87.466666666666669</v>
      </c>
      <c r="EG108" s="18">
        <f t="shared" si="123"/>
        <v>88</v>
      </c>
      <c r="EH108" s="18">
        <f t="shared" si="124"/>
        <v>79.666666666666671</v>
      </c>
      <c r="EI108" s="18">
        <f t="shared" si="125"/>
        <v>88</v>
      </c>
      <c r="EJ108" s="18">
        <f t="shared" si="126"/>
        <v>88</v>
      </c>
      <c r="EK108" s="17">
        <f t="shared" si="127"/>
        <v>84.666666666666671</v>
      </c>
      <c r="EL108" s="19">
        <f t="shared" si="128"/>
        <v>86.16</v>
      </c>
      <c r="EM108" s="19">
        <f t="shared" si="129"/>
        <v>91.9</v>
      </c>
      <c r="EN108" s="19">
        <f t="shared" si="130"/>
        <v>85.47999999999999</v>
      </c>
      <c r="EO108" s="19">
        <f t="shared" si="131"/>
        <v>81.5</v>
      </c>
      <c r="EP108" s="19">
        <f t="shared" si="132"/>
        <v>89</v>
      </c>
      <c r="EQ108" s="19">
        <f t="shared" si="133"/>
        <v>83</v>
      </c>
      <c r="ER108" s="19">
        <f t="shared" si="134"/>
        <v>79.75</v>
      </c>
      <c r="ES108" s="19">
        <f t="shared" si="135"/>
        <v>87.7</v>
      </c>
      <c r="ET108" s="19">
        <f t="shared" si="136"/>
        <v>86.52000000000001</v>
      </c>
      <c r="EU108" s="19">
        <f t="shared" si="137"/>
        <v>86.08</v>
      </c>
      <c r="EV108" s="19">
        <f t="shared" si="138"/>
        <v>83</v>
      </c>
      <c r="EW108" s="19">
        <f t="shared" si="139"/>
        <v>86</v>
      </c>
      <c r="EX108" s="19">
        <f t="shared" si="140"/>
        <v>83</v>
      </c>
      <c r="EY108" s="19">
        <f t="shared" si="141"/>
        <v>87.511111111111106</v>
      </c>
      <c r="EZ108" s="19">
        <f t="shared" si="142"/>
        <v>87.466666666666669</v>
      </c>
      <c r="FA108" s="19">
        <f t="shared" si="143"/>
        <v>88</v>
      </c>
      <c r="FB108" s="19">
        <f t="shared" si="144"/>
        <v>84.666666666666671</v>
      </c>
      <c r="FC108" s="19">
        <f t="shared" si="145"/>
        <v>85.690261437908518</v>
      </c>
    </row>
    <row r="109" spans="1:159" ht="20.100000000000001" customHeight="1">
      <c r="A109" s="11">
        <v>105</v>
      </c>
      <c r="B109" s="12" t="s">
        <v>262</v>
      </c>
      <c r="C109" s="13" t="s">
        <v>263</v>
      </c>
      <c r="D109" s="25" t="s">
        <v>197</v>
      </c>
      <c r="E109" s="26">
        <v>80</v>
      </c>
      <c r="F109" s="26">
        <v>85</v>
      </c>
      <c r="G109" s="26">
        <v>89</v>
      </c>
      <c r="H109" s="26">
        <v>87</v>
      </c>
      <c r="I109" s="26">
        <v>85</v>
      </c>
      <c r="J109" s="26">
        <v>78</v>
      </c>
      <c r="K109" s="26">
        <v>80</v>
      </c>
      <c r="L109" s="26">
        <v>81</v>
      </c>
      <c r="M109" s="26">
        <v>85</v>
      </c>
      <c r="N109" s="26">
        <v>85</v>
      </c>
      <c r="O109" s="26">
        <v>90</v>
      </c>
      <c r="P109" s="27">
        <v>80</v>
      </c>
      <c r="Q109" s="27">
        <v>80</v>
      </c>
      <c r="R109" s="26">
        <v>86</v>
      </c>
      <c r="S109" s="26">
        <v>80</v>
      </c>
      <c r="T109" s="26">
        <v>81</v>
      </c>
      <c r="U109" s="26">
        <v>72</v>
      </c>
      <c r="V109" s="26">
        <v>78</v>
      </c>
      <c r="W109" s="26">
        <v>83</v>
      </c>
      <c r="X109" s="26">
        <v>85</v>
      </c>
      <c r="Y109" s="26">
        <v>82</v>
      </c>
      <c r="Z109" s="26">
        <v>85</v>
      </c>
      <c r="AA109" s="26">
        <v>80</v>
      </c>
      <c r="AB109" s="27">
        <v>82</v>
      </c>
      <c r="AC109" s="27">
        <v>82</v>
      </c>
      <c r="AD109" s="26">
        <v>83</v>
      </c>
      <c r="AE109" s="26">
        <v>82</v>
      </c>
      <c r="AF109" s="26">
        <v>83</v>
      </c>
      <c r="AG109" s="26">
        <v>76</v>
      </c>
      <c r="AH109" s="26">
        <v>77</v>
      </c>
      <c r="AI109" s="26">
        <v>71</v>
      </c>
      <c r="AJ109" s="26">
        <v>83</v>
      </c>
      <c r="AK109" s="26">
        <v>80</v>
      </c>
      <c r="AL109" s="27">
        <v>78</v>
      </c>
      <c r="AM109" s="27">
        <v>70</v>
      </c>
      <c r="AN109" s="26">
        <v>71</v>
      </c>
      <c r="AO109" s="26">
        <v>73</v>
      </c>
      <c r="AP109" s="26">
        <v>74</v>
      </c>
      <c r="AQ109" s="26">
        <v>78</v>
      </c>
      <c r="AR109" s="26">
        <v>79</v>
      </c>
      <c r="AS109" s="26">
        <v>73</v>
      </c>
      <c r="AT109" s="26">
        <v>78</v>
      </c>
      <c r="AU109" s="26">
        <v>80</v>
      </c>
      <c r="AV109" s="26">
        <v>80</v>
      </c>
      <c r="AW109" s="26">
        <v>80</v>
      </c>
      <c r="AX109" s="27">
        <v>79</v>
      </c>
      <c r="AY109" s="27">
        <v>79</v>
      </c>
      <c r="AZ109" s="26">
        <v>92</v>
      </c>
      <c r="BA109" s="26">
        <v>75</v>
      </c>
      <c r="BB109" s="26">
        <v>80</v>
      </c>
      <c r="BC109" s="26">
        <v>83</v>
      </c>
      <c r="BD109" s="26">
        <v>83</v>
      </c>
      <c r="BE109" s="37">
        <v>84</v>
      </c>
      <c r="BF109" s="37">
        <v>81</v>
      </c>
      <c r="BG109" s="37">
        <v>82</v>
      </c>
      <c r="BH109" s="26">
        <v>83</v>
      </c>
      <c r="BI109" s="37">
        <v>80</v>
      </c>
      <c r="BJ109" s="37">
        <v>81</v>
      </c>
      <c r="BK109" s="37">
        <v>71</v>
      </c>
      <c r="BL109" s="26">
        <v>83</v>
      </c>
      <c r="BM109" s="37">
        <v>73</v>
      </c>
      <c r="BN109" s="37">
        <v>75</v>
      </c>
      <c r="BO109" s="37">
        <v>81</v>
      </c>
      <c r="BP109" s="26">
        <v>83</v>
      </c>
      <c r="BQ109" s="15">
        <f t="shared" si="73"/>
        <v>79</v>
      </c>
      <c r="BR109" s="15">
        <f t="shared" si="74"/>
        <v>79</v>
      </c>
      <c r="BS109" s="15">
        <f t="shared" si="75"/>
        <v>78</v>
      </c>
      <c r="BT109" s="15">
        <f t="shared" si="76"/>
        <v>83</v>
      </c>
      <c r="BU109" s="27">
        <v>87</v>
      </c>
      <c r="BV109" s="27">
        <v>84</v>
      </c>
      <c r="BW109" s="27">
        <v>80</v>
      </c>
      <c r="BX109" s="27">
        <v>83</v>
      </c>
      <c r="BY109" s="27">
        <v>80</v>
      </c>
      <c r="BZ109" s="27">
        <v>79</v>
      </c>
      <c r="CA109" s="27">
        <v>86</v>
      </c>
      <c r="CB109" s="27">
        <v>75</v>
      </c>
      <c r="CC109" s="27">
        <v>79</v>
      </c>
      <c r="CD109" s="39">
        <v>87</v>
      </c>
      <c r="CE109" s="40">
        <v>82</v>
      </c>
      <c r="CF109" s="40">
        <v>80</v>
      </c>
      <c r="CG109" s="40">
        <v>87</v>
      </c>
      <c r="CH109" s="40">
        <v>78</v>
      </c>
      <c r="CI109" s="40">
        <v>80</v>
      </c>
      <c r="CJ109" s="40">
        <v>80</v>
      </c>
      <c r="CK109" s="39">
        <v>87</v>
      </c>
      <c r="CL109" s="40">
        <v>95</v>
      </c>
      <c r="CM109" s="41">
        <f t="shared" si="77"/>
        <v>85.2</v>
      </c>
      <c r="CN109" s="41">
        <f t="shared" si="78"/>
        <v>78</v>
      </c>
      <c r="CO109" s="41">
        <f t="shared" si="79"/>
        <v>87</v>
      </c>
      <c r="CP109" s="17">
        <f t="shared" si="80"/>
        <v>83.58</v>
      </c>
      <c r="CQ109" s="16">
        <f t="shared" si="81"/>
        <v>84.2</v>
      </c>
      <c r="CR109" s="16">
        <f t="shared" si="82"/>
        <v>80</v>
      </c>
      <c r="CS109" s="16">
        <f t="shared" si="83"/>
        <v>82</v>
      </c>
      <c r="CT109" s="17">
        <f t="shared" si="84"/>
        <v>82.28</v>
      </c>
      <c r="CU109" s="17">
        <f t="shared" si="85"/>
        <v>79.8</v>
      </c>
      <c r="CV109" s="17">
        <f t="shared" si="86"/>
        <v>78</v>
      </c>
      <c r="CW109" s="17">
        <f t="shared" si="87"/>
        <v>80</v>
      </c>
      <c r="CX109" s="17">
        <f t="shared" si="88"/>
        <v>79.320000000000007</v>
      </c>
      <c r="CY109" s="18">
        <f t="shared" si="89"/>
        <v>83.75</v>
      </c>
      <c r="CZ109" s="18">
        <f t="shared" si="90"/>
        <v>83.75</v>
      </c>
      <c r="DA109" s="18">
        <f t="shared" si="91"/>
        <v>81.75</v>
      </c>
      <c r="DB109" s="18">
        <f t="shared" si="92"/>
        <v>81.75</v>
      </c>
      <c r="DC109" s="18">
        <f t="shared" si="93"/>
        <v>82.5</v>
      </c>
      <c r="DD109" s="18">
        <f t="shared" si="94"/>
        <v>82.5</v>
      </c>
      <c r="DE109" s="18">
        <f t="shared" si="95"/>
        <v>76.75</v>
      </c>
      <c r="DF109" s="18">
        <f t="shared" si="96"/>
        <v>76.75</v>
      </c>
      <c r="DG109" s="18">
        <f t="shared" si="97"/>
        <v>80</v>
      </c>
      <c r="DH109" s="18">
        <f t="shared" si="98"/>
        <v>78</v>
      </c>
      <c r="DI109" s="18">
        <f t="shared" si="99"/>
        <v>87</v>
      </c>
      <c r="DJ109" s="17">
        <f t="shared" si="100"/>
        <v>81.5</v>
      </c>
      <c r="DK109" s="18">
        <f t="shared" si="101"/>
        <v>73.2</v>
      </c>
      <c r="DL109" s="18">
        <f t="shared" si="102"/>
        <v>79</v>
      </c>
      <c r="DM109" s="18">
        <f t="shared" si="103"/>
        <v>78</v>
      </c>
      <c r="DN109" s="17">
        <f t="shared" si="104"/>
        <v>76.38</v>
      </c>
      <c r="DO109" s="18">
        <f t="shared" si="105"/>
        <v>78.2</v>
      </c>
      <c r="DP109" s="18">
        <f t="shared" si="106"/>
        <v>79</v>
      </c>
      <c r="DQ109" s="18">
        <f t="shared" si="107"/>
        <v>80</v>
      </c>
      <c r="DR109" s="17">
        <f t="shared" si="108"/>
        <v>78.97999999999999</v>
      </c>
      <c r="DS109" s="18">
        <f t="shared" si="109"/>
        <v>85.5</v>
      </c>
      <c r="DT109" s="18">
        <f t="shared" si="110"/>
        <v>85.5</v>
      </c>
      <c r="DU109" s="18">
        <f t="shared" si="111"/>
        <v>77.5</v>
      </c>
      <c r="DV109" s="18">
        <f t="shared" si="112"/>
        <v>77.5</v>
      </c>
      <c r="DW109" s="18">
        <f t="shared" si="113"/>
        <v>83</v>
      </c>
      <c r="DX109" s="17">
        <f t="shared" si="114"/>
        <v>83</v>
      </c>
      <c r="DY109" s="18">
        <f t="shared" si="115"/>
        <v>78.666666666666671</v>
      </c>
      <c r="DZ109" s="18">
        <f t="shared" si="116"/>
        <v>83</v>
      </c>
      <c r="EA109" s="18">
        <f t="shared" si="117"/>
        <v>95</v>
      </c>
      <c r="EB109" s="17">
        <f t="shared" si="118"/>
        <v>84.866666666666674</v>
      </c>
      <c r="EC109" s="18">
        <f t="shared" si="119"/>
        <v>83.666666666666671</v>
      </c>
      <c r="ED109" s="18">
        <f t="shared" si="120"/>
        <v>83</v>
      </c>
      <c r="EE109" s="18">
        <f t="shared" si="121"/>
        <v>87</v>
      </c>
      <c r="EF109" s="17">
        <f t="shared" si="122"/>
        <v>84.466666666666669</v>
      </c>
      <c r="EG109" s="18">
        <f t="shared" si="123"/>
        <v>80</v>
      </c>
      <c r="EH109" s="18">
        <f t="shared" si="124"/>
        <v>80</v>
      </c>
      <c r="EI109" s="18">
        <f t="shared" si="125"/>
        <v>79</v>
      </c>
      <c r="EJ109" s="18">
        <f t="shared" si="126"/>
        <v>80</v>
      </c>
      <c r="EK109" s="17">
        <f t="shared" si="127"/>
        <v>79.7</v>
      </c>
      <c r="EL109" s="19">
        <f t="shared" si="128"/>
        <v>83.58</v>
      </c>
      <c r="EM109" s="19">
        <f t="shared" si="129"/>
        <v>82.28</v>
      </c>
      <c r="EN109" s="19">
        <f t="shared" si="130"/>
        <v>79.320000000000007</v>
      </c>
      <c r="EO109" s="19">
        <f t="shared" si="131"/>
        <v>83.75</v>
      </c>
      <c r="EP109" s="19">
        <f t="shared" si="132"/>
        <v>81.75</v>
      </c>
      <c r="EQ109" s="19">
        <f t="shared" si="133"/>
        <v>82.5</v>
      </c>
      <c r="ER109" s="19">
        <f t="shared" si="134"/>
        <v>76.75</v>
      </c>
      <c r="ES109" s="19">
        <f t="shared" si="135"/>
        <v>81.5</v>
      </c>
      <c r="ET109" s="19">
        <f t="shared" si="136"/>
        <v>76.38</v>
      </c>
      <c r="EU109" s="19">
        <f t="shared" si="137"/>
        <v>78.97999999999999</v>
      </c>
      <c r="EV109" s="19">
        <f t="shared" si="138"/>
        <v>85.5</v>
      </c>
      <c r="EW109" s="19">
        <f t="shared" si="139"/>
        <v>77.5</v>
      </c>
      <c r="EX109" s="19">
        <f t="shared" si="140"/>
        <v>83</v>
      </c>
      <c r="EY109" s="19">
        <f t="shared" si="141"/>
        <v>84.866666666666674</v>
      </c>
      <c r="EZ109" s="19">
        <f t="shared" si="142"/>
        <v>84.466666666666669</v>
      </c>
      <c r="FA109" s="19">
        <f t="shared" si="143"/>
        <v>80</v>
      </c>
      <c r="FB109" s="19">
        <f t="shared" si="144"/>
        <v>79.7</v>
      </c>
      <c r="FC109" s="19">
        <f t="shared" si="145"/>
        <v>81.28372549019609</v>
      </c>
    </row>
    <row r="110" spans="1:159" ht="20.100000000000001" customHeight="1">
      <c r="A110" s="11">
        <v>106</v>
      </c>
      <c r="B110" s="25" t="s">
        <v>264</v>
      </c>
      <c r="C110" s="13" t="s">
        <v>265</v>
      </c>
      <c r="D110" s="25" t="s">
        <v>197</v>
      </c>
      <c r="E110" s="26">
        <v>94</v>
      </c>
      <c r="F110" s="26">
        <v>94</v>
      </c>
      <c r="G110" s="26">
        <v>89</v>
      </c>
      <c r="H110" s="26">
        <v>88</v>
      </c>
      <c r="I110" s="26">
        <v>93</v>
      </c>
      <c r="J110" s="26">
        <v>87</v>
      </c>
      <c r="K110" s="26">
        <v>84</v>
      </c>
      <c r="L110" s="26">
        <v>88</v>
      </c>
      <c r="M110" s="26">
        <v>95</v>
      </c>
      <c r="N110" s="26">
        <v>95</v>
      </c>
      <c r="O110" s="26">
        <v>95</v>
      </c>
      <c r="P110" s="26">
        <v>85</v>
      </c>
      <c r="Q110" s="26">
        <v>92</v>
      </c>
      <c r="R110" s="26">
        <v>86</v>
      </c>
      <c r="S110" s="26">
        <v>89</v>
      </c>
      <c r="T110" s="26">
        <v>87</v>
      </c>
      <c r="U110" s="26">
        <v>85</v>
      </c>
      <c r="V110" s="26">
        <v>89</v>
      </c>
      <c r="W110" s="26">
        <v>85</v>
      </c>
      <c r="X110" s="26">
        <v>85</v>
      </c>
      <c r="Y110" s="26">
        <v>82</v>
      </c>
      <c r="Z110" s="26">
        <v>85</v>
      </c>
      <c r="AA110" s="26">
        <v>88</v>
      </c>
      <c r="AB110" s="26">
        <v>88</v>
      </c>
      <c r="AC110" s="26">
        <v>82</v>
      </c>
      <c r="AD110" s="26">
        <v>85</v>
      </c>
      <c r="AE110" s="26">
        <v>83</v>
      </c>
      <c r="AF110" s="26">
        <v>85</v>
      </c>
      <c r="AG110" s="26">
        <v>80</v>
      </c>
      <c r="AH110" s="26">
        <v>80</v>
      </c>
      <c r="AI110" s="26">
        <v>79</v>
      </c>
      <c r="AJ110" s="26">
        <v>85</v>
      </c>
      <c r="AK110" s="26">
        <v>82</v>
      </c>
      <c r="AL110" s="26">
        <v>89</v>
      </c>
      <c r="AM110" s="26">
        <v>77</v>
      </c>
      <c r="AN110" s="26">
        <v>79</v>
      </c>
      <c r="AO110" s="26">
        <v>74</v>
      </c>
      <c r="AP110" s="26">
        <v>75</v>
      </c>
      <c r="AQ110" s="26">
        <v>82</v>
      </c>
      <c r="AR110" s="26">
        <v>83</v>
      </c>
      <c r="AS110" s="26">
        <v>79</v>
      </c>
      <c r="AT110" s="26">
        <v>80</v>
      </c>
      <c r="AU110" s="26">
        <v>83</v>
      </c>
      <c r="AV110" s="26">
        <v>86</v>
      </c>
      <c r="AW110" s="26">
        <v>86</v>
      </c>
      <c r="AX110" s="26">
        <v>83</v>
      </c>
      <c r="AY110" s="26">
        <v>89</v>
      </c>
      <c r="AZ110" s="26">
        <v>89</v>
      </c>
      <c r="BA110" s="26">
        <v>81</v>
      </c>
      <c r="BB110" s="26">
        <v>87</v>
      </c>
      <c r="BC110" s="26">
        <v>82</v>
      </c>
      <c r="BD110" s="26">
        <v>73</v>
      </c>
      <c r="BE110" s="37">
        <v>85</v>
      </c>
      <c r="BF110" s="37">
        <v>84</v>
      </c>
      <c r="BG110" s="37">
        <v>83</v>
      </c>
      <c r="BH110" s="26">
        <v>86</v>
      </c>
      <c r="BI110" s="37">
        <v>83</v>
      </c>
      <c r="BJ110" s="37">
        <v>85</v>
      </c>
      <c r="BK110" s="37">
        <v>72</v>
      </c>
      <c r="BL110" s="26">
        <v>86</v>
      </c>
      <c r="BM110" s="37">
        <v>77</v>
      </c>
      <c r="BN110" s="37">
        <v>90</v>
      </c>
      <c r="BO110" s="37">
        <v>85</v>
      </c>
      <c r="BP110" s="26">
        <v>86</v>
      </c>
      <c r="BQ110" s="15">
        <f t="shared" si="73"/>
        <v>81.666666666666671</v>
      </c>
      <c r="BR110" s="15">
        <f t="shared" si="74"/>
        <v>86.333333333333329</v>
      </c>
      <c r="BS110" s="15">
        <f t="shared" si="75"/>
        <v>80</v>
      </c>
      <c r="BT110" s="15">
        <f t="shared" si="76"/>
        <v>86</v>
      </c>
      <c r="BU110" s="26">
        <v>88</v>
      </c>
      <c r="BV110" s="26">
        <v>83</v>
      </c>
      <c r="BW110" s="26">
        <v>84</v>
      </c>
      <c r="BX110" s="26">
        <v>86</v>
      </c>
      <c r="BY110" s="26">
        <v>86</v>
      </c>
      <c r="BZ110" s="26">
        <v>77</v>
      </c>
      <c r="CA110" s="26">
        <v>91</v>
      </c>
      <c r="CB110" s="26">
        <v>77</v>
      </c>
      <c r="CC110" s="26">
        <v>83</v>
      </c>
      <c r="CD110" s="39">
        <v>93</v>
      </c>
      <c r="CE110" s="40">
        <v>95</v>
      </c>
      <c r="CF110" s="40">
        <v>82</v>
      </c>
      <c r="CG110" s="40">
        <v>94</v>
      </c>
      <c r="CH110" s="40">
        <v>82</v>
      </c>
      <c r="CI110" s="40">
        <v>86</v>
      </c>
      <c r="CJ110" s="40">
        <v>80</v>
      </c>
      <c r="CK110" s="39">
        <v>90</v>
      </c>
      <c r="CL110" s="40">
        <v>92</v>
      </c>
      <c r="CM110" s="41">
        <f t="shared" si="77"/>
        <v>91.6</v>
      </c>
      <c r="CN110" s="41">
        <f t="shared" si="78"/>
        <v>87</v>
      </c>
      <c r="CO110" s="41">
        <f t="shared" si="79"/>
        <v>93</v>
      </c>
      <c r="CP110" s="17">
        <f t="shared" si="80"/>
        <v>90.64</v>
      </c>
      <c r="CQ110" s="16">
        <f t="shared" si="81"/>
        <v>91.4</v>
      </c>
      <c r="CR110" s="16">
        <f t="shared" si="82"/>
        <v>85</v>
      </c>
      <c r="CS110" s="16">
        <f t="shared" si="83"/>
        <v>95</v>
      </c>
      <c r="CT110" s="17">
        <f t="shared" si="84"/>
        <v>90.56</v>
      </c>
      <c r="CU110" s="17">
        <f t="shared" si="85"/>
        <v>87.8</v>
      </c>
      <c r="CV110" s="17">
        <f t="shared" si="86"/>
        <v>89</v>
      </c>
      <c r="CW110" s="17">
        <f t="shared" si="87"/>
        <v>82</v>
      </c>
      <c r="CX110" s="17">
        <f t="shared" si="88"/>
        <v>86.42</v>
      </c>
      <c r="CY110" s="18">
        <f t="shared" si="89"/>
        <v>84.25</v>
      </c>
      <c r="CZ110" s="18">
        <f t="shared" si="90"/>
        <v>84.25</v>
      </c>
      <c r="DA110" s="18">
        <f t="shared" si="91"/>
        <v>85.75</v>
      </c>
      <c r="DB110" s="18">
        <f t="shared" si="92"/>
        <v>85.75</v>
      </c>
      <c r="DC110" s="18">
        <f t="shared" si="93"/>
        <v>84</v>
      </c>
      <c r="DD110" s="18">
        <f t="shared" si="94"/>
        <v>84</v>
      </c>
      <c r="DE110" s="18">
        <f t="shared" si="95"/>
        <v>81</v>
      </c>
      <c r="DF110" s="18">
        <f t="shared" si="96"/>
        <v>81</v>
      </c>
      <c r="DG110" s="18">
        <f t="shared" si="97"/>
        <v>82</v>
      </c>
      <c r="DH110" s="18">
        <f t="shared" si="98"/>
        <v>89</v>
      </c>
      <c r="DI110" s="18">
        <f t="shared" si="99"/>
        <v>94</v>
      </c>
      <c r="DJ110" s="17">
        <f t="shared" si="100"/>
        <v>87.7</v>
      </c>
      <c r="DK110" s="18">
        <f t="shared" si="101"/>
        <v>77.400000000000006</v>
      </c>
      <c r="DL110" s="18">
        <f t="shared" si="102"/>
        <v>83</v>
      </c>
      <c r="DM110" s="18">
        <f t="shared" si="103"/>
        <v>82</v>
      </c>
      <c r="DN110" s="17">
        <f t="shared" si="104"/>
        <v>80.460000000000008</v>
      </c>
      <c r="DO110" s="18">
        <f t="shared" si="105"/>
        <v>82.8</v>
      </c>
      <c r="DP110" s="18">
        <f t="shared" si="106"/>
        <v>83</v>
      </c>
      <c r="DQ110" s="18">
        <f t="shared" si="107"/>
        <v>86</v>
      </c>
      <c r="DR110" s="17">
        <f t="shared" si="108"/>
        <v>83.820000000000007</v>
      </c>
      <c r="DS110" s="18">
        <f t="shared" si="109"/>
        <v>89</v>
      </c>
      <c r="DT110" s="18">
        <f t="shared" si="110"/>
        <v>89</v>
      </c>
      <c r="DU110" s="18">
        <f t="shared" si="111"/>
        <v>84</v>
      </c>
      <c r="DV110" s="18">
        <f t="shared" si="112"/>
        <v>84</v>
      </c>
      <c r="DW110" s="18">
        <f t="shared" si="113"/>
        <v>77.5</v>
      </c>
      <c r="DX110" s="17">
        <f t="shared" si="114"/>
        <v>77.5</v>
      </c>
      <c r="DY110" s="18">
        <f t="shared" si="115"/>
        <v>82.666666666666671</v>
      </c>
      <c r="DZ110" s="18">
        <f t="shared" si="116"/>
        <v>86</v>
      </c>
      <c r="EA110" s="18">
        <f t="shared" si="117"/>
        <v>92</v>
      </c>
      <c r="EB110" s="17">
        <f t="shared" si="118"/>
        <v>86.466666666666669</v>
      </c>
      <c r="EC110" s="18">
        <f t="shared" si="119"/>
        <v>85</v>
      </c>
      <c r="ED110" s="18">
        <f t="shared" si="120"/>
        <v>86</v>
      </c>
      <c r="EE110" s="18">
        <f t="shared" si="121"/>
        <v>90</v>
      </c>
      <c r="EF110" s="17">
        <f t="shared" si="122"/>
        <v>86.8</v>
      </c>
      <c r="EG110" s="18">
        <f t="shared" si="123"/>
        <v>86</v>
      </c>
      <c r="EH110" s="18">
        <f t="shared" si="124"/>
        <v>81.666666666666671</v>
      </c>
      <c r="EI110" s="18">
        <f t="shared" si="125"/>
        <v>83</v>
      </c>
      <c r="EJ110" s="18">
        <f t="shared" si="126"/>
        <v>80</v>
      </c>
      <c r="EK110" s="17">
        <f t="shared" si="127"/>
        <v>81.566666666666677</v>
      </c>
      <c r="EL110" s="19">
        <f t="shared" si="128"/>
        <v>90.64</v>
      </c>
      <c r="EM110" s="19">
        <f t="shared" si="129"/>
        <v>90.56</v>
      </c>
      <c r="EN110" s="19">
        <f t="shared" si="130"/>
        <v>86.42</v>
      </c>
      <c r="EO110" s="19">
        <f t="shared" si="131"/>
        <v>84.25</v>
      </c>
      <c r="EP110" s="19">
        <f t="shared" si="132"/>
        <v>85.75</v>
      </c>
      <c r="EQ110" s="19">
        <f t="shared" si="133"/>
        <v>84</v>
      </c>
      <c r="ER110" s="19">
        <f t="shared" si="134"/>
        <v>81</v>
      </c>
      <c r="ES110" s="19">
        <f t="shared" si="135"/>
        <v>87.7</v>
      </c>
      <c r="ET110" s="19">
        <f t="shared" si="136"/>
        <v>80.460000000000008</v>
      </c>
      <c r="EU110" s="19">
        <f t="shared" si="137"/>
        <v>83.820000000000007</v>
      </c>
      <c r="EV110" s="19">
        <f t="shared" si="138"/>
        <v>89</v>
      </c>
      <c r="EW110" s="19">
        <f t="shared" si="139"/>
        <v>84</v>
      </c>
      <c r="EX110" s="19">
        <f t="shared" si="140"/>
        <v>77.5</v>
      </c>
      <c r="EY110" s="19">
        <f t="shared" si="141"/>
        <v>86.466666666666669</v>
      </c>
      <c r="EZ110" s="19">
        <f t="shared" si="142"/>
        <v>86.8</v>
      </c>
      <c r="FA110" s="19">
        <f t="shared" si="143"/>
        <v>86</v>
      </c>
      <c r="FB110" s="19">
        <f t="shared" si="144"/>
        <v>81.566666666666677</v>
      </c>
      <c r="FC110" s="19">
        <f t="shared" si="145"/>
        <v>85.054901960784321</v>
      </c>
    </row>
    <row r="111" spans="1:159" ht="20.100000000000001" customHeight="1">
      <c r="A111" s="11">
        <v>107</v>
      </c>
      <c r="B111" s="25" t="s">
        <v>266</v>
      </c>
      <c r="C111" s="13" t="s">
        <v>267</v>
      </c>
      <c r="D111" s="25" t="s">
        <v>197</v>
      </c>
      <c r="E111" s="26">
        <v>96</v>
      </c>
      <c r="F111" s="26">
        <v>92</v>
      </c>
      <c r="G111" s="26">
        <v>88</v>
      </c>
      <c r="H111" s="26">
        <v>86</v>
      </c>
      <c r="I111" s="26">
        <v>88</v>
      </c>
      <c r="J111" s="26">
        <v>85</v>
      </c>
      <c r="K111" s="26">
        <v>80</v>
      </c>
      <c r="L111" s="26">
        <v>80</v>
      </c>
      <c r="M111" s="26">
        <v>89</v>
      </c>
      <c r="N111" s="26">
        <v>90</v>
      </c>
      <c r="O111" s="26">
        <v>90</v>
      </c>
      <c r="P111" s="26">
        <v>89</v>
      </c>
      <c r="Q111" s="26">
        <v>89</v>
      </c>
      <c r="R111" s="26">
        <v>84</v>
      </c>
      <c r="S111" s="26">
        <v>88</v>
      </c>
      <c r="T111" s="26">
        <v>91</v>
      </c>
      <c r="U111" s="26">
        <v>88</v>
      </c>
      <c r="V111" s="26">
        <v>85</v>
      </c>
      <c r="W111" s="26">
        <v>80</v>
      </c>
      <c r="X111" s="26">
        <v>84</v>
      </c>
      <c r="Y111" s="26">
        <v>81</v>
      </c>
      <c r="Z111" s="26">
        <v>84</v>
      </c>
      <c r="AA111" s="26">
        <v>79</v>
      </c>
      <c r="AB111" s="26">
        <v>88</v>
      </c>
      <c r="AC111" s="26">
        <v>85</v>
      </c>
      <c r="AD111" s="26">
        <v>82</v>
      </c>
      <c r="AE111" s="26">
        <v>83</v>
      </c>
      <c r="AF111" s="26">
        <v>86</v>
      </c>
      <c r="AG111" s="26">
        <v>87</v>
      </c>
      <c r="AH111" s="26">
        <v>84</v>
      </c>
      <c r="AI111" s="26">
        <v>79</v>
      </c>
      <c r="AJ111" s="26">
        <v>82</v>
      </c>
      <c r="AK111" s="26">
        <v>85</v>
      </c>
      <c r="AL111" s="26">
        <v>85</v>
      </c>
      <c r="AM111" s="26">
        <v>76</v>
      </c>
      <c r="AN111" s="26">
        <v>78</v>
      </c>
      <c r="AO111" s="26">
        <v>75</v>
      </c>
      <c r="AP111" s="26">
        <v>76</v>
      </c>
      <c r="AQ111" s="26">
        <v>83</v>
      </c>
      <c r="AR111" s="26">
        <v>89</v>
      </c>
      <c r="AS111" s="26">
        <v>74</v>
      </c>
      <c r="AT111" s="26">
        <v>80</v>
      </c>
      <c r="AU111" s="26">
        <v>83</v>
      </c>
      <c r="AV111" s="26">
        <v>84</v>
      </c>
      <c r="AW111" s="26">
        <v>80</v>
      </c>
      <c r="AX111" s="26">
        <v>89</v>
      </c>
      <c r="AY111" s="26">
        <v>87</v>
      </c>
      <c r="AZ111" s="26">
        <v>93</v>
      </c>
      <c r="BA111" s="26">
        <v>83</v>
      </c>
      <c r="BB111" s="26">
        <v>91</v>
      </c>
      <c r="BC111" s="26">
        <v>75</v>
      </c>
      <c r="BD111" s="26">
        <v>83</v>
      </c>
      <c r="BE111" s="37">
        <v>85</v>
      </c>
      <c r="BF111" s="37">
        <v>86</v>
      </c>
      <c r="BG111" s="37">
        <v>81</v>
      </c>
      <c r="BH111" s="26">
        <v>87</v>
      </c>
      <c r="BI111" s="37">
        <v>89</v>
      </c>
      <c r="BJ111" s="37">
        <v>85</v>
      </c>
      <c r="BK111" s="37">
        <v>88</v>
      </c>
      <c r="BL111" s="26">
        <v>87</v>
      </c>
      <c r="BM111" s="37">
        <v>70</v>
      </c>
      <c r="BN111" s="37">
        <v>79</v>
      </c>
      <c r="BO111" s="37">
        <v>82</v>
      </c>
      <c r="BP111" s="26">
        <v>87</v>
      </c>
      <c r="BQ111" s="15">
        <f t="shared" si="73"/>
        <v>81.333333333333329</v>
      </c>
      <c r="BR111" s="15">
        <f t="shared" si="74"/>
        <v>83.333333333333329</v>
      </c>
      <c r="BS111" s="15">
        <f t="shared" si="75"/>
        <v>83.666666666666671</v>
      </c>
      <c r="BT111" s="15">
        <f t="shared" si="76"/>
        <v>87</v>
      </c>
      <c r="BU111" s="26">
        <v>88</v>
      </c>
      <c r="BV111" s="26">
        <v>86</v>
      </c>
      <c r="BW111" s="26">
        <v>84</v>
      </c>
      <c r="BX111" s="26">
        <v>87</v>
      </c>
      <c r="BY111" s="26">
        <v>87</v>
      </c>
      <c r="BZ111" s="26">
        <v>78</v>
      </c>
      <c r="CA111" s="26">
        <v>85</v>
      </c>
      <c r="CB111" s="26">
        <v>77</v>
      </c>
      <c r="CC111" s="26">
        <v>89</v>
      </c>
      <c r="CD111" s="39">
        <v>88</v>
      </c>
      <c r="CE111" s="40">
        <v>88</v>
      </c>
      <c r="CF111" s="40">
        <v>84</v>
      </c>
      <c r="CG111" s="40">
        <v>85</v>
      </c>
      <c r="CH111" s="40">
        <v>82</v>
      </c>
      <c r="CI111" s="40">
        <v>80</v>
      </c>
      <c r="CJ111" s="40">
        <v>80</v>
      </c>
      <c r="CK111" s="39">
        <v>78</v>
      </c>
      <c r="CL111" s="40">
        <v>80</v>
      </c>
      <c r="CM111" s="41">
        <f t="shared" si="77"/>
        <v>90</v>
      </c>
      <c r="CN111" s="41">
        <f t="shared" si="78"/>
        <v>85</v>
      </c>
      <c r="CO111" s="41">
        <f t="shared" si="79"/>
        <v>88</v>
      </c>
      <c r="CP111" s="17">
        <f t="shared" si="80"/>
        <v>87.9</v>
      </c>
      <c r="CQ111" s="16">
        <f t="shared" si="81"/>
        <v>85.8</v>
      </c>
      <c r="CR111" s="16">
        <f t="shared" si="82"/>
        <v>89</v>
      </c>
      <c r="CS111" s="16">
        <f t="shared" si="83"/>
        <v>88</v>
      </c>
      <c r="CT111" s="17">
        <f t="shared" si="84"/>
        <v>87.42</v>
      </c>
      <c r="CU111" s="17">
        <f t="shared" si="85"/>
        <v>88</v>
      </c>
      <c r="CV111" s="17">
        <f t="shared" si="86"/>
        <v>85</v>
      </c>
      <c r="CW111" s="17">
        <f t="shared" si="87"/>
        <v>84</v>
      </c>
      <c r="CX111" s="17">
        <f t="shared" si="88"/>
        <v>85.9</v>
      </c>
      <c r="CY111" s="18">
        <f t="shared" si="89"/>
        <v>82.25</v>
      </c>
      <c r="CZ111" s="18">
        <f t="shared" si="90"/>
        <v>82.25</v>
      </c>
      <c r="DA111" s="18">
        <f t="shared" si="91"/>
        <v>83.5</v>
      </c>
      <c r="DB111" s="18">
        <f t="shared" si="92"/>
        <v>83.5</v>
      </c>
      <c r="DC111" s="18">
        <f t="shared" si="93"/>
        <v>84.5</v>
      </c>
      <c r="DD111" s="18">
        <f t="shared" si="94"/>
        <v>84.5</v>
      </c>
      <c r="DE111" s="18">
        <f t="shared" si="95"/>
        <v>83</v>
      </c>
      <c r="DF111" s="18">
        <f t="shared" si="96"/>
        <v>83</v>
      </c>
      <c r="DG111" s="18">
        <f t="shared" si="97"/>
        <v>85</v>
      </c>
      <c r="DH111" s="18">
        <f t="shared" si="98"/>
        <v>85</v>
      </c>
      <c r="DI111" s="18">
        <f t="shared" si="99"/>
        <v>85</v>
      </c>
      <c r="DJ111" s="17">
        <f t="shared" si="100"/>
        <v>85</v>
      </c>
      <c r="DK111" s="18">
        <f t="shared" si="101"/>
        <v>77.599999999999994</v>
      </c>
      <c r="DL111" s="18">
        <f t="shared" si="102"/>
        <v>89</v>
      </c>
      <c r="DM111" s="18">
        <f t="shared" si="103"/>
        <v>82</v>
      </c>
      <c r="DN111" s="17">
        <f t="shared" si="104"/>
        <v>82.34</v>
      </c>
      <c r="DO111" s="18">
        <f t="shared" si="105"/>
        <v>80.2</v>
      </c>
      <c r="DP111" s="18">
        <f t="shared" si="106"/>
        <v>89</v>
      </c>
      <c r="DQ111" s="18">
        <f t="shared" si="107"/>
        <v>80</v>
      </c>
      <c r="DR111" s="17">
        <f t="shared" si="108"/>
        <v>82.78</v>
      </c>
      <c r="DS111" s="18">
        <f t="shared" si="109"/>
        <v>90</v>
      </c>
      <c r="DT111" s="18">
        <f t="shared" si="110"/>
        <v>90</v>
      </c>
      <c r="DU111" s="18">
        <f t="shared" si="111"/>
        <v>87</v>
      </c>
      <c r="DV111" s="18">
        <f t="shared" si="112"/>
        <v>87</v>
      </c>
      <c r="DW111" s="18">
        <f t="shared" si="113"/>
        <v>79</v>
      </c>
      <c r="DX111" s="17">
        <f t="shared" si="114"/>
        <v>79</v>
      </c>
      <c r="DY111" s="18">
        <f t="shared" si="115"/>
        <v>82.777777777777771</v>
      </c>
      <c r="DZ111" s="18">
        <f t="shared" si="116"/>
        <v>87</v>
      </c>
      <c r="EA111" s="18">
        <f t="shared" si="117"/>
        <v>80</v>
      </c>
      <c r="EB111" s="17">
        <f t="shared" si="118"/>
        <v>83.211111111111109</v>
      </c>
      <c r="EC111" s="18">
        <f t="shared" si="119"/>
        <v>86</v>
      </c>
      <c r="ED111" s="18">
        <f t="shared" si="120"/>
        <v>87</v>
      </c>
      <c r="EE111" s="18">
        <f t="shared" si="121"/>
        <v>78</v>
      </c>
      <c r="EF111" s="17">
        <f t="shared" si="122"/>
        <v>83.9</v>
      </c>
      <c r="EG111" s="18">
        <f t="shared" si="123"/>
        <v>87</v>
      </c>
      <c r="EH111" s="18">
        <f t="shared" si="124"/>
        <v>80</v>
      </c>
      <c r="EI111" s="18">
        <f t="shared" si="125"/>
        <v>89</v>
      </c>
      <c r="EJ111" s="18">
        <f t="shared" si="126"/>
        <v>80</v>
      </c>
      <c r="EK111" s="17">
        <f t="shared" si="127"/>
        <v>82.7</v>
      </c>
      <c r="EL111" s="19">
        <f t="shared" si="128"/>
        <v>87.9</v>
      </c>
      <c r="EM111" s="19">
        <f t="shared" si="129"/>
        <v>87.42</v>
      </c>
      <c r="EN111" s="19">
        <f t="shared" si="130"/>
        <v>85.9</v>
      </c>
      <c r="EO111" s="19">
        <f t="shared" si="131"/>
        <v>82.25</v>
      </c>
      <c r="EP111" s="19">
        <f t="shared" si="132"/>
        <v>83.5</v>
      </c>
      <c r="EQ111" s="19">
        <f t="shared" si="133"/>
        <v>84.5</v>
      </c>
      <c r="ER111" s="19">
        <f t="shared" si="134"/>
        <v>83</v>
      </c>
      <c r="ES111" s="19">
        <f t="shared" si="135"/>
        <v>85</v>
      </c>
      <c r="ET111" s="19">
        <f t="shared" si="136"/>
        <v>82.34</v>
      </c>
      <c r="EU111" s="19">
        <f t="shared" si="137"/>
        <v>82.78</v>
      </c>
      <c r="EV111" s="19">
        <f t="shared" si="138"/>
        <v>90</v>
      </c>
      <c r="EW111" s="19">
        <f t="shared" si="139"/>
        <v>87</v>
      </c>
      <c r="EX111" s="19">
        <f t="shared" si="140"/>
        <v>79</v>
      </c>
      <c r="EY111" s="19">
        <f t="shared" si="141"/>
        <v>83.211111111111109</v>
      </c>
      <c r="EZ111" s="19">
        <f t="shared" si="142"/>
        <v>83.9</v>
      </c>
      <c r="FA111" s="19">
        <f t="shared" si="143"/>
        <v>87</v>
      </c>
      <c r="FB111" s="19">
        <f t="shared" si="144"/>
        <v>82.7</v>
      </c>
      <c r="FC111" s="19">
        <f t="shared" si="145"/>
        <v>84.553006535947731</v>
      </c>
    </row>
  </sheetData>
  <mergeCells count="168">
    <mergeCell ref="A1:A4"/>
    <mergeCell ref="B1:B4"/>
    <mergeCell ref="C1:C4"/>
    <mergeCell ref="D1:D4"/>
    <mergeCell ref="E1:I1"/>
    <mergeCell ref="K1:P1"/>
    <mergeCell ref="K3:K4"/>
    <mergeCell ref="L3:L4"/>
    <mergeCell ref="M3:M4"/>
    <mergeCell ref="N3:N4"/>
    <mergeCell ref="O3:O4"/>
    <mergeCell ref="P3:P4"/>
    <mergeCell ref="AS1:AV1"/>
    <mergeCell ref="AW1:BB1"/>
    <mergeCell ref="BC1:BD1"/>
    <mergeCell ref="BE1:BH1"/>
    <mergeCell ref="BI1:BL1"/>
    <mergeCell ref="BM1:BP1"/>
    <mergeCell ref="Q1:Z1"/>
    <mergeCell ref="AA1:AD1"/>
    <mergeCell ref="AE1:AF1"/>
    <mergeCell ref="AG1:AJ1"/>
    <mergeCell ref="AK1:AL1"/>
    <mergeCell ref="AM1:AR1"/>
    <mergeCell ref="EL1:FB1"/>
    <mergeCell ref="E2:J2"/>
    <mergeCell ref="K2:P2"/>
    <mergeCell ref="Q2:V2"/>
    <mergeCell ref="W2:Z2"/>
    <mergeCell ref="AA2:AD2"/>
    <mergeCell ref="AE2:AF2"/>
    <mergeCell ref="AG2:AJ2"/>
    <mergeCell ref="AK2:AL2"/>
    <mergeCell ref="AM2:AR2"/>
    <mergeCell ref="DU1:DV2"/>
    <mergeCell ref="DW1:DX2"/>
    <mergeCell ref="DY1:EB2"/>
    <mergeCell ref="EC1:EF2"/>
    <mergeCell ref="EG1:EG2"/>
    <mergeCell ref="EH1:EK2"/>
    <mergeCell ref="DC1:DD2"/>
    <mergeCell ref="DE1:DF2"/>
    <mergeCell ref="DG1:DJ2"/>
    <mergeCell ref="DK1:DN2"/>
    <mergeCell ref="DO1:DR2"/>
    <mergeCell ref="DS1:DT2"/>
    <mergeCell ref="CD1:CL2"/>
    <mergeCell ref="CM1:CP2"/>
    <mergeCell ref="FC2:FC4"/>
    <mergeCell ref="E3:E4"/>
    <mergeCell ref="F3:F4"/>
    <mergeCell ref="G3:G4"/>
    <mergeCell ref="H3:H4"/>
    <mergeCell ref="I3:I4"/>
    <mergeCell ref="J3:J4"/>
    <mergeCell ref="ET2:ET4"/>
    <mergeCell ref="EU2:EU4"/>
    <mergeCell ref="EV2:EV4"/>
    <mergeCell ref="EW2:EW4"/>
    <mergeCell ref="EX2:EX4"/>
    <mergeCell ref="EY2:EY4"/>
    <mergeCell ref="EN2:EN4"/>
    <mergeCell ref="EO2:EO4"/>
    <mergeCell ref="EP2:EP4"/>
    <mergeCell ref="EQ2:EQ4"/>
    <mergeCell ref="ER2:ER4"/>
    <mergeCell ref="ES2:ES4"/>
    <mergeCell ref="BM2:BP2"/>
    <mergeCell ref="BQ2:BT2"/>
    <mergeCell ref="BU2:BX2"/>
    <mergeCell ref="BZ2:CC2"/>
    <mergeCell ref="EL2:EL4"/>
    <mergeCell ref="Q3:Q4"/>
    <mergeCell ref="R3:R4"/>
    <mergeCell ref="S3:S4"/>
    <mergeCell ref="T3:T4"/>
    <mergeCell ref="EZ2:EZ4"/>
    <mergeCell ref="FA2:FA4"/>
    <mergeCell ref="FB2:FB4"/>
    <mergeCell ref="EM2:EM4"/>
    <mergeCell ref="BQ3:BQ4"/>
    <mergeCell ref="BR3:BR4"/>
    <mergeCell ref="BS3:BS4"/>
    <mergeCell ref="BT3:BT4"/>
    <mergeCell ref="AS2:AX2"/>
    <mergeCell ref="AY2:AZ2"/>
    <mergeCell ref="BA2:BB2"/>
    <mergeCell ref="BC2:BD2"/>
    <mergeCell ref="BE2:BH2"/>
    <mergeCell ref="BI2:BL2"/>
    <mergeCell ref="CQ1:CT2"/>
    <mergeCell ref="CU1:CX2"/>
    <mergeCell ref="CY1:CZ2"/>
    <mergeCell ref="DA1:DB2"/>
    <mergeCell ref="AA3:AA4"/>
    <mergeCell ref="AB3:AB4"/>
    <mergeCell ref="AC3:AC4"/>
    <mergeCell ref="AD3:AD4"/>
    <mergeCell ref="AE3:AE4"/>
    <mergeCell ref="AF3:AF4"/>
    <mergeCell ref="U3:U4"/>
    <mergeCell ref="V3:V4"/>
    <mergeCell ref="W3:W4"/>
    <mergeCell ref="X3:X4"/>
    <mergeCell ref="Y3:Y4"/>
    <mergeCell ref="Z3:Z4"/>
    <mergeCell ref="AM3:AM4"/>
    <mergeCell ref="AN3:AN4"/>
    <mergeCell ref="AO3:AO4"/>
    <mergeCell ref="AP3:AP4"/>
    <mergeCell ref="AQ3:AQ4"/>
    <mergeCell ref="AR3:AR4"/>
    <mergeCell ref="AG3:AG4"/>
    <mergeCell ref="AH3:AH4"/>
    <mergeCell ref="AI3:AI4"/>
    <mergeCell ref="AJ3:AJ4"/>
    <mergeCell ref="AK3:AK4"/>
    <mergeCell ref="AL3:AL4"/>
    <mergeCell ref="AY3:AY4"/>
    <mergeCell ref="AZ3:AZ4"/>
    <mergeCell ref="BA3:BA4"/>
    <mergeCell ref="BB3:BB4"/>
    <mergeCell ref="BC3:BC4"/>
    <mergeCell ref="BD3:BD4"/>
    <mergeCell ref="AS3:AS4"/>
    <mergeCell ref="AT3:AT4"/>
    <mergeCell ref="AU3:AU4"/>
    <mergeCell ref="AV3:AV4"/>
    <mergeCell ref="AW3:AW4"/>
    <mergeCell ref="AX3:AX4"/>
    <mergeCell ref="BK3:BK4"/>
    <mergeCell ref="BL3:BL4"/>
    <mergeCell ref="BM3:BM4"/>
    <mergeCell ref="BN3:BN4"/>
    <mergeCell ref="BO3:BO4"/>
    <mergeCell ref="BP3:BP4"/>
    <mergeCell ref="BE3:BE4"/>
    <mergeCell ref="BF3:BF4"/>
    <mergeCell ref="BG3:BG4"/>
    <mergeCell ref="BH3:BH4"/>
    <mergeCell ref="BI3:BI4"/>
    <mergeCell ref="BJ3:BJ4"/>
    <mergeCell ref="CA3:CA4"/>
    <mergeCell ref="CB3:CB4"/>
    <mergeCell ref="CC3:CC4"/>
    <mergeCell ref="CD3:CD4"/>
    <mergeCell ref="CE3:CE4"/>
    <mergeCell ref="CF3:CF4"/>
    <mergeCell ref="BU3:BU4"/>
    <mergeCell ref="BV3:BV4"/>
    <mergeCell ref="BW3:BW4"/>
    <mergeCell ref="BX3:BX4"/>
    <mergeCell ref="BY3:BY4"/>
    <mergeCell ref="BZ3:BZ4"/>
    <mergeCell ref="CS3:CS4"/>
    <mergeCell ref="CT3:CT4"/>
    <mergeCell ref="CM3:CM4"/>
    <mergeCell ref="CN3:CN4"/>
    <mergeCell ref="CO3:CO4"/>
    <mergeCell ref="CP3:CP4"/>
    <mergeCell ref="CQ3:CQ4"/>
    <mergeCell ref="CR3:CR4"/>
    <mergeCell ref="CG3:CG4"/>
    <mergeCell ref="CH3:CH4"/>
    <mergeCell ref="CI3:CI4"/>
    <mergeCell ref="CJ3:CJ4"/>
    <mergeCell ref="CK3:CK4"/>
    <mergeCell ref="CL3:CL4"/>
  </mergeCells>
  <pageMargins left="0.70866141732283472" right="0.70866141732283472" top="0.74803149606299213" bottom="0.74803149606299213" header="0.31496062992125984" footer="0.31496062992125984"/>
  <pageSetup paperSize="9" scale="54" orientation="landscape"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947E6-3538-4E5A-85E3-69C23FF9BC7B}">
  <sheetPr>
    <tabColor rgb="FFFFC000"/>
  </sheetPr>
  <dimension ref="A1:AJ990"/>
  <sheetViews>
    <sheetView topLeftCell="A10" zoomScale="110" zoomScaleNormal="110" workbookViewId="0">
      <selection activeCell="E19" sqref="E19"/>
    </sheetView>
  </sheetViews>
  <sheetFormatPr defaultColWidth="9" defaultRowHeight="14.4"/>
  <cols>
    <col min="1" max="1" width="5" style="42" customWidth="1"/>
    <col min="2" max="2" width="12.6640625" style="42" customWidth="1"/>
    <col min="3" max="3" width="20.6640625" style="42" customWidth="1"/>
    <col min="4" max="4" width="13.6640625" style="42" customWidth="1"/>
    <col min="5" max="5" width="13.33203125" style="42" customWidth="1"/>
    <col min="6" max="6" width="13" style="42" customWidth="1"/>
    <col min="7" max="7" width="12" style="42" customWidth="1"/>
    <col min="8" max="8" width="11.88671875" style="42" customWidth="1"/>
    <col min="9" max="9" width="10" style="42" customWidth="1"/>
    <col min="10" max="10" width="13.109375" style="42" customWidth="1"/>
    <col min="11" max="15" width="10.6640625" style="42" customWidth="1"/>
    <col min="16" max="16" width="9.109375" style="42" customWidth="1"/>
    <col min="17" max="17" width="10.6640625" style="42" customWidth="1"/>
    <col min="18" max="18" width="11.88671875" style="42" customWidth="1"/>
    <col min="19" max="19" width="11.44140625" style="42" customWidth="1"/>
    <col min="20" max="20" width="12.109375" style="42" customWidth="1"/>
    <col min="21" max="21" width="16.44140625" style="42" customWidth="1"/>
    <col min="22" max="22" width="8" style="42" customWidth="1"/>
    <col min="23" max="16384" width="9" style="42"/>
  </cols>
  <sheetData>
    <row r="1" spans="1:36" ht="24.75" customHeight="1">
      <c r="A1" s="245" t="s">
        <v>272</v>
      </c>
      <c r="B1" s="245"/>
      <c r="C1" s="245"/>
      <c r="D1" s="245"/>
      <c r="E1" s="245"/>
      <c r="F1" s="245"/>
      <c r="G1" s="245"/>
      <c r="H1" s="245"/>
      <c r="I1" s="245"/>
      <c r="J1" s="245"/>
      <c r="K1" s="245"/>
      <c r="L1" s="245"/>
      <c r="M1" s="245"/>
      <c r="N1" s="245"/>
      <c r="O1" s="245"/>
      <c r="P1" s="245"/>
      <c r="Q1" s="245"/>
      <c r="R1" s="245"/>
      <c r="S1" s="245"/>
      <c r="T1" s="245"/>
      <c r="U1" s="245"/>
      <c r="V1" s="245"/>
    </row>
    <row r="2" spans="1:36" ht="24.75" customHeight="1">
      <c r="A2" s="246" t="s">
        <v>273</v>
      </c>
      <c r="B2" s="246"/>
      <c r="C2" s="246"/>
      <c r="D2" s="246"/>
      <c r="E2" s="246"/>
      <c r="F2" s="246"/>
      <c r="G2" s="246"/>
      <c r="H2" s="246"/>
      <c r="I2" s="246"/>
      <c r="J2" s="246"/>
      <c r="K2" s="246"/>
      <c r="L2" s="246"/>
      <c r="M2" s="246"/>
      <c r="N2" s="246"/>
      <c r="O2" s="246"/>
      <c r="P2" s="246"/>
      <c r="Q2" s="246"/>
      <c r="R2" s="246"/>
      <c r="S2" s="246"/>
      <c r="T2" s="246"/>
      <c r="U2" s="246"/>
      <c r="V2" s="246"/>
    </row>
    <row r="3" spans="1:36" ht="10.5" customHeight="1">
      <c r="C3" s="43"/>
      <c r="D3" s="43"/>
      <c r="E3" s="43"/>
      <c r="F3" s="43"/>
      <c r="G3" s="43"/>
      <c r="H3" s="43"/>
      <c r="I3" s="43"/>
      <c r="J3" s="43"/>
      <c r="K3" s="43"/>
      <c r="L3" s="43"/>
      <c r="M3" s="43"/>
      <c r="N3" s="43"/>
      <c r="O3" s="43"/>
      <c r="P3" s="43"/>
      <c r="Q3" s="43"/>
      <c r="R3" s="43"/>
      <c r="S3" s="43"/>
      <c r="T3" s="43"/>
      <c r="U3" s="43"/>
      <c r="V3" s="43"/>
    </row>
    <row r="4" spans="1:36" ht="21.75" customHeight="1">
      <c r="A4" s="81" t="s">
        <v>274</v>
      </c>
      <c r="B4" s="81"/>
      <c r="C4" s="81"/>
      <c r="D4" s="81" t="s">
        <v>307</v>
      </c>
      <c r="E4" s="81"/>
      <c r="F4" s="81"/>
      <c r="G4" s="82"/>
      <c r="H4" s="82"/>
      <c r="I4" s="82"/>
      <c r="J4" s="82"/>
      <c r="K4" s="82"/>
      <c r="L4" s="82"/>
      <c r="M4" s="45"/>
      <c r="N4" s="45"/>
      <c r="O4" s="45"/>
      <c r="P4" s="45"/>
      <c r="Q4" s="45"/>
      <c r="R4" s="45"/>
      <c r="S4" s="45"/>
      <c r="T4" s="45"/>
      <c r="U4" s="45"/>
      <c r="V4" s="46"/>
    </row>
    <row r="5" spans="1:36" ht="18.75" customHeight="1">
      <c r="A5" s="83" t="s">
        <v>275</v>
      </c>
      <c r="B5" s="83"/>
      <c r="C5" s="83"/>
      <c r="D5" s="81" t="s">
        <v>308</v>
      </c>
      <c r="E5" s="81"/>
      <c r="F5" s="81"/>
      <c r="G5" s="81"/>
      <c r="H5" s="81"/>
      <c r="I5" s="81"/>
      <c r="J5" s="81"/>
      <c r="K5" s="81"/>
      <c r="L5" s="81"/>
      <c r="M5" s="44"/>
      <c r="N5" s="44"/>
      <c r="O5" s="44"/>
      <c r="P5" s="44"/>
      <c r="Q5" s="44"/>
      <c r="R5" s="44"/>
      <c r="S5" s="44"/>
      <c r="T5" s="44"/>
      <c r="U5" s="44"/>
      <c r="V5" s="46"/>
    </row>
    <row r="6" spans="1:36">
      <c r="A6" s="47"/>
      <c r="B6" s="47"/>
      <c r="C6" s="47"/>
      <c r="D6" s="47"/>
      <c r="E6" s="48"/>
      <c r="F6" s="47"/>
      <c r="G6" s="47"/>
      <c r="H6" s="47"/>
      <c r="I6" s="47"/>
      <c r="J6" s="47"/>
      <c r="K6" s="47"/>
      <c r="L6" s="47"/>
      <c r="M6" s="47"/>
      <c r="N6" s="47"/>
      <c r="O6" s="47"/>
      <c r="P6" s="47"/>
      <c r="Q6" s="47"/>
      <c r="R6" s="47"/>
      <c r="S6" s="47"/>
      <c r="T6" s="47"/>
      <c r="U6" s="47"/>
    </row>
    <row r="7" spans="1:36" ht="15" thickBot="1">
      <c r="A7" s="47"/>
      <c r="B7" s="47"/>
      <c r="C7" s="47"/>
      <c r="D7" s="44"/>
      <c r="E7" s="47"/>
      <c r="F7" s="47"/>
      <c r="G7" s="47"/>
      <c r="H7" s="47"/>
      <c r="I7" s="47"/>
      <c r="J7" s="47"/>
      <c r="K7" s="47"/>
      <c r="L7" s="47"/>
      <c r="M7" s="47"/>
      <c r="N7" s="47"/>
      <c r="O7" s="47"/>
      <c r="P7" s="47"/>
      <c r="Q7" s="47"/>
      <c r="R7" s="47"/>
      <c r="S7" s="47"/>
      <c r="T7" s="47"/>
      <c r="U7" s="47"/>
    </row>
    <row r="8" spans="1:36" ht="18.75" customHeight="1" thickBot="1">
      <c r="A8" s="247" t="s">
        <v>276</v>
      </c>
      <c r="B8" s="250" t="s">
        <v>1</v>
      </c>
      <c r="C8" s="250" t="s">
        <v>277</v>
      </c>
      <c r="D8" s="49"/>
      <c r="E8" s="253" t="s">
        <v>268</v>
      </c>
      <c r="F8" s="254"/>
      <c r="G8" s="254"/>
      <c r="H8" s="254"/>
      <c r="I8" s="254"/>
      <c r="J8" s="255"/>
      <c r="K8" s="256" t="s">
        <v>269</v>
      </c>
      <c r="L8" s="255"/>
      <c r="M8" s="256" t="s">
        <v>270</v>
      </c>
      <c r="N8" s="254"/>
      <c r="O8" s="254"/>
      <c r="P8" s="254"/>
      <c r="Q8" s="254"/>
      <c r="R8" s="254"/>
      <c r="S8" s="254"/>
      <c r="T8" s="254"/>
      <c r="U8" s="255"/>
      <c r="V8" s="257" t="s">
        <v>278</v>
      </c>
    </row>
    <row r="9" spans="1:36" ht="18" customHeight="1">
      <c r="A9" s="248"/>
      <c r="B9" s="251"/>
      <c r="C9" s="251"/>
      <c r="D9" s="260" t="s">
        <v>279</v>
      </c>
      <c r="E9" s="266" t="s">
        <v>280</v>
      </c>
      <c r="F9" s="266" t="s">
        <v>281</v>
      </c>
      <c r="G9" s="266" t="s">
        <v>282</v>
      </c>
      <c r="H9" s="266" t="s">
        <v>283</v>
      </c>
      <c r="I9" s="266" t="s">
        <v>284</v>
      </c>
      <c r="J9" s="266" t="s">
        <v>285</v>
      </c>
      <c r="K9" s="265" t="s">
        <v>286</v>
      </c>
      <c r="L9" s="265" t="s">
        <v>309</v>
      </c>
      <c r="M9" s="262" t="s">
        <v>287</v>
      </c>
      <c r="N9" s="262" t="s">
        <v>288</v>
      </c>
      <c r="O9" s="262" t="s">
        <v>289</v>
      </c>
      <c r="P9" s="265" t="s">
        <v>271</v>
      </c>
      <c r="Q9" s="265" t="s">
        <v>290</v>
      </c>
      <c r="R9" s="265" t="s">
        <v>291</v>
      </c>
      <c r="S9" s="265" t="s">
        <v>292</v>
      </c>
      <c r="T9" s="260" t="s">
        <v>293</v>
      </c>
      <c r="U9" s="260" t="s">
        <v>310</v>
      </c>
      <c r="V9" s="258"/>
      <c r="Z9" s="50"/>
      <c r="AA9" s="50"/>
      <c r="AB9" s="50"/>
      <c r="AC9" s="50"/>
      <c r="AD9" s="50"/>
      <c r="AE9" s="50"/>
      <c r="AF9" s="50"/>
      <c r="AG9" s="50"/>
      <c r="AH9" s="50"/>
      <c r="AI9" s="50"/>
      <c r="AJ9" s="50"/>
    </row>
    <row r="10" spans="1:36" ht="18" customHeight="1">
      <c r="A10" s="248"/>
      <c r="B10" s="251"/>
      <c r="C10" s="251"/>
      <c r="D10" s="260"/>
      <c r="E10" s="266"/>
      <c r="F10" s="266"/>
      <c r="G10" s="266"/>
      <c r="H10" s="266"/>
      <c r="I10" s="266"/>
      <c r="J10" s="266"/>
      <c r="K10" s="260"/>
      <c r="L10" s="260"/>
      <c r="M10" s="263"/>
      <c r="N10" s="263"/>
      <c r="O10" s="263"/>
      <c r="P10" s="260"/>
      <c r="Q10" s="260"/>
      <c r="R10" s="260"/>
      <c r="S10" s="260"/>
      <c r="T10" s="260"/>
      <c r="U10" s="260"/>
      <c r="V10" s="258"/>
      <c r="Z10" s="50"/>
      <c r="AA10" s="50"/>
      <c r="AB10" s="50">
        <v>49</v>
      </c>
      <c r="AC10" s="50"/>
      <c r="AD10" s="50"/>
      <c r="AE10" s="50"/>
      <c r="AF10" s="50"/>
      <c r="AG10" s="50"/>
      <c r="AH10" s="50"/>
      <c r="AI10" s="50"/>
      <c r="AJ10" s="50"/>
    </row>
    <row r="11" spans="1:36" ht="39.75" customHeight="1" thickBot="1">
      <c r="A11" s="249"/>
      <c r="B11" s="252"/>
      <c r="C11" s="252"/>
      <c r="D11" s="261"/>
      <c r="E11" s="267"/>
      <c r="F11" s="267"/>
      <c r="G11" s="267"/>
      <c r="H11" s="267"/>
      <c r="I11" s="267"/>
      <c r="J11" s="267"/>
      <c r="K11" s="261"/>
      <c r="L11" s="261"/>
      <c r="M11" s="264"/>
      <c r="N11" s="264"/>
      <c r="O11" s="264"/>
      <c r="P11" s="261"/>
      <c r="Q11" s="261"/>
      <c r="R11" s="261"/>
      <c r="S11" s="261"/>
      <c r="T11" s="261"/>
      <c r="U11" s="261"/>
      <c r="V11" s="259"/>
      <c r="W11" s="87"/>
      <c r="X11" s="87"/>
      <c r="Y11" s="87"/>
      <c r="Z11" s="51"/>
      <c r="AA11" s="51"/>
      <c r="AB11" s="51">
        <v>12</v>
      </c>
      <c r="AC11" s="51"/>
      <c r="AD11" s="51"/>
      <c r="AE11" s="51"/>
      <c r="AF11" s="51"/>
      <c r="AG11" s="51"/>
      <c r="AH11" s="51"/>
      <c r="AI11" s="51"/>
      <c r="AJ11" s="51"/>
    </row>
    <row r="12" spans="1:36" ht="18.75" customHeight="1" thickBot="1">
      <c r="A12" s="268">
        <v>1</v>
      </c>
      <c r="B12" s="276" t="s">
        <v>312</v>
      </c>
      <c r="C12" s="277" t="s">
        <v>52</v>
      </c>
      <c r="D12" s="52" t="s">
        <v>294</v>
      </c>
      <c r="E12" s="53">
        <f>tkj!$E$5</f>
        <v>84</v>
      </c>
      <c r="F12" s="53">
        <f>tkj!$K$5</f>
        <v>84</v>
      </c>
      <c r="G12" s="53">
        <f>tkj!$Q$5</f>
        <v>86</v>
      </c>
      <c r="H12" s="53">
        <f>tkj!$W$5</f>
        <v>82</v>
      </c>
      <c r="I12" s="53">
        <f>tkj!$AA$5</f>
        <v>77</v>
      </c>
      <c r="J12" s="53">
        <f>tkj!$AE$5</f>
        <v>82</v>
      </c>
      <c r="K12" s="54">
        <f>tkj!$AG$5</f>
        <v>77</v>
      </c>
      <c r="L12" s="55"/>
      <c r="M12" s="53">
        <f>tkj!$AM$5</f>
        <v>74</v>
      </c>
      <c r="N12" s="53">
        <f>tkj!$AS$5</f>
        <v>77</v>
      </c>
      <c r="O12" s="53">
        <f>tkj!$AY$5</f>
        <v>79</v>
      </c>
      <c r="P12" s="54">
        <f>tkj!$BA$5</f>
        <v>72</v>
      </c>
      <c r="Q12" s="54">
        <f>tkj!$BC$5</f>
        <v>79</v>
      </c>
      <c r="R12" s="55"/>
      <c r="S12" s="55"/>
      <c r="T12" s="55"/>
      <c r="U12" s="55"/>
      <c r="V12" s="56"/>
      <c r="W12" s="88"/>
      <c r="X12" s="278">
        <v>5</v>
      </c>
      <c r="Y12" s="88"/>
      <c r="Z12" s="57"/>
      <c r="AA12" s="57"/>
      <c r="AB12" s="57">
        <v>44</v>
      </c>
      <c r="AC12" s="57"/>
      <c r="AD12" s="57"/>
      <c r="AE12" s="57"/>
      <c r="AF12" s="57"/>
      <c r="AG12" s="57"/>
      <c r="AH12" s="57"/>
      <c r="AI12" s="57"/>
      <c r="AJ12" s="57"/>
    </row>
    <row r="13" spans="1:36" ht="18.75" customHeight="1" thickBot="1">
      <c r="A13" s="268"/>
      <c r="B13" s="271"/>
      <c r="C13" s="274"/>
      <c r="D13" s="52" t="s">
        <v>295</v>
      </c>
      <c r="E13" s="53">
        <f>tkj!$F$5</f>
        <v>86</v>
      </c>
      <c r="F13" s="53">
        <f>tkj!$L$5</f>
        <v>79</v>
      </c>
      <c r="G13" s="53">
        <f>tkj!$R$5</f>
        <v>83</v>
      </c>
      <c r="H13" s="53">
        <f>tkj!$X$5</f>
        <v>84</v>
      </c>
      <c r="I13" s="53">
        <f>tkj!$AB$5</f>
        <v>80</v>
      </c>
      <c r="J13" s="53">
        <f>tkj!$AF$5</f>
        <v>83</v>
      </c>
      <c r="K13" s="54">
        <f>tkj!$AH$5</f>
        <v>80</v>
      </c>
      <c r="L13" s="55"/>
      <c r="M13" s="53">
        <f>tkj!$AN$5</f>
        <v>71</v>
      </c>
      <c r="N13" s="53">
        <f>tkj!$AT$5</f>
        <v>80</v>
      </c>
      <c r="O13" s="53">
        <f>tkj!$AZ$5</f>
        <v>79</v>
      </c>
      <c r="P13" s="54">
        <f>tkj!$BB$5</f>
        <v>78</v>
      </c>
      <c r="Q13" s="54">
        <f>tkj!$BD$5</f>
        <v>78</v>
      </c>
      <c r="R13" s="55"/>
      <c r="S13" s="55"/>
      <c r="T13" s="55"/>
      <c r="U13" s="55"/>
      <c r="V13" s="58"/>
      <c r="W13" s="88"/>
      <c r="X13" s="278">
        <v>5</v>
      </c>
      <c r="Y13" s="88"/>
      <c r="Z13" s="57"/>
      <c r="AA13" s="57"/>
      <c r="AB13" s="57">
        <v>34</v>
      </c>
      <c r="AC13" s="57"/>
      <c r="AD13" s="57"/>
      <c r="AE13" s="57"/>
      <c r="AF13" s="57"/>
      <c r="AG13" s="57"/>
      <c r="AH13" s="57"/>
      <c r="AI13" s="57"/>
      <c r="AJ13" s="57"/>
    </row>
    <row r="14" spans="1:36" ht="18.75" customHeight="1" thickBot="1">
      <c r="A14" s="268"/>
      <c r="B14" s="271"/>
      <c r="C14" s="274"/>
      <c r="D14" s="52" t="s">
        <v>296</v>
      </c>
      <c r="E14" s="53">
        <f>tkj!$G$5</f>
        <v>90</v>
      </c>
      <c r="F14" s="53">
        <f>tkj!$M$5</f>
        <v>70</v>
      </c>
      <c r="G14" s="53">
        <f>tkj!$S$5</f>
        <v>70</v>
      </c>
      <c r="H14" s="53">
        <f>tkj!$Y$5</f>
        <v>80</v>
      </c>
      <c r="I14" s="53">
        <f>tkj!$AC$5</f>
        <v>80</v>
      </c>
      <c r="J14" s="59"/>
      <c r="K14" s="54">
        <f>tkj!$AI$5</f>
        <v>70</v>
      </c>
      <c r="L14" s="55"/>
      <c r="M14" s="53">
        <f>tkj!$AO$5</f>
        <v>73</v>
      </c>
      <c r="N14" s="53">
        <f>tkj!$AU$5</f>
        <v>82</v>
      </c>
      <c r="O14" s="59"/>
      <c r="P14" s="55"/>
      <c r="Q14" s="55"/>
      <c r="R14" s="54">
        <f>tkj!$BQ$5</f>
        <v>82.333333333333329</v>
      </c>
      <c r="S14" s="54">
        <f>tkj!$BU$5</f>
        <v>87</v>
      </c>
      <c r="T14" s="55"/>
      <c r="U14" s="54">
        <f>tkj!$BZ$5</f>
        <v>71</v>
      </c>
      <c r="V14" s="58"/>
      <c r="W14" s="89"/>
      <c r="X14" s="278">
        <v>5</v>
      </c>
      <c r="Y14" s="89"/>
      <c r="Z14" s="60"/>
      <c r="AA14" s="60"/>
      <c r="AB14" s="60">
        <v>33</v>
      </c>
      <c r="AC14" s="60"/>
      <c r="AD14" s="61"/>
      <c r="AE14" s="60"/>
      <c r="AF14" s="60"/>
      <c r="AG14" s="60"/>
      <c r="AH14" s="60"/>
      <c r="AI14" s="60"/>
      <c r="AJ14" s="60"/>
    </row>
    <row r="15" spans="1:36" ht="18.75" customHeight="1" thickBot="1">
      <c r="A15" s="268"/>
      <c r="B15" s="271"/>
      <c r="C15" s="274"/>
      <c r="D15" s="62" t="s">
        <v>297</v>
      </c>
      <c r="E15" s="53">
        <f>tkj!$H$5</f>
        <v>83</v>
      </c>
      <c r="F15" s="53">
        <f>tkj!$N$5</f>
        <v>89</v>
      </c>
      <c r="G15" s="53">
        <f>tkj!$T$5</f>
        <v>75</v>
      </c>
      <c r="H15" s="53">
        <f>tkj!$Z$5</f>
        <v>84</v>
      </c>
      <c r="I15" s="53">
        <f>tkj!$AD$5</f>
        <v>81</v>
      </c>
      <c r="J15" s="59"/>
      <c r="K15" s="54">
        <f>tkj!$AJ$5</f>
        <v>84</v>
      </c>
      <c r="L15" s="55"/>
      <c r="M15" s="53">
        <f>tkj!$AP$5</f>
        <v>74</v>
      </c>
      <c r="N15" s="53">
        <f>tkj!$AV$5</f>
        <v>80</v>
      </c>
      <c r="O15" s="59"/>
      <c r="P15" s="55"/>
      <c r="Q15" s="55"/>
      <c r="R15" s="54">
        <f>tkj!$BR$5</f>
        <v>80.333333333333329</v>
      </c>
      <c r="S15" s="54">
        <f>tkj!$BV$5</f>
        <v>84</v>
      </c>
      <c r="T15" s="63"/>
      <c r="U15" s="54">
        <f>tkj!$CA$5</f>
        <v>80</v>
      </c>
      <c r="V15" s="58"/>
      <c r="W15" s="90"/>
      <c r="X15" s="278">
        <v>5</v>
      </c>
      <c r="Y15" s="90"/>
      <c r="Z15" s="64"/>
      <c r="AA15" s="64"/>
      <c r="AB15" s="64">
        <v>42</v>
      </c>
      <c r="AC15" s="64"/>
      <c r="AD15" s="64"/>
      <c r="AE15" s="64"/>
      <c r="AF15" s="64"/>
      <c r="AG15" s="64"/>
      <c r="AH15" s="64"/>
      <c r="AI15" s="64"/>
      <c r="AJ15" s="64"/>
    </row>
    <row r="16" spans="1:36" ht="18.75" customHeight="1">
      <c r="A16" s="268"/>
      <c r="B16" s="271"/>
      <c r="C16" s="274"/>
      <c r="D16" s="62" t="s">
        <v>298</v>
      </c>
      <c r="E16" s="53">
        <f>tkj!$I$5</f>
        <v>92</v>
      </c>
      <c r="F16" s="53">
        <f>tkj!$O$5</f>
        <v>98</v>
      </c>
      <c r="G16" s="53">
        <f>tkj!$U$5</f>
        <v>80</v>
      </c>
      <c r="H16" s="65"/>
      <c r="I16" s="65"/>
      <c r="J16" s="59"/>
      <c r="K16" s="59"/>
      <c r="L16" s="53">
        <f>tkj!$AK$5</f>
        <v>81</v>
      </c>
      <c r="M16" s="53">
        <f>tkj!$AQ$5</f>
        <v>80</v>
      </c>
      <c r="N16" s="53">
        <f>tkj!$AW$5</f>
        <v>82</v>
      </c>
      <c r="O16" s="59"/>
      <c r="P16" s="55"/>
      <c r="Q16" s="55"/>
      <c r="R16" s="54">
        <f>tkj!$BS$5</f>
        <v>81.333333333333329</v>
      </c>
      <c r="S16" s="54">
        <f>tkj!$BW$5</f>
        <v>90</v>
      </c>
      <c r="T16" s="54"/>
      <c r="U16" s="54">
        <f>tkj!$CB$5</f>
        <v>75</v>
      </c>
      <c r="V16" s="58"/>
      <c r="W16" s="90"/>
      <c r="X16" s="278">
        <v>5</v>
      </c>
      <c r="Y16" s="90"/>
      <c r="Z16" s="64"/>
      <c r="AA16" s="64"/>
      <c r="AB16" s="64">
        <v>43</v>
      </c>
      <c r="AC16" s="64"/>
      <c r="AD16" s="64"/>
      <c r="AE16" s="64"/>
      <c r="AF16" s="64"/>
      <c r="AG16" s="64"/>
      <c r="AH16" s="64"/>
      <c r="AI16" s="64"/>
      <c r="AJ16" s="64"/>
    </row>
    <row r="17" spans="1:36" ht="18.75" customHeight="1">
      <c r="A17" s="268"/>
      <c r="B17" s="271"/>
      <c r="C17" s="274"/>
      <c r="D17" s="66" t="s">
        <v>299</v>
      </c>
      <c r="E17" s="67">
        <f>AVERAGE(E12:E16)</f>
        <v>87</v>
      </c>
      <c r="F17" s="67">
        <f>AVERAGE(F12:F16)</f>
        <v>84</v>
      </c>
      <c r="G17" s="67">
        <f>AVERAGE(G12:G16)</f>
        <v>78.8</v>
      </c>
      <c r="H17" s="68"/>
      <c r="I17" s="68"/>
      <c r="J17" s="69"/>
      <c r="K17" s="69"/>
      <c r="L17" s="67">
        <f>AVERAGE(L12:L16)</f>
        <v>81</v>
      </c>
      <c r="M17" s="67">
        <f>AVERAGE(M12:M16)</f>
        <v>74.400000000000006</v>
      </c>
      <c r="N17" s="67">
        <f>AVERAGE(N12:N16)</f>
        <v>80.2</v>
      </c>
      <c r="O17" s="69"/>
      <c r="P17" s="63"/>
      <c r="Q17" s="63"/>
      <c r="R17" s="84">
        <f>AVERAGE(R14:R16)</f>
        <v>81.333333333333329</v>
      </c>
      <c r="S17" s="84">
        <f>AVERAGE(S14:S16)</f>
        <v>87</v>
      </c>
      <c r="T17" s="63"/>
      <c r="U17" s="84">
        <f>AVERAGE(U12:U16)</f>
        <v>75.333333333333329</v>
      </c>
      <c r="V17" s="58"/>
      <c r="W17" s="90"/>
      <c r="X17" s="278">
        <v>5</v>
      </c>
      <c r="Y17" s="90"/>
      <c r="Z17" s="64"/>
      <c r="AA17" s="64"/>
      <c r="AB17" s="64">
        <v>29</v>
      </c>
      <c r="AC17" s="64"/>
      <c r="AD17" s="64"/>
      <c r="AE17" s="64"/>
      <c r="AF17" s="64"/>
      <c r="AG17" s="64"/>
      <c r="AH17" s="64"/>
      <c r="AI17" s="64"/>
      <c r="AJ17" s="64"/>
    </row>
    <row r="18" spans="1:36" ht="18.75" customHeight="1">
      <c r="A18" s="268"/>
      <c r="B18" s="271"/>
      <c r="C18" s="274"/>
      <c r="D18" s="70" t="s">
        <v>300</v>
      </c>
      <c r="E18" s="71">
        <f>tkj!$J$5</f>
        <v>91</v>
      </c>
      <c r="F18" s="71">
        <f>tkj!$P$5</f>
        <v>91</v>
      </c>
      <c r="G18" s="71">
        <f>tkj!$V$5</f>
        <v>87</v>
      </c>
      <c r="H18" s="72"/>
      <c r="I18" s="72"/>
      <c r="J18" s="73"/>
      <c r="K18" s="73"/>
      <c r="L18" s="71">
        <f>tkj!$AL$5</f>
        <v>87</v>
      </c>
      <c r="M18" s="71">
        <f>tkj!$AR$5</f>
        <v>90</v>
      </c>
      <c r="N18" s="71">
        <f>tkj!$AX$5</f>
        <v>90</v>
      </c>
      <c r="O18" s="73"/>
      <c r="P18" s="74"/>
      <c r="Q18" s="74"/>
      <c r="R18" s="85">
        <f>tkj!$BT$5</f>
        <v>94</v>
      </c>
      <c r="S18" s="85">
        <f>tkj!$BX$5</f>
        <v>94</v>
      </c>
      <c r="T18" s="85">
        <f>tkj!$BY$5</f>
        <v>91</v>
      </c>
      <c r="U18" s="75">
        <f>tkj!$CC$5</f>
        <v>90</v>
      </c>
      <c r="V18" s="58"/>
      <c r="W18" s="90"/>
      <c r="X18" s="278">
        <v>5</v>
      </c>
      <c r="Y18" s="90"/>
      <c r="Z18" s="64"/>
      <c r="AA18" s="64"/>
      <c r="AB18" s="64">
        <v>58</v>
      </c>
      <c r="AC18" s="64"/>
      <c r="AD18" s="64"/>
      <c r="AE18" s="64"/>
      <c r="AF18" s="64"/>
      <c r="AG18" s="64"/>
      <c r="AH18" s="64"/>
      <c r="AI18" s="64"/>
      <c r="AJ18" s="64"/>
    </row>
    <row r="19" spans="1:36" ht="18.75" customHeight="1">
      <c r="A19" s="268"/>
      <c r="B19" s="271"/>
      <c r="C19" s="274"/>
      <c r="D19" s="76" t="s">
        <v>301</v>
      </c>
      <c r="E19" s="77">
        <f>tkj!$CD$5</f>
        <v>88</v>
      </c>
      <c r="F19" s="77">
        <f>tkj!$CE$5</f>
        <v>82</v>
      </c>
      <c r="G19" s="77">
        <f>tkj!$CF$5</f>
        <v>87</v>
      </c>
      <c r="H19" s="72"/>
      <c r="I19" s="72"/>
      <c r="J19" s="73"/>
      <c r="K19" s="73"/>
      <c r="L19" s="77">
        <f>tkj!$CG$5</f>
        <v>84</v>
      </c>
      <c r="M19" s="77">
        <f>tkj!$CH$5</f>
        <v>81</v>
      </c>
      <c r="N19" s="77">
        <f>tkj!$CI$5</f>
        <v>82</v>
      </c>
      <c r="O19" s="73"/>
      <c r="P19" s="74"/>
      <c r="Q19" s="74"/>
      <c r="R19" s="86">
        <f>tkj!$CL$5</f>
        <v>95</v>
      </c>
      <c r="S19" s="86">
        <f>tkj!$CK$5</f>
        <v>85</v>
      </c>
      <c r="T19" s="74"/>
      <c r="U19" s="86">
        <f>tkj!$CJ$5</f>
        <v>80</v>
      </c>
      <c r="V19" s="58"/>
      <c r="W19" s="90"/>
      <c r="X19" s="278">
        <v>5</v>
      </c>
      <c r="Y19" s="90"/>
      <c r="Z19" s="64"/>
      <c r="AA19" s="64"/>
      <c r="AB19" s="64">
        <v>34</v>
      </c>
      <c r="AC19" s="64"/>
      <c r="AD19" s="64"/>
      <c r="AE19" s="64"/>
      <c r="AF19" s="64"/>
      <c r="AG19" s="64"/>
      <c r="AH19" s="64"/>
      <c r="AI19" s="64"/>
      <c r="AJ19" s="64"/>
    </row>
    <row r="20" spans="1:36" ht="18.75" customHeight="1" thickBot="1">
      <c r="A20" s="269"/>
      <c r="B20" s="272"/>
      <c r="C20" s="275"/>
      <c r="D20" s="78" t="s">
        <v>302</v>
      </c>
      <c r="E20" s="79">
        <f>(E17*4+E18*3+E19*3)/10</f>
        <v>88.5</v>
      </c>
      <c r="F20" s="79">
        <f t="shared" ref="F20:U20" si="0">(F17*4+F18*3+F19*3)/10</f>
        <v>85.5</v>
      </c>
      <c r="G20" s="79">
        <f t="shared" si="0"/>
        <v>83.72</v>
      </c>
      <c r="H20" s="79">
        <f>AVERAGE(H12:H15)</f>
        <v>82.5</v>
      </c>
      <c r="I20" s="79">
        <f>AVERAGE(I12:I15)</f>
        <v>79.5</v>
      </c>
      <c r="J20" s="79">
        <f>AVERAGE(J12:J13)</f>
        <v>82.5</v>
      </c>
      <c r="K20" s="79">
        <f>AVERAGE(K12:K15)</f>
        <v>77.75</v>
      </c>
      <c r="L20" s="79">
        <f>(L17*4+L18*3+L19*3)/10</f>
        <v>83.7</v>
      </c>
      <c r="M20" s="79">
        <f>(M17*4+M18*3+M19*3)/10</f>
        <v>81.06</v>
      </c>
      <c r="N20" s="79">
        <f>(N17*4+N18*3+N19*3)/10</f>
        <v>83.679999999999993</v>
      </c>
      <c r="O20" s="79">
        <f>AVERAGE(O12:O13)</f>
        <v>79</v>
      </c>
      <c r="P20" s="79">
        <f>AVERAGE(P12:P13)</f>
        <v>75</v>
      </c>
      <c r="Q20" s="79">
        <f>AVERAGE(Q12:Q13)</f>
        <v>78.5</v>
      </c>
      <c r="R20" s="79">
        <f>(R17*4+R18*3+R19*3)/10</f>
        <v>89.23333333333332</v>
      </c>
      <c r="S20" s="79">
        <f>(S17*4+S18*3+S19*3)/10</f>
        <v>88.5</v>
      </c>
      <c r="T20" s="79">
        <f>T18</f>
        <v>91</v>
      </c>
      <c r="U20" s="79">
        <f t="shared" si="0"/>
        <v>81.133333333333326</v>
      </c>
      <c r="V20" s="80">
        <f>AVERAGE(E20:U20)</f>
        <v>82.986862745098037</v>
      </c>
      <c r="W20" s="90"/>
      <c r="X20" s="278">
        <v>5</v>
      </c>
      <c r="Y20" s="90"/>
      <c r="Z20" s="64"/>
      <c r="AA20" s="64"/>
      <c r="AB20" s="64">
        <v>32</v>
      </c>
      <c r="AC20" s="64"/>
      <c r="AD20" s="64"/>
      <c r="AE20" s="64"/>
      <c r="AF20" s="64"/>
      <c r="AG20" s="64"/>
      <c r="AH20" s="64"/>
      <c r="AI20" s="64"/>
      <c r="AJ20" s="64"/>
    </row>
    <row r="21" spans="1:36" ht="18.75" customHeight="1" thickTop="1" thickBot="1">
      <c r="A21" s="268">
        <v>2</v>
      </c>
      <c r="B21" s="270" t="s">
        <v>313</v>
      </c>
      <c r="C21" s="273" t="s">
        <v>55</v>
      </c>
      <c r="D21" s="52" t="s">
        <v>294</v>
      </c>
      <c r="E21" s="53">
        <f>tkj!$E$6</f>
        <v>80</v>
      </c>
      <c r="F21" s="53">
        <f>tkj!$K$6</f>
        <v>80</v>
      </c>
      <c r="G21" s="53">
        <f>tkj!$Q$6</f>
        <v>87</v>
      </c>
      <c r="H21" s="53">
        <f>tkj!$W$6</f>
        <v>83</v>
      </c>
      <c r="I21" s="53">
        <f>tkj!$AA$6</f>
        <v>77</v>
      </c>
      <c r="J21" s="53">
        <f>tkj!$AE$6</f>
        <v>82</v>
      </c>
      <c r="K21" s="54">
        <f>tkj!$AG$6</f>
        <v>75</v>
      </c>
      <c r="L21" s="55"/>
      <c r="M21" s="53">
        <f>tkj!$AM$6</f>
        <v>76</v>
      </c>
      <c r="N21" s="53">
        <f>tkj!$AS$6</f>
        <v>77</v>
      </c>
      <c r="O21" s="53">
        <f>tkj!$AY$6</f>
        <v>79</v>
      </c>
      <c r="P21" s="54">
        <f>tkj!$BA$6</f>
        <v>75</v>
      </c>
      <c r="Q21" s="54">
        <f>tkj!$BC$6</f>
        <v>74</v>
      </c>
      <c r="R21" s="55"/>
      <c r="S21" s="55"/>
      <c r="T21" s="55"/>
      <c r="U21" s="55"/>
      <c r="V21" s="56"/>
      <c r="W21" s="90"/>
      <c r="X21" s="278">
        <v>6</v>
      </c>
      <c r="Y21" s="90"/>
      <c r="Z21" s="64"/>
      <c r="AA21" s="64"/>
      <c r="AB21" s="64">
        <v>14</v>
      </c>
      <c r="AC21" s="64"/>
      <c r="AD21" s="64"/>
      <c r="AE21" s="64"/>
      <c r="AF21" s="64"/>
      <c r="AG21" s="64"/>
      <c r="AH21" s="64"/>
      <c r="AI21" s="64"/>
      <c r="AJ21" s="64"/>
    </row>
    <row r="22" spans="1:36" ht="18.75" customHeight="1" thickBot="1">
      <c r="A22" s="268">
        <v>2</v>
      </c>
      <c r="B22" s="271"/>
      <c r="C22" s="274"/>
      <c r="D22" s="52" t="s">
        <v>295</v>
      </c>
      <c r="E22" s="53">
        <f>tkj!$F$6</f>
        <v>84</v>
      </c>
      <c r="F22" s="53">
        <f>tkj!$L$6</f>
        <v>77</v>
      </c>
      <c r="G22" s="53">
        <f>tkj!$R$6</f>
        <v>89</v>
      </c>
      <c r="H22" s="53">
        <f>tkj!$X$6</f>
        <v>86</v>
      </c>
      <c r="I22" s="53">
        <f>tkj!$AB$6</f>
        <v>82</v>
      </c>
      <c r="J22" s="53">
        <f>tkj!$AF$6</f>
        <v>82</v>
      </c>
      <c r="K22" s="54">
        <f>tkj!$AH$6</f>
        <v>77</v>
      </c>
      <c r="L22" s="55"/>
      <c r="M22" s="53">
        <f>tkj!$AN$6</f>
        <v>78</v>
      </c>
      <c r="N22" s="53">
        <f>tkj!$AT$6</f>
        <v>78</v>
      </c>
      <c r="O22" s="53">
        <f>tkj!$AZ$6</f>
        <v>82</v>
      </c>
      <c r="P22" s="54">
        <f>tkj!$BB$6</f>
        <v>82</v>
      </c>
      <c r="Q22" s="54">
        <f>tkj!$BD$6</f>
        <v>82</v>
      </c>
      <c r="R22" s="55"/>
      <c r="S22" s="55"/>
      <c r="T22" s="55"/>
      <c r="U22" s="55"/>
      <c r="V22" s="58"/>
      <c r="W22" s="90"/>
      <c r="X22" s="278">
        <v>6</v>
      </c>
      <c r="Y22" s="90"/>
      <c r="Z22" s="64"/>
      <c r="AA22" s="64"/>
      <c r="AB22" s="64"/>
      <c r="AC22" s="64"/>
      <c r="AD22" s="64"/>
      <c r="AE22" s="64"/>
      <c r="AF22" s="64"/>
      <c r="AG22" s="64"/>
      <c r="AH22" s="64"/>
      <c r="AI22" s="64"/>
      <c r="AJ22" s="64"/>
    </row>
    <row r="23" spans="1:36" ht="18.75" customHeight="1" thickBot="1">
      <c r="A23" s="268">
        <v>2</v>
      </c>
      <c r="B23" s="271"/>
      <c r="C23" s="274"/>
      <c r="D23" s="52" t="s">
        <v>296</v>
      </c>
      <c r="E23" s="53">
        <f>tkj!$G$6</f>
        <v>80</v>
      </c>
      <c r="F23" s="53">
        <f>tkj!$M$6</f>
        <v>89</v>
      </c>
      <c r="G23" s="53">
        <f>tkj!$S$6</f>
        <v>83</v>
      </c>
      <c r="H23" s="53">
        <f>tkj!$Y$6</f>
        <v>84</v>
      </c>
      <c r="I23" s="53">
        <f>tkj!$AC$6</f>
        <v>72</v>
      </c>
      <c r="J23" s="59"/>
      <c r="K23" s="54">
        <f>tkj!$AI$6</f>
        <v>70</v>
      </c>
      <c r="L23" s="55"/>
      <c r="M23" s="53">
        <f>tkj!$AO$6</f>
        <v>74</v>
      </c>
      <c r="N23" s="53">
        <f>tkj!$AU$6</f>
        <v>78</v>
      </c>
      <c r="O23" s="59"/>
      <c r="P23" s="55"/>
      <c r="Q23" s="55"/>
      <c r="R23" s="54">
        <f>tkj!$BQ$6</f>
        <v>81.333333333333329</v>
      </c>
      <c r="S23" s="54">
        <f>tkj!$BU$6</f>
        <v>86</v>
      </c>
      <c r="T23" s="55"/>
      <c r="U23" s="54">
        <f>tkj!$BZ$6</f>
        <v>75</v>
      </c>
      <c r="V23" s="58"/>
      <c r="W23" s="90"/>
      <c r="X23" s="278">
        <v>6</v>
      </c>
      <c r="Y23" s="90"/>
      <c r="Z23" s="64"/>
      <c r="AA23" s="64"/>
      <c r="AB23" s="64"/>
      <c r="AC23" s="64"/>
      <c r="AD23" s="64"/>
      <c r="AE23" s="64"/>
      <c r="AF23" s="64"/>
      <c r="AG23" s="64"/>
      <c r="AH23" s="64"/>
      <c r="AI23" s="64"/>
      <c r="AJ23" s="64"/>
    </row>
    <row r="24" spans="1:36" ht="18.75" customHeight="1" thickBot="1">
      <c r="A24" s="268">
        <v>2</v>
      </c>
      <c r="B24" s="271"/>
      <c r="C24" s="274"/>
      <c r="D24" s="62" t="s">
        <v>297</v>
      </c>
      <c r="E24" s="53">
        <f>tkj!$H$6</f>
        <v>80</v>
      </c>
      <c r="F24" s="53">
        <f>tkj!$N$6</f>
        <v>95</v>
      </c>
      <c r="G24" s="53">
        <f>tkj!$T$6</f>
        <v>84</v>
      </c>
      <c r="H24" s="53">
        <f>tkj!$Z$6</f>
        <v>86</v>
      </c>
      <c r="I24" s="53">
        <f>tkj!$AD$6</f>
        <v>78</v>
      </c>
      <c r="J24" s="59"/>
      <c r="K24" s="54">
        <f>tkj!$AJ$6</f>
        <v>80</v>
      </c>
      <c r="L24" s="55"/>
      <c r="M24" s="53">
        <f>tkj!$AP$6</f>
        <v>77</v>
      </c>
      <c r="N24" s="53">
        <f>tkj!$AV$6</f>
        <v>83</v>
      </c>
      <c r="O24" s="59"/>
      <c r="P24" s="55"/>
      <c r="Q24" s="55"/>
      <c r="R24" s="54">
        <f>tkj!$BR$6</f>
        <v>81</v>
      </c>
      <c r="S24" s="54">
        <f>tkj!$BV$6</f>
        <v>83</v>
      </c>
      <c r="T24" s="63"/>
      <c r="U24" s="54">
        <f>tkj!$CA$6</f>
        <v>84</v>
      </c>
      <c r="V24" s="58"/>
      <c r="W24" s="90"/>
      <c r="X24" s="278">
        <v>6</v>
      </c>
      <c r="Y24" s="90"/>
      <c r="Z24" s="64"/>
      <c r="AA24" s="64"/>
      <c r="AB24" s="64"/>
      <c r="AC24" s="64"/>
      <c r="AD24" s="64"/>
      <c r="AE24" s="64"/>
      <c r="AF24" s="64"/>
      <c r="AG24" s="64"/>
      <c r="AH24" s="64"/>
      <c r="AI24" s="64"/>
      <c r="AJ24" s="64"/>
    </row>
    <row r="25" spans="1:36" ht="18.75" customHeight="1">
      <c r="A25" s="268">
        <v>2</v>
      </c>
      <c r="B25" s="271"/>
      <c r="C25" s="274"/>
      <c r="D25" s="62" t="s">
        <v>298</v>
      </c>
      <c r="E25" s="53">
        <f>tkj!$I$6</f>
        <v>91</v>
      </c>
      <c r="F25" s="53">
        <f>tkj!$O$6</f>
        <v>95</v>
      </c>
      <c r="G25" s="53">
        <f>tkj!$U$6</f>
        <v>83</v>
      </c>
      <c r="H25" s="65"/>
      <c r="I25" s="65"/>
      <c r="J25" s="59"/>
      <c r="K25" s="59"/>
      <c r="L25" s="53">
        <f>tkj!$AK$6</f>
        <v>80</v>
      </c>
      <c r="M25" s="53">
        <f>tkj!$AQ$6</f>
        <v>79</v>
      </c>
      <c r="N25" s="53">
        <f>tkj!$AW$6</f>
        <v>78</v>
      </c>
      <c r="O25" s="59"/>
      <c r="P25" s="55"/>
      <c r="Q25" s="55"/>
      <c r="R25" s="54">
        <f>tkj!$BS$6</f>
        <v>81</v>
      </c>
      <c r="S25" s="54">
        <f>tkj!$BW$6</f>
        <v>90</v>
      </c>
      <c r="T25" s="54"/>
      <c r="U25" s="54">
        <f>tkj!$CB$6</f>
        <v>86</v>
      </c>
      <c r="V25" s="58"/>
      <c r="W25" s="90"/>
      <c r="X25" s="278">
        <v>6</v>
      </c>
      <c r="Y25" s="90"/>
      <c r="Z25" s="64"/>
      <c r="AA25" s="64"/>
      <c r="AB25" s="64"/>
      <c r="AC25" s="64"/>
      <c r="AD25" s="64"/>
      <c r="AE25" s="64"/>
      <c r="AF25" s="64"/>
      <c r="AG25" s="64"/>
      <c r="AH25" s="64"/>
      <c r="AI25" s="64"/>
      <c r="AJ25" s="64"/>
    </row>
    <row r="26" spans="1:36" ht="18.75" customHeight="1">
      <c r="A26" s="268">
        <v>2</v>
      </c>
      <c r="B26" s="271"/>
      <c r="C26" s="274"/>
      <c r="D26" s="66" t="s">
        <v>299</v>
      </c>
      <c r="E26" s="67">
        <f>AVERAGE(E21:E25)</f>
        <v>83</v>
      </c>
      <c r="F26" s="67">
        <f>AVERAGE(F21:F25)</f>
        <v>87.2</v>
      </c>
      <c r="G26" s="67">
        <f>AVERAGE(G21:G25)</f>
        <v>85.2</v>
      </c>
      <c r="H26" s="68"/>
      <c r="I26" s="68"/>
      <c r="J26" s="69"/>
      <c r="K26" s="69"/>
      <c r="L26" s="67">
        <f>AVERAGE(L21:L25)</f>
        <v>80</v>
      </c>
      <c r="M26" s="67">
        <f>AVERAGE(M21:M25)</f>
        <v>76.8</v>
      </c>
      <c r="N26" s="67">
        <f>AVERAGE(N21:N25)</f>
        <v>78.8</v>
      </c>
      <c r="O26" s="69"/>
      <c r="P26" s="63"/>
      <c r="Q26" s="63"/>
      <c r="R26" s="84">
        <f>AVERAGE(R23:R25)</f>
        <v>81.1111111111111</v>
      </c>
      <c r="S26" s="84">
        <f>AVERAGE(S23:S25)</f>
        <v>86.333333333333329</v>
      </c>
      <c r="T26" s="63"/>
      <c r="U26" s="84">
        <f>AVERAGE(U21:U25)</f>
        <v>81.666666666666671</v>
      </c>
      <c r="V26" s="58"/>
      <c r="W26" s="90"/>
      <c r="X26" s="278">
        <v>6</v>
      </c>
      <c r="Y26" s="90"/>
      <c r="Z26" s="64"/>
      <c r="AA26" s="64"/>
      <c r="AB26" s="64"/>
      <c r="AC26" s="64"/>
      <c r="AD26" s="64"/>
      <c r="AE26" s="64"/>
      <c r="AF26" s="64"/>
      <c r="AG26" s="64"/>
      <c r="AH26" s="64"/>
      <c r="AI26" s="64"/>
      <c r="AJ26" s="64"/>
    </row>
    <row r="27" spans="1:36" ht="18.75" customHeight="1">
      <c r="A27" s="268">
        <v>2</v>
      </c>
      <c r="B27" s="271"/>
      <c r="C27" s="274"/>
      <c r="D27" s="70" t="s">
        <v>300</v>
      </c>
      <c r="E27" s="71">
        <f>tkj!$J$6</f>
        <v>83</v>
      </c>
      <c r="F27" s="71">
        <f>tkj!$P$6</f>
        <v>78</v>
      </c>
      <c r="G27" s="71">
        <f>tkj!$V$6</f>
        <v>80</v>
      </c>
      <c r="H27" s="72"/>
      <c r="I27" s="72"/>
      <c r="J27" s="73"/>
      <c r="K27" s="73"/>
      <c r="L27" s="71">
        <f>tkj!$AL$6</f>
        <v>80</v>
      </c>
      <c r="M27" s="71">
        <f>tkj!$AR$6</f>
        <v>79</v>
      </c>
      <c r="N27" s="71">
        <f>tkj!$AX$6</f>
        <v>79</v>
      </c>
      <c r="O27" s="73"/>
      <c r="P27" s="74"/>
      <c r="Q27" s="74"/>
      <c r="R27" s="85">
        <f>tkj!$BT$6</f>
        <v>86</v>
      </c>
      <c r="S27" s="85">
        <f>tkj!$BX$6</f>
        <v>86</v>
      </c>
      <c r="T27" s="85">
        <f>tkj!$BY$6</f>
        <v>81</v>
      </c>
      <c r="U27" s="75">
        <f>tkj!$CC$6</f>
        <v>79</v>
      </c>
      <c r="V27" s="58"/>
      <c r="W27" s="90"/>
      <c r="X27" s="278">
        <v>6</v>
      </c>
      <c r="Y27" s="90"/>
      <c r="Z27" s="64"/>
      <c r="AA27" s="64"/>
      <c r="AB27" s="64"/>
      <c r="AC27" s="64"/>
      <c r="AD27" s="64"/>
      <c r="AE27" s="64"/>
      <c r="AF27" s="64"/>
      <c r="AG27" s="64"/>
      <c r="AH27" s="64"/>
      <c r="AI27" s="64"/>
      <c r="AJ27" s="64"/>
    </row>
    <row r="28" spans="1:36" ht="18.75" customHeight="1">
      <c r="A28" s="268">
        <v>2</v>
      </c>
      <c r="B28" s="271"/>
      <c r="C28" s="274"/>
      <c r="D28" s="76" t="s">
        <v>301</v>
      </c>
      <c r="E28" s="77">
        <f>tkj!$CD$6</f>
        <v>89</v>
      </c>
      <c r="F28" s="77">
        <f>tkj!$CE$6</f>
        <v>80</v>
      </c>
      <c r="G28" s="77">
        <f>tkj!$CF$6</f>
        <v>82</v>
      </c>
      <c r="H28" s="72"/>
      <c r="I28" s="72"/>
      <c r="J28" s="73"/>
      <c r="K28" s="73"/>
      <c r="L28" s="77">
        <f>tkj!$CG$6</f>
        <v>95</v>
      </c>
      <c r="M28" s="77">
        <f>tkj!$CH$6</f>
        <v>79</v>
      </c>
      <c r="N28" s="77">
        <f>tkj!$CI$6</f>
        <v>84</v>
      </c>
      <c r="O28" s="73"/>
      <c r="P28" s="74"/>
      <c r="Q28" s="74"/>
      <c r="R28" s="86">
        <f>tkj!$CL$6</f>
        <v>95</v>
      </c>
      <c r="S28" s="86">
        <f>tkj!$CK$6</f>
        <v>87</v>
      </c>
      <c r="T28" s="74"/>
      <c r="U28" s="86">
        <f>tkj!$CJ$6</f>
        <v>80</v>
      </c>
      <c r="V28" s="58"/>
      <c r="W28" s="90"/>
      <c r="X28" s="278">
        <v>6</v>
      </c>
      <c r="Y28" s="90"/>
      <c r="Z28" s="64"/>
      <c r="AA28" s="64"/>
      <c r="AB28" s="64"/>
      <c r="AC28" s="64"/>
      <c r="AD28" s="64"/>
      <c r="AE28" s="64"/>
      <c r="AF28" s="64"/>
      <c r="AG28" s="64"/>
      <c r="AH28" s="64"/>
      <c r="AI28" s="64"/>
      <c r="AJ28" s="64"/>
    </row>
    <row r="29" spans="1:36" ht="18.75" customHeight="1" thickBot="1">
      <c r="A29" s="269">
        <v>2</v>
      </c>
      <c r="B29" s="272"/>
      <c r="C29" s="275"/>
      <c r="D29" s="78" t="s">
        <v>302</v>
      </c>
      <c r="E29" s="79">
        <f>(E26*4+E27*3+E28*3)/10</f>
        <v>84.8</v>
      </c>
      <c r="F29" s="79">
        <f t="shared" ref="F29:G29" si="1">(F26*4+F27*3+F28*3)/10</f>
        <v>82.28</v>
      </c>
      <c r="G29" s="79">
        <f t="shared" si="1"/>
        <v>82.679999999999993</v>
      </c>
      <c r="H29" s="79">
        <f>AVERAGE(H21:H24)</f>
        <v>84.75</v>
      </c>
      <c r="I29" s="79">
        <f>AVERAGE(I21:I24)</f>
        <v>77.25</v>
      </c>
      <c r="J29" s="79">
        <f>AVERAGE(J21:J22)</f>
        <v>82</v>
      </c>
      <c r="K29" s="79">
        <f>AVERAGE(K21:K24)</f>
        <v>75.5</v>
      </c>
      <c r="L29" s="79">
        <f>(L26*4+L27*3+L28*3)/10</f>
        <v>84.5</v>
      </c>
      <c r="M29" s="79">
        <f>(M26*4+M27*3+M28*3)/10</f>
        <v>78.12</v>
      </c>
      <c r="N29" s="79">
        <f>(N26*4+N27*3+N28*3)/10</f>
        <v>80.42</v>
      </c>
      <c r="O29" s="79">
        <f>AVERAGE(O21:O22)</f>
        <v>80.5</v>
      </c>
      <c r="P29" s="79">
        <f>AVERAGE(P21:P22)</f>
        <v>78.5</v>
      </c>
      <c r="Q29" s="79">
        <f>AVERAGE(Q21:Q22)</f>
        <v>78</v>
      </c>
      <c r="R29" s="79">
        <f>(R26*4+R27*3+R28*3)/10</f>
        <v>86.74444444444444</v>
      </c>
      <c r="S29" s="79">
        <f>(S26*4+S27*3+S28*3)/10</f>
        <v>86.433333333333323</v>
      </c>
      <c r="T29" s="79">
        <f>T27</f>
        <v>81</v>
      </c>
      <c r="U29" s="79">
        <f t="shared" ref="U29" si="2">(U26*4+U27*3+U28*3)/10</f>
        <v>80.366666666666674</v>
      </c>
      <c r="V29" s="80">
        <f>AVERAGE(E29:U29)</f>
        <v>81.402614379084966</v>
      </c>
      <c r="W29" s="90"/>
      <c r="X29" s="278">
        <v>6</v>
      </c>
      <c r="Y29" s="90"/>
      <c r="Z29" s="64"/>
      <c r="AA29" s="64"/>
      <c r="AB29" s="64"/>
      <c r="AC29" s="64"/>
      <c r="AD29" s="64"/>
      <c r="AE29" s="64"/>
      <c r="AF29" s="64"/>
      <c r="AG29" s="64"/>
      <c r="AH29" s="64"/>
      <c r="AI29" s="64"/>
      <c r="AJ29" s="64"/>
    </row>
    <row r="30" spans="1:36" ht="18.75" customHeight="1" thickTop="1" thickBot="1">
      <c r="A30" s="268">
        <v>3</v>
      </c>
      <c r="B30" s="270" t="s">
        <v>314</v>
      </c>
      <c r="C30" s="273" t="s">
        <v>57</v>
      </c>
      <c r="D30" s="52" t="s">
        <v>294</v>
      </c>
      <c r="E30" s="53">
        <f>tkj!$E$7</f>
        <v>84</v>
      </c>
      <c r="F30" s="53">
        <f>tkj!$K$7</f>
        <v>80</v>
      </c>
      <c r="G30" s="53">
        <f>tkj!$Q$7</f>
        <v>86</v>
      </c>
      <c r="H30" s="53">
        <f>tkj!$W$7</f>
        <v>83</v>
      </c>
      <c r="I30" s="53">
        <f>tkj!$AA$7</f>
        <v>77</v>
      </c>
      <c r="J30" s="53">
        <f>tkj!$AE$7</f>
        <v>83</v>
      </c>
      <c r="K30" s="54">
        <f>tkj!$AG$7</f>
        <v>76</v>
      </c>
      <c r="L30" s="55"/>
      <c r="M30" s="53">
        <f>tkj!$AM$7</f>
        <v>70</v>
      </c>
      <c r="N30" s="53">
        <f>tkj!$AS$7</f>
        <v>75</v>
      </c>
      <c r="O30" s="53">
        <f>tkj!$AY$7</f>
        <v>75</v>
      </c>
      <c r="P30" s="54">
        <f>tkj!$BA$7</f>
        <v>74</v>
      </c>
      <c r="Q30" s="54">
        <f>tkj!$BC$7</f>
        <v>78</v>
      </c>
      <c r="R30" s="55"/>
      <c r="S30" s="55"/>
      <c r="T30" s="55"/>
      <c r="U30" s="55"/>
      <c r="V30" s="56"/>
      <c r="W30" s="90"/>
      <c r="X30" s="278">
        <v>7</v>
      </c>
      <c r="Y30" s="90"/>
      <c r="Z30" s="64"/>
      <c r="AA30" s="64"/>
      <c r="AB30" s="64"/>
      <c r="AC30" s="64"/>
      <c r="AD30" s="64"/>
      <c r="AE30" s="64"/>
      <c r="AF30" s="64"/>
      <c r="AG30" s="64"/>
      <c r="AH30" s="64"/>
      <c r="AI30" s="64"/>
      <c r="AJ30" s="64"/>
    </row>
    <row r="31" spans="1:36" ht="18.75" customHeight="1" thickBot="1">
      <c r="A31" s="268">
        <v>3</v>
      </c>
      <c r="B31" s="271"/>
      <c r="C31" s="274"/>
      <c r="D31" s="52" t="s">
        <v>295</v>
      </c>
      <c r="E31" s="53">
        <f>tkj!$F$7</f>
        <v>82</v>
      </c>
      <c r="F31" s="53">
        <f>tkj!$L$7</f>
        <v>82</v>
      </c>
      <c r="G31" s="53">
        <f>tkj!$R$7</f>
        <v>70</v>
      </c>
      <c r="H31" s="53">
        <f>tkj!$X$7</f>
        <v>83</v>
      </c>
      <c r="I31" s="53">
        <f>tkj!$AB$7</f>
        <v>79</v>
      </c>
      <c r="J31" s="53">
        <f>tkj!$AF$7</f>
        <v>82</v>
      </c>
      <c r="K31" s="54">
        <f>tkj!$AH$7</f>
        <v>75</v>
      </c>
      <c r="L31" s="55"/>
      <c r="M31" s="53">
        <f>tkj!$AN$7</f>
        <v>72</v>
      </c>
      <c r="N31" s="53">
        <f>tkj!$AT$7</f>
        <v>80</v>
      </c>
      <c r="O31" s="53">
        <f>tkj!$AZ$7</f>
        <v>81</v>
      </c>
      <c r="P31" s="54">
        <f>tkj!$BB$7</f>
        <v>86</v>
      </c>
      <c r="Q31" s="54">
        <f>tkj!$BD$7</f>
        <v>77</v>
      </c>
      <c r="R31" s="55"/>
      <c r="S31" s="55"/>
      <c r="T31" s="55"/>
      <c r="U31" s="55"/>
      <c r="V31" s="58"/>
      <c r="W31" s="90"/>
      <c r="X31" s="278">
        <v>7</v>
      </c>
      <c r="Y31" s="90"/>
      <c r="Z31" s="64"/>
      <c r="AA31" s="64"/>
      <c r="AB31" s="64"/>
      <c r="AC31" s="64"/>
      <c r="AD31" s="64"/>
      <c r="AE31" s="64"/>
      <c r="AF31" s="64"/>
      <c r="AG31" s="64"/>
      <c r="AH31" s="64"/>
      <c r="AI31" s="64"/>
      <c r="AJ31" s="64"/>
    </row>
    <row r="32" spans="1:36" ht="18.75" customHeight="1" thickBot="1">
      <c r="A32" s="268">
        <v>3</v>
      </c>
      <c r="B32" s="271"/>
      <c r="C32" s="274"/>
      <c r="D32" s="52" t="s">
        <v>296</v>
      </c>
      <c r="E32" s="53">
        <f>tkj!$G$7</f>
        <v>88</v>
      </c>
      <c r="F32" s="53">
        <f>tkj!$M$7</f>
        <v>83</v>
      </c>
      <c r="G32" s="53">
        <f>tkj!$S$7</f>
        <v>80</v>
      </c>
      <c r="H32" s="53">
        <f>tkj!$Y$7</f>
        <v>80</v>
      </c>
      <c r="I32" s="53">
        <f>tkj!$AC$7</f>
        <v>82</v>
      </c>
      <c r="J32" s="59"/>
      <c r="K32" s="54">
        <f>tkj!$AI$7</f>
        <v>73</v>
      </c>
      <c r="L32" s="55"/>
      <c r="M32" s="53">
        <f>tkj!$AO$7</f>
        <v>73</v>
      </c>
      <c r="N32" s="53">
        <f>tkj!$AU$7</f>
        <v>82</v>
      </c>
      <c r="O32" s="59"/>
      <c r="P32" s="55"/>
      <c r="Q32" s="55"/>
      <c r="R32" s="54">
        <f>tkj!$BQ$7</f>
        <v>79.666666666666671</v>
      </c>
      <c r="S32" s="54">
        <f>tkj!$BU$7</f>
        <v>86</v>
      </c>
      <c r="T32" s="55"/>
      <c r="U32" s="54">
        <f>tkj!$BZ$7</f>
        <v>74</v>
      </c>
      <c r="V32" s="58"/>
      <c r="W32" s="90"/>
      <c r="X32" s="278">
        <v>7</v>
      </c>
      <c r="Y32" s="90"/>
      <c r="Z32" s="64"/>
      <c r="AA32" s="64"/>
      <c r="AB32" s="64"/>
      <c r="AC32" s="64"/>
      <c r="AD32" s="64"/>
      <c r="AE32" s="64"/>
      <c r="AF32" s="64"/>
      <c r="AG32" s="64"/>
      <c r="AH32" s="64"/>
      <c r="AI32" s="64"/>
      <c r="AJ32" s="64"/>
    </row>
    <row r="33" spans="1:36" ht="18.75" customHeight="1" thickBot="1">
      <c r="A33" s="268">
        <v>3</v>
      </c>
      <c r="B33" s="271"/>
      <c r="C33" s="274"/>
      <c r="D33" s="62" t="s">
        <v>297</v>
      </c>
      <c r="E33" s="53">
        <f>tkj!$H$7</f>
        <v>84</v>
      </c>
      <c r="F33" s="53">
        <f>tkj!$N$7</f>
        <v>89</v>
      </c>
      <c r="G33" s="53">
        <f>tkj!$T$7</f>
        <v>79</v>
      </c>
      <c r="H33" s="53">
        <f>tkj!$Z$7</f>
        <v>85</v>
      </c>
      <c r="I33" s="53">
        <f>tkj!$AD$7</f>
        <v>84</v>
      </c>
      <c r="J33" s="59"/>
      <c r="K33" s="54">
        <f>tkj!$AJ$7</f>
        <v>83</v>
      </c>
      <c r="L33" s="55"/>
      <c r="M33" s="53">
        <f>tkj!$AP$7</f>
        <v>74</v>
      </c>
      <c r="N33" s="53">
        <f>tkj!$AV$7</f>
        <v>80</v>
      </c>
      <c r="O33" s="59"/>
      <c r="P33" s="55"/>
      <c r="Q33" s="55"/>
      <c r="R33" s="54">
        <f>tkj!$BR$7</f>
        <v>78.666666666666671</v>
      </c>
      <c r="S33" s="54">
        <f>tkj!$BV$7</f>
        <v>83</v>
      </c>
      <c r="T33" s="63"/>
      <c r="U33" s="54">
        <f>tkj!$CA$7</f>
        <v>83</v>
      </c>
      <c r="V33" s="58"/>
      <c r="W33" s="90"/>
      <c r="X33" s="278">
        <v>7</v>
      </c>
      <c r="Y33" s="90"/>
      <c r="Z33" s="64"/>
      <c r="AA33" s="64"/>
      <c r="AB33" s="64"/>
      <c r="AC33" s="64"/>
      <c r="AD33" s="64"/>
      <c r="AE33" s="64"/>
      <c r="AF33" s="64"/>
      <c r="AG33" s="64"/>
      <c r="AH33" s="64"/>
      <c r="AI33" s="64"/>
      <c r="AJ33" s="64"/>
    </row>
    <row r="34" spans="1:36" ht="18.75" customHeight="1">
      <c r="A34" s="268">
        <v>3</v>
      </c>
      <c r="B34" s="271"/>
      <c r="C34" s="274"/>
      <c r="D34" s="62" t="s">
        <v>298</v>
      </c>
      <c r="E34" s="53">
        <f>tkj!$I$7</f>
        <v>92</v>
      </c>
      <c r="F34" s="53">
        <f>tkj!$O$7</f>
        <v>92</v>
      </c>
      <c r="G34" s="53">
        <f>tkj!$U$7</f>
        <v>80</v>
      </c>
      <c r="H34" s="65"/>
      <c r="I34" s="65"/>
      <c r="J34" s="59"/>
      <c r="K34" s="59"/>
      <c r="L34" s="53">
        <f>tkj!$AK$7</f>
        <v>80</v>
      </c>
      <c r="M34" s="53">
        <f>tkj!$AQ$7</f>
        <v>78</v>
      </c>
      <c r="N34" s="53">
        <f>tkj!$AW$7</f>
        <v>82</v>
      </c>
      <c r="O34" s="59"/>
      <c r="P34" s="55"/>
      <c r="Q34" s="55"/>
      <c r="R34" s="54">
        <f>tkj!$BS$7</f>
        <v>84.333333333333329</v>
      </c>
      <c r="S34" s="54">
        <f>tkj!$BW$7</f>
        <v>90</v>
      </c>
      <c r="T34" s="54"/>
      <c r="U34" s="54">
        <f>tkj!$CB$7</f>
        <v>80</v>
      </c>
      <c r="V34" s="58"/>
      <c r="W34" s="90"/>
      <c r="X34" s="278">
        <v>7</v>
      </c>
      <c r="Y34" s="90"/>
      <c r="Z34" s="64"/>
      <c r="AA34" s="64"/>
      <c r="AB34" s="64"/>
      <c r="AC34" s="64"/>
      <c r="AD34" s="64"/>
      <c r="AE34" s="64"/>
      <c r="AF34" s="64"/>
      <c r="AG34" s="64"/>
      <c r="AH34" s="64"/>
      <c r="AI34" s="64"/>
      <c r="AJ34" s="64"/>
    </row>
    <row r="35" spans="1:36" ht="18.75" customHeight="1">
      <c r="A35" s="268">
        <v>3</v>
      </c>
      <c r="B35" s="271"/>
      <c r="C35" s="274"/>
      <c r="D35" s="66" t="s">
        <v>299</v>
      </c>
      <c r="E35" s="67">
        <f>AVERAGE(E30:E34)</f>
        <v>86</v>
      </c>
      <c r="F35" s="67">
        <f>AVERAGE(F30:F34)</f>
        <v>85.2</v>
      </c>
      <c r="G35" s="67">
        <f>AVERAGE(G30:G34)</f>
        <v>79</v>
      </c>
      <c r="H35" s="68"/>
      <c r="I35" s="68"/>
      <c r="J35" s="69"/>
      <c r="K35" s="69"/>
      <c r="L35" s="67">
        <f>AVERAGE(L30:L34)</f>
        <v>80</v>
      </c>
      <c r="M35" s="67">
        <f>AVERAGE(M30:M34)</f>
        <v>73.400000000000006</v>
      </c>
      <c r="N35" s="67">
        <f>AVERAGE(N30:N34)</f>
        <v>79.8</v>
      </c>
      <c r="O35" s="69"/>
      <c r="P35" s="63"/>
      <c r="Q35" s="63"/>
      <c r="R35" s="84">
        <f>AVERAGE(R32:R34)</f>
        <v>80.8888888888889</v>
      </c>
      <c r="S35" s="84">
        <f>AVERAGE(S32:S34)</f>
        <v>86.333333333333329</v>
      </c>
      <c r="T35" s="63"/>
      <c r="U35" s="84">
        <f>AVERAGE(U30:U34)</f>
        <v>79</v>
      </c>
      <c r="V35" s="58"/>
      <c r="W35" s="90"/>
      <c r="X35" s="278">
        <v>7</v>
      </c>
      <c r="Y35" s="90"/>
      <c r="Z35" s="64"/>
      <c r="AA35" s="64"/>
      <c r="AB35" s="64"/>
      <c r="AC35" s="64"/>
      <c r="AD35" s="64"/>
      <c r="AE35" s="64"/>
      <c r="AF35" s="64"/>
      <c r="AG35" s="64"/>
      <c r="AH35" s="64"/>
      <c r="AI35" s="64"/>
      <c r="AJ35" s="64"/>
    </row>
    <row r="36" spans="1:36" ht="18.75" customHeight="1">
      <c r="A36" s="268">
        <v>3</v>
      </c>
      <c r="B36" s="271"/>
      <c r="C36" s="274"/>
      <c r="D36" s="70" t="s">
        <v>300</v>
      </c>
      <c r="E36" s="71">
        <f>tkj!$J$7</f>
        <v>72</v>
      </c>
      <c r="F36" s="71">
        <f>tkj!$P$7</f>
        <v>73</v>
      </c>
      <c r="G36" s="71">
        <f>tkj!$V$7</f>
        <v>80</v>
      </c>
      <c r="H36" s="72"/>
      <c r="I36" s="72"/>
      <c r="J36" s="73"/>
      <c r="K36" s="73"/>
      <c r="L36" s="71">
        <f>tkj!$AL$7</f>
        <v>80</v>
      </c>
      <c r="M36" s="71">
        <f>tkj!$AR$7</f>
        <v>74</v>
      </c>
      <c r="N36" s="71">
        <f>tkj!$AX$7</f>
        <v>74</v>
      </c>
      <c r="O36" s="73"/>
      <c r="P36" s="74"/>
      <c r="Q36" s="74"/>
      <c r="R36" s="85">
        <f>tkj!$BT$7</f>
        <v>74</v>
      </c>
      <c r="S36" s="85">
        <f>tkj!$BX$7</f>
        <v>74</v>
      </c>
      <c r="T36" s="85">
        <f>tkj!$BY$7</f>
        <v>75</v>
      </c>
      <c r="U36" s="75">
        <f>tkj!$CC$7</f>
        <v>74</v>
      </c>
      <c r="V36" s="58"/>
      <c r="X36" s="278">
        <v>7</v>
      </c>
      <c r="Z36" s="50"/>
      <c r="AA36" s="50"/>
      <c r="AB36" s="50"/>
      <c r="AC36" s="50"/>
      <c r="AD36" s="50"/>
      <c r="AE36" s="50"/>
      <c r="AF36" s="50"/>
      <c r="AG36" s="50"/>
      <c r="AH36" s="50"/>
      <c r="AI36" s="50"/>
      <c r="AJ36" s="50"/>
    </row>
    <row r="37" spans="1:36" ht="18.75" customHeight="1">
      <c r="A37" s="268">
        <v>3</v>
      </c>
      <c r="B37" s="271"/>
      <c r="C37" s="274"/>
      <c r="D37" s="76" t="s">
        <v>301</v>
      </c>
      <c r="E37" s="77">
        <f>tkj!$CD$7</f>
        <v>86</v>
      </c>
      <c r="F37" s="77">
        <f>tkj!$CE$7</f>
        <v>90</v>
      </c>
      <c r="G37" s="77">
        <f>tkj!$CF$7</f>
        <v>80</v>
      </c>
      <c r="H37" s="72"/>
      <c r="I37" s="72"/>
      <c r="J37" s="73"/>
      <c r="K37" s="73"/>
      <c r="L37" s="77">
        <f>tkj!$CG$7</f>
        <v>80</v>
      </c>
      <c r="M37" s="77">
        <f>tkj!$CH$7</f>
        <v>76</v>
      </c>
      <c r="N37" s="77">
        <f>tkj!$CI$7</f>
        <v>82</v>
      </c>
      <c r="O37" s="73"/>
      <c r="P37" s="74"/>
      <c r="Q37" s="74"/>
      <c r="R37" s="86">
        <f>tkj!$CL$7</f>
        <v>92</v>
      </c>
      <c r="S37" s="86">
        <f>tkj!$CK$7</f>
        <v>88</v>
      </c>
      <c r="T37" s="74"/>
      <c r="U37" s="86">
        <f>tkj!$CJ$7</f>
        <v>80</v>
      </c>
      <c r="V37" s="58"/>
      <c r="X37" s="278">
        <v>7</v>
      </c>
      <c r="Z37" s="50"/>
      <c r="AA37" s="50"/>
      <c r="AB37" s="50"/>
      <c r="AC37" s="50"/>
      <c r="AD37" s="50"/>
      <c r="AE37" s="50"/>
      <c r="AF37" s="50"/>
      <c r="AG37" s="50"/>
      <c r="AH37" s="50"/>
      <c r="AI37" s="50"/>
      <c r="AJ37" s="50"/>
    </row>
    <row r="38" spans="1:36" ht="18.75" customHeight="1" thickBot="1">
      <c r="A38" s="269">
        <v>3</v>
      </c>
      <c r="B38" s="272"/>
      <c r="C38" s="275"/>
      <c r="D38" s="78" t="s">
        <v>302</v>
      </c>
      <c r="E38" s="79">
        <f>(E35*4+E36*3+E37*3)/10</f>
        <v>81.8</v>
      </c>
      <c r="F38" s="79">
        <f t="shared" ref="F38:G38" si="3">(F35*4+F36*3+F37*3)/10</f>
        <v>82.97999999999999</v>
      </c>
      <c r="G38" s="79">
        <f t="shared" si="3"/>
        <v>79.599999999999994</v>
      </c>
      <c r="H38" s="79">
        <f>AVERAGE(H30:H33)</f>
        <v>82.75</v>
      </c>
      <c r="I38" s="79">
        <f>AVERAGE(I30:I33)</f>
        <v>80.5</v>
      </c>
      <c r="J38" s="79">
        <f>AVERAGE(J30:J31)</f>
        <v>82.5</v>
      </c>
      <c r="K38" s="79">
        <f>AVERAGE(K30:K33)</f>
        <v>76.75</v>
      </c>
      <c r="L38" s="79">
        <f>(L35*4+L36*3+L37*3)/10</f>
        <v>80</v>
      </c>
      <c r="M38" s="79">
        <f>(M35*4+M36*3+M37*3)/10</f>
        <v>74.36</v>
      </c>
      <c r="N38" s="79">
        <f>(N35*4+N36*3+N37*3)/10</f>
        <v>78.72</v>
      </c>
      <c r="O38" s="79">
        <f>AVERAGE(O30:O31)</f>
        <v>78</v>
      </c>
      <c r="P38" s="79">
        <f>AVERAGE(P30:P31)</f>
        <v>80</v>
      </c>
      <c r="Q38" s="79">
        <f>AVERAGE(Q30:Q31)</f>
        <v>77.5</v>
      </c>
      <c r="R38" s="79">
        <f>(R35*4+R36*3+R37*3)/10</f>
        <v>82.155555555555566</v>
      </c>
      <c r="S38" s="79">
        <f>(S35*4+S36*3+S37*3)/10</f>
        <v>83.133333333333326</v>
      </c>
      <c r="T38" s="79">
        <f>T36</f>
        <v>75</v>
      </c>
      <c r="U38" s="79">
        <f t="shared" ref="U38" si="4">(U35*4+U36*3+U37*3)/10</f>
        <v>77.8</v>
      </c>
      <c r="V38" s="80">
        <f>AVERAGE(E38:U38)</f>
        <v>79.620522875816988</v>
      </c>
      <c r="X38" s="278">
        <v>7</v>
      </c>
      <c r="Z38" s="50"/>
      <c r="AA38" s="50"/>
      <c r="AB38" s="50"/>
      <c r="AC38" s="50"/>
      <c r="AD38" s="50"/>
      <c r="AE38" s="50"/>
      <c r="AF38" s="50"/>
      <c r="AG38" s="50"/>
      <c r="AH38" s="50"/>
      <c r="AI38" s="50"/>
      <c r="AJ38" s="50"/>
    </row>
    <row r="39" spans="1:36" ht="18.75" customHeight="1" thickTop="1" thickBot="1">
      <c r="A39" s="268">
        <v>4</v>
      </c>
      <c r="B39" s="270" t="s">
        <v>315</v>
      </c>
      <c r="C39" s="273" t="s">
        <v>59</v>
      </c>
      <c r="D39" s="52" t="s">
        <v>294</v>
      </c>
      <c r="E39" s="53">
        <f>tkj!$E$8</f>
        <v>94</v>
      </c>
      <c r="F39" s="53">
        <f>tkj!$K$8</f>
        <v>88</v>
      </c>
      <c r="G39" s="53">
        <f>tkj!$Q$8</f>
        <v>80</v>
      </c>
      <c r="H39" s="53">
        <f>tkj!$W$8</f>
        <v>83</v>
      </c>
      <c r="I39" s="53">
        <f>tkj!$AA$8</f>
        <v>77</v>
      </c>
      <c r="J39" s="53">
        <f>tkj!$AE$8</f>
        <v>83</v>
      </c>
      <c r="K39" s="54">
        <f>tkj!$AG$8</f>
        <v>75</v>
      </c>
      <c r="L39" s="55"/>
      <c r="M39" s="53">
        <f>tkj!$AM$8</f>
        <v>72</v>
      </c>
      <c r="N39" s="53">
        <f>tkj!$AS$8</f>
        <v>74</v>
      </c>
      <c r="O39" s="53">
        <f>tkj!$AY$8</f>
        <v>80</v>
      </c>
      <c r="P39" s="54">
        <f>tkj!$BA$8</f>
        <v>78</v>
      </c>
      <c r="Q39" s="54">
        <f>tkj!$BC$8</f>
        <v>78</v>
      </c>
      <c r="R39" s="55"/>
      <c r="S39" s="55"/>
      <c r="T39" s="55"/>
      <c r="U39" s="55"/>
      <c r="V39" s="56"/>
      <c r="X39" s="278">
        <v>8</v>
      </c>
      <c r="Z39" s="50"/>
      <c r="AA39" s="50"/>
      <c r="AB39" s="50"/>
      <c r="AC39" s="50"/>
      <c r="AD39" s="50"/>
      <c r="AE39" s="50"/>
      <c r="AF39" s="50"/>
      <c r="AG39" s="50"/>
      <c r="AH39" s="50"/>
      <c r="AI39" s="50"/>
      <c r="AJ39" s="50"/>
    </row>
    <row r="40" spans="1:36" ht="18.75" customHeight="1" thickBot="1">
      <c r="A40" s="268">
        <v>4</v>
      </c>
      <c r="B40" s="271"/>
      <c r="C40" s="274"/>
      <c r="D40" s="52" t="s">
        <v>295</v>
      </c>
      <c r="E40" s="53">
        <f>tkj!$F$8</f>
        <v>88</v>
      </c>
      <c r="F40" s="53">
        <f>tkj!$L$8</f>
        <v>80</v>
      </c>
      <c r="G40" s="53">
        <f>tkj!$R$8</f>
        <v>86</v>
      </c>
      <c r="H40" s="53">
        <f>tkj!$X$8</f>
        <v>84</v>
      </c>
      <c r="I40" s="53">
        <f>tkj!$AB$8</f>
        <v>80</v>
      </c>
      <c r="J40" s="53">
        <f>tkj!$AF$8</f>
        <v>83</v>
      </c>
      <c r="K40" s="54">
        <f>tkj!$AH$8</f>
        <v>76</v>
      </c>
      <c r="L40" s="55"/>
      <c r="M40" s="53">
        <f>tkj!$AN$8</f>
        <v>74</v>
      </c>
      <c r="N40" s="53">
        <f>tkj!$AT$8</f>
        <v>80</v>
      </c>
      <c r="O40" s="53">
        <f>tkj!$AZ$8</f>
        <v>84</v>
      </c>
      <c r="P40" s="54">
        <f>tkj!$BB$8</f>
        <v>87</v>
      </c>
      <c r="Q40" s="54">
        <f>tkj!$BD$8</f>
        <v>78</v>
      </c>
      <c r="R40" s="55"/>
      <c r="S40" s="55"/>
      <c r="T40" s="55"/>
      <c r="U40" s="55"/>
      <c r="V40" s="58"/>
      <c r="X40" s="278">
        <v>8</v>
      </c>
      <c r="Z40" s="50"/>
      <c r="AA40" s="50"/>
      <c r="AB40" s="50"/>
      <c r="AC40" s="50"/>
      <c r="AD40" s="50"/>
      <c r="AE40" s="50"/>
      <c r="AF40" s="50"/>
      <c r="AG40" s="50"/>
      <c r="AH40" s="50"/>
      <c r="AI40" s="50"/>
      <c r="AJ40" s="50"/>
    </row>
    <row r="41" spans="1:36" ht="18.75" customHeight="1" thickBot="1">
      <c r="A41" s="268">
        <v>4</v>
      </c>
      <c r="B41" s="271"/>
      <c r="C41" s="274"/>
      <c r="D41" s="52" t="s">
        <v>296</v>
      </c>
      <c r="E41" s="53">
        <f>tkj!$G$8</f>
        <v>90</v>
      </c>
      <c r="F41" s="53">
        <f>tkj!$M$8</f>
        <v>82</v>
      </c>
      <c r="G41" s="53">
        <f>tkj!$S$8</f>
        <v>89</v>
      </c>
      <c r="H41" s="53">
        <f>tkj!$Y$8</f>
        <v>80</v>
      </c>
      <c r="I41" s="53">
        <f>tkj!$AC$8</f>
        <v>85</v>
      </c>
      <c r="J41" s="59"/>
      <c r="K41" s="54">
        <f>tkj!$AI$8</f>
        <v>74</v>
      </c>
      <c r="L41" s="55"/>
      <c r="M41" s="53">
        <f>tkj!$AO$8</f>
        <v>78</v>
      </c>
      <c r="N41" s="53">
        <f>tkj!$AU$8</f>
        <v>80</v>
      </c>
      <c r="O41" s="59"/>
      <c r="P41" s="55"/>
      <c r="Q41" s="55"/>
      <c r="R41" s="54">
        <f>tkj!$BQ$8</f>
        <v>83.666666666666671</v>
      </c>
      <c r="S41" s="54">
        <f>tkj!$BU$8</f>
        <v>89</v>
      </c>
      <c r="T41" s="55"/>
      <c r="U41" s="54">
        <f>tkj!$BZ$8</f>
        <v>81</v>
      </c>
      <c r="V41" s="58"/>
      <c r="X41" s="278">
        <v>8</v>
      </c>
      <c r="Z41" s="50"/>
      <c r="AA41" s="50"/>
      <c r="AB41" s="50"/>
      <c r="AC41" s="50"/>
      <c r="AD41" s="50"/>
      <c r="AE41" s="50"/>
      <c r="AF41" s="50"/>
      <c r="AG41" s="50"/>
      <c r="AH41" s="50"/>
      <c r="AI41" s="50"/>
      <c r="AJ41" s="50"/>
    </row>
    <row r="42" spans="1:36" ht="18.75" customHeight="1" thickBot="1">
      <c r="A42" s="268">
        <v>4</v>
      </c>
      <c r="B42" s="271"/>
      <c r="C42" s="274"/>
      <c r="D42" s="62" t="s">
        <v>297</v>
      </c>
      <c r="E42" s="53">
        <f>tkj!$H$8</f>
        <v>88</v>
      </c>
      <c r="F42" s="53">
        <f>tkj!$N$8</f>
        <v>92</v>
      </c>
      <c r="G42" s="53">
        <f>tkj!$T$8</f>
        <v>90</v>
      </c>
      <c r="H42" s="53">
        <f>tkj!$Z$8</f>
        <v>85</v>
      </c>
      <c r="I42" s="53">
        <f>tkj!$AD$8</f>
        <v>86</v>
      </c>
      <c r="J42" s="59"/>
      <c r="K42" s="54">
        <f>tkj!$AJ$8</f>
        <v>83</v>
      </c>
      <c r="L42" s="55"/>
      <c r="M42" s="53">
        <f>tkj!$AP$8</f>
        <v>79</v>
      </c>
      <c r="N42" s="53">
        <f>tkj!$AV$8</f>
        <v>80</v>
      </c>
      <c r="O42" s="59"/>
      <c r="P42" s="55"/>
      <c r="Q42" s="55"/>
      <c r="R42" s="54">
        <f>tkj!$BR$8</f>
        <v>85</v>
      </c>
      <c r="S42" s="54">
        <f>tkj!$BV$8</f>
        <v>91</v>
      </c>
      <c r="T42" s="63"/>
      <c r="U42" s="54">
        <f>tkj!$CA$8</f>
        <v>91</v>
      </c>
      <c r="V42" s="58"/>
      <c r="X42" s="278">
        <v>8</v>
      </c>
      <c r="Z42" s="50"/>
      <c r="AA42" s="50"/>
      <c r="AB42" s="50"/>
      <c r="AC42" s="50"/>
      <c r="AD42" s="50"/>
      <c r="AE42" s="50"/>
      <c r="AF42" s="50"/>
      <c r="AG42" s="50"/>
      <c r="AH42" s="50"/>
      <c r="AI42" s="50"/>
      <c r="AJ42" s="50"/>
    </row>
    <row r="43" spans="1:36" ht="18.75" customHeight="1">
      <c r="A43" s="268">
        <v>4</v>
      </c>
      <c r="B43" s="271"/>
      <c r="C43" s="274"/>
      <c r="D43" s="62" t="s">
        <v>298</v>
      </c>
      <c r="E43" s="53">
        <f>tkj!$I$8</f>
        <v>92</v>
      </c>
      <c r="F43" s="53">
        <f>tkj!$O$8</f>
        <v>92</v>
      </c>
      <c r="G43" s="53">
        <f>tkj!$U$8</f>
        <v>84</v>
      </c>
      <c r="H43" s="65"/>
      <c r="I43" s="65"/>
      <c r="J43" s="59"/>
      <c r="K43" s="59"/>
      <c r="L43" s="53">
        <f>tkj!$AK$8</f>
        <v>84</v>
      </c>
      <c r="M43" s="53">
        <f>tkj!$AQ$8</f>
        <v>83</v>
      </c>
      <c r="N43" s="53">
        <f>tkj!$AW$8</f>
        <v>80</v>
      </c>
      <c r="O43" s="59"/>
      <c r="P43" s="55"/>
      <c r="Q43" s="55"/>
      <c r="R43" s="54">
        <f>tkj!$BS$8</f>
        <v>86</v>
      </c>
      <c r="S43" s="54">
        <f>tkj!$BW$8</f>
        <v>90</v>
      </c>
      <c r="T43" s="54"/>
      <c r="U43" s="54">
        <f>tkj!$CB$8</f>
        <v>91</v>
      </c>
      <c r="V43" s="58"/>
      <c r="X43" s="278">
        <v>8</v>
      </c>
      <c r="Z43" s="50"/>
      <c r="AA43" s="50"/>
      <c r="AB43" s="50"/>
      <c r="AC43" s="50"/>
      <c r="AD43" s="50"/>
      <c r="AE43" s="50"/>
      <c r="AF43" s="50"/>
      <c r="AG43" s="50"/>
      <c r="AH43" s="50"/>
      <c r="AI43" s="50"/>
      <c r="AJ43" s="50"/>
    </row>
    <row r="44" spans="1:36" ht="18.75" customHeight="1">
      <c r="A44" s="268">
        <v>4</v>
      </c>
      <c r="B44" s="271"/>
      <c r="C44" s="274"/>
      <c r="D44" s="66" t="s">
        <v>299</v>
      </c>
      <c r="E44" s="67">
        <f>AVERAGE(E39:E43)</f>
        <v>90.4</v>
      </c>
      <c r="F44" s="67">
        <f>AVERAGE(F39:F43)</f>
        <v>86.8</v>
      </c>
      <c r="G44" s="67">
        <f>AVERAGE(G39:G43)</f>
        <v>85.8</v>
      </c>
      <c r="H44" s="68"/>
      <c r="I44" s="68"/>
      <c r="J44" s="69"/>
      <c r="K44" s="69"/>
      <c r="L44" s="67">
        <f>AVERAGE(L39:L43)</f>
        <v>84</v>
      </c>
      <c r="M44" s="67">
        <f>AVERAGE(M39:M43)</f>
        <v>77.2</v>
      </c>
      <c r="N44" s="67">
        <f>AVERAGE(N39:N43)</f>
        <v>78.8</v>
      </c>
      <c r="O44" s="69"/>
      <c r="P44" s="63"/>
      <c r="Q44" s="63"/>
      <c r="R44" s="84">
        <f>AVERAGE(R41:R43)</f>
        <v>84.8888888888889</v>
      </c>
      <c r="S44" s="84">
        <f>AVERAGE(S41:S43)</f>
        <v>90</v>
      </c>
      <c r="T44" s="63"/>
      <c r="U44" s="84">
        <f>AVERAGE(U39:U43)</f>
        <v>87.666666666666671</v>
      </c>
      <c r="V44" s="58"/>
      <c r="X44" s="278">
        <v>8</v>
      </c>
      <c r="Z44" s="50"/>
      <c r="AA44" s="50"/>
      <c r="AB44" s="50"/>
      <c r="AC44" s="50"/>
      <c r="AD44" s="50"/>
      <c r="AE44" s="50"/>
      <c r="AF44" s="50"/>
      <c r="AG44" s="50"/>
      <c r="AH44" s="50"/>
      <c r="AI44" s="50"/>
      <c r="AJ44" s="50"/>
    </row>
    <row r="45" spans="1:36" ht="18.75" customHeight="1">
      <c r="A45" s="268">
        <v>4</v>
      </c>
      <c r="B45" s="271"/>
      <c r="C45" s="274"/>
      <c r="D45" s="70" t="s">
        <v>300</v>
      </c>
      <c r="E45" s="71">
        <f>tkj!$J$8</f>
        <v>90</v>
      </c>
      <c r="F45" s="71">
        <f>tkj!$P$8</f>
        <v>90</v>
      </c>
      <c r="G45" s="71">
        <f>tkj!$V$8</f>
        <v>80</v>
      </c>
      <c r="H45" s="72"/>
      <c r="I45" s="72"/>
      <c r="J45" s="73"/>
      <c r="K45" s="73"/>
      <c r="L45" s="71">
        <f>tkj!$AL$8</f>
        <v>80</v>
      </c>
      <c r="M45" s="71">
        <f>tkj!$AR$8</f>
        <v>90</v>
      </c>
      <c r="N45" s="71">
        <f>tkj!$AX$8</f>
        <v>90</v>
      </c>
      <c r="O45" s="73"/>
      <c r="P45" s="74"/>
      <c r="Q45" s="74"/>
      <c r="R45" s="85">
        <f>tkj!$BT$8</f>
        <v>90</v>
      </c>
      <c r="S45" s="85">
        <f>tkj!$BX$8</f>
        <v>90</v>
      </c>
      <c r="T45" s="85">
        <f>tkj!$BY$8</f>
        <v>88</v>
      </c>
      <c r="U45" s="75">
        <f>tkj!$CC$8</f>
        <v>90</v>
      </c>
      <c r="V45" s="58"/>
      <c r="X45" s="278">
        <v>8</v>
      </c>
      <c r="Z45" s="50"/>
      <c r="AA45" s="50"/>
      <c r="AB45" s="50"/>
      <c r="AC45" s="50"/>
      <c r="AD45" s="50"/>
      <c r="AE45" s="50"/>
      <c r="AF45" s="50"/>
      <c r="AG45" s="50"/>
      <c r="AH45" s="50"/>
      <c r="AI45" s="50"/>
      <c r="AJ45" s="50"/>
    </row>
    <row r="46" spans="1:36" ht="18.75" customHeight="1">
      <c r="A46" s="268">
        <v>4</v>
      </c>
      <c r="B46" s="271"/>
      <c r="C46" s="274"/>
      <c r="D46" s="76" t="s">
        <v>301</v>
      </c>
      <c r="E46" s="77">
        <f>tkj!$CD$8</f>
        <v>91</v>
      </c>
      <c r="F46" s="77">
        <f>tkj!$CE$8</f>
        <v>85</v>
      </c>
      <c r="G46" s="77">
        <f>tkj!$CF$8</f>
        <v>85</v>
      </c>
      <c r="H46" s="72"/>
      <c r="I46" s="72"/>
      <c r="J46" s="73"/>
      <c r="K46" s="73"/>
      <c r="L46" s="77">
        <f>tkj!$CG$8</f>
        <v>95</v>
      </c>
      <c r="M46" s="77">
        <f>tkj!$CH$8</f>
        <v>83</v>
      </c>
      <c r="N46" s="77">
        <f>tkj!$CI$8</f>
        <v>83</v>
      </c>
      <c r="O46" s="73"/>
      <c r="P46" s="74"/>
      <c r="Q46" s="74"/>
      <c r="R46" s="86">
        <f>tkj!$CL$8</f>
        <v>92</v>
      </c>
      <c r="S46" s="86">
        <f>tkj!$CK$8</f>
        <v>87</v>
      </c>
      <c r="T46" s="74"/>
      <c r="U46" s="86">
        <f>tkj!$CJ$8</f>
        <v>85</v>
      </c>
      <c r="V46" s="58"/>
      <c r="X46" s="278">
        <v>8</v>
      </c>
      <c r="Z46" s="50"/>
      <c r="AA46" s="50"/>
      <c r="AB46" s="50"/>
      <c r="AC46" s="50"/>
      <c r="AD46" s="50"/>
      <c r="AE46" s="50"/>
      <c r="AF46" s="50"/>
      <c r="AG46" s="50"/>
      <c r="AH46" s="50"/>
      <c r="AI46" s="50"/>
      <c r="AJ46" s="50"/>
    </row>
    <row r="47" spans="1:36" ht="18.75" customHeight="1" thickBot="1">
      <c r="A47" s="269">
        <v>4</v>
      </c>
      <c r="B47" s="272"/>
      <c r="C47" s="275"/>
      <c r="D47" s="78" t="s">
        <v>302</v>
      </c>
      <c r="E47" s="79">
        <f>(E44*4+E45*3+E46*3)/10</f>
        <v>90.460000000000008</v>
      </c>
      <c r="F47" s="79">
        <f t="shared" ref="F47:G47" si="5">(F44*4+F45*3+F46*3)/10</f>
        <v>87.22</v>
      </c>
      <c r="G47" s="79">
        <f t="shared" si="5"/>
        <v>83.820000000000007</v>
      </c>
      <c r="H47" s="79">
        <f>AVERAGE(H39:H42)</f>
        <v>83</v>
      </c>
      <c r="I47" s="79">
        <f>AVERAGE(I39:I42)</f>
        <v>82</v>
      </c>
      <c r="J47" s="79">
        <f>AVERAGE(J39:J40)</f>
        <v>83</v>
      </c>
      <c r="K47" s="79">
        <f>AVERAGE(K39:K42)</f>
        <v>77</v>
      </c>
      <c r="L47" s="79">
        <f>(L44*4+L45*3+L46*3)/10</f>
        <v>86.1</v>
      </c>
      <c r="M47" s="79">
        <f>(M44*4+M45*3+M46*3)/10</f>
        <v>82.78</v>
      </c>
      <c r="N47" s="79">
        <f>(N44*4+N45*3+N46*3)/10</f>
        <v>83.42</v>
      </c>
      <c r="O47" s="79">
        <f>AVERAGE(O39:O40)</f>
        <v>82</v>
      </c>
      <c r="P47" s="79">
        <f>AVERAGE(P39:P40)</f>
        <v>82.5</v>
      </c>
      <c r="Q47" s="79">
        <f>AVERAGE(Q39:Q40)</f>
        <v>78</v>
      </c>
      <c r="R47" s="79">
        <f>(R44*4+R45*3+R46*3)/10</f>
        <v>88.555555555555571</v>
      </c>
      <c r="S47" s="79">
        <f>(S44*4+S45*3+S46*3)/10</f>
        <v>89.1</v>
      </c>
      <c r="T47" s="79">
        <f>T45</f>
        <v>88</v>
      </c>
      <c r="U47" s="79">
        <f t="shared" ref="U47" si="6">(U44*4+U45*3+U46*3)/10</f>
        <v>87.566666666666677</v>
      </c>
      <c r="V47" s="80">
        <f>AVERAGE(E47:U47)</f>
        <v>84.383660130718951</v>
      </c>
      <c r="X47" s="278">
        <v>8</v>
      </c>
      <c r="Z47" s="50"/>
      <c r="AA47" s="50"/>
      <c r="AB47" s="50"/>
      <c r="AC47" s="50"/>
      <c r="AD47" s="50"/>
      <c r="AE47" s="50"/>
      <c r="AF47" s="50"/>
      <c r="AG47" s="50"/>
      <c r="AH47" s="50"/>
      <c r="AI47" s="50"/>
      <c r="AJ47" s="50"/>
    </row>
    <row r="48" spans="1:36" ht="18.75" customHeight="1" thickTop="1" thickBot="1">
      <c r="A48" s="268">
        <v>5</v>
      </c>
      <c r="B48" s="270" t="s">
        <v>316</v>
      </c>
      <c r="C48" s="273" t="s">
        <v>61</v>
      </c>
      <c r="D48" s="52" t="s">
        <v>294</v>
      </c>
      <c r="E48" s="53">
        <f>tkj!$E$9</f>
        <v>83</v>
      </c>
      <c r="F48" s="53">
        <f>tkj!$K$9</f>
        <v>80</v>
      </c>
      <c r="G48" s="53">
        <f>tkj!$Q$9</f>
        <v>83</v>
      </c>
      <c r="H48" s="53">
        <f>tkj!$W$9</f>
        <v>80</v>
      </c>
      <c r="I48" s="53">
        <f>tkj!$AA$9</f>
        <v>80</v>
      </c>
      <c r="J48" s="53">
        <f>tkj!$AE$9</f>
        <v>84</v>
      </c>
      <c r="K48" s="54">
        <f>tkj!$AG$9</f>
        <v>82</v>
      </c>
      <c r="L48" s="55"/>
      <c r="M48" s="53">
        <f>tkj!$AM$9</f>
        <v>79</v>
      </c>
      <c r="N48" s="53">
        <f>tkj!$AS$9</f>
        <v>81</v>
      </c>
      <c r="O48" s="53">
        <f>tkj!$AY$9</f>
        <v>84</v>
      </c>
      <c r="P48" s="54">
        <f>tkj!$BA$9</f>
        <v>85</v>
      </c>
      <c r="Q48" s="54">
        <f>tkj!$BC$9</f>
        <v>83</v>
      </c>
      <c r="R48" s="55"/>
      <c r="S48" s="55"/>
      <c r="T48" s="55"/>
      <c r="U48" s="55"/>
      <c r="V48" s="56"/>
      <c r="X48" s="278">
        <v>9</v>
      </c>
      <c r="Z48" s="50"/>
      <c r="AA48" s="50"/>
      <c r="AB48" s="50"/>
      <c r="AC48" s="50"/>
      <c r="AD48" s="50"/>
      <c r="AE48" s="50"/>
      <c r="AF48" s="50"/>
      <c r="AG48" s="50"/>
      <c r="AH48" s="50"/>
      <c r="AI48" s="50"/>
      <c r="AJ48" s="50"/>
    </row>
    <row r="49" spans="1:36" ht="18.75" customHeight="1" thickBot="1">
      <c r="A49" s="268">
        <v>5</v>
      </c>
      <c r="B49" s="271"/>
      <c r="C49" s="274"/>
      <c r="D49" s="52" t="s">
        <v>295</v>
      </c>
      <c r="E49" s="53">
        <f>tkj!$F$9</f>
        <v>85</v>
      </c>
      <c r="F49" s="53">
        <f>tkj!$L$9</f>
        <v>79</v>
      </c>
      <c r="G49" s="53">
        <f>tkj!$R$9</f>
        <v>84</v>
      </c>
      <c r="H49" s="53">
        <f>tkj!$X$9</f>
        <v>91</v>
      </c>
      <c r="I49" s="53">
        <f>tkj!$AB$9</f>
        <v>81</v>
      </c>
      <c r="J49" s="53">
        <f>tkj!$AF$9</f>
        <v>84</v>
      </c>
      <c r="K49" s="54">
        <f>tkj!$AH$9</f>
        <v>79</v>
      </c>
      <c r="L49" s="55"/>
      <c r="M49" s="53">
        <f>tkj!$AN$9</f>
        <v>80</v>
      </c>
      <c r="N49" s="53">
        <f>tkj!$AT$9</f>
        <v>82</v>
      </c>
      <c r="O49" s="53">
        <f>tkj!$AZ$9</f>
        <v>82</v>
      </c>
      <c r="P49" s="54">
        <f>tkj!$BB$9</f>
        <v>89</v>
      </c>
      <c r="Q49" s="54">
        <f>tkj!$BD$9</f>
        <v>85</v>
      </c>
      <c r="R49" s="55"/>
      <c r="S49" s="55"/>
      <c r="T49" s="55"/>
      <c r="U49" s="55"/>
      <c r="V49" s="58"/>
      <c r="X49" s="278">
        <v>9</v>
      </c>
      <c r="Z49" s="50"/>
      <c r="AA49" s="50"/>
      <c r="AB49" s="50"/>
      <c r="AC49" s="50"/>
      <c r="AD49" s="50"/>
      <c r="AE49" s="50"/>
      <c r="AF49" s="50"/>
      <c r="AG49" s="50"/>
      <c r="AH49" s="50"/>
      <c r="AI49" s="50"/>
      <c r="AJ49" s="50"/>
    </row>
    <row r="50" spans="1:36" ht="18.75" customHeight="1" thickBot="1">
      <c r="A50" s="268">
        <v>5</v>
      </c>
      <c r="B50" s="271"/>
      <c r="C50" s="274"/>
      <c r="D50" s="52" t="s">
        <v>296</v>
      </c>
      <c r="E50" s="53">
        <f>tkj!$G$9</f>
        <v>85</v>
      </c>
      <c r="F50" s="53">
        <f>tkj!$M$9</f>
        <v>86</v>
      </c>
      <c r="G50" s="53">
        <f>tkj!$S$9</f>
        <v>89</v>
      </c>
      <c r="H50" s="53">
        <f>tkj!$Y$9</f>
        <v>83</v>
      </c>
      <c r="I50" s="53">
        <f>tkj!$AC$9</f>
        <v>82</v>
      </c>
      <c r="J50" s="59"/>
      <c r="K50" s="54">
        <f>tkj!$AI$9</f>
        <v>84</v>
      </c>
      <c r="L50" s="55"/>
      <c r="M50" s="53">
        <f>tkj!$AO$9</f>
        <v>84</v>
      </c>
      <c r="N50" s="53">
        <f>tkj!$AU$9</f>
        <v>82</v>
      </c>
      <c r="O50" s="59"/>
      <c r="P50" s="55"/>
      <c r="Q50" s="55"/>
      <c r="R50" s="54">
        <f>tkj!$BQ$9</f>
        <v>85.666666666666671</v>
      </c>
      <c r="S50" s="54">
        <f>tkj!$BU$9</f>
        <v>86</v>
      </c>
      <c r="T50" s="55"/>
      <c r="U50" s="54">
        <f>tkj!$BZ$9</f>
        <v>78</v>
      </c>
      <c r="V50" s="58"/>
      <c r="X50" s="278">
        <v>9</v>
      </c>
      <c r="Z50" s="50"/>
      <c r="AA50" s="50"/>
      <c r="AB50" s="50"/>
      <c r="AC50" s="50"/>
      <c r="AD50" s="50"/>
      <c r="AE50" s="50"/>
      <c r="AF50" s="50"/>
      <c r="AG50" s="50"/>
      <c r="AH50" s="50"/>
      <c r="AI50" s="50"/>
      <c r="AJ50" s="50"/>
    </row>
    <row r="51" spans="1:36" ht="18.75" customHeight="1" thickBot="1">
      <c r="A51" s="268">
        <v>5</v>
      </c>
      <c r="B51" s="271"/>
      <c r="C51" s="274"/>
      <c r="D51" s="62" t="s">
        <v>297</v>
      </c>
      <c r="E51" s="53">
        <f>tkj!$H$9</f>
        <v>84</v>
      </c>
      <c r="F51" s="53">
        <f>tkj!$N$9</f>
        <v>80</v>
      </c>
      <c r="G51" s="53">
        <f>tkj!$T$9</f>
        <v>89</v>
      </c>
      <c r="H51" s="53">
        <f>tkj!$Z$9</f>
        <v>85</v>
      </c>
      <c r="I51" s="53">
        <f>tkj!$AD$9</f>
        <v>82</v>
      </c>
      <c r="J51" s="59"/>
      <c r="K51" s="54">
        <f>tkj!$AJ$9</f>
        <v>79</v>
      </c>
      <c r="L51" s="55"/>
      <c r="M51" s="53">
        <f>tkj!$AP$9</f>
        <v>83</v>
      </c>
      <c r="N51" s="53">
        <f>tkj!$AV$9</f>
        <v>81</v>
      </c>
      <c r="O51" s="59"/>
      <c r="P51" s="55"/>
      <c r="Q51" s="55"/>
      <c r="R51" s="54">
        <f>tkj!$BR$9</f>
        <v>84.666666666666671</v>
      </c>
      <c r="S51" s="54">
        <f>tkj!$BV$9</f>
        <v>87</v>
      </c>
      <c r="T51" s="63"/>
      <c r="U51" s="54">
        <f>tkj!$CA$9</f>
        <v>80</v>
      </c>
      <c r="V51" s="58"/>
      <c r="X51" s="278">
        <v>9</v>
      </c>
      <c r="Z51" s="50"/>
      <c r="AA51" s="50"/>
      <c r="AB51" s="50"/>
      <c r="AC51" s="50"/>
      <c r="AD51" s="50"/>
      <c r="AE51" s="50"/>
      <c r="AF51" s="50"/>
      <c r="AG51" s="50"/>
      <c r="AH51" s="50"/>
      <c r="AI51" s="50"/>
      <c r="AJ51" s="50"/>
    </row>
    <row r="52" spans="1:36" ht="18.75" customHeight="1">
      <c r="A52" s="268">
        <v>5</v>
      </c>
      <c r="B52" s="271"/>
      <c r="C52" s="274"/>
      <c r="D52" s="62" t="s">
        <v>298</v>
      </c>
      <c r="E52" s="53">
        <f>tkj!$I$9</f>
        <v>88</v>
      </c>
      <c r="F52" s="53">
        <f>tkj!$O$9</f>
        <v>83</v>
      </c>
      <c r="G52" s="53">
        <f>tkj!$U$9</f>
        <v>86</v>
      </c>
      <c r="H52" s="65"/>
      <c r="I52" s="65"/>
      <c r="J52" s="59"/>
      <c r="K52" s="59"/>
      <c r="L52" s="53">
        <f>tkj!$AK$9</f>
        <v>81</v>
      </c>
      <c r="M52" s="53">
        <f>tkj!$AQ$9</f>
        <v>80</v>
      </c>
      <c r="N52" s="53">
        <f>tkj!$AW$9</f>
        <v>80</v>
      </c>
      <c r="O52" s="59"/>
      <c r="P52" s="55"/>
      <c r="Q52" s="55"/>
      <c r="R52" s="54">
        <f>tkj!$BS$9</f>
        <v>87.666666666666671</v>
      </c>
      <c r="S52" s="54">
        <f>tkj!$BW$9</f>
        <v>89</v>
      </c>
      <c r="T52" s="54"/>
      <c r="U52" s="54">
        <f>tkj!$CB$9</f>
        <v>80</v>
      </c>
      <c r="V52" s="58"/>
      <c r="W52" s="90"/>
      <c r="X52" s="278">
        <v>9</v>
      </c>
      <c r="Y52" s="90"/>
      <c r="Z52" s="64"/>
      <c r="AA52" s="64"/>
      <c r="AB52" s="64"/>
      <c r="AC52" s="64"/>
      <c r="AD52" s="64"/>
      <c r="AE52" s="64"/>
      <c r="AF52" s="64"/>
      <c r="AG52" s="64"/>
      <c r="AH52" s="64"/>
      <c r="AI52" s="64"/>
      <c r="AJ52" s="64"/>
    </row>
    <row r="53" spans="1:36" ht="18.75" customHeight="1">
      <c r="A53" s="268">
        <v>5</v>
      </c>
      <c r="B53" s="271"/>
      <c r="C53" s="274"/>
      <c r="D53" s="66" t="s">
        <v>299</v>
      </c>
      <c r="E53" s="67">
        <f>AVERAGE(E48:E52)</f>
        <v>85</v>
      </c>
      <c r="F53" s="67">
        <f>AVERAGE(F48:F52)</f>
        <v>81.599999999999994</v>
      </c>
      <c r="G53" s="67">
        <f>AVERAGE(G48:G52)</f>
        <v>86.2</v>
      </c>
      <c r="H53" s="68"/>
      <c r="I53" s="68"/>
      <c r="J53" s="69"/>
      <c r="K53" s="69"/>
      <c r="L53" s="67">
        <f>AVERAGE(L48:L52)</f>
        <v>81</v>
      </c>
      <c r="M53" s="67">
        <f>AVERAGE(M48:M52)</f>
        <v>81.2</v>
      </c>
      <c r="N53" s="67">
        <f>AVERAGE(N48:N52)</f>
        <v>81.2</v>
      </c>
      <c r="O53" s="69"/>
      <c r="P53" s="63"/>
      <c r="Q53" s="63"/>
      <c r="R53" s="84">
        <f>AVERAGE(R50:R52)</f>
        <v>86</v>
      </c>
      <c r="S53" s="84">
        <f>AVERAGE(S50:S52)</f>
        <v>87.333333333333329</v>
      </c>
      <c r="T53" s="63"/>
      <c r="U53" s="84">
        <f>AVERAGE(U48:U52)</f>
        <v>79.333333333333329</v>
      </c>
      <c r="V53" s="58"/>
      <c r="X53" s="278">
        <v>9</v>
      </c>
      <c r="Z53" s="50"/>
      <c r="AA53" s="50"/>
      <c r="AB53" s="50"/>
      <c r="AC53" s="50"/>
      <c r="AD53" s="50"/>
      <c r="AE53" s="50"/>
      <c r="AF53" s="50"/>
      <c r="AG53" s="50"/>
      <c r="AH53" s="50"/>
      <c r="AI53" s="50"/>
      <c r="AJ53" s="50"/>
    </row>
    <row r="54" spans="1:36" ht="18.75" customHeight="1">
      <c r="A54" s="268">
        <v>5</v>
      </c>
      <c r="B54" s="271"/>
      <c r="C54" s="274"/>
      <c r="D54" s="70" t="s">
        <v>300</v>
      </c>
      <c r="E54" s="71">
        <f>tkj!$J$9</f>
        <v>85</v>
      </c>
      <c r="F54" s="71">
        <f>tkj!$P$9</f>
        <v>83</v>
      </c>
      <c r="G54" s="71">
        <f>tkj!$V$9</f>
        <v>82</v>
      </c>
      <c r="H54" s="72"/>
      <c r="I54" s="72"/>
      <c r="J54" s="73"/>
      <c r="K54" s="73"/>
      <c r="L54" s="71">
        <f>tkj!$AL$9</f>
        <v>82</v>
      </c>
      <c r="M54" s="71">
        <f>tkj!$AR$9</f>
        <v>80</v>
      </c>
      <c r="N54" s="71">
        <f>tkj!$AX$9</f>
        <v>80</v>
      </c>
      <c r="O54" s="73"/>
      <c r="P54" s="74"/>
      <c r="Q54" s="74"/>
      <c r="R54" s="85">
        <f>tkj!$BT$9</f>
        <v>81</v>
      </c>
      <c r="S54" s="85">
        <f>tkj!$BX$9</f>
        <v>81</v>
      </c>
      <c r="T54" s="85">
        <f>tkj!$BY$9</f>
        <v>82</v>
      </c>
      <c r="U54" s="75">
        <f>tkj!$CC$9</f>
        <v>80</v>
      </c>
      <c r="V54" s="58"/>
      <c r="X54" s="278">
        <v>9</v>
      </c>
      <c r="Z54" s="50"/>
      <c r="AA54" s="50"/>
      <c r="AB54" s="50"/>
      <c r="AC54" s="50"/>
      <c r="AD54" s="50"/>
      <c r="AE54" s="50"/>
      <c r="AF54" s="50"/>
      <c r="AG54" s="50"/>
      <c r="AH54" s="50"/>
      <c r="AI54" s="50"/>
      <c r="AJ54" s="50"/>
    </row>
    <row r="55" spans="1:36" ht="18.75" customHeight="1">
      <c r="A55" s="268">
        <v>5</v>
      </c>
      <c r="B55" s="271"/>
      <c r="C55" s="274"/>
      <c r="D55" s="76" t="s">
        <v>301</v>
      </c>
      <c r="E55" s="77">
        <f>tkj!$CD$9</f>
        <v>93</v>
      </c>
      <c r="F55" s="77">
        <f>tkj!$CE$9</f>
        <v>85</v>
      </c>
      <c r="G55" s="77">
        <f>tkj!$CF$9</f>
        <v>80</v>
      </c>
      <c r="H55" s="72"/>
      <c r="I55" s="72"/>
      <c r="J55" s="73"/>
      <c r="K55" s="73"/>
      <c r="L55" s="77">
        <f>tkj!$CG$9</f>
        <v>82</v>
      </c>
      <c r="M55" s="77">
        <f>tkj!$CH$9</f>
        <v>82</v>
      </c>
      <c r="N55" s="77">
        <f>tkj!$CI$9</f>
        <v>80</v>
      </c>
      <c r="O55" s="73"/>
      <c r="P55" s="74"/>
      <c r="Q55" s="74"/>
      <c r="R55" s="86">
        <f>tkj!$CL$9</f>
        <v>70</v>
      </c>
      <c r="S55" s="86">
        <f>tkj!$CK$9</f>
        <v>84</v>
      </c>
      <c r="T55" s="74"/>
      <c r="U55" s="86">
        <f>tkj!$CJ$9</f>
        <v>87</v>
      </c>
      <c r="V55" s="58"/>
      <c r="X55" s="278">
        <v>9</v>
      </c>
      <c r="Z55" s="50"/>
      <c r="AA55" s="50"/>
      <c r="AB55" s="50"/>
      <c r="AC55" s="50"/>
      <c r="AD55" s="50"/>
      <c r="AE55" s="50"/>
      <c r="AF55" s="50"/>
      <c r="AG55" s="50"/>
      <c r="AH55" s="50"/>
      <c r="AI55" s="50"/>
      <c r="AJ55" s="50"/>
    </row>
    <row r="56" spans="1:36" ht="17.25" customHeight="1" thickBot="1">
      <c r="A56" s="269">
        <v>5</v>
      </c>
      <c r="B56" s="272"/>
      <c r="C56" s="275"/>
      <c r="D56" s="78" t="s">
        <v>302</v>
      </c>
      <c r="E56" s="79">
        <f>(E53*4+E54*3+E55*3)/10</f>
        <v>87.4</v>
      </c>
      <c r="F56" s="79">
        <f t="shared" ref="F56:G56" si="7">(F53*4+F54*3+F55*3)/10</f>
        <v>83.039999999999992</v>
      </c>
      <c r="G56" s="79">
        <f t="shared" si="7"/>
        <v>83.08</v>
      </c>
      <c r="H56" s="79">
        <f>AVERAGE(H48:H51)</f>
        <v>84.75</v>
      </c>
      <c r="I56" s="79">
        <f>AVERAGE(I48:I51)</f>
        <v>81.25</v>
      </c>
      <c r="J56" s="79">
        <f>AVERAGE(J48:J49)</f>
        <v>84</v>
      </c>
      <c r="K56" s="79">
        <f>AVERAGE(K48:K51)</f>
        <v>81</v>
      </c>
      <c r="L56" s="79">
        <f>(L53*4+L54*3+L55*3)/10</f>
        <v>81.599999999999994</v>
      </c>
      <c r="M56" s="79">
        <f>(M53*4+M54*3+M55*3)/10</f>
        <v>81.08</v>
      </c>
      <c r="N56" s="79">
        <f>(N53*4+N54*3+N55*3)/10</f>
        <v>80.47999999999999</v>
      </c>
      <c r="O56" s="79">
        <f>AVERAGE(O48:O49)</f>
        <v>83</v>
      </c>
      <c r="P56" s="79">
        <f>AVERAGE(P48:P49)</f>
        <v>87</v>
      </c>
      <c r="Q56" s="79">
        <f>AVERAGE(Q48:Q49)</f>
        <v>84</v>
      </c>
      <c r="R56" s="79">
        <f>(R53*4+R54*3+R55*3)/10</f>
        <v>79.7</v>
      </c>
      <c r="S56" s="79">
        <f>(S53*4+S54*3+S55*3)/10</f>
        <v>84.433333333333323</v>
      </c>
      <c r="T56" s="79">
        <f>T54</f>
        <v>82</v>
      </c>
      <c r="U56" s="79">
        <f t="shared" ref="U56" si="8">(U53*4+U54*3+U55*3)/10</f>
        <v>81.833333333333329</v>
      </c>
      <c r="V56" s="80">
        <f>AVERAGE(E56:U56)</f>
        <v>82.920392156862746</v>
      </c>
      <c r="X56" s="278">
        <v>9</v>
      </c>
      <c r="Z56" s="50"/>
      <c r="AA56" s="50"/>
      <c r="AB56" s="50"/>
      <c r="AC56" s="50"/>
      <c r="AD56" s="50"/>
      <c r="AE56" s="50"/>
      <c r="AF56" s="50"/>
      <c r="AG56" s="50"/>
      <c r="AH56" s="50"/>
      <c r="AI56" s="50"/>
      <c r="AJ56" s="50"/>
    </row>
    <row r="57" spans="1:36" ht="18" customHeight="1" thickTop="1" thickBot="1">
      <c r="A57" s="268">
        <v>6</v>
      </c>
      <c r="B57" s="270" t="s">
        <v>317</v>
      </c>
      <c r="C57" s="273" t="s">
        <v>63</v>
      </c>
      <c r="D57" s="52" t="s">
        <v>294</v>
      </c>
      <c r="E57" s="53">
        <f>tkj!$E$10</f>
        <v>84</v>
      </c>
      <c r="F57" s="53">
        <f>tkj!$K$10</f>
        <v>89</v>
      </c>
      <c r="G57" s="53">
        <f>tkj!$Q$10</f>
        <v>84</v>
      </c>
      <c r="H57" s="53">
        <f>tkj!$W$10</f>
        <v>83</v>
      </c>
      <c r="I57" s="53">
        <f>tkj!$AA$10</f>
        <v>81</v>
      </c>
      <c r="J57" s="53">
        <f>tkj!$AE$10</f>
        <v>82</v>
      </c>
      <c r="K57" s="54">
        <f>tkj!$AG$10</f>
        <v>79</v>
      </c>
      <c r="L57" s="55"/>
      <c r="M57" s="53">
        <f>tkj!$AM$10</f>
        <v>70</v>
      </c>
      <c r="N57" s="53">
        <f>tkj!$AS$10</f>
        <v>73</v>
      </c>
      <c r="O57" s="53">
        <f>tkj!$AY$10</f>
        <v>75</v>
      </c>
      <c r="P57" s="54">
        <f>tkj!$BA$10</f>
        <v>72</v>
      </c>
      <c r="Q57" s="54">
        <f>tkj!$BC$10</f>
        <v>75</v>
      </c>
      <c r="R57" s="55"/>
      <c r="S57" s="55"/>
      <c r="T57" s="55"/>
      <c r="U57" s="55"/>
      <c r="V57" s="56"/>
      <c r="X57" s="278">
        <v>10</v>
      </c>
    </row>
    <row r="58" spans="1:36" ht="15" thickBot="1">
      <c r="A58" s="268">
        <v>6</v>
      </c>
      <c r="B58" s="271"/>
      <c r="C58" s="274"/>
      <c r="D58" s="52" t="s">
        <v>295</v>
      </c>
      <c r="E58" s="53">
        <f>tkj!$F$10</f>
        <v>80</v>
      </c>
      <c r="F58" s="53">
        <f>tkj!$L$10</f>
        <v>81</v>
      </c>
      <c r="G58" s="53">
        <f>tkj!$R$10</f>
        <v>76</v>
      </c>
      <c r="H58" s="53">
        <f>tkj!$X$10</f>
        <v>84</v>
      </c>
      <c r="I58" s="53">
        <f>tkj!$AB$10</f>
        <v>80</v>
      </c>
      <c r="J58" s="53">
        <f>tkj!$AF$10</f>
        <v>83</v>
      </c>
      <c r="K58" s="54">
        <f>tkj!$AH$10</f>
        <v>70</v>
      </c>
      <c r="L58" s="55"/>
      <c r="M58" s="53">
        <f>tkj!$AN$10</f>
        <v>71</v>
      </c>
      <c r="N58" s="53">
        <f>tkj!$AT$10</f>
        <v>79</v>
      </c>
      <c r="O58" s="53">
        <f>tkj!$AZ$10</f>
        <v>82</v>
      </c>
      <c r="P58" s="54">
        <f>tkj!$BB$10</f>
        <v>78</v>
      </c>
      <c r="Q58" s="54">
        <f>tkj!$BD$10</f>
        <v>80</v>
      </c>
      <c r="R58" s="55"/>
      <c r="S58" s="55"/>
      <c r="T58" s="55"/>
      <c r="U58" s="55"/>
      <c r="V58" s="58"/>
      <c r="X58" s="278">
        <v>10</v>
      </c>
    </row>
    <row r="59" spans="1:36" ht="15" thickBot="1">
      <c r="A59" s="268">
        <v>6</v>
      </c>
      <c r="B59" s="271"/>
      <c r="C59" s="274"/>
      <c r="D59" s="52" t="s">
        <v>296</v>
      </c>
      <c r="E59" s="53">
        <f>tkj!$G$10</f>
        <v>88</v>
      </c>
      <c r="F59" s="53">
        <f>tkj!$M$10</f>
        <v>76</v>
      </c>
      <c r="G59" s="53">
        <f>tkj!$S$10</f>
        <v>71</v>
      </c>
      <c r="H59" s="53">
        <f>tkj!$Y$10</f>
        <v>80</v>
      </c>
      <c r="I59" s="53">
        <f>tkj!$AC$10</f>
        <v>80</v>
      </c>
      <c r="J59" s="59"/>
      <c r="K59" s="54">
        <f>tkj!$AI$10</f>
        <v>71</v>
      </c>
      <c r="L59" s="55"/>
      <c r="M59" s="53">
        <f>tkj!$AO$10</f>
        <v>73</v>
      </c>
      <c r="N59" s="53">
        <f>tkj!$AU$10</f>
        <v>83</v>
      </c>
      <c r="O59" s="59"/>
      <c r="P59" s="55"/>
      <c r="Q59" s="55"/>
      <c r="R59" s="54">
        <f>tkj!$BQ$10</f>
        <v>77.333333333333329</v>
      </c>
      <c r="S59" s="54">
        <f>tkj!$BU$10</f>
        <v>85</v>
      </c>
      <c r="T59" s="55"/>
      <c r="U59" s="54">
        <f>tkj!$BZ$10</f>
        <v>76</v>
      </c>
      <c r="V59" s="58"/>
      <c r="X59" s="278">
        <v>10</v>
      </c>
    </row>
    <row r="60" spans="1:36" ht="15" thickBot="1">
      <c r="A60" s="268">
        <v>6</v>
      </c>
      <c r="B60" s="271"/>
      <c r="C60" s="274"/>
      <c r="D60" s="62" t="s">
        <v>297</v>
      </c>
      <c r="E60" s="53">
        <f>tkj!$H$10</f>
        <v>83</v>
      </c>
      <c r="F60" s="53">
        <f>tkj!$N$10</f>
        <v>88</v>
      </c>
      <c r="G60" s="53">
        <f>tkj!$T$10</f>
        <v>78</v>
      </c>
      <c r="H60" s="53">
        <f>tkj!$Z$10</f>
        <v>85</v>
      </c>
      <c r="I60" s="53">
        <f>tkj!$AD$10</f>
        <v>83</v>
      </c>
      <c r="J60" s="59"/>
      <c r="K60" s="54">
        <f>tkj!$AJ$10</f>
        <v>82</v>
      </c>
      <c r="L60" s="55"/>
      <c r="M60" s="53">
        <f>tkj!$AP$10</f>
        <v>74</v>
      </c>
      <c r="N60" s="53">
        <f>tkj!$AV$10</f>
        <v>83</v>
      </c>
      <c r="O60" s="59"/>
      <c r="P60" s="55"/>
      <c r="Q60" s="55"/>
      <c r="R60" s="54">
        <f>tkj!$BR$10</f>
        <v>75.666666666666671</v>
      </c>
      <c r="S60" s="54">
        <f>tkj!$BV$10</f>
        <v>80</v>
      </c>
      <c r="T60" s="63"/>
      <c r="U60" s="54">
        <f>tkj!$CA$10</f>
        <v>87</v>
      </c>
      <c r="V60" s="58"/>
      <c r="X60" s="278">
        <v>10</v>
      </c>
    </row>
    <row r="61" spans="1:36">
      <c r="A61" s="268">
        <v>6</v>
      </c>
      <c r="B61" s="271"/>
      <c r="C61" s="274"/>
      <c r="D61" s="62" t="s">
        <v>298</v>
      </c>
      <c r="E61" s="53">
        <f>tkj!$I$10</f>
        <v>84</v>
      </c>
      <c r="F61" s="53">
        <f>tkj!$O$10</f>
        <v>91</v>
      </c>
      <c r="G61" s="53">
        <f>tkj!$U$10</f>
        <v>83</v>
      </c>
      <c r="H61" s="65"/>
      <c r="I61" s="65"/>
      <c r="J61" s="59"/>
      <c r="K61" s="59"/>
      <c r="L61" s="53">
        <f>tkj!$AK$10</f>
        <v>80</v>
      </c>
      <c r="M61" s="53">
        <f>tkj!$AQ$10</f>
        <v>77</v>
      </c>
      <c r="N61" s="53">
        <f>tkj!$AW$10</f>
        <v>83</v>
      </c>
      <c r="O61" s="59"/>
      <c r="P61" s="55"/>
      <c r="Q61" s="55"/>
      <c r="R61" s="54">
        <f>tkj!$BS$10</f>
        <v>80.666666666666671</v>
      </c>
      <c r="S61" s="54">
        <f>tkj!$BW$10</f>
        <v>90</v>
      </c>
      <c r="T61" s="54"/>
      <c r="U61" s="54">
        <f>tkj!$CB$10</f>
        <v>74</v>
      </c>
      <c r="V61" s="58"/>
      <c r="X61" s="278">
        <v>10</v>
      </c>
    </row>
    <row r="62" spans="1:36">
      <c r="A62" s="268">
        <v>6</v>
      </c>
      <c r="B62" s="271"/>
      <c r="C62" s="274"/>
      <c r="D62" s="66" t="s">
        <v>299</v>
      </c>
      <c r="E62" s="67">
        <f>AVERAGE(E57:E61)</f>
        <v>83.8</v>
      </c>
      <c r="F62" s="67">
        <f>AVERAGE(F57:F61)</f>
        <v>85</v>
      </c>
      <c r="G62" s="67">
        <f>AVERAGE(G57:G61)</f>
        <v>78.400000000000006</v>
      </c>
      <c r="H62" s="68"/>
      <c r="I62" s="68"/>
      <c r="J62" s="69"/>
      <c r="K62" s="69"/>
      <c r="L62" s="67">
        <f>AVERAGE(L57:L61)</f>
        <v>80</v>
      </c>
      <c r="M62" s="67">
        <f>AVERAGE(M57:M61)</f>
        <v>73</v>
      </c>
      <c r="N62" s="67">
        <f>AVERAGE(N57:N61)</f>
        <v>80.2</v>
      </c>
      <c r="O62" s="69"/>
      <c r="P62" s="63"/>
      <c r="Q62" s="63"/>
      <c r="R62" s="84">
        <f>AVERAGE(R59:R61)</f>
        <v>77.8888888888889</v>
      </c>
      <c r="S62" s="84">
        <f>AVERAGE(S59:S61)</f>
        <v>85</v>
      </c>
      <c r="T62" s="63"/>
      <c r="U62" s="84">
        <f>AVERAGE(U57:U61)</f>
        <v>79</v>
      </c>
      <c r="V62" s="58"/>
      <c r="X62" s="278">
        <v>10</v>
      </c>
    </row>
    <row r="63" spans="1:36">
      <c r="A63" s="268">
        <v>6</v>
      </c>
      <c r="B63" s="271"/>
      <c r="C63" s="274"/>
      <c r="D63" s="70" t="s">
        <v>300</v>
      </c>
      <c r="E63" s="71">
        <f>tkj!$J$10</f>
        <v>81</v>
      </c>
      <c r="F63" s="71">
        <f>tkj!$P$10</f>
        <v>85</v>
      </c>
      <c r="G63" s="71">
        <f>tkj!$V$10</f>
        <v>80</v>
      </c>
      <c r="H63" s="72"/>
      <c r="I63" s="72"/>
      <c r="J63" s="73"/>
      <c r="K63" s="73"/>
      <c r="L63" s="71">
        <f>tkj!$AL$10</f>
        <v>80</v>
      </c>
      <c r="M63" s="71">
        <f>tkj!$AR$10</f>
        <v>80</v>
      </c>
      <c r="N63" s="71">
        <f>tkj!$AX$10</f>
        <v>80</v>
      </c>
      <c r="O63" s="73"/>
      <c r="P63" s="74"/>
      <c r="Q63" s="74"/>
      <c r="R63" s="85">
        <f>tkj!$BT$10</f>
        <v>82</v>
      </c>
      <c r="S63" s="85">
        <f>tkj!$BX$10</f>
        <v>82</v>
      </c>
      <c r="T63" s="85">
        <f>tkj!$BY$10</f>
        <v>82</v>
      </c>
      <c r="U63" s="75">
        <f>tkj!$CC$10</f>
        <v>80</v>
      </c>
      <c r="V63" s="58"/>
      <c r="X63" s="278">
        <v>10</v>
      </c>
    </row>
    <row r="64" spans="1:36">
      <c r="A64" s="268">
        <v>6</v>
      </c>
      <c r="B64" s="271"/>
      <c r="C64" s="274"/>
      <c r="D64" s="76" t="s">
        <v>301</v>
      </c>
      <c r="E64" s="77">
        <f>tkj!$CD$10</f>
        <v>81</v>
      </c>
      <c r="F64" s="77">
        <f>tkj!$CE$10</f>
        <v>85</v>
      </c>
      <c r="G64" s="77">
        <f>tkj!$CF$10</f>
        <v>80</v>
      </c>
      <c r="H64" s="72"/>
      <c r="I64" s="72"/>
      <c r="J64" s="73"/>
      <c r="K64" s="73"/>
      <c r="L64" s="77">
        <f>tkj!$CG$10</f>
        <v>70</v>
      </c>
      <c r="M64" s="77">
        <f>tkj!$CH$10</f>
        <v>78</v>
      </c>
      <c r="N64" s="77">
        <f>tkj!$CI$10</f>
        <v>83</v>
      </c>
      <c r="O64" s="73"/>
      <c r="P64" s="74"/>
      <c r="Q64" s="74"/>
      <c r="R64" s="86">
        <f>tkj!$CL$10</f>
        <v>87</v>
      </c>
      <c r="S64" s="86">
        <f>tkj!$CK$10</f>
        <v>85</v>
      </c>
      <c r="T64" s="74"/>
      <c r="U64" s="86">
        <f>tkj!$CJ$10</f>
        <v>80</v>
      </c>
      <c r="V64" s="58"/>
      <c r="X64" s="278">
        <v>10</v>
      </c>
    </row>
    <row r="65" spans="1:24" ht="15" thickBot="1">
      <c r="A65" s="269">
        <v>6</v>
      </c>
      <c r="B65" s="272"/>
      <c r="C65" s="275"/>
      <c r="D65" s="78" t="s">
        <v>302</v>
      </c>
      <c r="E65" s="79">
        <f>(E62*4+E63*3+E64*3)/10</f>
        <v>82.12</v>
      </c>
      <c r="F65" s="79">
        <f t="shared" ref="F65:G65" si="9">(F62*4+F63*3+F64*3)/10</f>
        <v>85</v>
      </c>
      <c r="G65" s="79">
        <f t="shared" si="9"/>
        <v>79.36</v>
      </c>
      <c r="H65" s="79">
        <f>AVERAGE(H57:H60)</f>
        <v>83</v>
      </c>
      <c r="I65" s="79">
        <f>AVERAGE(I57:I60)</f>
        <v>81</v>
      </c>
      <c r="J65" s="79">
        <f>AVERAGE(J57:J58)</f>
        <v>82.5</v>
      </c>
      <c r="K65" s="79">
        <f>AVERAGE(K57:K60)</f>
        <v>75.5</v>
      </c>
      <c r="L65" s="79">
        <f>(L62*4+L63*3+L64*3)/10</f>
        <v>77</v>
      </c>
      <c r="M65" s="79">
        <f>(M62*4+M63*3+M64*3)/10</f>
        <v>76.599999999999994</v>
      </c>
      <c r="N65" s="79">
        <f>(N62*4+N63*3+N64*3)/10</f>
        <v>80.97999999999999</v>
      </c>
      <c r="O65" s="79">
        <f>AVERAGE(O57:O58)</f>
        <v>78.5</v>
      </c>
      <c r="P65" s="79">
        <f>AVERAGE(P57:P58)</f>
        <v>75</v>
      </c>
      <c r="Q65" s="79">
        <f>AVERAGE(Q57:Q58)</f>
        <v>77.5</v>
      </c>
      <c r="R65" s="79">
        <f>(R62*4+R63*3+R64*3)/10</f>
        <v>81.855555555555569</v>
      </c>
      <c r="S65" s="79">
        <f>(S62*4+S63*3+S64*3)/10</f>
        <v>84.1</v>
      </c>
      <c r="T65" s="79">
        <f>T63</f>
        <v>82</v>
      </c>
      <c r="U65" s="79">
        <f t="shared" ref="U65" si="10">(U62*4+U63*3+U64*3)/10</f>
        <v>79.599999999999994</v>
      </c>
      <c r="V65" s="80">
        <f>AVERAGE(E65:U65)</f>
        <v>80.095032679738551</v>
      </c>
      <c r="X65" s="278">
        <v>10</v>
      </c>
    </row>
    <row r="66" spans="1:24" ht="15.6" thickTop="1" thickBot="1">
      <c r="A66" s="268">
        <v>7</v>
      </c>
      <c r="B66" s="270" t="s">
        <v>318</v>
      </c>
      <c r="C66" s="273" t="s">
        <v>65</v>
      </c>
      <c r="D66" s="52" t="s">
        <v>294</v>
      </c>
      <c r="E66" s="53">
        <f>tkj!$E$11</f>
        <v>95</v>
      </c>
      <c r="F66" s="53">
        <f>tkj!$K$11</f>
        <v>82</v>
      </c>
      <c r="G66" s="53">
        <f>tkj!$Q$11</f>
        <v>87</v>
      </c>
      <c r="H66" s="53">
        <f>tkj!$W$11</f>
        <v>84</v>
      </c>
      <c r="I66" s="53">
        <f>tkj!$AA$11</f>
        <v>84</v>
      </c>
      <c r="J66" s="53">
        <f>tkj!$AE$11</f>
        <v>84</v>
      </c>
      <c r="K66" s="54">
        <f>tkj!$AG$11</f>
        <v>81</v>
      </c>
      <c r="L66" s="55"/>
      <c r="M66" s="53">
        <f>tkj!$AM$11</f>
        <v>83</v>
      </c>
      <c r="N66" s="53">
        <f>tkj!$AS$11</f>
        <v>80</v>
      </c>
      <c r="O66" s="53">
        <f>tkj!$AY$11</f>
        <v>92</v>
      </c>
      <c r="P66" s="54">
        <f>tkj!$BA$11</f>
        <v>81</v>
      </c>
      <c r="Q66" s="54">
        <f>tkj!$BC$11</f>
        <v>84</v>
      </c>
      <c r="R66" s="55"/>
      <c r="S66" s="55"/>
      <c r="T66" s="55"/>
      <c r="U66" s="55"/>
      <c r="V66" s="56"/>
      <c r="X66" s="278">
        <v>11</v>
      </c>
    </row>
    <row r="67" spans="1:24" ht="15" thickBot="1">
      <c r="A67" s="268">
        <v>7</v>
      </c>
      <c r="B67" s="271"/>
      <c r="C67" s="274"/>
      <c r="D67" s="52" t="s">
        <v>295</v>
      </c>
      <c r="E67" s="53">
        <f>tkj!$F$11</f>
        <v>95</v>
      </c>
      <c r="F67" s="53">
        <f>tkj!$L$11</f>
        <v>81</v>
      </c>
      <c r="G67" s="53">
        <f>tkj!$R$11</f>
        <v>87</v>
      </c>
      <c r="H67" s="53">
        <f>tkj!$X$11</f>
        <v>86</v>
      </c>
      <c r="I67" s="53">
        <f>tkj!$AB$11</f>
        <v>85</v>
      </c>
      <c r="J67" s="53">
        <f>tkj!$AF$11</f>
        <v>83</v>
      </c>
      <c r="K67" s="54">
        <f>tkj!$AH$11</f>
        <v>80</v>
      </c>
      <c r="L67" s="55"/>
      <c r="M67" s="53">
        <f>tkj!$AN$11</f>
        <v>85</v>
      </c>
      <c r="N67" s="53">
        <f>tkj!$AT$11</f>
        <v>86</v>
      </c>
      <c r="O67" s="53">
        <f>tkj!$AZ$11</f>
        <v>96</v>
      </c>
      <c r="P67" s="54">
        <f>tkj!$BB$11</f>
        <v>93</v>
      </c>
      <c r="Q67" s="54">
        <f>tkj!$BD$11</f>
        <v>92</v>
      </c>
      <c r="R67" s="55"/>
      <c r="S67" s="55"/>
      <c r="T67" s="55"/>
      <c r="U67" s="55"/>
      <c r="V67" s="58"/>
      <c r="X67" s="278">
        <v>11</v>
      </c>
    </row>
    <row r="68" spans="1:24" ht="15" thickBot="1">
      <c r="A68" s="268">
        <v>7</v>
      </c>
      <c r="B68" s="271"/>
      <c r="C68" s="274"/>
      <c r="D68" s="52" t="s">
        <v>296</v>
      </c>
      <c r="E68" s="53">
        <f>tkj!$G$11</f>
        <v>89</v>
      </c>
      <c r="F68" s="53">
        <f>tkj!$M$11</f>
        <v>95</v>
      </c>
      <c r="G68" s="53">
        <f>tkj!$S$11</f>
        <v>87</v>
      </c>
      <c r="H68" s="53">
        <f>tkj!$Y$11</f>
        <v>84</v>
      </c>
      <c r="I68" s="53">
        <f>tkj!$AC$11</f>
        <v>85</v>
      </c>
      <c r="J68" s="59"/>
      <c r="K68" s="54">
        <f>tkj!$AI$11</f>
        <v>70</v>
      </c>
      <c r="L68" s="55"/>
      <c r="M68" s="53">
        <f>tkj!$AO$11</f>
        <v>96</v>
      </c>
      <c r="N68" s="53">
        <f>tkj!$AU$11</f>
        <v>83</v>
      </c>
      <c r="O68" s="59"/>
      <c r="P68" s="55"/>
      <c r="Q68" s="55"/>
      <c r="R68" s="54">
        <f>tkj!$BQ$11</f>
        <v>86.666666666666671</v>
      </c>
      <c r="S68" s="54">
        <f>tkj!$BU$11</f>
        <v>89</v>
      </c>
      <c r="T68" s="55"/>
      <c r="U68" s="54">
        <f>tkj!$BZ$11</f>
        <v>84</v>
      </c>
      <c r="V68" s="58"/>
      <c r="X68" s="278">
        <v>11</v>
      </c>
    </row>
    <row r="69" spans="1:24" ht="15" thickBot="1">
      <c r="A69" s="268">
        <v>7</v>
      </c>
      <c r="B69" s="271"/>
      <c r="C69" s="274"/>
      <c r="D69" s="62" t="s">
        <v>297</v>
      </c>
      <c r="E69" s="53">
        <f>tkj!$H$11</f>
        <v>95</v>
      </c>
      <c r="F69" s="53">
        <f>tkj!$N$11</f>
        <v>95</v>
      </c>
      <c r="G69" s="53">
        <f>tkj!$T$11</f>
        <v>90</v>
      </c>
      <c r="H69" s="53">
        <f>tkj!$Z$11</f>
        <v>86</v>
      </c>
      <c r="I69" s="53">
        <f>tkj!$AD$11</f>
        <v>86</v>
      </c>
      <c r="J69" s="59"/>
      <c r="K69" s="54">
        <f>tkj!$AJ$11</f>
        <v>81</v>
      </c>
      <c r="L69" s="55"/>
      <c r="M69" s="53">
        <f>tkj!$AP$11</f>
        <v>96</v>
      </c>
      <c r="N69" s="53">
        <f>tkj!$AV$11</f>
        <v>85</v>
      </c>
      <c r="O69" s="59"/>
      <c r="P69" s="55"/>
      <c r="Q69" s="55"/>
      <c r="R69" s="54">
        <f>tkj!$BR$11</f>
        <v>89.666666666666671</v>
      </c>
      <c r="S69" s="54">
        <f>tkj!$BV$11</f>
        <v>91</v>
      </c>
      <c r="T69" s="63"/>
      <c r="U69" s="54">
        <f>tkj!$CA$11</f>
        <v>95</v>
      </c>
      <c r="V69" s="58"/>
      <c r="X69" s="278">
        <v>11</v>
      </c>
    </row>
    <row r="70" spans="1:24">
      <c r="A70" s="268">
        <v>7</v>
      </c>
      <c r="B70" s="271"/>
      <c r="C70" s="274"/>
      <c r="D70" s="62" t="s">
        <v>298</v>
      </c>
      <c r="E70" s="53">
        <f>tkj!$I$11</f>
        <v>92</v>
      </c>
      <c r="F70" s="53">
        <f>tkj!$O$11</f>
        <v>95</v>
      </c>
      <c r="G70" s="53">
        <f>tkj!$U$11</f>
        <v>90</v>
      </c>
      <c r="H70" s="65"/>
      <c r="I70" s="65"/>
      <c r="J70" s="59"/>
      <c r="K70" s="59"/>
      <c r="L70" s="53">
        <f>tkj!$AK$11</f>
        <v>89</v>
      </c>
      <c r="M70" s="53">
        <f>tkj!$AQ$11</f>
        <v>95</v>
      </c>
      <c r="N70" s="53">
        <f>tkj!$AW$11</f>
        <v>83</v>
      </c>
      <c r="O70" s="59"/>
      <c r="P70" s="55"/>
      <c r="Q70" s="55"/>
      <c r="R70" s="54">
        <f>tkj!$BS$11</f>
        <v>90.333333333333329</v>
      </c>
      <c r="S70" s="54">
        <f>tkj!$BW$11</f>
        <v>90</v>
      </c>
      <c r="T70" s="54"/>
      <c r="U70" s="54">
        <f>tkj!$CB$11</f>
        <v>93</v>
      </c>
      <c r="V70" s="58"/>
      <c r="X70" s="278">
        <v>11</v>
      </c>
    </row>
    <row r="71" spans="1:24">
      <c r="A71" s="268">
        <v>7</v>
      </c>
      <c r="B71" s="271"/>
      <c r="C71" s="274"/>
      <c r="D71" s="66" t="s">
        <v>299</v>
      </c>
      <c r="E71" s="67">
        <f>AVERAGE(E66:E70)</f>
        <v>93.2</v>
      </c>
      <c r="F71" s="67">
        <f>AVERAGE(F66:F70)</f>
        <v>89.6</v>
      </c>
      <c r="G71" s="67">
        <f>AVERAGE(G66:G70)</f>
        <v>88.2</v>
      </c>
      <c r="H71" s="68"/>
      <c r="I71" s="68"/>
      <c r="J71" s="69"/>
      <c r="K71" s="69"/>
      <c r="L71" s="67">
        <f>AVERAGE(L66:L70)</f>
        <v>89</v>
      </c>
      <c r="M71" s="67">
        <f>AVERAGE(M66:M70)</f>
        <v>91</v>
      </c>
      <c r="N71" s="67">
        <f>AVERAGE(N66:N70)</f>
        <v>83.4</v>
      </c>
      <c r="O71" s="69"/>
      <c r="P71" s="63"/>
      <c r="Q71" s="63"/>
      <c r="R71" s="84">
        <f>AVERAGE(R68:R70)</f>
        <v>88.8888888888889</v>
      </c>
      <c r="S71" s="84">
        <f>AVERAGE(S68:S70)</f>
        <v>90</v>
      </c>
      <c r="T71" s="63"/>
      <c r="U71" s="84">
        <f>AVERAGE(U66:U70)</f>
        <v>90.666666666666671</v>
      </c>
      <c r="V71" s="58"/>
      <c r="X71" s="278">
        <v>11</v>
      </c>
    </row>
    <row r="72" spans="1:24">
      <c r="A72" s="268">
        <v>7</v>
      </c>
      <c r="B72" s="271"/>
      <c r="C72" s="274"/>
      <c r="D72" s="70" t="s">
        <v>300</v>
      </c>
      <c r="E72" s="71">
        <f>tkj!$J$11</f>
        <v>89</v>
      </c>
      <c r="F72" s="71">
        <f>tkj!$P$11</f>
        <v>85</v>
      </c>
      <c r="G72" s="71">
        <f>tkj!$V$11</f>
        <v>84</v>
      </c>
      <c r="H72" s="72"/>
      <c r="I72" s="72"/>
      <c r="J72" s="73"/>
      <c r="K72" s="73"/>
      <c r="L72" s="71">
        <f>tkj!$AL$11</f>
        <v>84</v>
      </c>
      <c r="M72" s="71">
        <f>tkj!$AR$11</f>
        <v>87</v>
      </c>
      <c r="N72" s="71">
        <f>tkj!$AX$11</f>
        <v>87</v>
      </c>
      <c r="O72" s="73"/>
      <c r="P72" s="74"/>
      <c r="Q72" s="74"/>
      <c r="R72" s="85">
        <f>tkj!$BT$11</f>
        <v>88</v>
      </c>
      <c r="S72" s="85">
        <f>tkj!$BX$11</f>
        <v>88</v>
      </c>
      <c r="T72" s="85">
        <f>tkj!$BY$11</f>
        <v>87</v>
      </c>
      <c r="U72" s="75">
        <f>tkj!$CC$11</f>
        <v>87</v>
      </c>
      <c r="V72" s="58"/>
      <c r="X72" s="278">
        <v>11</v>
      </c>
    </row>
    <row r="73" spans="1:24">
      <c r="A73" s="268">
        <v>7</v>
      </c>
      <c r="B73" s="271"/>
      <c r="C73" s="274"/>
      <c r="D73" s="76" t="s">
        <v>301</v>
      </c>
      <c r="E73" s="77">
        <f>tkj!$CD$11</f>
        <v>90</v>
      </c>
      <c r="F73" s="77">
        <f>tkj!$CE$11</f>
        <v>95</v>
      </c>
      <c r="G73" s="77">
        <f>tkj!$CF$11</f>
        <v>90</v>
      </c>
      <c r="H73" s="72"/>
      <c r="I73" s="72"/>
      <c r="J73" s="73"/>
      <c r="K73" s="73"/>
      <c r="L73" s="77">
        <f>tkj!$CG$11</f>
        <v>90</v>
      </c>
      <c r="M73" s="77">
        <f>tkj!$CH$11</f>
        <v>94</v>
      </c>
      <c r="N73" s="77">
        <f>tkj!$CI$11</f>
        <v>88</v>
      </c>
      <c r="O73" s="73"/>
      <c r="P73" s="74"/>
      <c r="Q73" s="74"/>
      <c r="R73" s="86">
        <f>tkj!$CL$11</f>
        <v>75</v>
      </c>
      <c r="S73" s="86">
        <f>tkj!$CK$11</f>
        <v>85</v>
      </c>
      <c r="T73" s="74"/>
      <c r="U73" s="86">
        <f>tkj!$CJ$11</f>
        <v>92</v>
      </c>
      <c r="V73" s="58"/>
      <c r="X73" s="278">
        <v>11</v>
      </c>
    </row>
    <row r="74" spans="1:24" ht="15" thickBot="1">
      <c r="A74" s="269">
        <v>7</v>
      </c>
      <c r="B74" s="272"/>
      <c r="C74" s="275"/>
      <c r="D74" s="78" t="s">
        <v>302</v>
      </c>
      <c r="E74" s="79">
        <f>(E71*4+E72*3+E73*3)/10</f>
        <v>90.97999999999999</v>
      </c>
      <c r="F74" s="79">
        <f t="shared" ref="F74:G74" si="11">(F71*4+F72*3+F73*3)/10</f>
        <v>89.84</v>
      </c>
      <c r="G74" s="79">
        <f t="shared" si="11"/>
        <v>87.47999999999999</v>
      </c>
      <c r="H74" s="79">
        <f>AVERAGE(H66:H69)</f>
        <v>85</v>
      </c>
      <c r="I74" s="79">
        <f>AVERAGE(I66:I69)</f>
        <v>85</v>
      </c>
      <c r="J74" s="79">
        <f>AVERAGE(J66:J67)</f>
        <v>83.5</v>
      </c>
      <c r="K74" s="79">
        <f>AVERAGE(K66:K69)</f>
        <v>78</v>
      </c>
      <c r="L74" s="79">
        <f>(L71*4+L72*3+L73*3)/10</f>
        <v>87.8</v>
      </c>
      <c r="M74" s="79">
        <f>(M71*4+M72*3+M73*3)/10</f>
        <v>90.7</v>
      </c>
      <c r="N74" s="79">
        <f>(N71*4+N72*3+N73*3)/10</f>
        <v>85.86</v>
      </c>
      <c r="O74" s="79">
        <f>AVERAGE(O66:O67)</f>
        <v>94</v>
      </c>
      <c r="P74" s="79">
        <f>AVERAGE(P66:P67)</f>
        <v>87</v>
      </c>
      <c r="Q74" s="79">
        <f>AVERAGE(Q66:Q67)</f>
        <v>88</v>
      </c>
      <c r="R74" s="79">
        <f>(R71*4+R72*3+R73*3)/10</f>
        <v>84.455555555555563</v>
      </c>
      <c r="S74" s="79">
        <f>(S71*4+S72*3+S73*3)/10</f>
        <v>87.9</v>
      </c>
      <c r="T74" s="79">
        <f>T72</f>
        <v>87</v>
      </c>
      <c r="U74" s="79">
        <f t="shared" ref="U74" si="12">(U71*4+U72*3+U73*3)/10</f>
        <v>89.966666666666669</v>
      </c>
      <c r="V74" s="80">
        <f>AVERAGE(E74:U74)</f>
        <v>87.204836601307193</v>
      </c>
      <c r="X74" s="278">
        <v>11</v>
      </c>
    </row>
    <row r="75" spans="1:24" ht="15.6" thickTop="1" thickBot="1">
      <c r="A75" s="268">
        <v>8</v>
      </c>
      <c r="B75" s="270" t="s">
        <v>319</v>
      </c>
      <c r="C75" s="273" t="s">
        <v>67</v>
      </c>
      <c r="D75" s="52" t="s">
        <v>294</v>
      </c>
      <c r="E75" s="53">
        <f>tkj!$E$12</f>
        <v>92</v>
      </c>
      <c r="F75" s="53">
        <f>tkj!$K$12</f>
        <v>81</v>
      </c>
      <c r="G75" s="53">
        <f>tkj!$Q$12</f>
        <v>95</v>
      </c>
      <c r="H75" s="53">
        <f>tkj!$W$12</f>
        <v>84</v>
      </c>
      <c r="I75" s="53">
        <f>tkj!$AA$12</f>
        <v>75</v>
      </c>
      <c r="J75" s="53">
        <f>tkj!$AE$12</f>
        <v>83</v>
      </c>
      <c r="K75" s="54">
        <f>tkj!$AG$12</f>
        <v>80</v>
      </c>
      <c r="L75" s="55"/>
      <c r="M75" s="53">
        <f>tkj!$AM$12</f>
        <v>73</v>
      </c>
      <c r="N75" s="53">
        <f>tkj!$AS$12</f>
        <v>77</v>
      </c>
      <c r="O75" s="53">
        <f>tkj!$AY$12</f>
        <v>87</v>
      </c>
      <c r="P75" s="54">
        <f>tkj!$BA$12</f>
        <v>75</v>
      </c>
      <c r="Q75" s="54">
        <f>tkj!$BC$12</f>
        <v>80</v>
      </c>
      <c r="R75" s="55"/>
      <c r="S75" s="55"/>
      <c r="T75" s="55"/>
      <c r="U75" s="55"/>
      <c r="V75" s="56"/>
      <c r="X75" s="278">
        <v>12</v>
      </c>
    </row>
    <row r="76" spans="1:24" ht="15" thickBot="1">
      <c r="A76" s="268">
        <v>8</v>
      </c>
      <c r="B76" s="271"/>
      <c r="C76" s="274"/>
      <c r="D76" s="52" t="s">
        <v>295</v>
      </c>
      <c r="E76" s="53">
        <f>tkj!$F$12</f>
        <v>83</v>
      </c>
      <c r="F76" s="53">
        <f>tkj!$L$12</f>
        <v>83</v>
      </c>
      <c r="G76" s="53">
        <f>tkj!$R$12</f>
        <v>87</v>
      </c>
      <c r="H76" s="53">
        <f>tkj!$X$12</f>
        <v>84</v>
      </c>
      <c r="I76" s="53">
        <f>tkj!$AB$12</f>
        <v>83</v>
      </c>
      <c r="J76" s="53">
        <f>tkj!$AF$12</f>
        <v>82</v>
      </c>
      <c r="K76" s="54">
        <f>tkj!$AH$12</f>
        <v>75</v>
      </c>
      <c r="L76" s="55"/>
      <c r="M76" s="53">
        <f>tkj!$AN$12</f>
        <v>76</v>
      </c>
      <c r="N76" s="53">
        <f>tkj!$AT$12</f>
        <v>83</v>
      </c>
      <c r="O76" s="53">
        <f>tkj!$AZ$12</f>
        <v>91</v>
      </c>
      <c r="P76" s="54">
        <f>tkj!$BB$12</f>
        <v>91</v>
      </c>
      <c r="Q76" s="54">
        <f>tkj!$BD$12</f>
        <v>85</v>
      </c>
      <c r="R76" s="55"/>
      <c r="S76" s="55"/>
      <c r="T76" s="55"/>
      <c r="U76" s="55"/>
      <c r="V76" s="58"/>
      <c r="X76" s="278">
        <v>12</v>
      </c>
    </row>
    <row r="77" spans="1:24" ht="15" thickBot="1">
      <c r="A77" s="268">
        <v>8</v>
      </c>
      <c r="B77" s="271"/>
      <c r="C77" s="274"/>
      <c r="D77" s="52" t="s">
        <v>296</v>
      </c>
      <c r="E77" s="53">
        <f>tkj!$G$12</f>
        <v>90</v>
      </c>
      <c r="F77" s="53">
        <f>tkj!$M$12</f>
        <v>85</v>
      </c>
      <c r="G77" s="53">
        <f>tkj!$S$12</f>
        <v>84</v>
      </c>
      <c r="H77" s="53">
        <f>tkj!$Y$12</f>
        <v>82</v>
      </c>
      <c r="I77" s="53">
        <f>tkj!$AC$12</f>
        <v>85</v>
      </c>
      <c r="J77" s="59"/>
      <c r="K77" s="54">
        <f>tkj!$AI$12</f>
        <v>72</v>
      </c>
      <c r="L77" s="55"/>
      <c r="M77" s="53">
        <f>tkj!$AO$12</f>
        <v>79</v>
      </c>
      <c r="N77" s="53">
        <f>tkj!$AU$12</f>
        <v>78</v>
      </c>
      <c r="O77" s="59"/>
      <c r="P77" s="55"/>
      <c r="Q77" s="55"/>
      <c r="R77" s="54">
        <f>tkj!$BQ$12</f>
        <v>82</v>
      </c>
      <c r="S77" s="54">
        <f>tkj!$BU$12</f>
        <v>88</v>
      </c>
      <c r="T77" s="55"/>
      <c r="U77" s="54">
        <f>tkj!$BZ$12</f>
        <v>76</v>
      </c>
      <c r="V77" s="58"/>
      <c r="X77" s="278">
        <v>12</v>
      </c>
    </row>
    <row r="78" spans="1:24" ht="15" thickBot="1">
      <c r="A78" s="268">
        <v>8</v>
      </c>
      <c r="B78" s="271"/>
      <c r="C78" s="274"/>
      <c r="D78" s="62" t="s">
        <v>297</v>
      </c>
      <c r="E78" s="53">
        <f>tkj!$H$12</f>
        <v>85</v>
      </c>
      <c r="F78" s="53">
        <f>tkj!$N$12</f>
        <v>88</v>
      </c>
      <c r="G78" s="53">
        <f>tkj!$T$12</f>
        <v>84</v>
      </c>
      <c r="H78" s="53">
        <f>tkj!$Z$12</f>
        <v>85</v>
      </c>
      <c r="I78" s="53">
        <f>tkj!$AD$12</f>
        <v>86</v>
      </c>
      <c r="J78" s="59"/>
      <c r="K78" s="54">
        <f>tkj!$AJ$12</f>
        <v>82</v>
      </c>
      <c r="L78" s="55"/>
      <c r="M78" s="53">
        <f>tkj!$AP$12</f>
        <v>80</v>
      </c>
      <c r="N78" s="53">
        <f>tkj!$AV$12</f>
        <v>83</v>
      </c>
      <c r="O78" s="59"/>
      <c r="P78" s="55"/>
      <c r="Q78" s="55"/>
      <c r="R78" s="54">
        <f>tkj!$BR$12</f>
        <v>81.666666666666671</v>
      </c>
      <c r="S78" s="54">
        <f>tkj!$BV$12</f>
        <v>88</v>
      </c>
      <c r="T78" s="63"/>
      <c r="U78" s="54">
        <f>tkj!$CA$12</f>
        <v>90</v>
      </c>
      <c r="V78" s="58"/>
      <c r="X78" s="278">
        <v>12</v>
      </c>
    </row>
    <row r="79" spans="1:24">
      <c r="A79" s="268">
        <v>8</v>
      </c>
      <c r="B79" s="271"/>
      <c r="C79" s="274"/>
      <c r="D79" s="62" t="s">
        <v>298</v>
      </c>
      <c r="E79" s="53">
        <f>tkj!$I$12</f>
        <v>91</v>
      </c>
      <c r="F79" s="53">
        <f>tkj!$O$12</f>
        <v>92</v>
      </c>
      <c r="G79" s="53">
        <f>tkj!$U$12</f>
        <v>82</v>
      </c>
      <c r="H79" s="65"/>
      <c r="I79" s="65"/>
      <c r="J79" s="59"/>
      <c r="K79" s="59"/>
      <c r="L79" s="53">
        <f>tkj!$AK$12</f>
        <v>82</v>
      </c>
      <c r="M79" s="53">
        <f>tkj!$AQ$12</f>
        <v>81</v>
      </c>
      <c r="N79" s="53">
        <f>tkj!$AW$12</f>
        <v>78</v>
      </c>
      <c r="O79" s="59"/>
      <c r="P79" s="55"/>
      <c r="Q79" s="55"/>
      <c r="R79" s="54">
        <f>tkj!$BS$12</f>
        <v>84.333333333333329</v>
      </c>
      <c r="S79" s="54">
        <f>tkj!$BW$12</f>
        <v>90</v>
      </c>
      <c r="T79" s="54"/>
      <c r="U79" s="54">
        <f>tkj!$CB$12</f>
        <v>77</v>
      </c>
      <c r="V79" s="58"/>
      <c r="X79" s="278">
        <v>12</v>
      </c>
    </row>
    <row r="80" spans="1:24">
      <c r="A80" s="268">
        <v>8</v>
      </c>
      <c r="B80" s="271"/>
      <c r="C80" s="274"/>
      <c r="D80" s="66" t="s">
        <v>299</v>
      </c>
      <c r="E80" s="67">
        <f>AVERAGE(E75:E79)</f>
        <v>88.2</v>
      </c>
      <c r="F80" s="67">
        <f>AVERAGE(F75:F79)</f>
        <v>85.8</v>
      </c>
      <c r="G80" s="67">
        <f>AVERAGE(G75:G79)</f>
        <v>86.4</v>
      </c>
      <c r="H80" s="68"/>
      <c r="I80" s="68"/>
      <c r="J80" s="69"/>
      <c r="K80" s="69"/>
      <c r="L80" s="67">
        <f>AVERAGE(L75:L79)</f>
        <v>82</v>
      </c>
      <c r="M80" s="67">
        <f>AVERAGE(M75:M79)</f>
        <v>77.8</v>
      </c>
      <c r="N80" s="67">
        <f>AVERAGE(N75:N79)</f>
        <v>79.8</v>
      </c>
      <c r="O80" s="69"/>
      <c r="P80" s="63"/>
      <c r="Q80" s="63"/>
      <c r="R80" s="84">
        <f>AVERAGE(R77:R79)</f>
        <v>82.666666666666671</v>
      </c>
      <c r="S80" s="84">
        <f>AVERAGE(S77:S79)</f>
        <v>88.666666666666671</v>
      </c>
      <c r="T80" s="63"/>
      <c r="U80" s="84">
        <f>AVERAGE(U75:U79)</f>
        <v>81</v>
      </c>
      <c r="V80" s="58"/>
      <c r="X80" s="278">
        <v>12</v>
      </c>
    </row>
    <row r="81" spans="1:24">
      <c r="A81" s="268">
        <v>8</v>
      </c>
      <c r="B81" s="271"/>
      <c r="C81" s="274"/>
      <c r="D81" s="70" t="s">
        <v>300</v>
      </c>
      <c r="E81" s="71">
        <f>tkj!$J$12</f>
        <v>95</v>
      </c>
      <c r="F81" s="71">
        <f>tkj!$P$12</f>
        <v>95</v>
      </c>
      <c r="G81" s="71">
        <f>tkj!$V$12</f>
        <v>87</v>
      </c>
      <c r="H81" s="72"/>
      <c r="I81" s="72"/>
      <c r="J81" s="73"/>
      <c r="K81" s="73"/>
      <c r="L81" s="71">
        <f>tkj!$AL$12</f>
        <v>87</v>
      </c>
      <c r="M81" s="71">
        <f>tkj!$AR$12</f>
        <v>90</v>
      </c>
      <c r="N81" s="71">
        <f>tkj!$AX$12</f>
        <v>90</v>
      </c>
      <c r="O81" s="73"/>
      <c r="P81" s="74"/>
      <c r="Q81" s="74"/>
      <c r="R81" s="85">
        <f>tkj!$BT$12</f>
        <v>95</v>
      </c>
      <c r="S81" s="85">
        <f>tkj!$BX$12</f>
        <v>95</v>
      </c>
      <c r="T81" s="85">
        <f>tkj!$BY$12</f>
        <v>92</v>
      </c>
      <c r="U81" s="75">
        <f>tkj!$CC$12</f>
        <v>90</v>
      </c>
      <c r="V81" s="58"/>
      <c r="X81" s="278">
        <v>12</v>
      </c>
    </row>
    <row r="82" spans="1:24">
      <c r="A82" s="268">
        <v>8</v>
      </c>
      <c r="B82" s="271"/>
      <c r="C82" s="274"/>
      <c r="D82" s="76" t="s">
        <v>301</v>
      </c>
      <c r="E82" s="77">
        <f>tkj!$CD$12</f>
        <v>85</v>
      </c>
      <c r="F82" s="77">
        <f>tkj!$CE$12</f>
        <v>85</v>
      </c>
      <c r="G82" s="77">
        <f>tkj!$CF$12</f>
        <v>81</v>
      </c>
      <c r="H82" s="72"/>
      <c r="I82" s="72"/>
      <c r="J82" s="73"/>
      <c r="K82" s="73"/>
      <c r="L82" s="77">
        <f>tkj!$CG$12</f>
        <v>87</v>
      </c>
      <c r="M82" s="77">
        <f>tkj!$CH$12</f>
        <v>82</v>
      </c>
      <c r="N82" s="77">
        <f>tkj!$CI$12</f>
        <v>85</v>
      </c>
      <c r="O82" s="73"/>
      <c r="P82" s="74"/>
      <c r="Q82" s="74"/>
      <c r="R82" s="86">
        <f>tkj!$CL$12</f>
        <v>90</v>
      </c>
      <c r="S82" s="86">
        <f>tkj!$CK$12</f>
        <v>87</v>
      </c>
      <c r="T82" s="74"/>
      <c r="U82" s="86">
        <f>tkj!$CJ$12</f>
        <v>90</v>
      </c>
      <c r="V82" s="58"/>
      <c r="X82" s="278">
        <v>12</v>
      </c>
    </row>
    <row r="83" spans="1:24" ht="15" thickBot="1">
      <c r="A83" s="269">
        <v>8</v>
      </c>
      <c r="B83" s="272"/>
      <c r="C83" s="275"/>
      <c r="D83" s="78" t="s">
        <v>302</v>
      </c>
      <c r="E83" s="79">
        <f>(E80*4+E81*3+E82*3)/10</f>
        <v>89.28</v>
      </c>
      <c r="F83" s="79">
        <f t="shared" ref="F83:G83" si="13">(F80*4+F81*3+F82*3)/10</f>
        <v>88.320000000000007</v>
      </c>
      <c r="G83" s="79">
        <f t="shared" si="13"/>
        <v>84.960000000000008</v>
      </c>
      <c r="H83" s="79">
        <f>AVERAGE(H75:H78)</f>
        <v>83.75</v>
      </c>
      <c r="I83" s="79">
        <f>AVERAGE(I75:I78)</f>
        <v>82.25</v>
      </c>
      <c r="J83" s="79">
        <f>AVERAGE(J75:J76)</f>
        <v>82.5</v>
      </c>
      <c r="K83" s="79">
        <f>AVERAGE(K75:K78)</f>
        <v>77.25</v>
      </c>
      <c r="L83" s="79">
        <f>(L80*4+L81*3+L82*3)/10</f>
        <v>85</v>
      </c>
      <c r="M83" s="79">
        <f>(M80*4+M81*3+M82*3)/10</f>
        <v>82.72</v>
      </c>
      <c r="N83" s="79">
        <f>(N80*4+N81*3+N82*3)/10</f>
        <v>84.42</v>
      </c>
      <c r="O83" s="79">
        <f>AVERAGE(O75:O76)</f>
        <v>89</v>
      </c>
      <c r="P83" s="79">
        <f>AVERAGE(P75:P76)</f>
        <v>83</v>
      </c>
      <c r="Q83" s="79">
        <f>AVERAGE(Q75:Q76)</f>
        <v>82.5</v>
      </c>
      <c r="R83" s="79">
        <f>(R80*4+R81*3+R82*3)/10</f>
        <v>88.566666666666677</v>
      </c>
      <c r="S83" s="79">
        <f>(S80*4+S81*3+S82*3)/10</f>
        <v>90.066666666666677</v>
      </c>
      <c r="T83" s="79">
        <f>T81</f>
        <v>92</v>
      </c>
      <c r="U83" s="79">
        <f t="shared" ref="U83" si="14">(U80*4+U81*3+U82*3)/10</f>
        <v>86.4</v>
      </c>
      <c r="V83" s="80">
        <f>AVERAGE(E83:U83)</f>
        <v>85.410784313725486</v>
      </c>
      <c r="X83" s="278">
        <v>12</v>
      </c>
    </row>
    <row r="84" spans="1:24" ht="15.6" thickTop="1" thickBot="1">
      <c r="A84" s="268">
        <v>9</v>
      </c>
      <c r="B84" s="270" t="s">
        <v>320</v>
      </c>
      <c r="C84" s="273" t="s">
        <v>69</v>
      </c>
      <c r="D84" s="52" t="s">
        <v>294</v>
      </c>
      <c r="E84" s="53">
        <f>tkj!$E$13</f>
        <v>95</v>
      </c>
      <c r="F84" s="53">
        <f>tkj!$K$13</f>
        <v>87</v>
      </c>
      <c r="G84" s="53">
        <f>tkj!$Q$13</f>
        <v>87</v>
      </c>
      <c r="H84" s="53">
        <f>tkj!$W$13</f>
        <v>84</v>
      </c>
      <c r="I84" s="53">
        <f>tkj!$AA$13</f>
        <v>88</v>
      </c>
      <c r="J84" s="53">
        <f>tkj!$AE$13</f>
        <v>84</v>
      </c>
      <c r="K84" s="54">
        <f>tkj!$AG$13</f>
        <v>83</v>
      </c>
      <c r="L84" s="55"/>
      <c r="M84" s="53">
        <f>tkj!$AM$13</f>
        <v>91</v>
      </c>
      <c r="N84" s="53">
        <f>tkj!$AS$13</f>
        <v>77</v>
      </c>
      <c r="O84" s="53">
        <f>tkj!$AY$13</f>
        <v>92</v>
      </c>
      <c r="P84" s="54">
        <f>tkj!$BA$13</f>
        <v>88</v>
      </c>
      <c r="Q84" s="54">
        <f>tkj!$BC$13</f>
        <v>88</v>
      </c>
      <c r="R84" s="55"/>
      <c r="S84" s="55"/>
      <c r="T84" s="55"/>
      <c r="U84" s="55"/>
      <c r="V84" s="56"/>
      <c r="X84" s="278">
        <v>13</v>
      </c>
    </row>
    <row r="85" spans="1:24" ht="15" thickBot="1">
      <c r="A85" s="268">
        <v>9</v>
      </c>
      <c r="B85" s="271"/>
      <c r="C85" s="274"/>
      <c r="D85" s="52" t="s">
        <v>295</v>
      </c>
      <c r="E85" s="53">
        <f>tkj!$F$13</f>
        <v>95</v>
      </c>
      <c r="F85" s="53">
        <f>tkj!$L$13</f>
        <v>89</v>
      </c>
      <c r="G85" s="53">
        <f>tkj!$R$13</f>
        <v>89</v>
      </c>
      <c r="H85" s="53">
        <f>tkj!$X$13</f>
        <v>86</v>
      </c>
      <c r="I85" s="53">
        <f>tkj!$AB$13</f>
        <v>85</v>
      </c>
      <c r="J85" s="53">
        <f>tkj!$AF$13</f>
        <v>84</v>
      </c>
      <c r="K85" s="54">
        <f>tkj!$AH$13</f>
        <v>80</v>
      </c>
      <c r="L85" s="55"/>
      <c r="M85" s="53">
        <f>tkj!$AN$13</f>
        <v>93</v>
      </c>
      <c r="N85" s="53">
        <f>tkj!$AT$13</f>
        <v>85</v>
      </c>
      <c r="O85" s="53">
        <f>tkj!$AZ$13</f>
        <v>98</v>
      </c>
      <c r="P85" s="54">
        <f>tkj!$BB$13</f>
        <v>94</v>
      </c>
      <c r="Q85" s="54">
        <f>tkj!$BD$13</f>
        <v>92</v>
      </c>
      <c r="R85" s="55"/>
      <c r="S85" s="55"/>
      <c r="T85" s="55"/>
      <c r="U85" s="55"/>
      <c r="V85" s="58"/>
      <c r="X85" s="278">
        <v>13</v>
      </c>
    </row>
    <row r="86" spans="1:24" ht="15" thickBot="1">
      <c r="A86" s="268">
        <v>9</v>
      </c>
      <c r="B86" s="271"/>
      <c r="C86" s="274"/>
      <c r="D86" s="52" t="s">
        <v>296</v>
      </c>
      <c r="E86" s="53">
        <f>tkj!$G$13</f>
        <v>90</v>
      </c>
      <c r="F86" s="53">
        <f>tkj!$M$13</f>
        <v>95</v>
      </c>
      <c r="G86" s="53">
        <f>tkj!$S$13</f>
        <v>88</v>
      </c>
      <c r="H86" s="53">
        <f>tkj!$Y$13</f>
        <v>84</v>
      </c>
      <c r="I86" s="53">
        <f>tkj!$AC$13</f>
        <v>85</v>
      </c>
      <c r="J86" s="59"/>
      <c r="K86" s="54">
        <f>tkj!$AI$13</f>
        <v>76</v>
      </c>
      <c r="L86" s="55"/>
      <c r="M86" s="53">
        <f>tkj!$AO$13</f>
        <v>96</v>
      </c>
      <c r="N86" s="53">
        <f>tkj!$AU$13</f>
        <v>82</v>
      </c>
      <c r="O86" s="59"/>
      <c r="P86" s="55"/>
      <c r="Q86" s="55"/>
      <c r="R86" s="54">
        <f>tkj!$BQ$13</f>
        <v>86.333333333333329</v>
      </c>
      <c r="S86" s="54">
        <f>tkj!$BU$13</f>
        <v>86</v>
      </c>
      <c r="T86" s="55"/>
      <c r="U86" s="54">
        <f>tkj!$BZ$13</f>
        <v>85</v>
      </c>
      <c r="V86" s="58"/>
      <c r="X86" s="278">
        <v>13</v>
      </c>
    </row>
    <row r="87" spans="1:24" ht="15" thickBot="1">
      <c r="A87" s="268">
        <v>9</v>
      </c>
      <c r="B87" s="271"/>
      <c r="C87" s="274"/>
      <c r="D87" s="62" t="s">
        <v>297</v>
      </c>
      <c r="E87" s="53">
        <f>tkj!$H$13</f>
        <v>87</v>
      </c>
      <c r="F87" s="53">
        <f>tkj!$N$13</f>
        <v>95</v>
      </c>
      <c r="G87" s="53">
        <f>tkj!$T$13</f>
        <v>92</v>
      </c>
      <c r="H87" s="53">
        <f>tkj!$Z$13</f>
        <v>86</v>
      </c>
      <c r="I87" s="53">
        <f>tkj!$AD$13</f>
        <v>87</v>
      </c>
      <c r="J87" s="59"/>
      <c r="K87" s="54">
        <f>tkj!$AJ$13</f>
        <v>84</v>
      </c>
      <c r="L87" s="55"/>
      <c r="M87" s="53">
        <f>tkj!$AP$13</f>
        <v>96</v>
      </c>
      <c r="N87" s="53">
        <f>tkj!$AV$13</f>
        <v>88</v>
      </c>
      <c r="O87" s="59"/>
      <c r="P87" s="55"/>
      <c r="Q87" s="55"/>
      <c r="R87" s="54">
        <f>tkj!$BR$13</f>
        <v>90.333333333333329</v>
      </c>
      <c r="S87" s="54">
        <f>tkj!$BV$13</f>
        <v>86</v>
      </c>
      <c r="T87" s="63"/>
      <c r="U87" s="54">
        <f>tkj!$CA$13</f>
        <v>95</v>
      </c>
      <c r="V87" s="58"/>
      <c r="X87" s="278">
        <v>13</v>
      </c>
    </row>
    <row r="88" spans="1:24">
      <c r="A88" s="268">
        <v>9</v>
      </c>
      <c r="B88" s="271"/>
      <c r="C88" s="274"/>
      <c r="D88" s="62" t="s">
        <v>298</v>
      </c>
      <c r="E88" s="53">
        <f>tkj!$I$13</f>
        <v>91</v>
      </c>
      <c r="F88" s="53">
        <f>tkj!$O$13</f>
        <v>95</v>
      </c>
      <c r="G88" s="53">
        <f>tkj!$U$13</f>
        <v>92</v>
      </c>
      <c r="H88" s="65"/>
      <c r="I88" s="65"/>
      <c r="J88" s="59"/>
      <c r="K88" s="59"/>
      <c r="L88" s="53">
        <f>tkj!$AK$13</f>
        <v>90</v>
      </c>
      <c r="M88" s="53">
        <f>tkj!$AQ$13</f>
        <v>94</v>
      </c>
      <c r="N88" s="53">
        <f>tkj!$AW$13</f>
        <v>85</v>
      </c>
      <c r="O88" s="59"/>
      <c r="P88" s="55"/>
      <c r="Q88" s="55"/>
      <c r="R88" s="54">
        <f>tkj!$BS$13</f>
        <v>90.666666666666671</v>
      </c>
      <c r="S88" s="54">
        <f>tkj!$BW$13</f>
        <v>90</v>
      </c>
      <c r="T88" s="54"/>
      <c r="U88" s="54">
        <f>tkj!$CB$13</f>
        <v>94</v>
      </c>
      <c r="V88" s="58"/>
      <c r="X88" s="278">
        <v>13</v>
      </c>
    </row>
    <row r="89" spans="1:24">
      <c r="A89" s="268">
        <v>9</v>
      </c>
      <c r="B89" s="271"/>
      <c r="C89" s="274"/>
      <c r="D89" s="66" t="s">
        <v>299</v>
      </c>
      <c r="E89" s="67">
        <f>AVERAGE(E84:E88)</f>
        <v>91.6</v>
      </c>
      <c r="F89" s="67">
        <f>AVERAGE(F84:F88)</f>
        <v>92.2</v>
      </c>
      <c r="G89" s="67">
        <f>AVERAGE(G84:G88)</f>
        <v>89.6</v>
      </c>
      <c r="H89" s="68"/>
      <c r="I89" s="68"/>
      <c r="J89" s="69"/>
      <c r="K89" s="69"/>
      <c r="L89" s="67">
        <f>AVERAGE(L84:L88)</f>
        <v>90</v>
      </c>
      <c r="M89" s="67">
        <f>AVERAGE(M84:M88)</f>
        <v>94</v>
      </c>
      <c r="N89" s="67">
        <f>AVERAGE(N84:N88)</f>
        <v>83.4</v>
      </c>
      <c r="O89" s="69"/>
      <c r="P89" s="63"/>
      <c r="Q89" s="63"/>
      <c r="R89" s="84">
        <f>AVERAGE(R86:R88)</f>
        <v>89.1111111111111</v>
      </c>
      <c r="S89" s="84">
        <f>AVERAGE(S86:S88)</f>
        <v>87.333333333333329</v>
      </c>
      <c r="T89" s="63"/>
      <c r="U89" s="84">
        <f>AVERAGE(U84:U88)</f>
        <v>91.333333333333329</v>
      </c>
      <c r="V89" s="58"/>
      <c r="X89" s="278">
        <v>13</v>
      </c>
    </row>
    <row r="90" spans="1:24">
      <c r="A90" s="268">
        <v>9</v>
      </c>
      <c r="B90" s="271"/>
      <c r="C90" s="274"/>
      <c r="D90" s="70" t="s">
        <v>300</v>
      </c>
      <c r="E90" s="71">
        <f>tkj!$J$13</f>
        <v>89</v>
      </c>
      <c r="F90" s="71">
        <f>tkj!$P$13</f>
        <v>89</v>
      </c>
      <c r="G90" s="71">
        <f>tkj!$V$13</f>
        <v>89</v>
      </c>
      <c r="H90" s="72"/>
      <c r="I90" s="72"/>
      <c r="J90" s="73"/>
      <c r="K90" s="73"/>
      <c r="L90" s="71">
        <f>tkj!$AL$13</f>
        <v>89</v>
      </c>
      <c r="M90" s="71">
        <f>tkj!$AR$13</f>
        <v>79</v>
      </c>
      <c r="N90" s="71">
        <f>tkj!$AX$13</f>
        <v>79</v>
      </c>
      <c r="O90" s="73"/>
      <c r="P90" s="74"/>
      <c r="Q90" s="74"/>
      <c r="R90" s="85">
        <f>tkj!$BT$13</f>
        <v>84</v>
      </c>
      <c r="S90" s="85">
        <f>tkj!$BX$13</f>
        <v>84</v>
      </c>
      <c r="T90" s="85">
        <f>tkj!$BY$13</f>
        <v>86</v>
      </c>
      <c r="U90" s="75">
        <f>tkj!$CC$13</f>
        <v>79</v>
      </c>
      <c r="V90" s="58"/>
      <c r="X90" s="278">
        <v>13</v>
      </c>
    </row>
    <row r="91" spans="1:24">
      <c r="A91" s="268">
        <v>9</v>
      </c>
      <c r="B91" s="271"/>
      <c r="C91" s="274"/>
      <c r="D91" s="76" t="s">
        <v>301</v>
      </c>
      <c r="E91" s="77">
        <f>tkj!$CD$13</f>
        <v>91</v>
      </c>
      <c r="F91" s="77">
        <f>tkj!$CE$13</f>
        <v>95</v>
      </c>
      <c r="G91" s="77">
        <f>tkj!$CF$13</f>
        <v>92</v>
      </c>
      <c r="H91" s="72"/>
      <c r="I91" s="72"/>
      <c r="J91" s="73"/>
      <c r="K91" s="73"/>
      <c r="L91" s="77">
        <f>tkj!$CG$13</f>
        <v>95</v>
      </c>
      <c r="M91" s="77">
        <f>tkj!$CH$13</f>
        <v>95</v>
      </c>
      <c r="N91" s="77">
        <f>tkj!$CI$13</f>
        <v>88</v>
      </c>
      <c r="O91" s="73"/>
      <c r="P91" s="74"/>
      <c r="Q91" s="74"/>
      <c r="R91" s="86">
        <f>tkj!$CL$13</f>
        <v>92</v>
      </c>
      <c r="S91" s="86">
        <f>tkj!$CK$13</f>
        <v>87</v>
      </c>
      <c r="T91" s="74"/>
      <c r="U91" s="86">
        <f>tkj!$CJ$13</f>
        <v>92</v>
      </c>
      <c r="V91" s="58"/>
      <c r="X91" s="278">
        <v>13</v>
      </c>
    </row>
    <row r="92" spans="1:24" ht="15" thickBot="1">
      <c r="A92" s="269">
        <v>9</v>
      </c>
      <c r="B92" s="272"/>
      <c r="C92" s="275"/>
      <c r="D92" s="78" t="s">
        <v>302</v>
      </c>
      <c r="E92" s="79">
        <f>(E89*4+E90*3+E91*3)/10</f>
        <v>90.64</v>
      </c>
      <c r="F92" s="79">
        <f t="shared" ref="F92:G92" si="15">(F89*4+F90*3+F91*3)/10</f>
        <v>92.08</v>
      </c>
      <c r="G92" s="79">
        <f t="shared" si="15"/>
        <v>90.14</v>
      </c>
      <c r="H92" s="79">
        <f>AVERAGE(H84:H87)</f>
        <v>85</v>
      </c>
      <c r="I92" s="79">
        <f>AVERAGE(I84:I87)</f>
        <v>86.25</v>
      </c>
      <c r="J92" s="79">
        <f>AVERAGE(J84:J85)</f>
        <v>84</v>
      </c>
      <c r="K92" s="79">
        <f>AVERAGE(K84:K87)</f>
        <v>80.75</v>
      </c>
      <c r="L92" s="79">
        <f>(L89*4+L90*3+L91*3)/10</f>
        <v>91.2</v>
      </c>
      <c r="M92" s="79">
        <f>(M89*4+M90*3+M91*3)/10</f>
        <v>89.8</v>
      </c>
      <c r="N92" s="79">
        <f>(N89*4+N90*3+N91*3)/10</f>
        <v>83.460000000000008</v>
      </c>
      <c r="O92" s="79">
        <f>AVERAGE(O84:O85)</f>
        <v>95</v>
      </c>
      <c r="P92" s="79">
        <f>AVERAGE(P84:P85)</f>
        <v>91</v>
      </c>
      <c r="Q92" s="79">
        <f>AVERAGE(Q84:Q85)</f>
        <v>90</v>
      </c>
      <c r="R92" s="79">
        <f>(R89*4+R90*3+R91*3)/10</f>
        <v>88.444444444444429</v>
      </c>
      <c r="S92" s="79">
        <f>(S89*4+S90*3+S91*3)/10</f>
        <v>86.23333333333332</v>
      </c>
      <c r="T92" s="79">
        <f>T90</f>
        <v>86</v>
      </c>
      <c r="U92" s="79">
        <f t="shared" ref="U92" si="16">(U89*4+U90*3+U91*3)/10</f>
        <v>87.833333333333329</v>
      </c>
      <c r="V92" s="80">
        <f>AVERAGE(E92:U92)</f>
        <v>88.10771241830065</v>
      </c>
      <c r="X92" s="278">
        <v>13</v>
      </c>
    </row>
    <row r="93" spans="1:24" ht="15.6" thickTop="1" thickBot="1">
      <c r="A93" s="268">
        <v>10</v>
      </c>
      <c r="B93" s="270" t="s">
        <v>321</v>
      </c>
      <c r="C93" s="273" t="s">
        <v>71</v>
      </c>
      <c r="D93" s="52" t="s">
        <v>294</v>
      </c>
      <c r="E93" s="53">
        <f>tkj!$E$14</f>
        <v>94</v>
      </c>
      <c r="F93" s="53">
        <f>tkj!$K$14</f>
        <v>81</v>
      </c>
      <c r="G93" s="53">
        <f>tkj!$Q$14</f>
        <v>86</v>
      </c>
      <c r="H93" s="53">
        <f>tkj!$W$14</f>
        <v>83</v>
      </c>
      <c r="I93" s="53">
        <f>tkj!$AA$14</f>
        <v>77</v>
      </c>
      <c r="J93" s="53">
        <f>tkj!$AE$14</f>
        <v>83</v>
      </c>
      <c r="K93" s="54">
        <f>tkj!$AG$14</f>
        <v>77</v>
      </c>
      <c r="L93" s="55"/>
      <c r="M93" s="53">
        <f>tkj!$AM$14</f>
        <v>74</v>
      </c>
      <c r="N93" s="53">
        <f>tkj!$AS$14</f>
        <v>86</v>
      </c>
      <c r="O93" s="53">
        <f>tkj!$AY$14</f>
        <v>83</v>
      </c>
      <c r="P93" s="54">
        <f>tkj!$BA$14</f>
        <v>82</v>
      </c>
      <c r="Q93" s="54">
        <f>tkj!$BC$14</f>
        <v>78</v>
      </c>
      <c r="R93" s="55"/>
      <c r="S93" s="55"/>
      <c r="T93" s="55"/>
      <c r="U93" s="55"/>
      <c r="V93" s="56"/>
      <c r="X93" s="278">
        <v>14</v>
      </c>
    </row>
    <row r="94" spans="1:24" ht="15" thickBot="1">
      <c r="A94" s="268">
        <v>10</v>
      </c>
      <c r="B94" s="271"/>
      <c r="C94" s="274"/>
      <c r="D94" s="52" t="s">
        <v>295</v>
      </c>
      <c r="E94" s="53">
        <f>tkj!$F$14</f>
        <v>89</v>
      </c>
      <c r="F94" s="53">
        <f>tkj!$L$14</f>
        <v>81</v>
      </c>
      <c r="G94" s="53">
        <f>tkj!$R$14</f>
        <v>85</v>
      </c>
      <c r="H94" s="53">
        <f>tkj!$X$14</f>
        <v>84</v>
      </c>
      <c r="I94" s="53">
        <f>tkj!$AB$14</f>
        <v>84</v>
      </c>
      <c r="J94" s="53">
        <f>tkj!$AF$14</f>
        <v>83</v>
      </c>
      <c r="K94" s="54">
        <f>tkj!$AH$14</f>
        <v>80</v>
      </c>
      <c r="L94" s="55"/>
      <c r="M94" s="53">
        <f>tkj!$AN$14</f>
        <v>75</v>
      </c>
      <c r="N94" s="53">
        <f>tkj!$AT$14</f>
        <v>88</v>
      </c>
      <c r="O94" s="53">
        <f>tkj!$AZ$14</f>
        <v>88</v>
      </c>
      <c r="P94" s="54">
        <f>tkj!$BB$14</f>
        <v>93</v>
      </c>
      <c r="Q94" s="54">
        <f>tkj!$BD$14</f>
        <v>85</v>
      </c>
      <c r="R94" s="55"/>
      <c r="S94" s="55"/>
      <c r="T94" s="55"/>
      <c r="U94" s="55"/>
      <c r="V94" s="58"/>
      <c r="X94" s="278">
        <v>14</v>
      </c>
    </row>
    <row r="95" spans="1:24" ht="15" thickBot="1">
      <c r="A95" s="268">
        <v>10</v>
      </c>
      <c r="B95" s="271"/>
      <c r="C95" s="274"/>
      <c r="D95" s="52" t="s">
        <v>296</v>
      </c>
      <c r="E95" s="53">
        <f>tkj!$G$14</f>
        <v>89</v>
      </c>
      <c r="F95" s="53">
        <f>tkj!$M$14</f>
        <v>84</v>
      </c>
      <c r="G95" s="53">
        <f>tkj!$S$14</f>
        <v>86</v>
      </c>
      <c r="H95" s="53">
        <f>tkj!$Y$14</f>
        <v>81</v>
      </c>
      <c r="I95" s="53">
        <f>tkj!$AC$14</f>
        <v>82</v>
      </c>
      <c r="J95" s="59"/>
      <c r="K95" s="54">
        <f>tkj!$AI$14</f>
        <v>72</v>
      </c>
      <c r="L95" s="55"/>
      <c r="M95" s="53">
        <f>tkj!$AO$14</f>
        <v>75</v>
      </c>
      <c r="N95" s="53">
        <f>tkj!$AU$14</f>
        <v>85</v>
      </c>
      <c r="O95" s="59"/>
      <c r="P95" s="55"/>
      <c r="Q95" s="55"/>
      <c r="R95" s="54">
        <f>tkj!$BQ$14</f>
        <v>84</v>
      </c>
      <c r="S95" s="54">
        <f>tkj!$BU$14</f>
        <v>87</v>
      </c>
      <c r="T95" s="55"/>
      <c r="U95" s="54">
        <f>tkj!$BZ$14</f>
        <v>85</v>
      </c>
      <c r="V95" s="58"/>
      <c r="X95" s="278">
        <v>14</v>
      </c>
    </row>
    <row r="96" spans="1:24" ht="15" thickBot="1">
      <c r="A96" s="268">
        <v>10</v>
      </c>
      <c r="B96" s="271"/>
      <c r="C96" s="274"/>
      <c r="D96" s="62" t="s">
        <v>297</v>
      </c>
      <c r="E96" s="53">
        <f>tkj!$H$14</f>
        <v>87</v>
      </c>
      <c r="F96" s="53">
        <f>tkj!$N$14</f>
        <v>95</v>
      </c>
      <c r="G96" s="53">
        <f>tkj!$T$14</f>
        <v>87</v>
      </c>
      <c r="H96" s="53">
        <f>tkj!$Z$14</f>
        <v>85</v>
      </c>
      <c r="I96" s="53">
        <f>tkj!$AD$14</f>
        <v>84</v>
      </c>
      <c r="J96" s="59"/>
      <c r="K96" s="54">
        <f>tkj!$AJ$14</f>
        <v>83</v>
      </c>
      <c r="L96" s="55"/>
      <c r="M96" s="53">
        <f>tkj!$AP$14</f>
        <v>76</v>
      </c>
      <c r="N96" s="53">
        <f>tkj!$AV$14</f>
        <v>88</v>
      </c>
      <c r="O96" s="59"/>
      <c r="P96" s="55"/>
      <c r="Q96" s="55"/>
      <c r="R96" s="54">
        <f>tkj!$BR$14</f>
        <v>84.666666666666671</v>
      </c>
      <c r="S96" s="54">
        <f>tkj!$BV$14</f>
        <v>87</v>
      </c>
      <c r="T96" s="63"/>
      <c r="U96" s="54">
        <f>tkj!$CA$14</f>
        <v>93</v>
      </c>
      <c r="V96" s="58"/>
      <c r="X96" s="278">
        <v>14</v>
      </c>
    </row>
    <row r="97" spans="1:24">
      <c r="A97" s="268">
        <v>10</v>
      </c>
      <c r="B97" s="271"/>
      <c r="C97" s="274"/>
      <c r="D97" s="62" t="s">
        <v>298</v>
      </c>
      <c r="E97" s="53">
        <f>tkj!$I$14</f>
        <v>90</v>
      </c>
      <c r="F97" s="53">
        <f>tkj!$O$14</f>
        <v>95</v>
      </c>
      <c r="G97" s="53">
        <f>tkj!$U$14</f>
        <v>82</v>
      </c>
      <c r="H97" s="65"/>
      <c r="I97" s="65"/>
      <c r="J97" s="59"/>
      <c r="K97" s="59"/>
      <c r="L97" s="53">
        <f>tkj!$AK$14</f>
        <v>83</v>
      </c>
      <c r="M97" s="53">
        <f>tkj!$AQ$14</f>
        <v>80</v>
      </c>
      <c r="N97" s="53">
        <f>tkj!$AW$14</f>
        <v>85</v>
      </c>
      <c r="O97" s="59"/>
      <c r="P97" s="55"/>
      <c r="Q97" s="55"/>
      <c r="R97" s="54">
        <f>tkj!$BS$14</f>
        <v>84.666666666666671</v>
      </c>
      <c r="S97" s="54">
        <f>tkj!$BW$14</f>
        <v>89</v>
      </c>
      <c r="T97" s="54"/>
      <c r="U97" s="54">
        <f>tkj!$CB$14</f>
        <v>80</v>
      </c>
      <c r="V97" s="58"/>
      <c r="X97" s="278">
        <v>14</v>
      </c>
    </row>
    <row r="98" spans="1:24">
      <c r="A98" s="268">
        <v>10</v>
      </c>
      <c r="B98" s="271"/>
      <c r="C98" s="274"/>
      <c r="D98" s="66" t="s">
        <v>299</v>
      </c>
      <c r="E98" s="67">
        <f>AVERAGE(E93:E97)</f>
        <v>89.8</v>
      </c>
      <c r="F98" s="67">
        <f>AVERAGE(F93:F97)</f>
        <v>87.2</v>
      </c>
      <c r="G98" s="67">
        <f>AVERAGE(G93:G97)</f>
        <v>85.2</v>
      </c>
      <c r="H98" s="68"/>
      <c r="I98" s="68"/>
      <c r="J98" s="69"/>
      <c r="K98" s="69"/>
      <c r="L98" s="67">
        <f>AVERAGE(L93:L97)</f>
        <v>83</v>
      </c>
      <c r="M98" s="67">
        <f>AVERAGE(M93:M97)</f>
        <v>76</v>
      </c>
      <c r="N98" s="67">
        <f>AVERAGE(N93:N97)</f>
        <v>86.4</v>
      </c>
      <c r="O98" s="69"/>
      <c r="P98" s="63"/>
      <c r="Q98" s="63"/>
      <c r="R98" s="84">
        <f>AVERAGE(R95:R97)</f>
        <v>84.444444444444457</v>
      </c>
      <c r="S98" s="84">
        <f>AVERAGE(S95:S97)</f>
        <v>87.666666666666671</v>
      </c>
      <c r="T98" s="63"/>
      <c r="U98" s="84">
        <f>AVERAGE(U93:U97)</f>
        <v>86</v>
      </c>
      <c r="V98" s="58"/>
      <c r="X98" s="278">
        <v>14</v>
      </c>
    </row>
    <row r="99" spans="1:24">
      <c r="A99" s="268">
        <v>10</v>
      </c>
      <c r="B99" s="271"/>
      <c r="C99" s="274"/>
      <c r="D99" s="70" t="s">
        <v>300</v>
      </c>
      <c r="E99" s="71">
        <f>tkj!$J$14</f>
        <v>95</v>
      </c>
      <c r="F99" s="71">
        <f>tkj!$P$14</f>
        <v>95</v>
      </c>
      <c r="G99" s="71">
        <f>tkj!$V$14</f>
        <v>90</v>
      </c>
      <c r="H99" s="72"/>
      <c r="I99" s="72"/>
      <c r="J99" s="73"/>
      <c r="K99" s="73"/>
      <c r="L99" s="71">
        <f>tkj!$AL$14</f>
        <v>90</v>
      </c>
      <c r="M99" s="71">
        <f>tkj!$AR$14</f>
        <v>95</v>
      </c>
      <c r="N99" s="71">
        <f>tkj!$AX$14</f>
        <v>95</v>
      </c>
      <c r="O99" s="73"/>
      <c r="P99" s="74"/>
      <c r="Q99" s="74"/>
      <c r="R99" s="85">
        <f>tkj!$BT$14</f>
        <v>95</v>
      </c>
      <c r="S99" s="85">
        <f>tkj!$BX$14</f>
        <v>95</v>
      </c>
      <c r="T99" s="85">
        <f>tkj!$BY$14</f>
        <v>94</v>
      </c>
      <c r="U99" s="75">
        <f>tkj!$CC$14</f>
        <v>95</v>
      </c>
      <c r="V99" s="58"/>
      <c r="X99" s="278">
        <v>14</v>
      </c>
    </row>
    <row r="100" spans="1:24">
      <c r="A100" s="268">
        <v>10</v>
      </c>
      <c r="B100" s="271"/>
      <c r="C100" s="274"/>
      <c r="D100" s="76" t="s">
        <v>301</v>
      </c>
      <c r="E100" s="77">
        <f>tkj!$CD$14</f>
        <v>88</v>
      </c>
      <c r="F100" s="77">
        <f>tkj!$CE$14</f>
        <v>90</v>
      </c>
      <c r="G100" s="77">
        <f>tkj!$CF$14</f>
        <v>80</v>
      </c>
      <c r="H100" s="72"/>
      <c r="I100" s="72"/>
      <c r="J100" s="73"/>
      <c r="K100" s="73"/>
      <c r="L100" s="77">
        <f>tkj!$CG$14</f>
        <v>90</v>
      </c>
      <c r="M100" s="77">
        <f>tkj!$CH$14</f>
        <v>80</v>
      </c>
      <c r="N100" s="77">
        <f>tkj!$CI$14</f>
        <v>88</v>
      </c>
      <c r="O100" s="73"/>
      <c r="P100" s="74"/>
      <c r="Q100" s="74"/>
      <c r="R100" s="86">
        <f>tkj!$CL$14</f>
        <v>95</v>
      </c>
      <c r="S100" s="86">
        <f>tkj!$CK$14</f>
        <v>85</v>
      </c>
      <c r="T100" s="74"/>
      <c r="U100" s="86">
        <f>tkj!$CJ$14</f>
        <v>85</v>
      </c>
      <c r="V100" s="58"/>
      <c r="X100" s="278">
        <v>14</v>
      </c>
    </row>
    <row r="101" spans="1:24" ht="15" thickBot="1">
      <c r="A101" s="269">
        <v>10</v>
      </c>
      <c r="B101" s="272"/>
      <c r="C101" s="275"/>
      <c r="D101" s="78" t="s">
        <v>302</v>
      </c>
      <c r="E101" s="79">
        <f>(E98*4+E99*3+E100*3)/10</f>
        <v>90.820000000000007</v>
      </c>
      <c r="F101" s="79">
        <f t="shared" ref="F101:G101" si="17">(F98*4+F99*3+F100*3)/10</f>
        <v>90.38</v>
      </c>
      <c r="G101" s="79">
        <f t="shared" si="17"/>
        <v>85.08</v>
      </c>
      <c r="H101" s="79">
        <f>AVERAGE(H93:H96)</f>
        <v>83.25</v>
      </c>
      <c r="I101" s="79">
        <f>AVERAGE(I93:I96)</f>
        <v>81.75</v>
      </c>
      <c r="J101" s="79">
        <f>AVERAGE(J93:J94)</f>
        <v>83</v>
      </c>
      <c r="K101" s="79">
        <f>AVERAGE(K93:K96)</f>
        <v>78</v>
      </c>
      <c r="L101" s="79">
        <f>(L98*4+L99*3+L100*3)/10</f>
        <v>87.2</v>
      </c>
      <c r="M101" s="79">
        <f>(M98*4+M99*3+M100*3)/10</f>
        <v>82.9</v>
      </c>
      <c r="N101" s="79">
        <f>(N98*4+N99*3+N100*3)/10</f>
        <v>89.460000000000008</v>
      </c>
      <c r="O101" s="79">
        <f>AVERAGE(O93:O94)</f>
        <v>85.5</v>
      </c>
      <c r="P101" s="79">
        <f>AVERAGE(P93:P94)</f>
        <v>87.5</v>
      </c>
      <c r="Q101" s="79">
        <f>AVERAGE(Q93:Q94)</f>
        <v>81.5</v>
      </c>
      <c r="R101" s="79">
        <f>(R98*4+R99*3+R100*3)/10</f>
        <v>90.777777777777786</v>
      </c>
      <c r="S101" s="79">
        <f>(S98*4+S99*3+S100*3)/10</f>
        <v>89.066666666666677</v>
      </c>
      <c r="T101" s="79">
        <f>T99</f>
        <v>94</v>
      </c>
      <c r="U101" s="79">
        <f t="shared" ref="U101" si="18">(U98*4+U99*3+U100*3)/10</f>
        <v>88.4</v>
      </c>
      <c r="V101" s="80">
        <f>AVERAGE(E101:U101)</f>
        <v>86.387320261437921</v>
      </c>
      <c r="X101" s="278">
        <v>14</v>
      </c>
    </row>
    <row r="102" spans="1:24" ht="18" customHeight="1" thickTop="1" thickBot="1">
      <c r="A102" s="268">
        <v>11</v>
      </c>
      <c r="B102" s="270" t="s">
        <v>322</v>
      </c>
      <c r="C102" s="273" t="s">
        <v>73</v>
      </c>
      <c r="D102" s="52" t="s">
        <v>294</v>
      </c>
      <c r="E102" s="53">
        <f>tkj!$E$15</f>
        <v>80</v>
      </c>
      <c r="F102" s="53">
        <f>tkj!$K$15</f>
        <v>77</v>
      </c>
      <c r="G102" s="53">
        <f>tkj!$Q$15</f>
        <v>80</v>
      </c>
      <c r="H102" s="53">
        <f>tkj!$W$15</f>
        <v>82</v>
      </c>
      <c r="I102" s="53">
        <f>tkj!$AA$15</f>
        <v>79</v>
      </c>
      <c r="J102" s="53">
        <f>tkj!$AE$15</f>
        <v>82</v>
      </c>
      <c r="K102" s="54">
        <f>tkj!$AG$15</f>
        <v>75</v>
      </c>
      <c r="L102" s="55"/>
      <c r="M102" s="53">
        <f>tkj!$AM$15</f>
        <v>70</v>
      </c>
      <c r="N102" s="53">
        <f>tkj!$AS$15</f>
        <v>74</v>
      </c>
      <c r="O102" s="53">
        <f>tkj!$AY$15</f>
        <v>76</v>
      </c>
      <c r="P102" s="54">
        <f>tkj!$BA$15</f>
        <v>74</v>
      </c>
      <c r="Q102" s="54">
        <f>tkj!$BC$15</f>
        <v>78</v>
      </c>
      <c r="R102" s="55"/>
      <c r="S102" s="55"/>
      <c r="T102" s="55"/>
      <c r="U102" s="55"/>
      <c r="V102" s="56"/>
      <c r="X102" s="278">
        <v>15</v>
      </c>
    </row>
    <row r="103" spans="1:24" ht="15" thickBot="1">
      <c r="A103" s="268">
        <v>11</v>
      </c>
      <c r="B103" s="271"/>
      <c r="C103" s="274"/>
      <c r="D103" s="52" t="s">
        <v>295</v>
      </c>
      <c r="E103" s="53">
        <f>tkj!$F$15</f>
        <v>82</v>
      </c>
      <c r="F103" s="53">
        <f>tkj!$L$15</f>
        <v>79</v>
      </c>
      <c r="G103" s="53">
        <f>tkj!$R$15</f>
        <v>78</v>
      </c>
      <c r="H103" s="53">
        <f>tkj!$X$15</f>
        <v>83</v>
      </c>
      <c r="I103" s="53">
        <f>tkj!$AB$15</f>
        <v>79</v>
      </c>
      <c r="J103" s="53">
        <f>tkj!$AF$15</f>
        <v>81</v>
      </c>
      <c r="K103" s="54">
        <f>tkj!$AH$15</f>
        <v>77</v>
      </c>
      <c r="L103" s="55"/>
      <c r="M103" s="53">
        <f>tkj!$AN$15</f>
        <v>70</v>
      </c>
      <c r="N103" s="53">
        <f>tkj!$AT$15</f>
        <v>76</v>
      </c>
      <c r="O103" s="53">
        <f>tkj!$AZ$15</f>
        <v>85</v>
      </c>
      <c r="P103" s="54">
        <f>tkj!$BB$15</f>
        <v>78</v>
      </c>
      <c r="Q103" s="54">
        <f>tkj!$BD$15</f>
        <v>77</v>
      </c>
      <c r="R103" s="55"/>
      <c r="S103" s="55"/>
      <c r="T103" s="55"/>
      <c r="U103" s="55"/>
      <c r="V103" s="58"/>
      <c r="X103" s="278">
        <v>15</v>
      </c>
    </row>
    <row r="104" spans="1:24" ht="15" thickBot="1">
      <c r="A104" s="268">
        <v>11</v>
      </c>
      <c r="B104" s="271"/>
      <c r="C104" s="274"/>
      <c r="D104" s="52" t="s">
        <v>296</v>
      </c>
      <c r="E104" s="53">
        <f>tkj!$G$15</f>
        <v>85</v>
      </c>
      <c r="F104" s="53">
        <f>tkj!$M$15</f>
        <v>83</v>
      </c>
      <c r="G104" s="53">
        <f>tkj!$S$15</f>
        <v>84</v>
      </c>
      <c r="H104" s="53">
        <f>tkj!$Y$15</f>
        <v>78</v>
      </c>
      <c r="I104" s="53">
        <f>tkj!$AC$15</f>
        <v>70</v>
      </c>
      <c r="J104" s="59"/>
      <c r="K104" s="54">
        <f>tkj!$AI$15</f>
        <v>73</v>
      </c>
      <c r="L104" s="55"/>
      <c r="M104" s="53">
        <f>tkj!$AO$15</f>
        <v>72</v>
      </c>
      <c r="N104" s="53">
        <f>tkj!$AU$15</f>
        <v>78</v>
      </c>
      <c r="O104" s="59"/>
      <c r="P104" s="55"/>
      <c r="Q104" s="55"/>
      <c r="R104" s="54">
        <f>tkj!$BQ$15</f>
        <v>76</v>
      </c>
      <c r="S104" s="54">
        <f>tkj!$BU$15</f>
        <v>85</v>
      </c>
      <c r="T104" s="55"/>
      <c r="U104" s="54">
        <f>tkj!$BZ$15</f>
        <v>71</v>
      </c>
      <c r="V104" s="58"/>
      <c r="X104" s="278">
        <v>15</v>
      </c>
    </row>
    <row r="105" spans="1:24" ht="15" thickBot="1">
      <c r="A105" s="268">
        <v>11</v>
      </c>
      <c r="B105" s="271"/>
      <c r="C105" s="274"/>
      <c r="D105" s="62" t="s">
        <v>297</v>
      </c>
      <c r="E105" s="53">
        <f>tkj!$H$15</f>
        <v>81</v>
      </c>
      <c r="F105" s="53">
        <f>tkj!$N$15</f>
        <v>73</v>
      </c>
      <c r="G105" s="53">
        <f>tkj!$T$15</f>
        <v>72</v>
      </c>
      <c r="H105" s="53">
        <f>tkj!$Z$15</f>
        <v>84</v>
      </c>
      <c r="I105" s="53">
        <f>tkj!$AD$15</f>
        <v>71</v>
      </c>
      <c r="J105" s="59"/>
      <c r="K105" s="54">
        <f>tkj!$AJ$15</f>
        <v>84</v>
      </c>
      <c r="L105" s="55"/>
      <c r="M105" s="53">
        <f>tkj!$AP$15</f>
        <v>73</v>
      </c>
      <c r="N105" s="53">
        <f>tkj!$AV$15</f>
        <v>75</v>
      </c>
      <c r="O105" s="59"/>
      <c r="P105" s="55"/>
      <c r="Q105" s="55"/>
      <c r="R105" s="54">
        <f>tkj!$BR$15</f>
        <v>72.333333333333329</v>
      </c>
      <c r="S105" s="54">
        <f>tkj!$BV$15</f>
        <v>80</v>
      </c>
      <c r="T105" s="63"/>
      <c r="U105" s="54">
        <f>tkj!$CA$15</f>
        <v>76</v>
      </c>
      <c r="V105" s="58"/>
      <c r="X105" s="278">
        <v>15</v>
      </c>
    </row>
    <row r="106" spans="1:24">
      <c r="A106" s="268">
        <v>11</v>
      </c>
      <c r="B106" s="271"/>
      <c r="C106" s="274"/>
      <c r="D106" s="62" t="s">
        <v>298</v>
      </c>
      <c r="E106" s="53">
        <f>tkj!$I$15</f>
        <v>83</v>
      </c>
      <c r="F106" s="53">
        <f>tkj!$O$15</f>
        <v>75</v>
      </c>
      <c r="G106" s="53">
        <f>tkj!$U$15</f>
        <v>80</v>
      </c>
      <c r="H106" s="65"/>
      <c r="I106" s="65"/>
      <c r="J106" s="59"/>
      <c r="K106" s="59"/>
      <c r="L106" s="53">
        <f>tkj!$AK$15</f>
        <v>80</v>
      </c>
      <c r="M106" s="53">
        <f>tkj!$AQ$15</f>
        <v>79</v>
      </c>
      <c r="N106" s="53">
        <f>tkj!$AW$15</f>
        <v>77</v>
      </c>
      <c r="O106" s="59"/>
      <c r="P106" s="55"/>
      <c r="Q106" s="55"/>
      <c r="R106" s="54">
        <f>tkj!$BS$15</f>
        <v>79.333333333333329</v>
      </c>
      <c r="S106" s="54">
        <f>tkj!$BW$15</f>
        <v>80</v>
      </c>
      <c r="T106" s="54"/>
      <c r="U106" s="54">
        <f>tkj!$CB$15</f>
        <v>73</v>
      </c>
      <c r="V106" s="58"/>
      <c r="X106" s="278">
        <v>15</v>
      </c>
    </row>
    <row r="107" spans="1:24">
      <c r="A107" s="268">
        <v>11</v>
      </c>
      <c r="B107" s="271"/>
      <c r="C107" s="274"/>
      <c r="D107" s="66" t="s">
        <v>299</v>
      </c>
      <c r="E107" s="67">
        <f>AVERAGE(E102:E106)</f>
        <v>82.2</v>
      </c>
      <c r="F107" s="67">
        <f>AVERAGE(F102:F106)</f>
        <v>77.400000000000006</v>
      </c>
      <c r="G107" s="67">
        <f>AVERAGE(G102:G106)</f>
        <v>78.8</v>
      </c>
      <c r="H107" s="68"/>
      <c r="I107" s="68"/>
      <c r="J107" s="69"/>
      <c r="K107" s="69"/>
      <c r="L107" s="67">
        <f>AVERAGE(L102:L106)</f>
        <v>80</v>
      </c>
      <c r="M107" s="67">
        <f>AVERAGE(M102:M106)</f>
        <v>72.8</v>
      </c>
      <c r="N107" s="67">
        <f>AVERAGE(N102:N106)</f>
        <v>76</v>
      </c>
      <c r="O107" s="69"/>
      <c r="P107" s="63"/>
      <c r="Q107" s="63"/>
      <c r="R107" s="84">
        <f>AVERAGE(R104:R106)</f>
        <v>75.888888888888872</v>
      </c>
      <c r="S107" s="84">
        <f>AVERAGE(S104:S106)</f>
        <v>81.666666666666671</v>
      </c>
      <c r="T107" s="63"/>
      <c r="U107" s="84">
        <f>AVERAGE(U102:U106)</f>
        <v>73.333333333333329</v>
      </c>
      <c r="V107" s="58"/>
      <c r="X107" s="278">
        <v>15</v>
      </c>
    </row>
    <row r="108" spans="1:24">
      <c r="A108" s="268">
        <v>11</v>
      </c>
      <c r="B108" s="271"/>
      <c r="C108" s="274"/>
      <c r="D108" s="70" t="s">
        <v>300</v>
      </c>
      <c r="E108" s="71">
        <f>tkj!$J$15</f>
        <v>78</v>
      </c>
      <c r="F108" s="71">
        <f>tkj!$P$15</f>
        <v>79</v>
      </c>
      <c r="G108" s="71">
        <f>tkj!$V$15</f>
        <v>86</v>
      </c>
      <c r="H108" s="72"/>
      <c r="I108" s="72"/>
      <c r="J108" s="73"/>
      <c r="K108" s="73"/>
      <c r="L108" s="71">
        <f>tkj!$AL$15</f>
        <v>86</v>
      </c>
      <c r="M108" s="71">
        <f>tkj!$AR$15</f>
        <v>78</v>
      </c>
      <c r="N108" s="71">
        <f>tkj!$AX$15</f>
        <v>78</v>
      </c>
      <c r="O108" s="73"/>
      <c r="P108" s="74"/>
      <c r="Q108" s="74"/>
      <c r="R108" s="85">
        <f>tkj!$BT$15</f>
        <v>84</v>
      </c>
      <c r="S108" s="85">
        <f>tkj!$BX$15</f>
        <v>84</v>
      </c>
      <c r="T108" s="85">
        <f>tkj!$BY$15</f>
        <v>81</v>
      </c>
      <c r="U108" s="75">
        <f>tkj!$CC$15</f>
        <v>78</v>
      </c>
      <c r="V108" s="58"/>
      <c r="X108" s="278">
        <v>15</v>
      </c>
    </row>
    <row r="109" spans="1:24">
      <c r="A109" s="268">
        <v>11</v>
      </c>
      <c r="B109" s="271"/>
      <c r="C109" s="274"/>
      <c r="D109" s="76" t="s">
        <v>301</v>
      </c>
      <c r="E109" s="77">
        <f>tkj!$CD$15</f>
        <v>86</v>
      </c>
      <c r="F109" s="77">
        <f>tkj!$CE$15</f>
        <v>75</v>
      </c>
      <c r="G109" s="77">
        <f>tkj!$CF$15</f>
        <v>80</v>
      </c>
      <c r="H109" s="72"/>
      <c r="I109" s="72"/>
      <c r="J109" s="73"/>
      <c r="K109" s="73"/>
      <c r="L109" s="77">
        <f>tkj!$CG$15</f>
        <v>70</v>
      </c>
      <c r="M109" s="77">
        <f>tkj!$CH$15</f>
        <v>78</v>
      </c>
      <c r="N109" s="77">
        <f>tkj!$CI$15</f>
        <v>80</v>
      </c>
      <c r="O109" s="73"/>
      <c r="P109" s="74"/>
      <c r="Q109" s="74"/>
      <c r="R109" s="86">
        <f>tkj!$CL$15</f>
        <v>87</v>
      </c>
      <c r="S109" s="86">
        <f>tkj!$CK$15</f>
        <v>88</v>
      </c>
      <c r="T109" s="74"/>
      <c r="U109" s="86">
        <f>tkj!$CJ$15</f>
        <v>80</v>
      </c>
      <c r="V109" s="58"/>
      <c r="X109" s="278">
        <v>15</v>
      </c>
    </row>
    <row r="110" spans="1:24" ht="15" thickBot="1">
      <c r="A110" s="269">
        <v>11</v>
      </c>
      <c r="B110" s="272"/>
      <c r="C110" s="275"/>
      <c r="D110" s="78" t="s">
        <v>302</v>
      </c>
      <c r="E110" s="79">
        <f>(E107*4+E108*3+E109*3)/10</f>
        <v>82.08</v>
      </c>
      <c r="F110" s="79">
        <f t="shared" ref="F110:G110" si="19">(F107*4+F108*3+F109*3)/10</f>
        <v>77.16</v>
      </c>
      <c r="G110" s="79">
        <f t="shared" si="19"/>
        <v>81.320000000000007</v>
      </c>
      <c r="H110" s="79">
        <f>AVERAGE(H102:H105)</f>
        <v>81.75</v>
      </c>
      <c r="I110" s="79">
        <f>AVERAGE(I102:I105)</f>
        <v>74.75</v>
      </c>
      <c r="J110" s="79">
        <f>AVERAGE(J102:J103)</f>
        <v>81.5</v>
      </c>
      <c r="K110" s="79">
        <f>AVERAGE(K102:K105)</f>
        <v>77.25</v>
      </c>
      <c r="L110" s="79">
        <f>(L107*4+L108*3+L109*3)/10</f>
        <v>78.8</v>
      </c>
      <c r="M110" s="79">
        <f>(M107*4+M108*3+M109*3)/10</f>
        <v>75.92</v>
      </c>
      <c r="N110" s="79">
        <f>(N107*4+N108*3+N109*3)/10</f>
        <v>77.8</v>
      </c>
      <c r="O110" s="79">
        <f>AVERAGE(O102:O103)</f>
        <v>80.5</v>
      </c>
      <c r="P110" s="79">
        <f>AVERAGE(P102:P103)</f>
        <v>76</v>
      </c>
      <c r="Q110" s="79">
        <f>AVERAGE(Q102:Q103)</f>
        <v>77.5</v>
      </c>
      <c r="R110" s="79">
        <f>(R107*4+R108*3+R109*3)/10</f>
        <v>81.655555555555537</v>
      </c>
      <c r="S110" s="79">
        <f>(S107*4+S108*3+S109*3)/10</f>
        <v>84.26666666666668</v>
      </c>
      <c r="T110" s="79">
        <f>T108</f>
        <v>81</v>
      </c>
      <c r="U110" s="79">
        <f t="shared" ref="U110" si="20">(U107*4+U108*3+U109*3)/10</f>
        <v>76.73333333333332</v>
      </c>
      <c r="V110" s="80">
        <f>AVERAGE(E110:U110)</f>
        <v>79.175620915032667</v>
      </c>
      <c r="X110" s="278">
        <v>15</v>
      </c>
    </row>
    <row r="111" spans="1:24" ht="15.6" thickTop="1" thickBot="1">
      <c r="A111" s="268">
        <v>12</v>
      </c>
      <c r="B111" s="270" t="s">
        <v>323</v>
      </c>
      <c r="C111" s="273" t="s">
        <v>75</v>
      </c>
      <c r="D111" s="52" t="s">
        <v>294</v>
      </c>
      <c r="E111" s="53">
        <f>tkj!$E$16</f>
        <v>87</v>
      </c>
      <c r="F111" s="53">
        <f>tkj!$K$16</f>
        <v>87</v>
      </c>
      <c r="G111" s="53">
        <f>tkj!$Q$16</f>
        <v>87</v>
      </c>
      <c r="H111" s="53">
        <f>tkj!$W$16</f>
        <v>82</v>
      </c>
      <c r="I111" s="53">
        <f>tkj!$AA$16</f>
        <v>85</v>
      </c>
      <c r="J111" s="53">
        <f>tkj!$AE$16</f>
        <v>81</v>
      </c>
      <c r="K111" s="54">
        <f>tkj!$AG$16</f>
        <v>77</v>
      </c>
      <c r="L111" s="55"/>
      <c r="M111" s="53">
        <f>tkj!$AM$16</f>
        <v>76</v>
      </c>
      <c r="N111" s="53">
        <f>tkj!$AS$16</f>
        <v>75</v>
      </c>
      <c r="O111" s="53">
        <f>tkj!$AY$16</f>
        <v>83</v>
      </c>
      <c r="P111" s="54">
        <f>tkj!$BA$16</f>
        <v>75</v>
      </c>
      <c r="Q111" s="54">
        <f>tkj!$BC$16</f>
        <v>83</v>
      </c>
      <c r="R111" s="55"/>
      <c r="S111" s="55"/>
      <c r="T111" s="55"/>
      <c r="U111" s="55"/>
      <c r="V111" s="56"/>
      <c r="X111" s="278">
        <v>16</v>
      </c>
    </row>
    <row r="112" spans="1:24" ht="15" thickBot="1">
      <c r="A112" s="268">
        <v>12</v>
      </c>
      <c r="B112" s="271"/>
      <c r="C112" s="274"/>
      <c r="D112" s="52" t="s">
        <v>295</v>
      </c>
      <c r="E112" s="53">
        <f>tkj!$F$16</f>
        <v>90</v>
      </c>
      <c r="F112" s="53">
        <f>tkj!$L$16</f>
        <v>82</v>
      </c>
      <c r="G112" s="53">
        <f>tkj!$R$16</f>
        <v>79</v>
      </c>
      <c r="H112" s="53">
        <f>tkj!$X$16</f>
        <v>85</v>
      </c>
      <c r="I112" s="53">
        <f>tkj!$AB$16</f>
        <v>86</v>
      </c>
      <c r="J112" s="53">
        <f>tkj!$AF$16</f>
        <v>82</v>
      </c>
      <c r="K112" s="54">
        <f>tkj!$AH$16</f>
        <v>79</v>
      </c>
      <c r="L112" s="55"/>
      <c r="M112" s="53">
        <f>tkj!$AN$16</f>
        <v>76</v>
      </c>
      <c r="N112" s="53">
        <f>tkj!$AT$16</f>
        <v>80</v>
      </c>
      <c r="O112" s="53">
        <f>tkj!$AZ$16</f>
        <v>83</v>
      </c>
      <c r="P112" s="54">
        <f>tkj!$BB$16</f>
        <v>78</v>
      </c>
      <c r="Q112" s="54">
        <f>tkj!$BD$16</f>
        <v>82</v>
      </c>
      <c r="R112" s="55"/>
      <c r="S112" s="55"/>
      <c r="T112" s="55"/>
      <c r="U112" s="55"/>
      <c r="V112" s="58"/>
      <c r="X112" s="278">
        <v>16</v>
      </c>
    </row>
    <row r="113" spans="1:24" ht="15" thickBot="1">
      <c r="A113" s="268">
        <v>12</v>
      </c>
      <c r="B113" s="271"/>
      <c r="C113" s="274"/>
      <c r="D113" s="52" t="s">
        <v>296</v>
      </c>
      <c r="E113" s="53">
        <f>tkj!$G$16</f>
        <v>89</v>
      </c>
      <c r="F113" s="53">
        <f>tkj!$M$16</f>
        <v>95</v>
      </c>
      <c r="G113" s="53">
        <f>tkj!$S$16</f>
        <v>81</v>
      </c>
      <c r="H113" s="53">
        <f>tkj!$Y$16</f>
        <v>81</v>
      </c>
      <c r="I113" s="53">
        <f>tkj!$AC$16</f>
        <v>83</v>
      </c>
      <c r="J113" s="59"/>
      <c r="K113" s="54">
        <f>tkj!$AI$16</f>
        <v>73</v>
      </c>
      <c r="L113" s="55"/>
      <c r="M113" s="53">
        <f>tkj!$AO$16</f>
        <v>73</v>
      </c>
      <c r="N113" s="53">
        <f>tkj!$AU$16</f>
        <v>84</v>
      </c>
      <c r="O113" s="59"/>
      <c r="P113" s="55"/>
      <c r="Q113" s="55"/>
      <c r="R113" s="54">
        <f>tkj!$BQ$16</f>
        <v>81</v>
      </c>
      <c r="S113" s="54">
        <f>tkj!$BU$16</f>
        <v>86</v>
      </c>
      <c r="T113" s="55"/>
      <c r="U113" s="54">
        <f>tkj!$BZ$16</f>
        <v>77</v>
      </c>
      <c r="V113" s="58"/>
      <c r="X113" s="278">
        <v>16</v>
      </c>
    </row>
    <row r="114" spans="1:24" ht="15" thickBot="1">
      <c r="A114" s="268">
        <v>12</v>
      </c>
      <c r="B114" s="271"/>
      <c r="C114" s="274"/>
      <c r="D114" s="62" t="s">
        <v>297</v>
      </c>
      <c r="E114" s="53">
        <f>tkj!$H$16</f>
        <v>85</v>
      </c>
      <c r="F114" s="53">
        <f>tkj!$N$16</f>
        <v>92</v>
      </c>
      <c r="G114" s="53">
        <f>tkj!$T$16</f>
        <v>80</v>
      </c>
      <c r="H114" s="53">
        <f>tkj!$Z$16</f>
        <v>85</v>
      </c>
      <c r="I114" s="53">
        <f>tkj!$AD$16</f>
        <v>83</v>
      </c>
      <c r="J114" s="59"/>
      <c r="K114" s="54">
        <f>tkj!$AJ$16</f>
        <v>84</v>
      </c>
      <c r="L114" s="55"/>
      <c r="M114" s="53">
        <f>tkj!$AP$16</f>
        <v>74</v>
      </c>
      <c r="N114" s="53">
        <f>tkj!$AV$16</f>
        <v>80</v>
      </c>
      <c r="O114" s="59"/>
      <c r="P114" s="55"/>
      <c r="Q114" s="55"/>
      <c r="R114" s="54">
        <f>tkj!$BR$16</f>
        <v>82.666666666666671</v>
      </c>
      <c r="S114" s="54">
        <f>tkj!$BV$16</f>
        <v>86</v>
      </c>
      <c r="T114" s="63"/>
      <c r="U114" s="54">
        <f>tkj!$CA$16</f>
        <v>87</v>
      </c>
      <c r="V114" s="58"/>
      <c r="X114" s="278">
        <v>16</v>
      </c>
    </row>
    <row r="115" spans="1:24">
      <c r="A115" s="268">
        <v>12</v>
      </c>
      <c r="B115" s="271"/>
      <c r="C115" s="274"/>
      <c r="D115" s="62" t="s">
        <v>298</v>
      </c>
      <c r="E115" s="53">
        <f>tkj!$I$16</f>
        <v>82</v>
      </c>
      <c r="F115" s="53">
        <f>tkj!$O$16</f>
        <v>90</v>
      </c>
      <c r="G115" s="53">
        <f>tkj!$U$16</f>
        <v>80</v>
      </c>
      <c r="H115" s="65"/>
      <c r="I115" s="65"/>
      <c r="J115" s="59"/>
      <c r="K115" s="59"/>
      <c r="L115" s="53">
        <f>tkj!$AK$16</f>
        <v>80</v>
      </c>
      <c r="M115" s="53">
        <f>tkj!$AQ$16</f>
        <v>80</v>
      </c>
      <c r="N115" s="53">
        <f>tkj!$AW$16</f>
        <v>84</v>
      </c>
      <c r="O115" s="59"/>
      <c r="P115" s="55"/>
      <c r="Q115" s="55"/>
      <c r="R115" s="54">
        <f>tkj!$BS$16</f>
        <v>80.666666666666671</v>
      </c>
      <c r="S115" s="54">
        <f>tkj!$BW$16</f>
        <v>89</v>
      </c>
      <c r="T115" s="54"/>
      <c r="U115" s="54">
        <f>tkj!$CB$16</f>
        <v>80</v>
      </c>
      <c r="V115" s="58"/>
      <c r="X115" s="278">
        <v>16</v>
      </c>
    </row>
    <row r="116" spans="1:24">
      <c r="A116" s="268">
        <v>12</v>
      </c>
      <c r="B116" s="271"/>
      <c r="C116" s="274"/>
      <c r="D116" s="66" t="s">
        <v>299</v>
      </c>
      <c r="E116" s="67">
        <f>AVERAGE(E111:E115)</f>
        <v>86.6</v>
      </c>
      <c r="F116" s="67">
        <f>AVERAGE(F111:F115)</f>
        <v>89.2</v>
      </c>
      <c r="G116" s="67">
        <f>AVERAGE(G111:G115)</f>
        <v>81.400000000000006</v>
      </c>
      <c r="H116" s="68"/>
      <c r="I116" s="68"/>
      <c r="J116" s="69"/>
      <c r="K116" s="69"/>
      <c r="L116" s="67">
        <f>AVERAGE(L111:L115)</f>
        <v>80</v>
      </c>
      <c r="M116" s="67">
        <f>AVERAGE(M111:M115)</f>
        <v>75.8</v>
      </c>
      <c r="N116" s="67">
        <f>AVERAGE(N111:N115)</f>
        <v>80.599999999999994</v>
      </c>
      <c r="O116" s="69"/>
      <c r="P116" s="63"/>
      <c r="Q116" s="63"/>
      <c r="R116" s="84">
        <f>AVERAGE(R113:R115)</f>
        <v>81.444444444444457</v>
      </c>
      <c r="S116" s="84">
        <f>AVERAGE(S113:S115)</f>
        <v>87</v>
      </c>
      <c r="T116" s="63"/>
      <c r="U116" s="84">
        <f>AVERAGE(U111:U115)</f>
        <v>81.333333333333329</v>
      </c>
      <c r="V116" s="58"/>
      <c r="X116" s="278">
        <v>16</v>
      </c>
    </row>
    <row r="117" spans="1:24">
      <c r="A117" s="268">
        <v>12</v>
      </c>
      <c r="B117" s="271"/>
      <c r="C117" s="274"/>
      <c r="D117" s="70" t="s">
        <v>300</v>
      </c>
      <c r="E117" s="71">
        <f>tkj!$J$16</f>
        <v>80</v>
      </c>
      <c r="F117" s="71">
        <f>tkj!$P$16</f>
        <v>80</v>
      </c>
      <c r="G117" s="71">
        <f>tkj!$V$16</f>
        <v>80</v>
      </c>
      <c r="H117" s="72"/>
      <c r="I117" s="72"/>
      <c r="J117" s="73"/>
      <c r="K117" s="73"/>
      <c r="L117" s="71">
        <f>tkj!$AL$16</f>
        <v>80</v>
      </c>
      <c r="M117" s="71">
        <f>tkj!$AR$16</f>
        <v>79</v>
      </c>
      <c r="N117" s="71">
        <f>tkj!$AX$16</f>
        <v>79</v>
      </c>
      <c r="O117" s="73"/>
      <c r="P117" s="74"/>
      <c r="Q117" s="74"/>
      <c r="R117" s="85">
        <f>tkj!$BT$16</f>
        <v>79</v>
      </c>
      <c r="S117" s="85">
        <f>tkj!$BX$16</f>
        <v>79</v>
      </c>
      <c r="T117" s="85">
        <f>tkj!$BY$16</f>
        <v>80</v>
      </c>
      <c r="U117" s="75">
        <f>tkj!$CC$16</f>
        <v>79</v>
      </c>
      <c r="V117" s="58"/>
      <c r="X117" s="278">
        <v>16</v>
      </c>
    </row>
    <row r="118" spans="1:24">
      <c r="A118" s="268">
        <v>12</v>
      </c>
      <c r="B118" s="271"/>
      <c r="C118" s="274"/>
      <c r="D118" s="76" t="s">
        <v>301</v>
      </c>
      <c r="E118" s="77">
        <f>tkj!$CD$16</f>
        <v>81</v>
      </c>
      <c r="F118" s="77">
        <f>tkj!$CE$16</f>
        <v>95</v>
      </c>
      <c r="G118" s="77">
        <f>tkj!$CF$16</f>
        <v>75</v>
      </c>
      <c r="H118" s="72"/>
      <c r="I118" s="72"/>
      <c r="J118" s="73"/>
      <c r="K118" s="73"/>
      <c r="L118" s="77">
        <f>tkj!$CG$16</f>
        <v>90</v>
      </c>
      <c r="M118" s="77">
        <f>tkj!$CH$16</f>
        <v>78</v>
      </c>
      <c r="N118" s="77">
        <f>tkj!$CI$16</f>
        <v>85</v>
      </c>
      <c r="O118" s="73"/>
      <c r="P118" s="74"/>
      <c r="Q118" s="74"/>
      <c r="R118" s="86">
        <f>tkj!$CL$16</f>
        <v>97</v>
      </c>
      <c r="S118" s="86">
        <f>tkj!$CK$16</f>
        <v>92</v>
      </c>
      <c r="T118" s="74"/>
      <c r="U118" s="86">
        <f>tkj!$CJ$16</f>
        <v>80</v>
      </c>
      <c r="V118" s="58"/>
      <c r="X118" s="278">
        <v>16</v>
      </c>
    </row>
    <row r="119" spans="1:24" ht="15" thickBot="1">
      <c r="A119" s="269">
        <v>12</v>
      </c>
      <c r="B119" s="272"/>
      <c r="C119" s="275"/>
      <c r="D119" s="78" t="s">
        <v>302</v>
      </c>
      <c r="E119" s="79">
        <f>(E116*4+E117*3+E118*3)/10</f>
        <v>82.94</v>
      </c>
      <c r="F119" s="79">
        <f t="shared" ref="F119:G119" si="21">(F116*4+F117*3+F118*3)/10</f>
        <v>88.179999999999993</v>
      </c>
      <c r="G119" s="79">
        <f t="shared" si="21"/>
        <v>79.06</v>
      </c>
      <c r="H119" s="79">
        <f>AVERAGE(H111:H114)</f>
        <v>83.25</v>
      </c>
      <c r="I119" s="79">
        <f>AVERAGE(I111:I114)</f>
        <v>84.25</v>
      </c>
      <c r="J119" s="79">
        <f>AVERAGE(J111:J112)</f>
        <v>81.5</v>
      </c>
      <c r="K119" s="79">
        <f>AVERAGE(K111:K114)</f>
        <v>78.25</v>
      </c>
      <c r="L119" s="79">
        <f>(L116*4+L117*3+L118*3)/10</f>
        <v>83</v>
      </c>
      <c r="M119" s="79">
        <f>(M116*4+M117*3+M118*3)/10</f>
        <v>77.42</v>
      </c>
      <c r="N119" s="79">
        <f>(N116*4+N117*3+N118*3)/10</f>
        <v>81.44</v>
      </c>
      <c r="O119" s="79">
        <f>AVERAGE(O111:O112)</f>
        <v>83</v>
      </c>
      <c r="P119" s="79">
        <f>AVERAGE(P111:P112)</f>
        <v>76.5</v>
      </c>
      <c r="Q119" s="79">
        <f>AVERAGE(Q111:Q112)</f>
        <v>82.5</v>
      </c>
      <c r="R119" s="79">
        <f>(R116*4+R117*3+R118*3)/10</f>
        <v>85.37777777777778</v>
      </c>
      <c r="S119" s="79">
        <f>(S116*4+S117*3+S118*3)/10</f>
        <v>86.1</v>
      </c>
      <c r="T119" s="79">
        <f>T117</f>
        <v>80</v>
      </c>
      <c r="U119" s="79">
        <f t="shared" ref="U119" si="22">(U116*4+U117*3+U118*3)/10</f>
        <v>80.23333333333332</v>
      </c>
      <c r="V119" s="80">
        <f>AVERAGE(E119:U119)</f>
        <v>81.941241830065351</v>
      </c>
      <c r="X119" s="278">
        <v>16</v>
      </c>
    </row>
    <row r="120" spans="1:24" ht="15.6" thickTop="1" thickBot="1">
      <c r="A120" s="268">
        <v>13</v>
      </c>
      <c r="B120" s="270" t="s">
        <v>324</v>
      </c>
      <c r="C120" s="273" t="s">
        <v>77</v>
      </c>
      <c r="D120" s="52" t="s">
        <v>294</v>
      </c>
      <c r="E120" s="53">
        <f>tkj!$E$17</f>
        <v>80</v>
      </c>
      <c r="F120" s="53">
        <f>tkj!$K$17</f>
        <v>82</v>
      </c>
      <c r="G120" s="53">
        <f>tkj!$Q$17</f>
        <v>95</v>
      </c>
      <c r="H120" s="53">
        <f>tkj!$W$17</f>
        <v>82</v>
      </c>
      <c r="I120" s="53">
        <f>tkj!$AA$17</f>
        <v>77</v>
      </c>
      <c r="J120" s="53">
        <f>tkj!$AE$17</f>
        <v>79</v>
      </c>
      <c r="K120" s="54">
        <f>tkj!$AG$17</f>
        <v>77</v>
      </c>
      <c r="L120" s="55"/>
      <c r="M120" s="53">
        <f>tkj!$AM$17</f>
        <v>73</v>
      </c>
      <c r="N120" s="53">
        <f>tkj!$AS$17</f>
        <v>74</v>
      </c>
      <c r="O120" s="53">
        <f>tkj!$AY$17</f>
        <v>75</v>
      </c>
      <c r="P120" s="54">
        <f>tkj!$BA$17</f>
        <v>78</v>
      </c>
      <c r="Q120" s="54">
        <f>tkj!$BC$17</f>
        <v>78</v>
      </c>
      <c r="R120" s="55"/>
      <c r="S120" s="55"/>
      <c r="T120" s="55"/>
      <c r="U120" s="55"/>
      <c r="V120" s="56"/>
      <c r="X120" s="278">
        <v>17</v>
      </c>
    </row>
    <row r="121" spans="1:24" ht="15" thickBot="1">
      <c r="A121" s="268">
        <v>13</v>
      </c>
      <c r="B121" s="271"/>
      <c r="C121" s="274"/>
      <c r="D121" s="52" t="s">
        <v>295</v>
      </c>
      <c r="E121" s="53">
        <f>tkj!$F$17</f>
        <v>83</v>
      </c>
      <c r="F121" s="53">
        <f>tkj!$L$17</f>
        <v>80</v>
      </c>
      <c r="G121" s="53">
        <f>tkj!$R$17</f>
        <v>86</v>
      </c>
      <c r="H121" s="53">
        <f>tkj!$X$17</f>
        <v>83</v>
      </c>
      <c r="I121" s="53">
        <f>tkj!$AB$17</f>
        <v>80</v>
      </c>
      <c r="J121" s="53">
        <f>tkj!$AF$17</f>
        <v>82</v>
      </c>
      <c r="K121" s="54">
        <f>tkj!$AH$17</f>
        <v>74</v>
      </c>
      <c r="L121" s="55"/>
      <c r="M121" s="53">
        <f>tkj!$AN$17</f>
        <v>73</v>
      </c>
      <c r="N121" s="53">
        <f>tkj!$AT$17</f>
        <v>80</v>
      </c>
      <c r="O121" s="53">
        <f>tkj!$AZ$17</f>
        <v>76</v>
      </c>
      <c r="P121" s="54">
        <f>tkj!$BB$17</f>
        <v>78</v>
      </c>
      <c r="Q121" s="54">
        <f>tkj!$BD$17</f>
        <v>78</v>
      </c>
      <c r="R121" s="55"/>
      <c r="S121" s="55"/>
      <c r="T121" s="55"/>
      <c r="U121" s="55"/>
      <c r="V121" s="58"/>
      <c r="X121" s="278">
        <v>17</v>
      </c>
    </row>
    <row r="122" spans="1:24" ht="15" thickBot="1">
      <c r="A122" s="268">
        <v>13</v>
      </c>
      <c r="B122" s="271"/>
      <c r="C122" s="274"/>
      <c r="D122" s="52" t="s">
        <v>296</v>
      </c>
      <c r="E122" s="53">
        <f>tkj!$G$17</f>
        <v>88</v>
      </c>
      <c r="F122" s="53">
        <f>tkj!$M$17</f>
        <v>70</v>
      </c>
      <c r="G122" s="53">
        <f>tkj!$S$17</f>
        <v>78</v>
      </c>
      <c r="H122" s="53">
        <f>tkj!$Y$17</f>
        <v>80</v>
      </c>
      <c r="I122" s="53">
        <f>tkj!$AC$17</f>
        <v>80</v>
      </c>
      <c r="J122" s="59"/>
      <c r="K122" s="54">
        <f>tkj!$AI$17</f>
        <v>72</v>
      </c>
      <c r="L122" s="55"/>
      <c r="M122" s="53">
        <f>tkj!$AO$17</f>
        <v>73</v>
      </c>
      <c r="N122" s="53">
        <f>tkj!$AU$17</f>
        <v>80</v>
      </c>
      <c r="O122" s="59"/>
      <c r="P122" s="55"/>
      <c r="Q122" s="55"/>
      <c r="R122" s="54">
        <f>tkj!$BQ$17</f>
        <v>80.333333333333329</v>
      </c>
      <c r="S122" s="54">
        <f>tkj!$BU$17</f>
        <v>86</v>
      </c>
      <c r="T122" s="55"/>
      <c r="U122" s="54">
        <f>tkj!$BZ$17</f>
        <v>70</v>
      </c>
      <c r="V122" s="58"/>
      <c r="X122" s="278">
        <v>17</v>
      </c>
    </row>
    <row r="123" spans="1:24" ht="15" thickBot="1">
      <c r="A123" s="268">
        <v>13</v>
      </c>
      <c r="B123" s="271"/>
      <c r="C123" s="274"/>
      <c r="D123" s="62" t="s">
        <v>297</v>
      </c>
      <c r="E123" s="53">
        <f>tkj!$H$17</f>
        <v>84</v>
      </c>
      <c r="F123" s="53">
        <f>tkj!$N$17</f>
        <v>87</v>
      </c>
      <c r="G123" s="53">
        <f>tkj!$T$17</f>
        <v>78</v>
      </c>
      <c r="H123" s="53">
        <f>tkj!$Z$17</f>
        <v>84</v>
      </c>
      <c r="I123" s="53">
        <f>tkj!$AD$17</f>
        <v>82</v>
      </c>
      <c r="J123" s="59"/>
      <c r="K123" s="54">
        <f>tkj!$AJ$17</f>
        <v>83</v>
      </c>
      <c r="L123" s="55"/>
      <c r="M123" s="53">
        <f>tkj!$AP$17</f>
        <v>74</v>
      </c>
      <c r="N123" s="53">
        <f>tkj!$AV$17</f>
        <v>80</v>
      </c>
      <c r="O123" s="59"/>
      <c r="P123" s="55"/>
      <c r="Q123" s="55"/>
      <c r="R123" s="54">
        <f>tkj!$BR$17</f>
        <v>77.666666666666671</v>
      </c>
      <c r="S123" s="54">
        <f>tkj!$BV$17</f>
        <v>86</v>
      </c>
      <c r="T123" s="63"/>
      <c r="U123" s="54">
        <f>tkj!$CA$17</f>
        <v>80</v>
      </c>
      <c r="V123" s="58"/>
      <c r="X123" s="278">
        <v>17</v>
      </c>
    </row>
    <row r="124" spans="1:24">
      <c r="A124" s="268">
        <v>13</v>
      </c>
      <c r="B124" s="271"/>
      <c r="C124" s="274"/>
      <c r="D124" s="62" t="s">
        <v>298</v>
      </c>
      <c r="E124" s="53">
        <f>tkj!$I$17</f>
        <v>91</v>
      </c>
      <c r="F124" s="53">
        <f>tkj!$O$17</f>
        <v>87</v>
      </c>
      <c r="G124" s="53">
        <f>tkj!$U$17</f>
        <v>76</v>
      </c>
      <c r="H124" s="65"/>
      <c r="I124" s="65"/>
      <c r="J124" s="59"/>
      <c r="K124" s="59"/>
      <c r="L124" s="53">
        <f>tkj!$AK$17</f>
        <v>80</v>
      </c>
      <c r="M124" s="53">
        <f>tkj!$AQ$17</f>
        <v>76</v>
      </c>
      <c r="N124" s="53">
        <f>tkj!$AW$17</f>
        <v>80</v>
      </c>
      <c r="O124" s="59"/>
      <c r="P124" s="55"/>
      <c r="Q124" s="55"/>
      <c r="R124" s="54">
        <f>tkj!$BS$17</f>
        <v>79.666666666666671</v>
      </c>
      <c r="S124" s="54">
        <f>tkj!$BW$17</f>
        <v>80</v>
      </c>
      <c r="T124" s="54"/>
      <c r="U124" s="54">
        <f>tkj!$CB$17</f>
        <v>84</v>
      </c>
      <c r="V124" s="58"/>
      <c r="X124" s="278">
        <v>17</v>
      </c>
    </row>
    <row r="125" spans="1:24">
      <c r="A125" s="268">
        <v>13</v>
      </c>
      <c r="B125" s="271"/>
      <c r="C125" s="274"/>
      <c r="D125" s="66" t="s">
        <v>299</v>
      </c>
      <c r="E125" s="67">
        <f>AVERAGE(E120:E124)</f>
        <v>85.2</v>
      </c>
      <c r="F125" s="67">
        <f>AVERAGE(F120:F124)</f>
        <v>81.2</v>
      </c>
      <c r="G125" s="67">
        <f>AVERAGE(G120:G124)</f>
        <v>82.6</v>
      </c>
      <c r="H125" s="68"/>
      <c r="I125" s="68"/>
      <c r="J125" s="69"/>
      <c r="K125" s="69"/>
      <c r="L125" s="67">
        <f>AVERAGE(L120:L124)</f>
        <v>80</v>
      </c>
      <c r="M125" s="67">
        <f>AVERAGE(M120:M124)</f>
        <v>73.8</v>
      </c>
      <c r="N125" s="67">
        <f>AVERAGE(N120:N124)</f>
        <v>78.8</v>
      </c>
      <c r="O125" s="69"/>
      <c r="P125" s="63"/>
      <c r="Q125" s="63"/>
      <c r="R125" s="84">
        <f>AVERAGE(R122:R124)</f>
        <v>79.222222222222229</v>
      </c>
      <c r="S125" s="84">
        <f>AVERAGE(S122:S124)</f>
        <v>84</v>
      </c>
      <c r="T125" s="63"/>
      <c r="U125" s="84">
        <f>AVERAGE(U120:U124)</f>
        <v>78</v>
      </c>
      <c r="V125" s="58"/>
      <c r="X125" s="278">
        <v>17</v>
      </c>
    </row>
    <row r="126" spans="1:24">
      <c r="A126" s="268">
        <v>13</v>
      </c>
      <c r="B126" s="271"/>
      <c r="C126" s="274"/>
      <c r="D126" s="70" t="s">
        <v>300</v>
      </c>
      <c r="E126" s="71">
        <f>tkj!$J$17</f>
        <v>80</v>
      </c>
      <c r="F126" s="71">
        <f>tkj!$P$17</f>
        <v>85</v>
      </c>
      <c r="G126" s="71">
        <f>tkj!$V$17</f>
        <v>78</v>
      </c>
      <c r="H126" s="72"/>
      <c r="I126" s="72"/>
      <c r="J126" s="73"/>
      <c r="K126" s="73"/>
      <c r="L126" s="71">
        <f>tkj!$AL$17</f>
        <v>78</v>
      </c>
      <c r="M126" s="71">
        <f>tkj!$AR$17</f>
        <v>80</v>
      </c>
      <c r="N126" s="71">
        <f>tkj!$AX$17</f>
        <v>80</v>
      </c>
      <c r="O126" s="73"/>
      <c r="P126" s="74"/>
      <c r="Q126" s="74"/>
      <c r="R126" s="85">
        <f>tkj!$BT$17</f>
        <v>80</v>
      </c>
      <c r="S126" s="85">
        <f>tkj!$BX$17</f>
        <v>80</v>
      </c>
      <c r="T126" s="85">
        <f>tkj!$BY$17</f>
        <v>81</v>
      </c>
      <c r="U126" s="75">
        <f>tkj!$CC$17</f>
        <v>80</v>
      </c>
      <c r="V126" s="58"/>
      <c r="X126" s="278">
        <v>17</v>
      </c>
    </row>
    <row r="127" spans="1:24">
      <c r="A127" s="268">
        <v>13</v>
      </c>
      <c r="B127" s="271"/>
      <c r="C127" s="274"/>
      <c r="D127" s="76" t="s">
        <v>301</v>
      </c>
      <c r="E127" s="77">
        <f>tkj!$CD$17</f>
        <v>86</v>
      </c>
      <c r="F127" s="77">
        <f>tkj!$CE$17</f>
        <v>80</v>
      </c>
      <c r="G127" s="77">
        <f>tkj!$CF$17</f>
        <v>75</v>
      </c>
      <c r="H127" s="72"/>
      <c r="I127" s="72"/>
      <c r="J127" s="73"/>
      <c r="K127" s="73"/>
      <c r="L127" s="77">
        <f>tkj!$CG$17</f>
        <v>92</v>
      </c>
      <c r="M127" s="77">
        <f>tkj!$CH$17</f>
        <v>77</v>
      </c>
      <c r="N127" s="77">
        <f>tkj!$CI$17</f>
        <v>80</v>
      </c>
      <c r="O127" s="73"/>
      <c r="P127" s="74"/>
      <c r="Q127" s="74"/>
      <c r="R127" s="86">
        <f>tkj!$CL$17</f>
        <v>70</v>
      </c>
      <c r="S127" s="86">
        <f>tkj!$CK$17</f>
        <v>84</v>
      </c>
      <c r="T127" s="74"/>
      <c r="U127" s="86">
        <f>tkj!$CJ$17</f>
        <v>80</v>
      </c>
      <c r="V127" s="58"/>
      <c r="X127" s="278">
        <v>17</v>
      </c>
    </row>
    <row r="128" spans="1:24" ht="15" thickBot="1">
      <c r="A128" s="269">
        <v>13</v>
      </c>
      <c r="B128" s="272"/>
      <c r="C128" s="275"/>
      <c r="D128" s="78" t="s">
        <v>302</v>
      </c>
      <c r="E128" s="79">
        <f>(E125*4+E126*3+E127*3)/10</f>
        <v>83.88</v>
      </c>
      <c r="F128" s="79">
        <f t="shared" ref="F128:G128" si="23">(F125*4+F126*3+F127*3)/10</f>
        <v>81.97999999999999</v>
      </c>
      <c r="G128" s="79">
        <f t="shared" si="23"/>
        <v>78.94</v>
      </c>
      <c r="H128" s="79">
        <f>AVERAGE(H120:H123)</f>
        <v>82.25</v>
      </c>
      <c r="I128" s="79">
        <f>AVERAGE(I120:I123)</f>
        <v>79.75</v>
      </c>
      <c r="J128" s="79">
        <f>AVERAGE(J120:J121)</f>
        <v>80.5</v>
      </c>
      <c r="K128" s="79">
        <f>AVERAGE(K120:K123)</f>
        <v>76.5</v>
      </c>
      <c r="L128" s="79">
        <f>(L125*4+L126*3+L127*3)/10</f>
        <v>83</v>
      </c>
      <c r="M128" s="79">
        <f>(M125*4+M126*3+M127*3)/10</f>
        <v>76.62</v>
      </c>
      <c r="N128" s="79">
        <f>(N125*4+N126*3+N127*3)/10</f>
        <v>79.52000000000001</v>
      </c>
      <c r="O128" s="79">
        <f>AVERAGE(O120:O121)</f>
        <v>75.5</v>
      </c>
      <c r="P128" s="79">
        <f>AVERAGE(P120:P121)</f>
        <v>78</v>
      </c>
      <c r="Q128" s="79">
        <f>AVERAGE(Q120:Q121)</f>
        <v>78</v>
      </c>
      <c r="R128" s="79">
        <f>(R125*4+R126*3+R127*3)/10</f>
        <v>76.688888888888897</v>
      </c>
      <c r="S128" s="79">
        <f>(S125*4+S126*3+S127*3)/10</f>
        <v>82.8</v>
      </c>
      <c r="T128" s="79">
        <f>T126</f>
        <v>81</v>
      </c>
      <c r="U128" s="79">
        <f t="shared" ref="U128" si="24">(U125*4+U126*3+U127*3)/10</f>
        <v>79.2</v>
      </c>
      <c r="V128" s="80">
        <f>AVERAGE(E128:U128)</f>
        <v>79.654640522875823</v>
      </c>
      <c r="X128" s="278">
        <v>17</v>
      </c>
    </row>
    <row r="129" spans="1:24" ht="15.6" thickTop="1" thickBot="1">
      <c r="A129" s="268">
        <v>14</v>
      </c>
      <c r="B129" s="270" t="s">
        <v>325</v>
      </c>
      <c r="C129" s="273" t="s">
        <v>79</v>
      </c>
      <c r="D129" s="52" t="s">
        <v>294</v>
      </c>
      <c r="E129" s="53">
        <f>tkj!$E$18</f>
        <v>92</v>
      </c>
      <c r="F129" s="53">
        <f>tkj!$K$18</f>
        <v>84</v>
      </c>
      <c r="G129" s="53">
        <f>tkj!$Q$18</f>
        <v>80</v>
      </c>
      <c r="H129" s="53">
        <f>tkj!$W$18</f>
        <v>82</v>
      </c>
      <c r="I129" s="53">
        <f>tkj!$AA$18</f>
        <v>77</v>
      </c>
      <c r="J129" s="53">
        <f>tkj!$AE$18</f>
        <v>84</v>
      </c>
      <c r="K129" s="54">
        <f>tkj!$AG$18</f>
        <v>80</v>
      </c>
      <c r="L129" s="55"/>
      <c r="M129" s="53">
        <f>tkj!$AM$18</f>
        <v>70</v>
      </c>
      <c r="N129" s="53">
        <f>tkj!$AS$18</f>
        <v>81</v>
      </c>
      <c r="O129" s="53">
        <f>tkj!$AY$18</f>
        <v>83</v>
      </c>
      <c r="P129" s="54">
        <f>tkj!$BA$18</f>
        <v>79</v>
      </c>
      <c r="Q129" s="54">
        <f>tkj!$BC$18</f>
        <v>78</v>
      </c>
      <c r="R129" s="55"/>
      <c r="S129" s="55"/>
      <c r="T129" s="55"/>
      <c r="U129" s="55"/>
      <c r="V129" s="56"/>
      <c r="X129" s="278">
        <v>18</v>
      </c>
    </row>
    <row r="130" spans="1:24" ht="15" thickBot="1">
      <c r="A130" s="268">
        <v>14</v>
      </c>
      <c r="B130" s="271"/>
      <c r="C130" s="274"/>
      <c r="D130" s="52" t="s">
        <v>295</v>
      </c>
      <c r="E130" s="53">
        <f>tkj!$F$18</f>
        <v>95</v>
      </c>
      <c r="F130" s="53">
        <f>tkj!$L$18</f>
        <v>87</v>
      </c>
      <c r="G130" s="53">
        <f>tkj!$R$18</f>
        <v>90</v>
      </c>
      <c r="H130" s="53">
        <f>tkj!$X$18</f>
        <v>85</v>
      </c>
      <c r="I130" s="53">
        <f>tkj!$AB$18</f>
        <v>85</v>
      </c>
      <c r="J130" s="53">
        <f>tkj!$AF$18</f>
        <v>83</v>
      </c>
      <c r="K130" s="54">
        <f>tkj!$AH$18</f>
        <v>74</v>
      </c>
      <c r="L130" s="55"/>
      <c r="M130" s="53">
        <f>tkj!$AN$18</f>
        <v>72</v>
      </c>
      <c r="N130" s="53">
        <f>tkj!$AT$18</f>
        <v>79</v>
      </c>
      <c r="O130" s="53">
        <f>tkj!$AZ$18</f>
        <v>88</v>
      </c>
      <c r="P130" s="54">
        <f>tkj!$BB$18</f>
        <v>86</v>
      </c>
      <c r="Q130" s="54">
        <f>tkj!$BD$18</f>
        <v>78</v>
      </c>
      <c r="R130" s="55"/>
      <c r="S130" s="55"/>
      <c r="T130" s="55"/>
      <c r="U130" s="55"/>
      <c r="V130" s="58"/>
      <c r="X130" s="278">
        <v>18</v>
      </c>
    </row>
    <row r="131" spans="1:24" ht="15" thickBot="1">
      <c r="A131" s="268">
        <v>14</v>
      </c>
      <c r="B131" s="271"/>
      <c r="C131" s="274"/>
      <c r="D131" s="52" t="s">
        <v>296</v>
      </c>
      <c r="E131" s="53">
        <f>tkj!$G$18</f>
        <v>90</v>
      </c>
      <c r="F131" s="53">
        <f>tkj!$M$18</f>
        <v>95</v>
      </c>
      <c r="G131" s="53">
        <f>tkj!$S$18</f>
        <v>83</v>
      </c>
      <c r="H131" s="53">
        <f>tkj!$Y$18</f>
        <v>82</v>
      </c>
      <c r="I131" s="53">
        <f>tkj!$AC$18</f>
        <v>83</v>
      </c>
      <c r="J131" s="59"/>
      <c r="K131" s="54">
        <f>tkj!$AI$18</f>
        <v>71</v>
      </c>
      <c r="L131" s="55"/>
      <c r="M131" s="53">
        <f>tkj!$AO$18</f>
        <v>74</v>
      </c>
      <c r="N131" s="53">
        <f>tkj!$AU$18</f>
        <v>80</v>
      </c>
      <c r="O131" s="59"/>
      <c r="P131" s="55"/>
      <c r="Q131" s="55"/>
      <c r="R131" s="54">
        <f>tkj!$BQ$18</f>
        <v>84.666666666666671</v>
      </c>
      <c r="S131" s="54">
        <f>tkj!$BU$18</f>
        <v>83</v>
      </c>
      <c r="T131" s="55"/>
      <c r="U131" s="54">
        <f>tkj!$BZ$18</f>
        <v>74</v>
      </c>
      <c r="V131" s="58"/>
      <c r="X131" s="278">
        <v>18</v>
      </c>
    </row>
    <row r="132" spans="1:24" ht="15" thickBot="1">
      <c r="A132" s="268">
        <v>14</v>
      </c>
      <c r="B132" s="271"/>
      <c r="C132" s="274"/>
      <c r="D132" s="62" t="s">
        <v>297</v>
      </c>
      <c r="E132" s="53">
        <f>tkj!$H$18</f>
        <v>87</v>
      </c>
      <c r="F132" s="53">
        <f>tkj!$N$18</f>
        <v>95</v>
      </c>
      <c r="G132" s="53">
        <f>tkj!$T$18</f>
        <v>78</v>
      </c>
      <c r="H132" s="53">
        <f>tkj!$Z$18</f>
        <v>85</v>
      </c>
      <c r="I132" s="53">
        <f>tkj!$AD$18</f>
        <v>84</v>
      </c>
      <c r="J132" s="59"/>
      <c r="K132" s="54">
        <f>tkj!$AJ$18</f>
        <v>82</v>
      </c>
      <c r="L132" s="55"/>
      <c r="M132" s="53">
        <f>tkj!$AP$18</f>
        <v>75</v>
      </c>
      <c r="N132" s="53">
        <f>tkj!$AV$18</f>
        <v>80</v>
      </c>
      <c r="O132" s="59"/>
      <c r="P132" s="55"/>
      <c r="Q132" s="55"/>
      <c r="R132" s="54">
        <f>tkj!$BR$18</f>
        <v>83</v>
      </c>
      <c r="S132" s="54">
        <f>tkj!$BV$18</f>
        <v>83</v>
      </c>
      <c r="T132" s="63"/>
      <c r="U132" s="54">
        <f>tkj!$CA$18</f>
        <v>92</v>
      </c>
      <c r="V132" s="58"/>
      <c r="X132" s="278">
        <v>18</v>
      </c>
    </row>
    <row r="133" spans="1:24">
      <c r="A133" s="268">
        <v>14</v>
      </c>
      <c r="B133" s="271"/>
      <c r="C133" s="274"/>
      <c r="D133" s="62" t="s">
        <v>298</v>
      </c>
      <c r="E133" s="53">
        <f>tkj!$I$18</f>
        <v>92</v>
      </c>
      <c r="F133" s="53">
        <f>tkj!$O$18</f>
        <v>95</v>
      </c>
      <c r="G133" s="53">
        <f>tkj!$U$18</f>
        <v>80</v>
      </c>
      <c r="H133" s="65"/>
      <c r="I133" s="65"/>
      <c r="J133" s="59"/>
      <c r="K133" s="59"/>
      <c r="L133" s="53">
        <f>tkj!$AK$18</f>
        <v>80</v>
      </c>
      <c r="M133" s="53">
        <f>tkj!$AQ$18</f>
        <v>80</v>
      </c>
      <c r="N133" s="53">
        <f>tkj!$AW$18</f>
        <v>80</v>
      </c>
      <c r="O133" s="59"/>
      <c r="P133" s="55"/>
      <c r="Q133" s="55"/>
      <c r="R133" s="54">
        <f>tkj!$BS$18</f>
        <v>84.333333333333329</v>
      </c>
      <c r="S133" s="54">
        <f>tkj!$BW$18</f>
        <v>90</v>
      </c>
      <c r="T133" s="54"/>
      <c r="U133" s="54">
        <f>tkj!$CB$18</f>
        <v>80</v>
      </c>
      <c r="V133" s="58"/>
      <c r="X133" s="278">
        <v>18</v>
      </c>
    </row>
    <row r="134" spans="1:24">
      <c r="A134" s="268">
        <v>14</v>
      </c>
      <c r="B134" s="271"/>
      <c r="C134" s="274"/>
      <c r="D134" s="66" t="s">
        <v>299</v>
      </c>
      <c r="E134" s="67">
        <f>AVERAGE(E129:E133)</f>
        <v>91.2</v>
      </c>
      <c r="F134" s="67">
        <f>AVERAGE(F129:F133)</f>
        <v>91.2</v>
      </c>
      <c r="G134" s="67">
        <f>AVERAGE(G129:G133)</f>
        <v>82.2</v>
      </c>
      <c r="H134" s="68"/>
      <c r="I134" s="68"/>
      <c r="J134" s="69"/>
      <c r="K134" s="69"/>
      <c r="L134" s="67">
        <f>AVERAGE(L129:L133)</f>
        <v>80</v>
      </c>
      <c r="M134" s="67">
        <f>AVERAGE(M129:M133)</f>
        <v>74.2</v>
      </c>
      <c r="N134" s="67">
        <f>AVERAGE(N129:N133)</f>
        <v>80</v>
      </c>
      <c r="O134" s="69"/>
      <c r="P134" s="63"/>
      <c r="Q134" s="63"/>
      <c r="R134" s="84">
        <f>AVERAGE(R131:R133)</f>
        <v>84</v>
      </c>
      <c r="S134" s="84">
        <f>AVERAGE(S131:S133)</f>
        <v>85.333333333333329</v>
      </c>
      <c r="T134" s="63"/>
      <c r="U134" s="84">
        <f>AVERAGE(U129:U133)</f>
        <v>82</v>
      </c>
      <c r="V134" s="58"/>
      <c r="X134" s="278">
        <v>18</v>
      </c>
    </row>
    <row r="135" spans="1:24">
      <c r="A135" s="268">
        <v>14</v>
      </c>
      <c r="B135" s="271"/>
      <c r="C135" s="274"/>
      <c r="D135" s="70" t="s">
        <v>300</v>
      </c>
      <c r="E135" s="71">
        <f>tkj!$J$18</f>
        <v>74</v>
      </c>
      <c r="F135" s="71">
        <f>tkj!$P$18</f>
        <v>80</v>
      </c>
      <c r="G135" s="71">
        <f>tkj!$V$18</f>
        <v>78</v>
      </c>
      <c r="H135" s="72"/>
      <c r="I135" s="72"/>
      <c r="J135" s="73"/>
      <c r="K135" s="73"/>
      <c r="L135" s="71">
        <f>tkj!$AL$18</f>
        <v>78</v>
      </c>
      <c r="M135" s="71">
        <f>tkj!$AR$18</f>
        <v>82</v>
      </c>
      <c r="N135" s="71">
        <f>tkj!$AX$18</f>
        <v>82</v>
      </c>
      <c r="O135" s="73"/>
      <c r="P135" s="74"/>
      <c r="Q135" s="74"/>
      <c r="R135" s="85">
        <f>tkj!$BT$18</f>
        <v>86</v>
      </c>
      <c r="S135" s="85">
        <f>tkj!$BX$18</f>
        <v>86</v>
      </c>
      <c r="T135" s="85">
        <f>tkj!$BY$18</f>
        <v>80</v>
      </c>
      <c r="U135" s="75">
        <f>tkj!$CC$18</f>
        <v>82</v>
      </c>
      <c r="V135" s="58"/>
      <c r="X135" s="278">
        <v>18</v>
      </c>
    </row>
    <row r="136" spans="1:24">
      <c r="A136" s="268">
        <v>14</v>
      </c>
      <c r="B136" s="271"/>
      <c r="C136" s="274"/>
      <c r="D136" s="76" t="s">
        <v>301</v>
      </c>
      <c r="E136" s="77">
        <f>tkj!$CD$18</f>
        <v>89</v>
      </c>
      <c r="F136" s="77">
        <f>tkj!$CE$18</f>
        <v>85</v>
      </c>
      <c r="G136" s="77">
        <f>tkj!$CF$18</f>
        <v>75</v>
      </c>
      <c r="H136" s="72"/>
      <c r="I136" s="72"/>
      <c r="J136" s="73"/>
      <c r="K136" s="73"/>
      <c r="L136" s="77">
        <f>tkj!$CG$18</f>
        <v>85</v>
      </c>
      <c r="M136" s="77">
        <f>tkj!$CH$18</f>
        <v>77</v>
      </c>
      <c r="N136" s="77">
        <f>tkj!$CI$18</f>
        <v>82</v>
      </c>
      <c r="O136" s="73"/>
      <c r="P136" s="74"/>
      <c r="Q136" s="74"/>
      <c r="R136" s="86">
        <f>tkj!$CL$18</f>
        <v>87</v>
      </c>
      <c r="S136" s="86">
        <f>tkj!$CK$18</f>
        <v>84</v>
      </c>
      <c r="T136" s="74"/>
      <c r="U136" s="86">
        <f>tkj!$CJ$18</f>
        <v>83</v>
      </c>
      <c r="V136" s="58"/>
      <c r="X136" s="278">
        <v>18</v>
      </c>
    </row>
    <row r="137" spans="1:24" ht="15" thickBot="1">
      <c r="A137" s="269">
        <v>14</v>
      </c>
      <c r="B137" s="272"/>
      <c r="C137" s="275"/>
      <c r="D137" s="78" t="s">
        <v>302</v>
      </c>
      <c r="E137" s="79">
        <f>(E134*4+E135*3+E136*3)/10</f>
        <v>85.38</v>
      </c>
      <c r="F137" s="79">
        <f t="shared" ref="F137:G137" si="25">(F134*4+F135*3+F136*3)/10</f>
        <v>85.97999999999999</v>
      </c>
      <c r="G137" s="79">
        <f t="shared" si="25"/>
        <v>78.78</v>
      </c>
      <c r="H137" s="79">
        <f>AVERAGE(H129:H132)</f>
        <v>83.5</v>
      </c>
      <c r="I137" s="79">
        <f>AVERAGE(I129:I132)</f>
        <v>82.25</v>
      </c>
      <c r="J137" s="79">
        <f>AVERAGE(J129:J130)</f>
        <v>83.5</v>
      </c>
      <c r="K137" s="79">
        <f>AVERAGE(K129:K132)</f>
        <v>76.75</v>
      </c>
      <c r="L137" s="79">
        <f>(L134*4+L135*3+L136*3)/10</f>
        <v>80.900000000000006</v>
      </c>
      <c r="M137" s="79">
        <f>(M134*4+M135*3+M136*3)/10</f>
        <v>77.38</v>
      </c>
      <c r="N137" s="79">
        <f>(N134*4+N135*3+N136*3)/10</f>
        <v>81.2</v>
      </c>
      <c r="O137" s="79">
        <f>AVERAGE(O129:O130)</f>
        <v>85.5</v>
      </c>
      <c r="P137" s="79">
        <f>AVERAGE(P129:P130)</f>
        <v>82.5</v>
      </c>
      <c r="Q137" s="79">
        <f>AVERAGE(Q129:Q130)</f>
        <v>78</v>
      </c>
      <c r="R137" s="79">
        <f>(R134*4+R135*3+R136*3)/10</f>
        <v>85.5</v>
      </c>
      <c r="S137" s="79">
        <f>(S134*4+S135*3+S136*3)/10</f>
        <v>85.133333333333326</v>
      </c>
      <c r="T137" s="79">
        <f>T135</f>
        <v>80</v>
      </c>
      <c r="U137" s="79">
        <f t="shared" ref="U137" si="26">(U134*4+U135*3+U136*3)/10</f>
        <v>82.3</v>
      </c>
      <c r="V137" s="80">
        <f>AVERAGE(E137:U137)</f>
        <v>82.032549019607828</v>
      </c>
      <c r="X137" s="278">
        <v>18</v>
      </c>
    </row>
    <row r="138" spans="1:24" ht="15.6" thickTop="1" thickBot="1">
      <c r="A138" s="268">
        <v>15</v>
      </c>
      <c r="B138" s="270" t="s">
        <v>326</v>
      </c>
      <c r="C138" s="273" t="s">
        <v>81</v>
      </c>
      <c r="D138" s="52" t="s">
        <v>294</v>
      </c>
      <c r="E138" s="53">
        <f>tkj!$E$19</f>
        <v>84</v>
      </c>
      <c r="F138" s="53">
        <f>tkj!$K$19</f>
        <v>77</v>
      </c>
      <c r="G138" s="53">
        <f>tkj!$Q$19</f>
        <v>83</v>
      </c>
      <c r="H138" s="53">
        <f>tkj!$W$19</f>
        <v>84</v>
      </c>
      <c r="I138" s="53">
        <f>tkj!$AA$19</f>
        <v>77</v>
      </c>
      <c r="J138" s="53">
        <f>tkj!$AE$19</f>
        <v>82</v>
      </c>
      <c r="K138" s="54">
        <f>tkj!$AG$19</f>
        <v>75</v>
      </c>
      <c r="L138" s="55"/>
      <c r="M138" s="53">
        <f>tkj!$AM$19</f>
        <v>70</v>
      </c>
      <c r="N138" s="53">
        <f>tkj!$AS$19</f>
        <v>70</v>
      </c>
      <c r="O138" s="53">
        <f>tkj!$AY$19</f>
        <v>76</v>
      </c>
      <c r="P138" s="54">
        <f>tkj!$BA$19</f>
        <v>72</v>
      </c>
      <c r="Q138" s="54">
        <f>tkj!$BC$19</f>
        <v>70</v>
      </c>
      <c r="R138" s="55"/>
      <c r="S138" s="55"/>
      <c r="T138" s="55"/>
      <c r="U138" s="55"/>
      <c r="V138" s="56"/>
      <c r="X138" s="278">
        <v>19</v>
      </c>
    </row>
    <row r="139" spans="1:24" ht="15" thickBot="1">
      <c r="A139" s="268">
        <v>15</v>
      </c>
      <c r="B139" s="271"/>
      <c r="C139" s="274"/>
      <c r="D139" s="52" t="s">
        <v>295</v>
      </c>
      <c r="E139" s="53">
        <f>tkj!$F$19</f>
        <v>81</v>
      </c>
      <c r="F139" s="53">
        <f>tkj!$L$19</f>
        <v>75</v>
      </c>
      <c r="G139" s="53">
        <f>tkj!$R$19</f>
        <v>85</v>
      </c>
      <c r="H139" s="53">
        <f>tkj!$X$19</f>
        <v>86</v>
      </c>
      <c r="I139" s="53">
        <f>tkj!$AB$19</f>
        <v>79</v>
      </c>
      <c r="J139" s="53">
        <f>tkj!$AF$19</f>
        <v>82</v>
      </c>
      <c r="K139" s="54">
        <f>tkj!$AH$19</f>
        <v>70</v>
      </c>
      <c r="L139" s="55"/>
      <c r="M139" s="53">
        <f>tkj!$AN$19</f>
        <v>70</v>
      </c>
      <c r="N139" s="53">
        <f>tkj!$AT$19</f>
        <v>78</v>
      </c>
      <c r="O139" s="53">
        <f>tkj!$AZ$19</f>
        <v>79</v>
      </c>
      <c r="P139" s="54">
        <f>tkj!$BB$19</f>
        <v>78</v>
      </c>
      <c r="Q139" s="54">
        <f>tkj!$BD$19</f>
        <v>78</v>
      </c>
      <c r="R139" s="55"/>
      <c r="S139" s="55"/>
      <c r="T139" s="55"/>
      <c r="U139" s="55"/>
      <c r="V139" s="58"/>
      <c r="X139" s="278">
        <v>19</v>
      </c>
    </row>
    <row r="140" spans="1:24" ht="15" thickBot="1">
      <c r="A140" s="268">
        <v>15</v>
      </c>
      <c r="B140" s="271"/>
      <c r="C140" s="274"/>
      <c r="D140" s="52" t="s">
        <v>296</v>
      </c>
      <c r="E140" s="53">
        <f>tkj!$G$19</f>
        <v>80</v>
      </c>
      <c r="F140" s="53">
        <f>tkj!$M$19</f>
        <v>70</v>
      </c>
      <c r="G140" s="53">
        <f>tkj!$S$19</f>
        <v>70</v>
      </c>
      <c r="H140" s="53">
        <f>tkj!$Y$19</f>
        <v>84</v>
      </c>
      <c r="I140" s="53">
        <f>tkj!$AC$19</f>
        <v>70</v>
      </c>
      <c r="J140" s="59"/>
      <c r="K140" s="54">
        <f>tkj!$AI$19</f>
        <v>71</v>
      </c>
      <c r="L140" s="55"/>
      <c r="M140" s="53">
        <f>tkj!$AO$19</f>
        <v>72</v>
      </c>
      <c r="N140" s="53">
        <f>tkj!$AU$19</f>
        <v>78</v>
      </c>
      <c r="O140" s="59"/>
      <c r="P140" s="55"/>
      <c r="Q140" s="55"/>
      <c r="R140" s="54">
        <f>tkj!$BQ$19</f>
        <v>73</v>
      </c>
      <c r="S140" s="54">
        <f>tkj!$BU$19</f>
        <v>82</v>
      </c>
      <c r="T140" s="55"/>
      <c r="U140" s="54">
        <f>tkj!$BZ$19</f>
        <v>70</v>
      </c>
      <c r="V140" s="58"/>
      <c r="X140" s="278">
        <v>19</v>
      </c>
    </row>
    <row r="141" spans="1:24" ht="15" thickBot="1">
      <c r="A141" s="268">
        <v>15</v>
      </c>
      <c r="B141" s="271"/>
      <c r="C141" s="274"/>
      <c r="D141" s="62" t="s">
        <v>297</v>
      </c>
      <c r="E141" s="53">
        <f>tkj!$H$19</f>
        <v>80</v>
      </c>
      <c r="F141" s="53">
        <f>tkj!$N$19</f>
        <v>84</v>
      </c>
      <c r="G141" s="53">
        <f>tkj!$T$19</f>
        <v>72</v>
      </c>
      <c r="H141" s="53">
        <f>tkj!$Z$19</f>
        <v>85</v>
      </c>
      <c r="I141" s="53">
        <f>tkj!$AD$19</f>
        <v>72</v>
      </c>
      <c r="J141" s="59"/>
      <c r="K141" s="54">
        <f>tkj!$AJ$19</f>
        <v>80</v>
      </c>
      <c r="L141" s="55"/>
      <c r="M141" s="53">
        <f>tkj!$AP$19</f>
        <v>73</v>
      </c>
      <c r="N141" s="53">
        <f>tkj!$AV$19</f>
        <v>75</v>
      </c>
      <c r="O141" s="59"/>
      <c r="P141" s="55"/>
      <c r="Q141" s="55"/>
      <c r="R141" s="54">
        <f>tkj!$BR$19</f>
        <v>72.666666666666671</v>
      </c>
      <c r="S141" s="54">
        <f>tkj!$BV$19</f>
        <v>82</v>
      </c>
      <c r="T141" s="63"/>
      <c r="U141" s="54">
        <f>tkj!$CA$19</f>
        <v>76</v>
      </c>
      <c r="V141" s="58"/>
      <c r="X141" s="278">
        <v>19</v>
      </c>
    </row>
    <row r="142" spans="1:24">
      <c r="A142" s="268">
        <v>15</v>
      </c>
      <c r="B142" s="271"/>
      <c r="C142" s="274"/>
      <c r="D142" s="62" t="s">
        <v>298</v>
      </c>
      <c r="E142" s="53">
        <f>tkj!$I$19</f>
        <v>84</v>
      </c>
      <c r="F142" s="53">
        <f>tkj!$O$19</f>
        <v>85</v>
      </c>
      <c r="G142" s="53">
        <f>tkj!$U$19</f>
        <v>70</v>
      </c>
      <c r="H142" s="65"/>
      <c r="I142" s="65"/>
      <c r="J142" s="59"/>
      <c r="K142" s="59"/>
      <c r="L142" s="53">
        <f>tkj!$AK$19</f>
        <v>82</v>
      </c>
      <c r="M142" s="53">
        <f>tkj!$AQ$19</f>
        <v>80</v>
      </c>
      <c r="N142" s="53">
        <f>tkj!$AW$19</f>
        <v>78</v>
      </c>
      <c r="O142" s="59"/>
      <c r="P142" s="55"/>
      <c r="Q142" s="55"/>
      <c r="R142" s="54">
        <f>tkj!$BS$19</f>
        <v>80.333333333333329</v>
      </c>
      <c r="S142" s="54">
        <f>tkj!$BW$19</f>
        <v>90</v>
      </c>
      <c r="T142" s="54"/>
      <c r="U142" s="54">
        <f>tkj!$CB$19</f>
        <v>79</v>
      </c>
      <c r="V142" s="58"/>
      <c r="X142" s="278">
        <v>19</v>
      </c>
    </row>
    <row r="143" spans="1:24">
      <c r="A143" s="268">
        <v>15</v>
      </c>
      <c r="B143" s="271"/>
      <c r="C143" s="274"/>
      <c r="D143" s="66" t="s">
        <v>299</v>
      </c>
      <c r="E143" s="67">
        <f>AVERAGE(E138:E142)</f>
        <v>81.8</v>
      </c>
      <c r="F143" s="67">
        <f>AVERAGE(F138:F142)</f>
        <v>78.2</v>
      </c>
      <c r="G143" s="67">
        <f>AVERAGE(G138:G142)</f>
        <v>76</v>
      </c>
      <c r="H143" s="68"/>
      <c r="I143" s="68"/>
      <c r="J143" s="69"/>
      <c r="K143" s="69"/>
      <c r="L143" s="67">
        <f>AVERAGE(L138:L142)</f>
        <v>82</v>
      </c>
      <c r="M143" s="67">
        <f>AVERAGE(M138:M142)</f>
        <v>73</v>
      </c>
      <c r="N143" s="67">
        <f>AVERAGE(N138:N142)</f>
        <v>75.8</v>
      </c>
      <c r="O143" s="69"/>
      <c r="P143" s="63"/>
      <c r="Q143" s="63"/>
      <c r="R143" s="84">
        <f>AVERAGE(R140:R142)</f>
        <v>75.333333333333329</v>
      </c>
      <c r="S143" s="84">
        <f>AVERAGE(S140:S142)</f>
        <v>84.666666666666671</v>
      </c>
      <c r="T143" s="63"/>
      <c r="U143" s="84">
        <f>AVERAGE(U138:U142)</f>
        <v>75</v>
      </c>
      <c r="V143" s="58"/>
      <c r="X143" s="278">
        <v>19</v>
      </c>
    </row>
    <row r="144" spans="1:24">
      <c r="A144" s="268">
        <v>15</v>
      </c>
      <c r="B144" s="271"/>
      <c r="C144" s="274"/>
      <c r="D144" s="70" t="s">
        <v>300</v>
      </c>
      <c r="E144" s="71">
        <f>tkj!$J$19</f>
        <v>83</v>
      </c>
      <c r="F144" s="71">
        <f>tkj!$P$19</f>
        <v>81</v>
      </c>
      <c r="G144" s="71">
        <f>tkj!$V$19</f>
        <v>79</v>
      </c>
      <c r="H144" s="72"/>
      <c r="I144" s="72"/>
      <c r="J144" s="73"/>
      <c r="K144" s="73"/>
      <c r="L144" s="71">
        <f>tkj!$AL$19</f>
        <v>79</v>
      </c>
      <c r="M144" s="71">
        <f>tkj!$AR$19</f>
        <v>80</v>
      </c>
      <c r="N144" s="71">
        <f>tkj!$AX$19</f>
        <v>80</v>
      </c>
      <c r="O144" s="73"/>
      <c r="P144" s="74"/>
      <c r="Q144" s="74"/>
      <c r="R144" s="85">
        <f>tkj!$BT$19</f>
        <v>80</v>
      </c>
      <c r="S144" s="85">
        <f>tkj!$BX$19</f>
        <v>80</v>
      </c>
      <c r="T144" s="85">
        <f>tkj!$BY$19</f>
        <v>81</v>
      </c>
      <c r="U144" s="75">
        <f>tkj!$CC$19</f>
        <v>80</v>
      </c>
      <c r="V144" s="58"/>
      <c r="X144" s="278">
        <v>19</v>
      </c>
    </row>
    <row r="145" spans="1:24">
      <c r="A145" s="268">
        <v>15</v>
      </c>
      <c r="B145" s="271"/>
      <c r="C145" s="274"/>
      <c r="D145" s="76" t="s">
        <v>301</v>
      </c>
      <c r="E145" s="77">
        <f>tkj!$CD$19</f>
        <v>81</v>
      </c>
      <c r="F145" s="77">
        <f>tkj!$CE$19</f>
        <v>75</v>
      </c>
      <c r="G145" s="77">
        <f>tkj!$CF$19</f>
        <v>75</v>
      </c>
      <c r="H145" s="72"/>
      <c r="I145" s="72"/>
      <c r="J145" s="73"/>
      <c r="K145" s="73"/>
      <c r="L145" s="77">
        <f>tkj!$CG$19</f>
        <v>92</v>
      </c>
      <c r="M145" s="77">
        <f>tkj!$CH$19</f>
        <v>80</v>
      </c>
      <c r="N145" s="77">
        <f>tkj!$CI$19</f>
        <v>80</v>
      </c>
      <c r="O145" s="73"/>
      <c r="P145" s="74"/>
      <c r="Q145" s="74"/>
      <c r="R145" s="86">
        <f>tkj!$CL$19</f>
        <v>87</v>
      </c>
      <c r="S145" s="86">
        <f>tkj!$CK$19</f>
        <v>90</v>
      </c>
      <c r="T145" s="74"/>
      <c r="U145" s="86">
        <f>tkj!$CJ$19</f>
        <v>80</v>
      </c>
      <c r="V145" s="58"/>
      <c r="X145" s="278">
        <v>19</v>
      </c>
    </row>
    <row r="146" spans="1:24" ht="15" thickBot="1">
      <c r="A146" s="269">
        <v>15</v>
      </c>
      <c r="B146" s="272"/>
      <c r="C146" s="275"/>
      <c r="D146" s="78" t="s">
        <v>302</v>
      </c>
      <c r="E146" s="79">
        <f>(E143*4+E144*3+E145*3)/10</f>
        <v>81.92</v>
      </c>
      <c r="F146" s="79">
        <f t="shared" ref="F146:G146" si="27">(F143*4+F144*3+F145*3)/10</f>
        <v>78.08</v>
      </c>
      <c r="G146" s="79">
        <f t="shared" si="27"/>
        <v>76.599999999999994</v>
      </c>
      <c r="H146" s="79">
        <f>AVERAGE(H138:H141)</f>
        <v>84.75</v>
      </c>
      <c r="I146" s="79">
        <f>AVERAGE(I138:I141)</f>
        <v>74.5</v>
      </c>
      <c r="J146" s="79">
        <f>AVERAGE(J138:J139)</f>
        <v>82</v>
      </c>
      <c r="K146" s="79">
        <f>AVERAGE(K138:K141)</f>
        <v>74</v>
      </c>
      <c r="L146" s="79">
        <f>(L143*4+L144*3+L145*3)/10</f>
        <v>84.1</v>
      </c>
      <c r="M146" s="79">
        <f>(M143*4+M144*3+M145*3)/10</f>
        <v>77.2</v>
      </c>
      <c r="N146" s="79">
        <f>(N143*4+N144*3+N145*3)/10</f>
        <v>78.320000000000007</v>
      </c>
      <c r="O146" s="79">
        <f>AVERAGE(O138:O139)</f>
        <v>77.5</v>
      </c>
      <c r="P146" s="79">
        <f>AVERAGE(P138:P139)</f>
        <v>75</v>
      </c>
      <c r="Q146" s="79">
        <f>AVERAGE(Q138:Q139)</f>
        <v>74</v>
      </c>
      <c r="R146" s="79">
        <f>(R143*4+R144*3+R145*3)/10</f>
        <v>80.23333333333332</v>
      </c>
      <c r="S146" s="79">
        <f>(S143*4+S144*3+S145*3)/10</f>
        <v>84.866666666666674</v>
      </c>
      <c r="T146" s="79">
        <f>T144</f>
        <v>81</v>
      </c>
      <c r="U146" s="79">
        <f t="shared" ref="U146" si="28">(U143*4+U144*3+U145*3)/10</f>
        <v>78</v>
      </c>
      <c r="V146" s="80">
        <f>AVERAGE(E146:U146)</f>
        <v>78.945294117647066</v>
      </c>
      <c r="X146" s="278">
        <v>19</v>
      </c>
    </row>
    <row r="147" spans="1:24" ht="18" customHeight="1" thickTop="1" thickBot="1">
      <c r="A147" s="268">
        <v>16</v>
      </c>
      <c r="B147" s="270" t="s">
        <v>327</v>
      </c>
      <c r="C147" s="273" t="s">
        <v>83</v>
      </c>
      <c r="D147" s="52" t="s">
        <v>294</v>
      </c>
      <c r="E147" s="53">
        <f>tkj!$E$20</f>
        <v>80</v>
      </c>
      <c r="F147" s="53">
        <f>tkj!$K$20</f>
        <v>80</v>
      </c>
      <c r="G147" s="53">
        <f>tkj!$Q$20</f>
        <v>80</v>
      </c>
      <c r="H147" s="53">
        <f>tkj!$W$20</f>
        <v>83</v>
      </c>
      <c r="I147" s="53">
        <f>tkj!$AA$20</f>
        <v>77</v>
      </c>
      <c r="J147" s="53">
        <f>tkj!$AE$20</f>
        <v>82</v>
      </c>
      <c r="K147" s="54">
        <f>tkj!$AG$20</f>
        <v>75</v>
      </c>
      <c r="L147" s="55"/>
      <c r="M147" s="53">
        <f>tkj!$AM$20</f>
        <v>70</v>
      </c>
      <c r="N147" s="53">
        <f>tkj!$AS$20</f>
        <v>81</v>
      </c>
      <c r="O147" s="53">
        <f>tkj!$AY$20</f>
        <v>75</v>
      </c>
      <c r="P147" s="54">
        <f>tkj!$BA$20</f>
        <v>70</v>
      </c>
      <c r="Q147" s="54">
        <f>tkj!$BC$20</f>
        <v>79</v>
      </c>
      <c r="R147" s="55"/>
      <c r="S147" s="55"/>
      <c r="T147" s="55"/>
      <c r="U147" s="55"/>
      <c r="V147" s="56"/>
      <c r="X147" s="278">
        <v>20</v>
      </c>
    </row>
    <row r="148" spans="1:24" ht="15" thickBot="1">
      <c r="A148" s="268">
        <v>16</v>
      </c>
      <c r="B148" s="271"/>
      <c r="C148" s="274"/>
      <c r="D148" s="52" t="s">
        <v>295</v>
      </c>
      <c r="E148" s="53">
        <f>tkj!$F$20</f>
        <v>80</v>
      </c>
      <c r="F148" s="53">
        <f>tkj!$L$20</f>
        <v>77</v>
      </c>
      <c r="G148" s="53">
        <f>tkj!$R$20</f>
        <v>81</v>
      </c>
      <c r="H148" s="53">
        <f>tkj!$X$20</f>
        <v>85</v>
      </c>
      <c r="I148" s="53">
        <f>tkj!$AB$20</f>
        <v>79</v>
      </c>
      <c r="J148" s="53">
        <f>tkj!$AF$20</f>
        <v>80</v>
      </c>
      <c r="K148" s="54">
        <f>tkj!$AH$20</f>
        <v>74</v>
      </c>
      <c r="L148" s="55"/>
      <c r="M148" s="53">
        <f>tkj!$AN$20</f>
        <v>71</v>
      </c>
      <c r="N148" s="53">
        <f>tkj!$AT$20</f>
        <v>85</v>
      </c>
      <c r="O148" s="53">
        <f>tkj!$AZ$20</f>
        <v>82</v>
      </c>
      <c r="P148" s="54">
        <f>tkj!$BB$20</f>
        <v>81</v>
      </c>
      <c r="Q148" s="54">
        <f>tkj!$BD$20</f>
        <v>82</v>
      </c>
      <c r="R148" s="55"/>
      <c r="S148" s="55"/>
      <c r="T148" s="55"/>
      <c r="U148" s="55"/>
      <c r="V148" s="58"/>
      <c r="X148" s="278">
        <v>20</v>
      </c>
    </row>
    <row r="149" spans="1:24" ht="15" thickBot="1">
      <c r="A149" s="268">
        <v>16</v>
      </c>
      <c r="B149" s="271"/>
      <c r="C149" s="274"/>
      <c r="D149" s="52" t="s">
        <v>296</v>
      </c>
      <c r="E149" s="53">
        <f>tkj!$G$20</f>
        <v>89</v>
      </c>
      <c r="F149" s="53">
        <f>tkj!$M$20</f>
        <v>70</v>
      </c>
      <c r="G149" s="53">
        <f>tkj!$S$20</f>
        <v>74</v>
      </c>
      <c r="H149" s="53">
        <f>tkj!$Y$20</f>
        <v>80</v>
      </c>
      <c r="I149" s="53">
        <f>tkj!$AC$20</f>
        <v>77</v>
      </c>
      <c r="J149" s="59"/>
      <c r="K149" s="54">
        <f>tkj!$AI$20</f>
        <v>70</v>
      </c>
      <c r="L149" s="55"/>
      <c r="M149" s="53">
        <f>tkj!$AO$20</f>
        <v>73</v>
      </c>
      <c r="N149" s="53">
        <f>tkj!$AU$20</f>
        <v>82</v>
      </c>
      <c r="O149" s="59"/>
      <c r="P149" s="55"/>
      <c r="Q149" s="55"/>
      <c r="R149" s="54">
        <f>tkj!$BQ$20</f>
        <v>77.333333333333329</v>
      </c>
      <c r="S149" s="54">
        <f>tkj!$BU$20</f>
        <v>80</v>
      </c>
      <c r="T149" s="55"/>
      <c r="U149" s="54">
        <f>tkj!$BZ$20</f>
        <v>75</v>
      </c>
      <c r="V149" s="58"/>
      <c r="X149" s="278">
        <v>20</v>
      </c>
    </row>
    <row r="150" spans="1:24" ht="15" thickBot="1">
      <c r="A150" s="268">
        <v>16</v>
      </c>
      <c r="B150" s="271"/>
      <c r="C150" s="274"/>
      <c r="D150" s="62" t="s">
        <v>297</v>
      </c>
      <c r="E150" s="53">
        <f>tkj!$H$20</f>
        <v>87</v>
      </c>
      <c r="F150" s="53">
        <f>tkj!$N$20</f>
        <v>91</v>
      </c>
      <c r="G150" s="53">
        <f>tkj!$T$20</f>
        <v>76</v>
      </c>
      <c r="H150" s="53">
        <f>tkj!$Z$20</f>
        <v>84</v>
      </c>
      <c r="I150" s="53">
        <f>tkj!$AD$20</f>
        <v>81</v>
      </c>
      <c r="J150" s="59"/>
      <c r="K150" s="54">
        <f>tkj!$AJ$20</f>
        <v>83</v>
      </c>
      <c r="L150" s="55"/>
      <c r="M150" s="53">
        <f>tkj!$AP$20</f>
        <v>74</v>
      </c>
      <c r="N150" s="53">
        <f>tkj!$AV$20</f>
        <v>80</v>
      </c>
      <c r="O150" s="59"/>
      <c r="P150" s="55"/>
      <c r="Q150" s="55"/>
      <c r="R150" s="54">
        <f>tkj!$BR$20</f>
        <v>72.666666666666671</v>
      </c>
      <c r="S150" s="54">
        <f>tkj!$BV$20</f>
        <v>81</v>
      </c>
      <c r="T150" s="63"/>
      <c r="U150" s="54">
        <f>tkj!$CA$20</f>
        <v>77</v>
      </c>
      <c r="V150" s="58"/>
      <c r="X150" s="278">
        <v>20</v>
      </c>
    </row>
    <row r="151" spans="1:24">
      <c r="A151" s="268">
        <v>16</v>
      </c>
      <c r="B151" s="271"/>
      <c r="C151" s="274"/>
      <c r="D151" s="62" t="s">
        <v>298</v>
      </c>
      <c r="E151" s="53">
        <f>tkj!$I$20</f>
        <v>87</v>
      </c>
      <c r="F151" s="53">
        <f>tkj!$O$20</f>
        <v>91</v>
      </c>
      <c r="G151" s="53">
        <f>tkj!$U$20</f>
        <v>76</v>
      </c>
      <c r="H151" s="65"/>
      <c r="I151" s="65"/>
      <c r="J151" s="59"/>
      <c r="K151" s="59"/>
      <c r="L151" s="53">
        <f>tkj!$AK$20</f>
        <v>80</v>
      </c>
      <c r="M151" s="53">
        <f>tkj!$AQ$20</f>
        <v>77</v>
      </c>
      <c r="N151" s="53">
        <f>tkj!$AW$20</f>
        <v>82</v>
      </c>
      <c r="O151" s="59"/>
      <c r="P151" s="55"/>
      <c r="Q151" s="55"/>
      <c r="R151" s="54">
        <f>tkj!$BS$20</f>
        <v>79</v>
      </c>
      <c r="S151" s="54">
        <f>tkj!$BW$20</f>
        <v>80</v>
      </c>
      <c r="T151" s="54"/>
      <c r="U151" s="54">
        <f>tkj!$CB$20</f>
        <v>83</v>
      </c>
      <c r="V151" s="58"/>
      <c r="X151" s="278">
        <v>20</v>
      </c>
    </row>
    <row r="152" spans="1:24">
      <c r="A152" s="268">
        <v>16</v>
      </c>
      <c r="B152" s="271"/>
      <c r="C152" s="274"/>
      <c r="D152" s="66" t="s">
        <v>299</v>
      </c>
      <c r="E152" s="67">
        <f>AVERAGE(E147:E151)</f>
        <v>84.6</v>
      </c>
      <c r="F152" s="67">
        <f>AVERAGE(F147:F151)</f>
        <v>81.8</v>
      </c>
      <c r="G152" s="67">
        <f>AVERAGE(G147:G151)</f>
        <v>77.400000000000006</v>
      </c>
      <c r="H152" s="68"/>
      <c r="I152" s="68"/>
      <c r="J152" s="69"/>
      <c r="K152" s="69"/>
      <c r="L152" s="67">
        <f>AVERAGE(L147:L151)</f>
        <v>80</v>
      </c>
      <c r="M152" s="67">
        <f>AVERAGE(M147:M151)</f>
        <v>73</v>
      </c>
      <c r="N152" s="67">
        <f>AVERAGE(N147:N151)</f>
        <v>82</v>
      </c>
      <c r="O152" s="69"/>
      <c r="P152" s="63"/>
      <c r="Q152" s="63"/>
      <c r="R152" s="84">
        <f>AVERAGE(R149:R151)</f>
        <v>76.333333333333329</v>
      </c>
      <c r="S152" s="84">
        <f>AVERAGE(S149:S151)</f>
        <v>80.333333333333329</v>
      </c>
      <c r="T152" s="63"/>
      <c r="U152" s="84">
        <f>AVERAGE(U147:U151)</f>
        <v>78.333333333333329</v>
      </c>
      <c r="V152" s="58"/>
      <c r="X152" s="278">
        <v>20</v>
      </c>
    </row>
    <row r="153" spans="1:24">
      <c r="A153" s="268">
        <v>16</v>
      </c>
      <c r="B153" s="271"/>
      <c r="C153" s="274"/>
      <c r="D153" s="70" t="s">
        <v>300</v>
      </c>
      <c r="E153" s="71">
        <f>tkj!$J$20</f>
        <v>82</v>
      </c>
      <c r="F153" s="71">
        <f>tkj!$P$20</f>
        <v>84</v>
      </c>
      <c r="G153" s="71">
        <f>tkj!$V$20</f>
        <v>81</v>
      </c>
      <c r="H153" s="72"/>
      <c r="I153" s="72"/>
      <c r="J153" s="73"/>
      <c r="K153" s="73"/>
      <c r="L153" s="71">
        <f>tkj!$AL$20</f>
        <v>81</v>
      </c>
      <c r="M153" s="71">
        <f>tkj!$AR$20</f>
        <v>80</v>
      </c>
      <c r="N153" s="71">
        <f>tkj!$AX$20</f>
        <v>80</v>
      </c>
      <c r="O153" s="73"/>
      <c r="P153" s="74"/>
      <c r="Q153" s="74"/>
      <c r="R153" s="85">
        <f>tkj!$BT$20</f>
        <v>82</v>
      </c>
      <c r="S153" s="85">
        <f>tkj!$BX$20</f>
        <v>82</v>
      </c>
      <c r="T153" s="85">
        <f>tkj!$BY$20</f>
        <v>82</v>
      </c>
      <c r="U153" s="75">
        <f>tkj!$CC$20</f>
        <v>80</v>
      </c>
      <c r="V153" s="58"/>
      <c r="X153" s="278">
        <v>20</v>
      </c>
    </row>
    <row r="154" spans="1:24">
      <c r="A154" s="268">
        <v>16</v>
      </c>
      <c r="B154" s="271"/>
      <c r="C154" s="274"/>
      <c r="D154" s="76" t="s">
        <v>301</v>
      </c>
      <c r="E154" s="77">
        <f>tkj!$CD$20</f>
        <v>90</v>
      </c>
      <c r="F154" s="77">
        <f>tkj!$CE$20</f>
        <v>80</v>
      </c>
      <c r="G154" s="77">
        <f>tkj!$CF$20</f>
        <v>75</v>
      </c>
      <c r="H154" s="72"/>
      <c r="I154" s="72"/>
      <c r="J154" s="73"/>
      <c r="K154" s="73"/>
      <c r="L154" s="77">
        <f>tkj!$CG$20</f>
        <v>72</v>
      </c>
      <c r="M154" s="77">
        <f>tkj!$CH$20</f>
        <v>78</v>
      </c>
      <c r="N154" s="77">
        <f>tkj!$CI$20</f>
        <v>83</v>
      </c>
      <c r="O154" s="73"/>
      <c r="P154" s="74"/>
      <c r="Q154" s="74"/>
      <c r="R154" s="86">
        <f>tkj!$CL$20</f>
        <v>70</v>
      </c>
      <c r="S154" s="86">
        <f>tkj!$CK$20</f>
        <v>84</v>
      </c>
      <c r="T154" s="74"/>
      <c r="U154" s="86">
        <f>tkj!$CJ$20</f>
        <v>80</v>
      </c>
      <c r="V154" s="58"/>
      <c r="X154" s="278">
        <v>20</v>
      </c>
    </row>
    <row r="155" spans="1:24" ht="15" thickBot="1">
      <c r="A155" s="269">
        <v>16</v>
      </c>
      <c r="B155" s="272"/>
      <c r="C155" s="275"/>
      <c r="D155" s="78" t="s">
        <v>302</v>
      </c>
      <c r="E155" s="79">
        <f>(E152*4+E153*3+E154*3)/10</f>
        <v>85.44</v>
      </c>
      <c r="F155" s="79">
        <f t="shared" ref="F155:G155" si="29">(F152*4+F153*3+F154*3)/10</f>
        <v>81.92</v>
      </c>
      <c r="G155" s="79">
        <f t="shared" si="29"/>
        <v>77.760000000000005</v>
      </c>
      <c r="H155" s="79">
        <f>AVERAGE(H147:H150)</f>
        <v>83</v>
      </c>
      <c r="I155" s="79">
        <f>AVERAGE(I147:I150)</f>
        <v>78.5</v>
      </c>
      <c r="J155" s="79">
        <f>AVERAGE(J147:J148)</f>
        <v>81</v>
      </c>
      <c r="K155" s="79">
        <f>AVERAGE(K147:K150)</f>
        <v>75.5</v>
      </c>
      <c r="L155" s="79">
        <f>(L152*4+L153*3+L154*3)/10</f>
        <v>77.900000000000006</v>
      </c>
      <c r="M155" s="79">
        <f>(M152*4+M153*3+M154*3)/10</f>
        <v>76.599999999999994</v>
      </c>
      <c r="N155" s="79">
        <f>(N152*4+N153*3+N154*3)/10</f>
        <v>81.7</v>
      </c>
      <c r="O155" s="79">
        <f>AVERAGE(O147:O148)</f>
        <v>78.5</v>
      </c>
      <c r="P155" s="79">
        <f>AVERAGE(P147:P148)</f>
        <v>75.5</v>
      </c>
      <c r="Q155" s="79">
        <f>AVERAGE(Q147:Q148)</f>
        <v>80.5</v>
      </c>
      <c r="R155" s="79">
        <f>(R152*4+R153*3+R154*3)/10</f>
        <v>76.133333333333326</v>
      </c>
      <c r="S155" s="79">
        <f>(S152*4+S153*3+S154*3)/10</f>
        <v>81.933333333333323</v>
      </c>
      <c r="T155" s="79">
        <f>T153</f>
        <v>82</v>
      </c>
      <c r="U155" s="79">
        <f t="shared" ref="U155" si="30">(U152*4+U153*3+U154*3)/10</f>
        <v>79.333333333333329</v>
      </c>
      <c r="V155" s="80">
        <f>AVERAGE(E155:U155)</f>
        <v>79.601176470588243</v>
      </c>
      <c r="X155" s="278">
        <v>20</v>
      </c>
    </row>
    <row r="156" spans="1:24" ht="15.6" thickTop="1" thickBot="1">
      <c r="A156" s="268">
        <v>17</v>
      </c>
      <c r="B156" s="270" t="s">
        <v>328</v>
      </c>
      <c r="C156" s="273" t="s">
        <v>85</v>
      </c>
      <c r="D156" s="52" t="s">
        <v>294</v>
      </c>
      <c r="E156" s="53">
        <f>tkj!$E$21</f>
        <v>81</v>
      </c>
      <c r="F156" s="53">
        <f>tkj!$K$21</f>
        <v>77</v>
      </c>
      <c r="G156" s="53">
        <f>tkj!$Q$21</f>
        <v>80</v>
      </c>
      <c r="H156" s="53">
        <f>tkj!$W$21</f>
        <v>83</v>
      </c>
      <c r="I156" s="53">
        <f>tkj!$AA$21</f>
        <v>83</v>
      </c>
      <c r="J156" s="53">
        <f>tkj!$AE$21</f>
        <v>83</v>
      </c>
      <c r="K156" s="54">
        <f>tkj!$AG$21</f>
        <v>75</v>
      </c>
      <c r="L156" s="55"/>
      <c r="M156" s="53">
        <f>tkj!$AM$21</f>
        <v>72</v>
      </c>
      <c r="N156" s="53">
        <f>tkj!$AS$21</f>
        <v>74</v>
      </c>
      <c r="O156" s="53">
        <f>tkj!$AY$21</f>
        <v>89</v>
      </c>
      <c r="P156" s="54">
        <f>tkj!$BA$21</f>
        <v>74</v>
      </c>
      <c r="Q156" s="54">
        <f>tkj!$BC$21</f>
        <v>80</v>
      </c>
      <c r="R156" s="55"/>
      <c r="S156" s="55"/>
      <c r="T156" s="55"/>
      <c r="U156" s="55"/>
      <c r="V156" s="56"/>
      <c r="X156" s="278">
        <v>21</v>
      </c>
    </row>
    <row r="157" spans="1:24" ht="15" thickBot="1">
      <c r="A157" s="268">
        <v>17</v>
      </c>
      <c r="B157" s="271"/>
      <c r="C157" s="274"/>
      <c r="D157" s="52" t="s">
        <v>295</v>
      </c>
      <c r="E157" s="53">
        <f>tkj!$F$21</f>
        <v>82</v>
      </c>
      <c r="F157" s="53">
        <f>tkj!$L$21</f>
        <v>86</v>
      </c>
      <c r="G157" s="53">
        <f>tkj!$R$21</f>
        <v>86</v>
      </c>
      <c r="H157" s="53">
        <f>tkj!$X$21</f>
        <v>85</v>
      </c>
      <c r="I157" s="53">
        <f>tkj!$AB$21</f>
        <v>86</v>
      </c>
      <c r="J157" s="53">
        <f>tkj!$AF$21</f>
        <v>81</v>
      </c>
      <c r="K157" s="54">
        <f>tkj!$AH$21</f>
        <v>77</v>
      </c>
      <c r="L157" s="55"/>
      <c r="M157" s="53">
        <f>tkj!$AN$21</f>
        <v>73</v>
      </c>
      <c r="N157" s="53">
        <f>tkj!$AT$21</f>
        <v>78</v>
      </c>
      <c r="O157" s="53">
        <f>tkj!$AZ$21</f>
        <v>86</v>
      </c>
      <c r="P157" s="54">
        <f>tkj!$BB$21</f>
        <v>86</v>
      </c>
      <c r="Q157" s="54">
        <f>tkj!$BD$21</f>
        <v>82</v>
      </c>
      <c r="R157" s="55"/>
      <c r="S157" s="55"/>
      <c r="T157" s="55"/>
      <c r="U157" s="55"/>
      <c r="V157" s="58"/>
      <c r="X157" s="278">
        <v>21</v>
      </c>
    </row>
    <row r="158" spans="1:24" ht="15" thickBot="1">
      <c r="A158" s="268">
        <v>17</v>
      </c>
      <c r="B158" s="271"/>
      <c r="C158" s="274"/>
      <c r="D158" s="52" t="s">
        <v>296</v>
      </c>
      <c r="E158" s="53">
        <f>tkj!$G$21</f>
        <v>88</v>
      </c>
      <c r="F158" s="53">
        <f>tkj!$M$21</f>
        <v>93</v>
      </c>
      <c r="G158" s="53">
        <f>tkj!$S$21</f>
        <v>82</v>
      </c>
      <c r="H158" s="53">
        <f>tkj!$Y$21</f>
        <v>83</v>
      </c>
      <c r="I158" s="53">
        <f>tkj!$AC$21</f>
        <v>84</v>
      </c>
      <c r="J158" s="59"/>
      <c r="K158" s="54">
        <f>tkj!$AI$21</f>
        <v>74</v>
      </c>
      <c r="L158" s="55"/>
      <c r="M158" s="53">
        <f>tkj!$AO$21</f>
        <v>74</v>
      </c>
      <c r="N158" s="53">
        <f>tkj!$AU$21</f>
        <v>80</v>
      </c>
      <c r="O158" s="59"/>
      <c r="P158" s="55"/>
      <c r="Q158" s="55"/>
      <c r="R158" s="54">
        <f>tkj!$BQ$21</f>
        <v>84.333333333333329</v>
      </c>
      <c r="S158" s="54">
        <f>tkj!$BU$21</f>
        <v>84</v>
      </c>
      <c r="T158" s="55"/>
      <c r="U158" s="54">
        <f>tkj!$BZ$21</f>
        <v>78</v>
      </c>
      <c r="V158" s="58"/>
      <c r="X158" s="278">
        <v>21</v>
      </c>
    </row>
    <row r="159" spans="1:24" ht="15" thickBot="1">
      <c r="A159" s="268">
        <v>17</v>
      </c>
      <c r="B159" s="271"/>
      <c r="C159" s="274"/>
      <c r="D159" s="62" t="s">
        <v>297</v>
      </c>
      <c r="E159" s="53">
        <f>tkj!$H$21</f>
        <v>85</v>
      </c>
      <c r="F159" s="53">
        <f>tkj!$N$21</f>
        <v>95</v>
      </c>
      <c r="G159" s="53">
        <f>tkj!$T$21</f>
        <v>85</v>
      </c>
      <c r="H159" s="53">
        <f>tkj!$Z$21</f>
        <v>85</v>
      </c>
      <c r="I159" s="53">
        <f>tkj!$AD$21</f>
        <v>85</v>
      </c>
      <c r="J159" s="59"/>
      <c r="K159" s="54">
        <f>tkj!$AJ$21</f>
        <v>84</v>
      </c>
      <c r="L159" s="55"/>
      <c r="M159" s="53">
        <f>tkj!$AP$21</f>
        <v>76</v>
      </c>
      <c r="N159" s="53">
        <f>tkj!$AV$21</f>
        <v>80</v>
      </c>
      <c r="O159" s="59"/>
      <c r="P159" s="55"/>
      <c r="Q159" s="55"/>
      <c r="R159" s="54">
        <f>tkj!$BR$21</f>
        <v>83</v>
      </c>
      <c r="S159" s="54">
        <f>tkj!$BV$21</f>
        <v>84</v>
      </c>
      <c r="T159" s="63"/>
      <c r="U159" s="54">
        <f>tkj!$CA$21</f>
        <v>85</v>
      </c>
      <c r="V159" s="58"/>
      <c r="X159" s="278">
        <v>21</v>
      </c>
    </row>
    <row r="160" spans="1:24">
      <c r="A160" s="268">
        <v>17</v>
      </c>
      <c r="B160" s="271"/>
      <c r="C160" s="274"/>
      <c r="D160" s="62" t="s">
        <v>298</v>
      </c>
      <c r="E160" s="53">
        <f>tkj!$I$21</f>
        <v>91</v>
      </c>
      <c r="F160" s="53">
        <f>tkj!$O$21</f>
        <v>95</v>
      </c>
      <c r="G160" s="53">
        <f>tkj!$U$21</f>
        <v>87</v>
      </c>
      <c r="H160" s="65"/>
      <c r="I160" s="65"/>
      <c r="J160" s="59"/>
      <c r="K160" s="59"/>
      <c r="L160" s="53">
        <f>tkj!$AK$21</f>
        <v>84</v>
      </c>
      <c r="M160" s="53">
        <f>tkj!$AQ$21</f>
        <v>82</v>
      </c>
      <c r="N160" s="53">
        <f>tkj!$AW$21</f>
        <v>80</v>
      </c>
      <c r="O160" s="59"/>
      <c r="P160" s="55"/>
      <c r="Q160" s="55"/>
      <c r="R160" s="54">
        <f>tkj!$BS$21</f>
        <v>86</v>
      </c>
      <c r="S160" s="54">
        <f>tkj!$BW$21</f>
        <v>90</v>
      </c>
      <c r="T160" s="54"/>
      <c r="U160" s="54">
        <f>tkj!$CB$21</f>
        <v>80</v>
      </c>
      <c r="V160" s="58"/>
      <c r="X160" s="278">
        <v>21</v>
      </c>
    </row>
    <row r="161" spans="1:24">
      <c r="A161" s="268">
        <v>17</v>
      </c>
      <c r="B161" s="271"/>
      <c r="C161" s="274"/>
      <c r="D161" s="66" t="s">
        <v>299</v>
      </c>
      <c r="E161" s="67">
        <f>AVERAGE(E156:E160)</f>
        <v>85.4</v>
      </c>
      <c r="F161" s="67">
        <f>AVERAGE(F156:F160)</f>
        <v>89.2</v>
      </c>
      <c r="G161" s="67">
        <f>AVERAGE(G156:G160)</f>
        <v>84</v>
      </c>
      <c r="H161" s="68"/>
      <c r="I161" s="68"/>
      <c r="J161" s="69"/>
      <c r="K161" s="69"/>
      <c r="L161" s="67">
        <f>AVERAGE(L156:L160)</f>
        <v>84</v>
      </c>
      <c r="M161" s="67">
        <f>AVERAGE(M156:M160)</f>
        <v>75.400000000000006</v>
      </c>
      <c r="N161" s="67">
        <f>AVERAGE(N156:N160)</f>
        <v>78.400000000000006</v>
      </c>
      <c r="O161" s="69"/>
      <c r="P161" s="63"/>
      <c r="Q161" s="63"/>
      <c r="R161" s="84">
        <f>AVERAGE(R158:R160)</f>
        <v>84.444444444444443</v>
      </c>
      <c r="S161" s="84">
        <f>AVERAGE(S158:S160)</f>
        <v>86</v>
      </c>
      <c r="T161" s="63"/>
      <c r="U161" s="84">
        <f>AVERAGE(U156:U160)</f>
        <v>81</v>
      </c>
      <c r="V161" s="58"/>
      <c r="X161" s="278">
        <v>21</v>
      </c>
    </row>
    <row r="162" spans="1:24">
      <c r="A162" s="268">
        <v>17</v>
      </c>
      <c r="B162" s="271"/>
      <c r="C162" s="274"/>
      <c r="D162" s="70" t="s">
        <v>300</v>
      </c>
      <c r="E162" s="71">
        <f>tkj!$J$21</f>
        <v>78</v>
      </c>
      <c r="F162" s="71">
        <f>tkj!$P$21</f>
        <v>78</v>
      </c>
      <c r="G162" s="71">
        <f>tkj!$V$21</f>
        <v>77</v>
      </c>
      <c r="H162" s="72"/>
      <c r="I162" s="72"/>
      <c r="J162" s="73"/>
      <c r="K162" s="73"/>
      <c r="L162" s="71">
        <f>tkj!$AL$21</f>
        <v>77</v>
      </c>
      <c r="M162" s="71">
        <f>tkj!$AR$21</f>
        <v>74</v>
      </c>
      <c r="N162" s="71">
        <f>tkj!$AX$21</f>
        <v>74</v>
      </c>
      <c r="O162" s="73"/>
      <c r="P162" s="74"/>
      <c r="Q162" s="74"/>
      <c r="R162" s="85">
        <f>tkj!$BT$21</f>
        <v>74</v>
      </c>
      <c r="S162" s="85">
        <f>tkj!$BX$21</f>
        <v>74</v>
      </c>
      <c r="T162" s="85">
        <f>tkj!$BY$21</f>
        <v>76</v>
      </c>
      <c r="U162" s="75">
        <f>tkj!$CC$21</f>
        <v>74</v>
      </c>
      <c r="V162" s="58"/>
      <c r="X162" s="278">
        <v>21</v>
      </c>
    </row>
    <row r="163" spans="1:24">
      <c r="A163" s="268">
        <v>17</v>
      </c>
      <c r="B163" s="271"/>
      <c r="C163" s="274"/>
      <c r="D163" s="76" t="s">
        <v>301</v>
      </c>
      <c r="E163" s="77">
        <f>tkj!$CD$21</f>
        <v>88</v>
      </c>
      <c r="F163" s="77">
        <f>tkj!$CE$21</f>
        <v>90</v>
      </c>
      <c r="G163" s="77">
        <f>tkj!$CF$21</f>
        <v>83</v>
      </c>
      <c r="H163" s="72"/>
      <c r="I163" s="72"/>
      <c r="J163" s="73"/>
      <c r="K163" s="73"/>
      <c r="L163" s="77">
        <f>tkj!$CG$21</f>
        <v>87</v>
      </c>
      <c r="M163" s="77">
        <f>tkj!$CH$21</f>
        <v>83</v>
      </c>
      <c r="N163" s="77">
        <f>tkj!$CI$21</f>
        <v>85</v>
      </c>
      <c r="O163" s="73"/>
      <c r="P163" s="74"/>
      <c r="Q163" s="74"/>
      <c r="R163" s="86">
        <f>tkj!$CL$21</f>
        <v>95</v>
      </c>
      <c r="S163" s="86">
        <f>tkj!$CK$21</f>
        <v>89</v>
      </c>
      <c r="T163" s="74"/>
      <c r="U163" s="86">
        <f>tkj!$CJ$21</f>
        <v>85</v>
      </c>
      <c r="V163" s="58"/>
      <c r="X163" s="278">
        <v>21</v>
      </c>
    </row>
    <row r="164" spans="1:24" ht="15" thickBot="1">
      <c r="A164" s="269">
        <v>17</v>
      </c>
      <c r="B164" s="272"/>
      <c r="C164" s="275"/>
      <c r="D164" s="78" t="s">
        <v>302</v>
      </c>
      <c r="E164" s="79">
        <f>(E161*4+E162*3+E163*3)/10</f>
        <v>83.960000000000008</v>
      </c>
      <c r="F164" s="79">
        <f t="shared" ref="F164:G164" si="31">(F161*4+F162*3+F163*3)/10</f>
        <v>86.08</v>
      </c>
      <c r="G164" s="79">
        <f t="shared" si="31"/>
        <v>81.599999999999994</v>
      </c>
      <c r="H164" s="79">
        <f>AVERAGE(H156:H159)</f>
        <v>84</v>
      </c>
      <c r="I164" s="79">
        <f>AVERAGE(I156:I159)</f>
        <v>84.5</v>
      </c>
      <c r="J164" s="79">
        <f>AVERAGE(J156:J157)</f>
        <v>82</v>
      </c>
      <c r="K164" s="79">
        <f>AVERAGE(K156:K159)</f>
        <v>77.5</v>
      </c>
      <c r="L164" s="79">
        <f>(L161*4+L162*3+L163*3)/10</f>
        <v>82.8</v>
      </c>
      <c r="M164" s="79">
        <f>(M161*4+M162*3+M163*3)/10</f>
        <v>77.260000000000005</v>
      </c>
      <c r="N164" s="79">
        <f>(N161*4+N162*3+N163*3)/10</f>
        <v>79.06</v>
      </c>
      <c r="O164" s="79">
        <f>AVERAGE(O156:O157)</f>
        <v>87.5</v>
      </c>
      <c r="P164" s="79">
        <f>AVERAGE(P156:P157)</f>
        <v>80</v>
      </c>
      <c r="Q164" s="79">
        <f>AVERAGE(Q156:Q157)</f>
        <v>81</v>
      </c>
      <c r="R164" s="79">
        <f>(R161*4+R162*3+R163*3)/10</f>
        <v>84.477777777777789</v>
      </c>
      <c r="S164" s="79">
        <f>(S161*4+S162*3+S163*3)/10</f>
        <v>83.3</v>
      </c>
      <c r="T164" s="79">
        <f>T162</f>
        <v>76</v>
      </c>
      <c r="U164" s="79">
        <f t="shared" ref="U164" si="32">(U161*4+U162*3+U163*3)/10</f>
        <v>80.099999999999994</v>
      </c>
      <c r="V164" s="80">
        <f>AVERAGE(E164:U164)</f>
        <v>81.831633986928097</v>
      </c>
      <c r="X164" s="278">
        <v>21</v>
      </c>
    </row>
    <row r="165" spans="1:24" ht="15.6" thickTop="1" thickBot="1">
      <c r="A165" s="268">
        <v>18</v>
      </c>
      <c r="B165" s="270" t="s">
        <v>329</v>
      </c>
      <c r="C165" s="273" t="s">
        <v>87</v>
      </c>
      <c r="D165" s="52" t="s">
        <v>294</v>
      </c>
      <c r="E165" s="53">
        <f>tkj!$E$22</f>
        <v>80</v>
      </c>
      <c r="F165" s="53">
        <f>tkj!$K$22</f>
        <v>78</v>
      </c>
      <c r="G165" s="53">
        <f>tkj!$Q$22</f>
        <v>85</v>
      </c>
      <c r="H165" s="53">
        <f>tkj!$W$22</f>
        <v>84</v>
      </c>
      <c r="I165" s="53">
        <f>tkj!$AA$22</f>
        <v>77</v>
      </c>
      <c r="J165" s="53">
        <f>tkj!$AE$22</f>
        <v>82</v>
      </c>
      <c r="K165" s="54">
        <f>tkj!$AG$22</f>
        <v>80</v>
      </c>
      <c r="L165" s="55"/>
      <c r="M165" s="53">
        <f>tkj!$AM$22</f>
        <v>72</v>
      </c>
      <c r="N165" s="53">
        <f>tkj!$AS$22</f>
        <v>73</v>
      </c>
      <c r="O165" s="53">
        <f>tkj!$AY$22</f>
        <v>85</v>
      </c>
      <c r="P165" s="54">
        <f>tkj!$BA$22</f>
        <v>73</v>
      </c>
      <c r="Q165" s="54">
        <f>tkj!$BC$22</f>
        <v>73</v>
      </c>
      <c r="R165" s="55"/>
      <c r="S165" s="55"/>
      <c r="T165" s="55"/>
      <c r="U165" s="55"/>
      <c r="V165" s="56"/>
      <c r="X165" s="278">
        <v>22</v>
      </c>
    </row>
    <row r="166" spans="1:24" ht="15" thickBot="1">
      <c r="A166" s="268">
        <v>18</v>
      </c>
      <c r="B166" s="271"/>
      <c r="C166" s="274"/>
      <c r="D166" s="52" t="s">
        <v>295</v>
      </c>
      <c r="E166" s="53">
        <f>tkj!$F$22</f>
        <v>90</v>
      </c>
      <c r="F166" s="53">
        <f>tkj!$L$22</f>
        <v>77</v>
      </c>
      <c r="G166" s="53">
        <f>tkj!$R$22</f>
        <v>86</v>
      </c>
      <c r="H166" s="53">
        <f>tkj!$X$22</f>
        <v>85</v>
      </c>
      <c r="I166" s="53">
        <f>tkj!$AB$22</f>
        <v>79</v>
      </c>
      <c r="J166" s="53">
        <f>tkj!$AF$22</f>
        <v>83</v>
      </c>
      <c r="K166" s="54">
        <f>tkj!$AH$22</f>
        <v>70</v>
      </c>
      <c r="L166" s="55"/>
      <c r="M166" s="53">
        <f>tkj!$AN$22</f>
        <v>73</v>
      </c>
      <c r="N166" s="53">
        <f>tkj!$AT$22</f>
        <v>78</v>
      </c>
      <c r="O166" s="53">
        <f>tkj!$AZ$22</f>
        <v>84</v>
      </c>
      <c r="P166" s="54">
        <f>tkj!$BB$22</f>
        <v>85</v>
      </c>
      <c r="Q166" s="54">
        <f>tkj!$BD$22</f>
        <v>82</v>
      </c>
      <c r="R166" s="55"/>
      <c r="S166" s="55"/>
      <c r="T166" s="55"/>
      <c r="U166" s="55"/>
      <c r="V166" s="58"/>
      <c r="X166" s="278">
        <v>22</v>
      </c>
    </row>
    <row r="167" spans="1:24" ht="15" thickBot="1">
      <c r="A167" s="268">
        <v>18</v>
      </c>
      <c r="B167" s="271"/>
      <c r="C167" s="274"/>
      <c r="D167" s="52" t="s">
        <v>296</v>
      </c>
      <c r="E167" s="53">
        <f>tkj!$G$22</f>
        <v>89</v>
      </c>
      <c r="F167" s="53">
        <f>tkj!$M$22</f>
        <v>90</v>
      </c>
      <c r="G167" s="53">
        <f>tkj!$S$22</f>
        <v>84</v>
      </c>
      <c r="H167" s="53">
        <f>tkj!$Y$22</f>
        <v>83</v>
      </c>
      <c r="I167" s="53">
        <f>tkj!$AC$22</f>
        <v>76</v>
      </c>
      <c r="J167" s="59"/>
      <c r="K167" s="54">
        <f>tkj!$AI$22</f>
        <v>74</v>
      </c>
      <c r="L167" s="55"/>
      <c r="M167" s="53">
        <f>tkj!$AO$22</f>
        <v>75</v>
      </c>
      <c r="N167" s="53">
        <f>tkj!$AU$22</f>
        <v>80</v>
      </c>
      <c r="O167" s="59"/>
      <c r="P167" s="55"/>
      <c r="Q167" s="55"/>
      <c r="R167" s="54">
        <f>tkj!$BQ$22</f>
        <v>80.333333333333329</v>
      </c>
      <c r="S167" s="54">
        <f>tkj!$BU$22</f>
        <v>86</v>
      </c>
      <c r="T167" s="55"/>
      <c r="U167" s="54">
        <f>tkj!$BZ$22</f>
        <v>77</v>
      </c>
      <c r="V167" s="58"/>
      <c r="X167" s="278">
        <v>22</v>
      </c>
    </row>
    <row r="168" spans="1:24" ht="15" thickBot="1">
      <c r="A168" s="268">
        <v>18</v>
      </c>
      <c r="B168" s="271"/>
      <c r="C168" s="274"/>
      <c r="D168" s="62" t="s">
        <v>297</v>
      </c>
      <c r="E168" s="53">
        <f>tkj!$H$22</f>
        <v>87</v>
      </c>
      <c r="F168" s="53">
        <f>tkj!$N$22</f>
        <v>91</v>
      </c>
      <c r="G168" s="53">
        <f>tkj!$T$22</f>
        <v>87</v>
      </c>
      <c r="H168" s="53">
        <f>tkj!$Z$22</f>
        <v>85</v>
      </c>
      <c r="I168" s="53">
        <f>tkj!$AD$22</f>
        <v>81</v>
      </c>
      <c r="J168" s="59"/>
      <c r="K168" s="54">
        <f>tkj!$AJ$22</f>
        <v>84</v>
      </c>
      <c r="L168" s="55"/>
      <c r="M168" s="53">
        <f>tkj!$AP$22</f>
        <v>76</v>
      </c>
      <c r="N168" s="53">
        <f>tkj!$AV$22</f>
        <v>80</v>
      </c>
      <c r="O168" s="59"/>
      <c r="P168" s="55"/>
      <c r="Q168" s="55"/>
      <c r="R168" s="54">
        <f>tkj!$BR$22</f>
        <v>82</v>
      </c>
      <c r="S168" s="54">
        <f>tkj!$BV$22</f>
        <v>86</v>
      </c>
      <c r="T168" s="63"/>
      <c r="U168" s="54">
        <f>tkj!$CA$22</f>
        <v>84</v>
      </c>
      <c r="V168" s="58"/>
      <c r="X168" s="278">
        <v>22</v>
      </c>
    </row>
    <row r="169" spans="1:24">
      <c r="A169" s="268">
        <v>18</v>
      </c>
      <c r="B169" s="271"/>
      <c r="C169" s="274"/>
      <c r="D169" s="62" t="s">
        <v>298</v>
      </c>
      <c r="E169" s="53">
        <f>tkj!$I$22</f>
        <v>87</v>
      </c>
      <c r="F169" s="53">
        <f>tkj!$O$22</f>
        <v>93</v>
      </c>
      <c r="G169" s="53">
        <f>tkj!$U$22</f>
        <v>80</v>
      </c>
      <c r="H169" s="65"/>
      <c r="I169" s="65"/>
      <c r="J169" s="59"/>
      <c r="K169" s="59"/>
      <c r="L169" s="53">
        <f>tkj!$AK$22</f>
        <v>80</v>
      </c>
      <c r="M169" s="53">
        <f>tkj!$AQ$22</f>
        <v>80</v>
      </c>
      <c r="N169" s="53">
        <f>tkj!$AW$22</f>
        <v>80</v>
      </c>
      <c r="O169" s="59"/>
      <c r="P169" s="55"/>
      <c r="Q169" s="55"/>
      <c r="R169" s="54">
        <f>tkj!$BS$22</f>
        <v>81</v>
      </c>
      <c r="S169" s="54">
        <f>tkj!$BW$22</f>
        <v>86</v>
      </c>
      <c r="T169" s="54"/>
      <c r="U169" s="54">
        <f>tkj!$CB$22</f>
        <v>82</v>
      </c>
      <c r="V169" s="58"/>
      <c r="X169" s="278">
        <v>22</v>
      </c>
    </row>
    <row r="170" spans="1:24">
      <c r="A170" s="268">
        <v>18</v>
      </c>
      <c r="B170" s="271"/>
      <c r="C170" s="274"/>
      <c r="D170" s="66" t="s">
        <v>299</v>
      </c>
      <c r="E170" s="67">
        <f>AVERAGE(E165:E169)</f>
        <v>86.6</v>
      </c>
      <c r="F170" s="67">
        <f>AVERAGE(F165:F169)</f>
        <v>85.8</v>
      </c>
      <c r="G170" s="67">
        <f>AVERAGE(G165:G169)</f>
        <v>84.4</v>
      </c>
      <c r="H170" s="68"/>
      <c r="I170" s="68"/>
      <c r="J170" s="69"/>
      <c r="K170" s="69"/>
      <c r="L170" s="67">
        <f>AVERAGE(L165:L169)</f>
        <v>80</v>
      </c>
      <c r="M170" s="67">
        <f>AVERAGE(M165:M169)</f>
        <v>75.2</v>
      </c>
      <c r="N170" s="67">
        <f>AVERAGE(N165:N169)</f>
        <v>78.2</v>
      </c>
      <c r="O170" s="69"/>
      <c r="P170" s="63"/>
      <c r="Q170" s="63"/>
      <c r="R170" s="84">
        <f>AVERAGE(R167:R169)</f>
        <v>81.1111111111111</v>
      </c>
      <c r="S170" s="84">
        <f>AVERAGE(S167:S169)</f>
        <v>86</v>
      </c>
      <c r="T170" s="63"/>
      <c r="U170" s="84">
        <f>AVERAGE(U165:U169)</f>
        <v>81</v>
      </c>
      <c r="V170" s="58"/>
      <c r="X170" s="278">
        <v>22</v>
      </c>
    </row>
    <row r="171" spans="1:24">
      <c r="A171" s="268">
        <v>18</v>
      </c>
      <c r="B171" s="271"/>
      <c r="C171" s="274"/>
      <c r="D171" s="70" t="s">
        <v>300</v>
      </c>
      <c r="E171" s="71">
        <f>tkj!$J$22</f>
        <v>77</v>
      </c>
      <c r="F171" s="71">
        <f>tkj!$P$22</f>
        <v>77</v>
      </c>
      <c r="G171" s="71">
        <f>tkj!$V$22</f>
        <v>77</v>
      </c>
      <c r="H171" s="72"/>
      <c r="I171" s="72"/>
      <c r="J171" s="73"/>
      <c r="K171" s="73"/>
      <c r="L171" s="71">
        <f>tkj!$AL$22</f>
        <v>77</v>
      </c>
      <c r="M171" s="71">
        <f>tkj!$AR$22</f>
        <v>78</v>
      </c>
      <c r="N171" s="71">
        <f>tkj!$AX$22</f>
        <v>78</v>
      </c>
      <c r="O171" s="73"/>
      <c r="P171" s="74"/>
      <c r="Q171" s="74"/>
      <c r="R171" s="85">
        <f>tkj!$BT$22</f>
        <v>78</v>
      </c>
      <c r="S171" s="85">
        <f>tkj!$BX$22</f>
        <v>78</v>
      </c>
      <c r="T171" s="85">
        <f>tkj!$BY$22</f>
        <v>77</v>
      </c>
      <c r="U171" s="75">
        <f>tkj!$CC$22</f>
        <v>78</v>
      </c>
      <c r="V171" s="58"/>
      <c r="X171" s="278">
        <v>22</v>
      </c>
    </row>
    <row r="172" spans="1:24">
      <c r="A172" s="268">
        <v>18</v>
      </c>
      <c r="B172" s="271"/>
      <c r="C172" s="274"/>
      <c r="D172" s="76" t="s">
        <v>301</v>
      </c>
      <c r="E172" s="77">
        <f>tkj!$CD$22</f>
        <v>87</v>
      </c>
      <c r="F172" s="77">
        <f>tkj!$CE$22</f>
        <v>85</v>
      </c>
      <c r="G172" s="77">
        <f>tkj!$CF$22</f>
        <v>84</v>
      </c>
      <c r="H172" s="72"/>
      <c r="I172" s="72"/>
      <c r="J172" s="73"/>
      <c r="K172" s="73"/>
      <c r="L172" s="77">
        <f>tkj!$CG$22</f>
        <v>85</v>
      </c>
      <c r="M172" s="77">
        <f>tkj!$CH$22</f>
        <v>80</v>
      </c>
      <c r="N172" s="77">
        <f>tkj!$CI$22</f>
        <v>85</v>
      </c>
      <c r="O172" s="73"/>
      <c r="P172" s="74"/>
      <c r="Q172" s="74"/>
      <c r="R172" s="86">
        <f>tkj!$CL$22</f>
        <v>82</v>
      </c>
      <c r="S172" s="86">
        <f>tkj!$CK$22</f>
        <v>87</v>
      </c>
      <c r="T172" s="74"/>
      <c r="U172" s="86">
        <f>tkj!$CJ$22</f>
        <v>82</v>
      </c>
      <c r="V172" s="58"/>
      <c r="X172" s="278">
        <v>22</v>
      </c>
    </row>
    <row r="173" spans="1:24" ht="15" thickBot="1">
      <c r="A173" s="269">
        <v>18</v>
      </c>
      <c r="B173" s="272"/>
      <c r="C173" s="275"/>
      <c r="D173" s="78" t="s">
        <v>302</v>
      </c>
      <c r="E173" s="79">
        <f>(E170*4+E171*3+E172*3)/10</f>
        <v>83.84</v>
      </c>
      <c r="F173" s="79">
        <f t="shared" ref="F173:G173" si="33">(F170*4+F171*3+F172*3)/10</f>
        <v>82.92</v>
      </c>
      <c r="G173" s="79">
        <f t="shared" si="33"/>
        <v>82.06</v>
      </c>
      <c r="H173" s="79">
        <f>AVERAGE(H165:H168)</f>
        <v>84.25</v>
      </c>
      <c r="I173" s="79">
        <f>AVERAGE(I165:I168)</f>
        <v>78.25</v>
      </c>
      <c r="J173" s="79">
        <f>AVERAGE(J165:J166)</f>
        <v>82.5</v>
      </c>
      <c r="K173" s="79">
        <f>AVERAGE(K165:K168)</f>
        <v>77</v>
      </c>
      <c r="L173" s="79">
        <f>(L170*4+L171*3+L172*3)/10</f>
        <v>80.599999999999994</v>
      </c>
      <c r="M173" s="79">
        <f>(M170*4+M171*3+M172*3)/10</f>
        <v>77.47999999999999</v>
      </c>
      <c r="N173" s="79">
        <f>(N170*4+N171*3+N172*3)/10</f>
        <v>80.179999999999993</v>
      </c>
      <c r="O173" s="79">
        <f>AVERAGE(O165:O166)</f>
        <v>84.5</v>
      </c>
      <c r="P173" s="79">
        <f>AVERAGE(P165:P166)</f>
        <v>79</v>
      </c>
      <c r="Q173" s="79">
        <f>AVERAGE(Q165:Q166)</f>
        <v>77.5</v>
      </c>
      <c r="R173" s="79">
        <f>(R170*4+R171*3+R172*3)/10</f>
        <v>80.444444444444429</v>
      </c>
      <c r="S173" s="79">
        <f>(S170*4+S171*3+S172*3)/10</f>
        <v>83.9</v>
      </c>
      <c r="T173" s="79">
        <f>T171</f>
        <v>77</v>
      </c>
      <c r="U173" s="79">
        <f t="shared" ref="U173" si="34">(U170*4+U171*3+U172*3)/10</f>
        <v>80.400000000000006</v>
      </c>
      <c r="V173" s="80">
        <f>AVERAGE(E173:U173)</f>
        <v>80.695555555555558</v>
      </c>
      <c r="X173" s="278">
        <v>22</v>
      </c>
    </row>
    <row r="174" spans="1:24" ht="15.6" thickTop="1" thickBot="1">
      <c r="A174" s="268">
        <v>19</v>
      </c>
      <c r="B174" s="270" t="s">
        <v>330</v>
      </c>
      <c r="C174" s="273" t="s">
        <v>89</v>
      </c>
      <c r="D174" s="52" t="s">
        <v>294</v>
      </c>
      <c r="E174" s="53">
        <f>tkj!$E$23</f>
        <v>94</v>
      </c>
      <c r="F174" s="53">
        <f>tkj!$K$23</f>
        <v>81</v>
      </c>
      <c r="G174" s="53">
        <f>tkj!$Q$23</f>
        <v>86</v>
      </c>
      <c r="H174" s="53">
        <f>tkj!$W$23</f>
        <v>83</v>
      </c>
      <c r="I174" s="53">
        <f>tkj!$AA$23</f>
        <v>87</v>
      </c>
      <c r="J174" s="53">
        <f>tkj!$AE$23</f>
        <v>81</v>
      </c>
      <c r="K174" s="54">
        <f>tkj!$AG$23</f>
        <v>81</v>
      </c>
      <c r="L174" s="55"/>
      <c r="M174" s="53">
        <f>tkj!$AM$23</f>
        <v>76</v>
      </c>
      <c r="N174" s="53">
        <f>tkj!$AS$23</f>
        <v>77</v>
      </c>
      <c r="O174" s="53">
        <f>tkj!$AY$23</f>
        <v>83</v>
      </c>
      <c r="P174" s="54">
        <f>tkj!$BA$23</f>
        <v>81</v>
      </c>
      <c r="Q174" s="54">
        <f>tkj!$BC$23</f>
        <v>77</v>
      </c>
      <c r="R174" s="55"/>
      <c r="S174" s="55"/>
      <c r="T174" s="55"/>
      <c r="U174" s="55"/>
      <c r="V174" s="56"/>
      <c r="X174" s="278">
        <v>23</v>
      </c>
    </row>
    <row r="175" spans="1:24" ht="15" thickBot="1">
      <c r="A175" s="268">
        <v>19</v>
      </c>
      <c r="B175" s="271"/>
      <c r="C175" s="274"/>
      <c r="D175" s="52" t="s">
        <v>295</v>
      </c>
      <c r="E175" s="53">
        <f>tkj!$F$23</f>
        <v>82</v>
      </c>
      <c r="F175" s="53">
        <f>tkj!$L$23</f>
        <v>80</v>
      </c>
      <c r="G175" s="53">
        <f>tkj!$R$23</f>
        <v>87</v>
      </c>
      <c r="H175" s="53">
        <f>tkj!$X$23</f>
        <v>84</v>
      </c>
      <c r="I175" s="53">
        <f>tkj!$AB$23</f>
        <v>85</v>
      </c>
      <c r="J175" s="53">
        <f>tkj!$AF$23</f>
        <v>85</v>
      </c>
      <c r="K175" s="54">
        <f>tkj!$AH$23</f>
        <v>76</v>
      </c>
      <c r="L175" s="55"/>
      <c r="M175" s="53">
        <f>tkj!$AN$23</f>
        <v>76</v>
      </c>
      <c r="N175" s="53">
        <f>tkj!$AT$23</f>
        <v>83</v>
      </c>
      <c r="O175" s="53">
        <f>tkj!$AZ$23</f>
        <v>83</v>
      </c>
      <c r="P175" s="54">
        <f>tkj!$BB$23</f>
        <v>88</v>
      </c>
      <c r="Q175" s="54">
        <f>tkj!$BD$23</f>
        <v>82</v>
      </c>
      <c r="R175" s="55"/>
      <c r="S175" s="55"/>
      <c r="T175" s="55"/>
      <c r="U175" s="55"/>
      <c r="V175" s="58"/>
      <c r="X175" s="278">
        <v>23</v>
      </c>
    </row>
    <row r="176" spans="1:24" ht="15" thickBot="1">
      <c r="A176" s="268">
        <v>19</v>
      </c>
      <c r="B176" s="271"/>
      <c r="C176" s="274"/>
      <c r="D176" s="52" t="s">
        <v>296</v>
      </c>
      <c r="E176" s="53">
        <f>tkj!$G$23</f>
        <v>89</v>
      </c>
      <c r="F176" s="53">
        <f>tkj!$M$23</f>
        <v>95</v>
      </c>
      <c r="G176" s="53">
        <f>tkj!$S$23</f>
        <v>79</v>
      </c>
      <c r="H176" s="53">
        <f>tkj!$Y$23</f>
        <v>80</v>
      </c>
      <c r="I176" s="53">
        <f>tkj!$AC$23</f>
        <v>81</v>
      </c>
      <c r="J176" s="59"/>
      <c r="K176" s="54">
        <f>tkj!$AI$23</f>
        <v>73</v>
      </c>
      <c r="L176" s="55"/>
      <c r="M176" s="53">
        <f>tkj!$AO$23</f>
        <v>74</v>
      </c>
      <c r="N176" s="53">
        <f>tkj!$AU$23</f>
        <v>82</v>
      </c>
      <c r="O176" s="59"/>
      <c r="P176" s="55"/>
      <c r="Q176" s="55"/>
      <c r="R176" s="54">
        <f>tkj!$BQ$23</f>
        <v>82</v>
      </c>
      <c r="S176" s="54">
        <f>tkj!$BU$23</f>
        <v>89</v>
      </c>
      <c r="T176" s="55"/>
      <c r="U176" s="54">
        <f>tkj!$BZ$23</f>
        <v>74</v>
      </c>
      <c r="V176" s="58"/>
      <c r="X176" s="278">
        <v>23</v>
      </c>
    </row>
    <row r="177" spans="1:24" ht="15" thickBot="1">
      <c r="A177" s="268">
        <v>19</v>
      </c>
      <c r="B177" s="271"/>
      <c r="C177" s="274"/>
      <c r="D177" s="62" t="s">
        <v>297</v>
      </c>
      <c r="E177" s="53">
        <f>tkj!$H$23</f>
        <v>86</v>
      </c>
      <c r="F177" s="53">
        <f>tkj!$N$23</f>
        <v>95</v>
      </c>
      <c r="G177" s="53">
        <f>tkj!$T$23</f>
        <v>83</v>
      </c>
      <c r="H177" s="53">
        <f>tkj!$Z$23</f>
        <v>85</v>
      </c>
      <c r="I177" s="53">
        <f>tkj!$AD$23</f>
        <v>84</v>
      </c>
      <c r="J177" s="59"/>
      <c r="K177" s="54">
        <f>tkj!$AJ$23</f>
        <v>83</v>
      </c>
      <c r="L177" s="55"/>
      <c r="M177" s="53">
        <f>tkj!$AP$23</f>
        <v>75</v>
      </c>
      <c r="N177" s="53">
        <f>tkj!$AV$23</f>
        <v>83</v>
      </c>
      <c r="O177" s="59"/>
      <c r="P177" s="55"/>
      <c r="Q177" s="55"/>
      <c r="R177" s="54">
        <f>tkj!$BR$23</f>
        <v>80.666666666666671</v>
      </c>
      <c r="S177" s="54">
        <f>tkj!$BV$23</f>
        <v>89</v>
      </c>
      <c r="T177" s="63"/>
      <c r="U177" s="54">
        <f>tkj!$CA$23</f>
        <v>86</v>
      </c>
      <c r="V177" s="58"/>
      <c r="X177" s="278">
        <v>23</v>
      </c>
    </row>
    <row r="178" spans="1:24">
      <c r="A178" s="268">
        <v>19</v>
      </c>
      <c r="B178" s="271"/>
      <c r="C178" s="274"/>
      <c r="D178" s="62" t="s">
        <v>298</v>
      </c>
      <c r="E178" s="53">
        <f>tkj!$I$23</f>
        <v>88</v>
      </c>
      <c r="F178" s="53">
        <f>tkj!$O$23</f>
        <v>95</v>
      </c>
      <c r="G178" s="53">
        <f>tkj!$U$23</f>
        <v>86</v>
      </c>
      <c r="H178" s="65"/>
      <c r="I178" s="65"/>
      <c r="J178" s="59"/>
      <c r="K178" s="59"/>
      <c r="L178" s="53">
        <f>tkj!$AK$23</f>
        <v>82</v>
      </c>
      <c r="M178" s="53">
        <f>tkj!$AQ$23</f>
        <v>80</v>
      </c>
      <c r="N178" s="53">
        <f>tkj!$AW$23</f>
        <v>82</v>
      </c>
      <c r="O178" s="59"/>
      <c r="P178" s="55"/>
      <c r="Q178" s="55"/>
      <c r="R178" s="54">
        <f>tkj!$BS$23</f>
        <v>84.333333333333329</v>
      </c>
      <c r="S178" s="54">
        <f>tkj!$BW$23</f>
        <v>90</v>
      </c>
      <c r="T178" s="54"/>
      <c r="U178" s="54">
        <f>tkj!$CB$23</f>
        <v>87</v>
      </c>
      <c r="V178" s="58"/>
      <c r="X178" s="278">
        <v>23</v>
      </c>
    </row>
    <row r="179" spans="1:24">
      <c r="A179" s="268">
        <v>19</v>
      </c>
      <c r="B179" s="271"/>
      <c r="C179" s="274"/>
      <c r="D179" s="66" t="s">
        <v>299</v>
      </c>
      <c r="E179" s="67">
        <f>AVERAGE(E174:E178)</f>
        <v>87.8</v>
      </c>
      <c r="F179" s="67">
        <f>AVERAGE(F174:F178)</f>
        <v>89.2</v>
      </c>
      <c r="G179" s="67">
        <f>AVERAGE(G174:G178)</f>
        <v>84.2</v>
      </c>
      <c r="H179" s="68"/>
      <c r="I179" s="68"/>
      <c r="J179" s="69"/>
      <c r="K179" s="69"/>
      <c r="L179" s="67">
        <f>AVERAGE(L174:L178)</f>
        <v>82</v>
      </c>
      <c r="M179" s="67">
        <f>AVERAGE(M174:M178)</f>
        <v>76.2</v>
      </c>
      <c r="N179" s="67">
        <f>AVERAGE(N174:N178)</f>
        <v>81.400000000000006</v>
      </c>
      <c r="O179" s="69"/>
      <c r="P179" s="63"/>
      <c r="Q179" s="63"/>
      <c r="R179" s="84">
        <f>AVERAGE(R176:R178)</f>
        <v>82.333333333333329</v>
      </c>
      <c r="S179" s="84">
        <f>AVERAGE(S176:S178)</f>
        <v>89.333333333333329</v>
      </c>
      <c r="T179" s="63"/>
      <c r="U179" s="84">
        <f>AVERAGE(U174:U178)</f>
        <v>82.333333333333329</v>
      </c>
      <c r="V179" s="58"/>
      <c r="X179" s="278">
        <v>23</v>
      </c>
    </row>
    <row r="180" spans="1:24">
      <c r="A180" s="268">
        <v>19</v>
      </c>
      <c r="B180" s="271"/>
      <c r="C180" s="274"/>
      <c r="D180" s="70" t="s">
        <v>300</v>
      </c>
      <c r="E180" s="71">
        <f>tkj!$J$23</f>
        <v>90</v>
      </c>
      <c r="F180" s="71">
        <f>tkj!$P$23</f>
        <v>90</v>
      </c>
      <c r="G180" s="71">
        <f>tkj!$V$23</f>
        <v>87</v>
      </c>
      <c r="H180" s="72"/>
      <c r="I180" s="72"/>
      <c r="J180" s="73"/>
      <c r="K180" s="73"/>
      <c r="L180" s="71">
        <f>tkj!$AL$23</f>
        <v>87</v>
      </c>
      <c r="M180" s="71">
        <f>tkj!$AR$23</f>
        <v>89</v>
      </c>
      <c r="N180" s="71">
        <f>tkj!$AX$23</f>
        <v>89</v>
      </c>
      <c r="O180" s="73"/>
      <c r="P180" s="74"/>
      <c r="Q180" s="74"/>
      <c r="R180" s="85">
        <f>tkj!$BT$23</f>
        <v>89</v>
      </c>
      <c r="S180" s="85">
        <f>tkj!$BX$23</f>
        <v>89</v>
      </c>
      <c r="T180" s="85">
        <f>tkj!$BY$23</f>
        <v>89</v>
      </c>
      <c r="U180" s="75">
        <f>tkj!$CC$23</f>
        <v>89</v>
      </c>
      <c r="V180" s="58"/>
      <c r="X180" s="278">
        <v>23</v>
      </c>
    </row>
    <row r="181" spans="1:24">
      <c r="A181" s="268">
        <v>19</v>
      </c>
      <c r="B181" s="271"/>
      <c r="C181" s="274"/>
      <c r="D181" s="76" t="s">
        <v>301</v>
      </c>
      <c r="E181" s="77">
        <f>tkj!$CD$23</f>
        <v>88</v>
      </c>
      <c r="F181" s="77">
        <f>tkj!$CE$23</f>
        <v>88</v>
      </c>
      <c r="G181" s="77">
        <f>tkj!$CF$23</f>
        <v>80</v>
      </c>
      <c r="H181" s="72"/>
      <c r="I181" s="72"/>
      <c r="J181" s="73"/>
      <c r="K181" s="73"/>
      <c r="L181" s="77">
        <f>tkj!$CG$23</f>
        <v>70</v>
      </c>
      <c r="M181" s="77">
        <f>tkj!$CH$23</f>
        <v>81</v>
      </c>
      <c r="N181" s="77">
        <f>tkj!$CI$23</f>
        <v>85</v>
      </c>
      <c r="O181" s="73"/>
      <c r="P181" s="74"/>
      <c r="Q181" s="74"/>
      <c r="R181" s="86">
        <f>tkj!$CL$23</f>
        <v>90</v>
      </c>
      <c r="S181" s="86">
        <f>tkj!$CK$23</f>
        <v>89</v>
      </c>
      <c r="T181" s="74"/>
      <c r="U181" s="86">
        <f>tkj!$CJ$23</f>
        <v>80</v>
      </c>
      <c r="V181" s="58"/>
      <c r="X181" s="278">
        <v>23</v>
      </c>
    </row>
    <row r="182" spans="1:24" ht="15" thickBot="1">
      <c r="A182" s="269">
        <v>19</v>
      </c>
      <c r="B182" s="272"/>
      <c r="C182" s="275"/>
      <c r="D182" s="78" t="s">
        <v>302</v>
      </c>
      <c r="E182" s="79">
        <f>(E179*4+E180*3+E181*3)/10</f>
        <v>88.52000000000001</v>
      </c>
      <c r="F182" s="79">
        <f t="shared" ref="F182:G182" si="35">(F179*4+F180*3+F181*3)/10</f>
        <v>89.08</v>
      </c>
      <c r="G182" s="79">
        <f t="shared" si="35"/>
        <v>83.78</v>
      </c>
      <c r="H182" s="79">
        <f>AVERAGE(H174:H177)</f>
        <v>83</v>
      </c>
      <c r="I182" s="79">
        <f>AVERAGE(I174:I177)</f>
        <v>84.25</v>
      </c>
      <c r="J182" s="79">
        <f>AVERAGE(J174:J175)</f>
        <v>83</v>
      </c>
      <c r="K182" s="79">
        <f>AVERAGE(K174:K177)</f>
        <v>78.25</v>
      </c>
      <c r="L182" s="79">
        <f>(L179*4+L180*3+L181*3)/10</f>
        <v>79.900000000000006</v>
      </c>
      <c r="M182" s="79">
        <f>(M179*4+M180*3+M181*3)/10</f>
        <v>81.47999999999999</v>
      </c>
      <c r="N182" s="79">
        <f>(N179*4+N180*3+N181*3)/10</f>
        <v>84.76</v>
      </c>
      <c r="O182" s="79">
        <f>AVERAGE(O174:O175)</f>
        <v>83</v>
      </c>
      <c r="P182" s="79">
        <f>AVERAGE(P174:P175)</f>
        <v>84.5</v>
      </c>
      <c r="Q182" s="79">
        <f>AVERAGE(Q174:Q175)</f>
        <v>79.5</v>
      </c>
      <c r="R182" s="79">
        <f>(R179*4+R180*3+R181*3)/10</f>
        <v>86.633333333333326</v>
      </c>
      <c r="S182" s="79">
        <f>(S179*4+S180*3+S181*3)/10</f>
        <v>89.133333333333326</v>
      </c>
      <c r="T182" s="79">
        <f>T180</f>
        <v>89</v>
      </c>
      <c r="U182" s="79">
        <f t="shared" ref="U182" si="36">(U179*4+U180*3+U181*3)/10</f>
        <v>83.633333333333326</v>
      </c>
      <c r="V182" s="80">
        <f>AVERAGE(E182:U182)</f>
        <v>84.201176470588209</v>
      </c>
      <c r="X182" s="278">
        <v>23</v>
      </c>
    </row>
    <row r="183" spans="1:24" ht="15.6" thickTop="1" thickBot="1">
      <c r="A183" s="268">
        <v>20</v>
      </c>
      <c r="B183" s="270" t="s">
        <v>331</v>
      </c>
      <c r="C183" s="273" t="s">
        <v>91</v>
      </c>
      <c r="D183" s="52" t="s">
        <v>294</v>
      </c>
      <c r="E183" s="53">
        <f>tkj!$E$24</f>
        <v>85</v>
      </c>
      <c r="F183" s="53">
        <f>tkj!$K$24</f>
        <v>81</v>
      </c>
      <c r="G183" s="53">
        <f>tkj!$Q$24</f>
        <v>84</v>
      </c>
      <c r="H183" s="53">
        <f>tkj!$W$24</f>
        <v>82</v>
      </c>
      <c r="I183" s="53">
        <f>tkj!$AA$24</f>
        <v>82</v>
      </c>
      <c r="J183" s="53">
        <f>tkj!$AE$24</f>
        <v>83</v>
      </c>
      <c r="K183" s="54">
        <f>tkj!$AG$24</f>
        <v>75</v>
      </c>
      <c r="L183" s="55"/>
      <c r="M183" s="53">
        <f>tkj!$AM$24</f>
        <v>71</v>
      </c>
      <c r="N183" s="53">
        <f>tkj!$AS$24</f>
        <v>76</v>
      </c>
      <c r="O183" s="53">
        <f>tkj!$AY$24</f>
        <v>92</v>
      </c>
      <c r="P183" s="54">
        <f>tkj!$BA$24</f>
        <v>84</v>
      </c>
      <c r="Q183" s="54">
        <f>tkj!$BC$24</f>
        <v>81</v>
      </c>
      <c r="R183" s="55"/>
      <c r="S183" s="55"/>
      <c r="T183" s="55"/>
      <c r="U183" s="55"/>
      <c r="V183" s="56"/>
      <c r="X183" s="278">
        <v>24</v>
      </c>
    </row>
    <row r="184" spans="1:24" ht="15" thickBot="1">
      <c r="A184" s="268">
        <v>20</v>
      </c>
      <c r="B184" s="271"/>
      <c r="C184" s="274"/>
      <c r="D184" s="52" t="s">
        <v>295</v>
      </c>
      <c r="E184" s="53">
        <f>tkj!$F$24</f>
        <v>92</v>
      </c>
      <c r="F184" s="53">
        <f>tkj!$L$24</f>
        <v>81</v>
      </c>
      <c r="G184" s="53">
        <f>tkj!$R$24</f>
        <v>86</v>
      </c>
      <c r="H184" s="53">
        <f>tkj!$X$24</f>
        <v>84</v>
      </c>
      <c r="I184" s="53">
        <f>tkj!$AB$24</f>
        <v>79</v>
      </c>
      <c r="J184" s="53">
        <f>tkj!$AF$24</f>
        <v>82</v>
      </c>
      <c r="K184" s="54">
        <f>tkj!$AH$24</f>
        <v>75</v>
      </c>
      <c r="L184" s="55"/>
      <c r="M184" s="53">
        <f>tkj!$AN$24</f>
        <v>73</v>
      </c>
      <c r="N184" s="53">
        <f>tkj!$AT$24</f>
        <v>80</v>
      </c>
      <c r="O184" s="53">
        <f>tkj!$AZ$24</f>
        <v>89</v>
      </c>
      <c r="P184" s="54">
        <f>tkj!$BB$24</f>
        <v>91</v>
      </c>
      <c r="Q184" s="54">
        <f>tkj!$BD$24</f>
        <v>80</v>
      </c>
      <c r="R184" s="55"/>
      <c r="S184" s="55"/>
      <c r="T184" s="55"/>
      <c r="U184" s="55"/>
      <c r="V184" s="58"/>
      <c r="X184" s="278">
        <v>24</v>
      </c>
    </row>
    <row r="185" spans="1:24" ht="15" thickBot="1">
      <c r="A185" s="268">
        <v>20</v>
      </c>
      <c r="B185" s="271"/>
      <c r="C185" s="274"/>
      <c r="D185" s="52" t="s">
        <v>296</v>
      </c>
      <c r="E185" s="53">
        <f>tkj!$G$24</f>
        <v>88</v>
      </c>
      <c r="F185" s="53">
        <f>tkj!$M$24</f>
        <v>81</v>
      </c>
      <c r="G185" s="53">
        <f>tkj!$S$24</f>
        <v>84</v>
      </c>
      <c r="H185" s="53">
        <f>tkj!$Y$24</f>
        <v>80</v>
      </c>
      <c r="I185" s="53">
        <f>tkj!$AC$24</f>
        <v>85</v>
      </c>
      <c r="J185" s="59"/>
      <c r="K185" s="54">
        <f>tkj!$AI$24</f>
        <v>74</v>
      </c>
      <c r="L185" s="55"/>
      <c r="M185" s="53">
        <f>tkj!$AO$24</f>
        <v>75</v>
      </c>
      <c r="N185" s="53">
        <f>tkj!$AU$24</f>
        <v>80</v>
      </c>
      <c r="O185" s="59"/>
      <c r="P185" s="55"/>
      <c r="Q185" s="55"/>
      <c r="R185" s="54">
        <f>tkj!$BQ$24</f>
        <v>82.666666666666671</v>
      </c>
      <c r="S185" s="54">
        <f>tkj!$BU$24</f>
        <v>88</v>
      </c>
      <c r="T185" s="55"/>
      <c r="U185" s="54">
        <f>tkj!$BZ$24</f>
        <v>77</v>
      </c>
      <c r="V185" s="58"/>
      <c r="X185" s="278">
        <v>24</v>
      </c>
    </row>
    <row r="186" spans="1:24" ht="15" thickBot="1">
      <c r="A186" s="268">
        <v>20</v>
      </c>
      <c r="B186" s="271"/>
      <c r="C186" s="274"/>
      <c r="D186" s="62" t="s">
        <v>297</v>
      </c>
      <c r="E186" s="53">
        <f>tkj!$H$24</f>
        <v>84</v>
      </c>
      <c r="F186" s="53">
        <f>tkj!$N$24</f>
        <v>87</v>
      </c>
      <c r="G186" s="53">
        <f>tkj!$T$24</f>
        <v>85</v>
      </c>
      <c r="H186" s="53">
        <f>tkj!$Z$24</f>
        <v>85</v>
      </c>
      <c r="I186" s="53">
        <f>tkj!$AD$24</f>
        <v>85</v>
      </c>
      <c r="J186" s="59"/>
      <c r="K186" s="54">
        <f>tkj!$AJ$24</f>
        <v>81</v>
      </c>
      <c r="L186" s="55"/>
      <c r="M186" s="53">
        <f>tkj!$AP$24</f>
        <v>76</v>
      </c>
      <c r="N186" s="53">
        <f>tkj!$AV$24</f>
        <v>83</v>
      </c>
      <c r="O186" s="59"/>
      <c r="P186" s="55"/>
      <c r="Q186" s="55"/>
      <c r="R186" s="54">
        <f>tkj!$BR$24</f>
        <v>86.666666666666671</v>
      </c>
      <c r="S186" s="54">
        <f>tkj!$BV$24</f>
        <v>88</v>
      </c>
      <c r="T186" s="63"/>
      <c r="U186" s="54">
        <f>tkj!$CA$24</f>
        <v>88</v>
      </c>
      <c r="V186" s="58"/>
      <c r="X186" s="278">
        <v>24</v>
      </c>
    </row>
    <row r="187" spans="1:24">
      <c r="A187" s="268">
        <v>20</v>
      </c>
      <c r="B187" s="271"/>
      <c r="C187" s="274"/>
      <c r="D187" s="62" t="s">
        <v>298</v>
      </c>
      <c r="E187" s="53">
        <f>tkj!$I$24</f>
        <v>84</v>
      </c>
      <c r="F187" s="53">
        <f>tkj!$O$24</f>
        <v>91</v>
      </c>
      <c r="G187" s="53">
        <f>tkj!$U$24</f>
        <v>82</v>
      </c>
      <c r="H187" s="65"/>
      <c r="I187" s="65"/>
      <c r="J187" s="59"/>
      <c r="K187" s="59"/>
      <c r="L187" s="53">
        <f>tkj!$AK$24</f>
        <v>80</v>
      </c>
      <c r="M187" s="53">
        <f>tkj!$AQ$24</f>
        <v>79</v>
      </c>
      <c r="N187" s="53">
        <f>tkj!$AW$24</f>
        <v>80</v>
      </c>
      <c r="O187" s="59"/>
      <c r="P187" s="55"/>
      <c r="Q187" s="55"/>
      <c r="R187" s="54">
        <f>tkj!$BS$24</f>
        <v>85</v>
      </c>
      <c r="S187" s="54">
        <f>tkj!$BW$24</f>
        <v>90</v>
      </c>
      <c r="T187" s="54"/>
      <c r="U187" s="54">
        <f>tkj!$CB$24</f>
        <v>80</v>
      </c>
      <c r="V187" s="58"/>
      <c r="X187" s="278">
        <v>24</v>
      </c>
    </row>
    <row r="188" spans="1:24">
      <c r="A188" s="268">
        <v>20</v>
      </c>
      <c r="B188" s="271"/>
      <c r="C188" s="274"/>
      <c r="D188" s="66" t="s">
        <v>299</v>
      </c>
      <c r="E188" s="67">
        <f>AVERAGE(E183:E187)</f>
        <v>86.6</v>
      </c>
      <c r="F188" s="67">
        <f>AVERAGE(F183:F187)</f>
        <v>84.2</v>
      </c>
      <c r="G188" s="67">
        <f>AVERAGE(G183:G187)</f>
        <v>84.2</v>
      </c>
      <c r="H188" s="68"/>
      <c r="I188" s="68"/>
      <c r="J188" s="69"/>
      <c r="K188" s="69"/>
      <c r="L188" s="67">
        <f>AVERAGE(L183:L187)</f>
        <v>80</v>
      </c>
      <c r="M188" s="67">
        <f>AVERAGE(M183:M187)</f>
        <v>74.8</v>
      </c>
      <c r="N188" s="67">
        <f>AVERAGE(N183:N187)</f>
        <v>79.8</v>
      </c>
      <c r="O188" s="69"/>
      <c r="P188" s="63"/>
      <c r="Q188" s="63"/>
      <c r="R188" s="84">
        <f>AVERAGE(R185:R187)</f>
        <v>84.777777777777786</v>
      </c>
      <c r="S188" s="84">
        <f>AVERAGE(S185:S187)</f>
        <v>88.666666666666671</v>
      </c>
      <c r="T188" s="63"/>
      <c r="U188" s="84">
        <f>AVERAGE(U183:U187)</f>
        <v>81.666666666666671</v>
      </c>
      <c r="V188" s="58"/>
      <c r="X188" s="278">
        <v>24</v>
      </c>
    </row>
    <row r="189" spans="1:24">
      <c r="A189" s="268">
        <v>20</v>
      </c>
      <c r="B189" s="271"/>
      <c r="C189" s="274"/>
      <c r="D189" s="70" t="s">
        <v>300</v>
      </c>
      <c r="E189" s="71">
        <f>tkj!$J$24</f>
        <v>95</v>
      </c>
      <c r="F189" s="71">
        <f>tkj!$P$24</f>
        <v>95</v>
      </c>
      <c r="G189" s="71">
        <f>tkj!$V$24</f>
        <v>89</v>
      </c>
      <c r="H189" s="72"/>
      <c r="I189" s="72"/>
      <c r="J189" s="73"/>
      <c r="K189" s="73"/>
      <c r="L189" s="71">
        <f>tkj!$AL$24</f>
        <v>89</v>
      </c>
      <c r="M189" s="71">
        <f>tkj!$AR$24</f>
        <v>95</v>
      </c>
      <c r="N189" s="71">
        <f>tkj!$AX$24</f>
        <v>95</v>
      </c>
      <c r="O189" s="73"/>
      <c r="P189" s="74"/>
      <c r="Q189" s="74"/>
      <c r="R189" s="85">
        <f>tkj!$BT$24</f>
        <v>95</v>
      </c>
      <c r="S189" s="85">
        <f>tkj!$BX$24</f>
        <v>95</v>
      </c>
      <c r="T189" s="85">
        <f>tkj!$BY$24</f>
        <v>94</v>
      </c>
      <c r="U189" s="75">
        <f>tkj!$CC$24</f>
        <v>95</v>
      </c>
      <c r="V189" s="58"/>
      <c r="X189" s="278">
        <v>24</v>
      </c>
    </row>
    <row r="190" spans="1:24">
      <c r="A190" s="268">
        <v>20</v>
      </c>
      <c r="B190" s="271"/>
      <c r="C190" s="274"/>
      <c r="D190" s="76" t="s">
        <v>301</v>
      </c>
      <c r="E190" s="77">
        <f>tkj!$CD$24</f>
        <v>87</v>
      </c>
      <c r="F190" s="77">
        <f>tkj!$CE$24</f>
        <v>88</v>
      </c>
      <c r="G190" s="77">
        <f>tkj!$CF$24</f>
        <v>88</v>
      </c>
      <c r="H190" s="72"/>
      <c r="I190" s="72"/>
      <c r="J190" s="73"/>
      <c r="K190" s="73"/>
      <c r="L190" s="77">
        <f>tkj!$CG$24</f>
        <v>85</v>
      </c>
      <c r="M190" s="77">
        <f>tkj!$CH$24</f>
        <v>80</v>
      </c>
      <c r="N190" s="77">
        <f>tkj!$CI$24</f>
        <v>85</v>
      </c>
      <c r="O190" s="73"/>
      <c r="P190" s="74"/>
      <c r="Q190" s="74"/>
      <c r="R190" s="86">
        <f>tkj!$CL$24</f>
        <v>90</v>
      </c>
      <c r="S190" s="86">
        <f>tkj!$CK$24</f>
        <v>88</v>
      </c>
      <c r="T190" s="74"/>
      <c r="U190" s="86">
        <f>tkj!$CJ$24</f>
        <v>88</v>
      </c>
      <c r="V190" s="58"/>
      <c r="X190" s="278">
        <v>24</v>
      </c>
    </row>
    <row r="191" spans="1:24" ht="15" thickBot="1">
      <c r="A191" s="269">
        <v>20</v>
      </c>
      <c r="B191" s="272"/>
      <c r="C191" s="275"/>
      <c r="D191" s="78" t="s">
        <v>302</v>
      </c>
      <c r="E191" s="79">
        <f>(E188*4+E189*3+E190*3)/10</f>
        <v>89.24</v>
      </c>
      <c r="F191" s="79">
        <f t="shared" ref="F191:G191" si="37">(F188*4+F189*3+F190*3)/10</f>
        <v>88.58</v>
      </c>
      <c r="G191" s="79">
        <f t="shared" si="37"/>
        <v>86.78</v>
      </c>
      <c r="H191" s="79">
        <f>AVERAGE(H183:H186)</f>
        <v>82.75</v>
      </c>
      <c r="I191" s="79">
        <f>AVERAGE(I183:I186)</f>
        <v>82.75</v>
      </c>
      <c r="J191" s="79">
        <f>AVERAGE(J183:J184)</f>
        <v>82.5</v>
      </c>
      <c r="K191" s="79">
        <f>AVERAGE(K183:K186)</f>
        <v>76.25</v>
      </c>
      <c r="L191" s="79">
        <f>(L188*4+L189*3+L190*3)/10</f>
        <v>84.2</v>
      </c>
      <c r="M191" s="79">
        <f>(M188*4+M189*3+M190*3)/10</f>
        <v>82.42</v>
      </c>
      <c r="N191" s="79">
        <f>(N188*4+N189*3+N190*3)/10</f>
        <v>85.92</v>
      </c>
      <c r="O191" s="79">
        <f>AVERAGE(O183:O184)</f>
        <v>90.5</v>
      </c>
      <c r="P191" s="79">
        <f>AVERAGE(P183:P184)</f>
        <v>87.5</v>
      </c>
      <c r="Q191" s="79">
        <f>AVERAGE(Q183:Q184)</f>
        <v>80.5</v>
      </c>
      <c r="R191" s="79">
        <f>(R188*4+R189*3+R190*3)/10</f>
        <v>89.411111111111111</v>
      </c>
      <c r="S191" s="79">
        <f>(S188*4+S189*3+S190*3)/10</f>
        <v>90.366666666666674</v>
      </c>
      <c r="T191" s="79">
        <f>T189</f>
        <v>94</v>
      </c>
      <c r="U191" s="79">
        <f t="shared" ref="U191" si="38">(U188*4+U189*3+U190*3)/10</f>
        <v>87.566666666666677</v>
      </c>
      <c r="V191" s="80">
        <f>AVERAGE(E191:U191)</f>
        <v>85.954967320261431</v>
      </c>
      <c r="X191" s="278">
        <v>24</v>
      </c>
    </row>
    <row r="192" spans="1:24" ht="18" customHeight="1" thickTop="1" thickBot="1">
      <c r="A192" s="268">
        <v>21</v>
      </c>
      <c r="B192" s="270" t="s">
        <v>332</v>
      </c>
      <c r="C192" s="273" t="s">
        <v>93</v>
      </c>
      <c r="D192" s="52" t="s">
        <v>294</v>
      </c>
      <c r="E192" s="53">
        <f>tkj!$E$25</f>
        <v>96</v>
      </c>
      <c r="F192" s="53">
        <f>tkj!$K$25</f>
        <v>82</v>
      </c>
      <c r="G192" s="53">
        <f>tkj!$Q$25</f>
        <v>85</v>
      </c>
      <c r="H192" s="53">
        <f>tkj!$W$25</f>
        <v>81</v>
      </c>
      <c r="I192" s="53">
        <f>tkj!$AA$25</f>
        <v>84</v>
      </c>
      <c r="J192" s="53">
        <f>tkj!$AE$25</f>
        <v>83</v>
      </c>
      <c r="K192" s="54">
        <f>tkj!$AG$25</f>
        <v>75</v>
      </c>
      <c r="L192" s="55"/>
      <c r="M192" s="53">
        <f>tkj!$AM$25</f>
        <v>82</v>
      </c>
      <c r="N192" s="53">
        <f>tkj!$AS$25</f>
        <v>74</v>
      </c>
      <c r="O192" s="53">
        <f>tkj!$AY$25</f>
        <v>83</v>
      </c>
      <c r="P192" s="54">
        <f>tkj!$BA$25</f>
        <v>82</v>
      </c>
      <c r="Q192" s="54">
        <f>tkj!$BC$25</f>
        <v>82</v>
      </c>
      <c r="R192" s="55"/>
      <c r="S192" s="55"/>
      <c r="T192" s="55"/>
      <c r="U192" s="55"/>
      <c r="V192" s="56"/>
      <c r="X192" s="278">
        <v>25</v>
      </c>
    </row>
    <row r="193" spans="1:24" ht="15" thickBot="1">
      <c r="A193" s="268">
        <v>21</v>
      </c>
      <c r="B193" s="271"/>
      <c r="C193" s="274"/>
      <c r="D193" s="52" t="s">
        <v>295</v>
      </c>
      <c r="E193" s="53">
        <f>tkj!$F$25</f>
        <v>90</v>
      </c>
      <c r="F193" s="53">
        <f>tkj!$L$25</f>
        <v>80</v>
      </c>
      <c r="G193" s="53">
        <f>tkj!$R$25</f>
        <v>87</v>
      </c>
      <c r="H193" s="53">
        <f>tkj!$X$25</f>
        <v>85</v>
      </c>
      <c r="I193" s="53">
        <f>tkj!$AB$25</f>
        <v>80</v>
      </c>
      <c r="J193" s="53">
        <f>tkj!$AF$25</f>
        <v>82</v>
      </c>
      <c r="K193" s="54">
        <f>tkj!$AH$25</f>
        <v>73</v>
      </c>
      <c r="L193" s="55"/>
      <c r="M193" s="53">
        <f>tkj!$AN$25</f>
        <v>84</v>
      </c>
      <c r="N193" s="53">
        <f>tkj!$AT$25</f>
        <v>80</v>
      </c>
      <c r="O193" s="53">
        <f>tkj!$AZ$25</f>
        <v>87</v>
      </c>
      <c r="P193" s="54">
        <f>tkj!$BB$25</f>
        <v>92</v>
      </c>
      <c r="Q193" s="54">
        <f>tkj!$BD$25</f>
        <v>85</v>
      </c>
      <c r="R193" s="55"/>
      <c r="S193" s="55"/>
      <c r="T193" s="55"/>
      <c r="U193" s="55"/>
      <c r="V193" s="58"/>
      <c r="X193" s="278">
        <v>25</v>
      </c>
    </row>
    <row r="194" spans="1:24" ht="15" thickBot="1">
      <c r="A194" s="268">
        <v>21</v>
      </c>
      <c r="B194" s="271"/>
      <c r="C194" s="274"/>
      <c r="D194" s="52" t="s">
        <v>296</v>
      </c>
      <c r="E194" s="53">
        <f>tkj!$G$25</f>
        <v>90</v>
      </c>
      <c r="F194" s="53">
        <f>tkj!$M$25</f>
        <v>95</v>
      </c>
      <c r="G194" s="53">
        <f>tkj!$S$25</f>
        <v>90</v>
      </c>
      <c r="H194" s="53">
        <f>tkj!$Y$25</f>
        <v>81</v>
      </c>
      <c r="I194" s="53">
        <f>tkj!$AC$25</f>
        <v>84</v>
      </c>
      <c r="J194" s="59"/>
      <c r="K194" s="54">
        <f>tkj!$AI$25</f>
        <v>72</v>
      </c>
      <c r="L194" s="55"/>
      <c r="M194" s="53">
        <f>tkj!$AO$25</f>
        <v>77</v>
      </c>
      <c r="N194" s="53">
        <f>tkj!$AU$25</f>
        <v>80</v>
      </c>
      <c r="O194" s="59"/>
      <c r="P194" s="55"/>
      <c r="Q194" s="55"/>
      <c r="R194" s="54">
        <f>tkj!$BQ$25</f>
        <v>83.333333333333329</v>
      </c>
      <c r="S194" s="54">
        <f>tkj!$BU$25</f>
        <v>87</v>
      </c>
      <c r="T194" s="55"/>
      <c r="U194" s="54">
        <f>tkj!$BZ$25</f>
        <v>77</v>
      </c>
      <c r="V194" s="58"/>
      <c r="X194" s="278">
        <v>25</v>
      </c>
    </row>
    <row r="195" spans="1:24" ht="15" thickBot="1">
      <c r="A195" s="268">
        <v>21</v>
      </c>
      <c r="B195" s="271"/>
      <c r="C195" s="274"/>
      <c r="D195" s="62" t="s">
        <v>297</v>
      </c>
      <c r="E195" s="53">
        <f>tkj!$H$25</f>
        <v>89</v>
      </c>
      <c r="F195" s="53">
        <f>tkj!$N$25</f>
        <v>95</v>
      </c>
      <c r="G195" s="53">
        <f>tkj!$T$25</f>
        <v>91</v>
      </c>
      <c r="H195" s="53">
        <f>tkj!$Z$25</f>
        <v>85</v>
      </c>
      <c r="I195" s="53">
        <f>tkj!$AD$25</f>
        <v>86</v>
      </c>
      <c r="J195" s="59"/>
      <c r="K195" s="54">
        <f>tkj!$AJ$25</f>
        <v>84</v>
      </c>
      <c r="L195" s="55"/>
      <c r="M195" s="53">
        <f>tkj!$AP$25</f>
        <v>77</v>
      </c>
      <c r="N195" s="53">
        <f>tkj!$AV$25</f>
        <v>88</v>
      </c>
      <c r="O195" s="59"/>
      <c r="P195" s="55"/>
      <c r="Q195" s="55"/>
      <c r="R195" s="54">
        <f>tkj!$BR$25</f>
        <v>86.666666666666671</v>
      </c>
      <c r="S195" s="54">
        <f>tkj!$BV$25</f>
        <v>87</v>
      </c>
      <c r="T195" s="63"/>
      <c r="U195" s="54">
        <f>tkj!$CA$25</f>
        <v>94</v>
      </c>
      <c r="V195" s="58"/>
      <c r="X195" s="278">
        <v>25</v>
      </c>
    </row>
    <row r="196" spans="1:24">
      <c r="A196" s="268">
        <v>21</v>
      </c>
      <c r="B196" s="271"/>
      <c r="C196" s="274"/>
      <c r="D196" s="62" t="s">
        <v>298</v>
      </c>
      <c r="E196" s="53">
        <f>tkj!$I$25</f>
        <v>84</v>
      </c>
      <c r="F196" s="53">
        <f>tkj!$O$25</f>
        <v>95</v>
      </c>
      <c r="G196" s="53">
        <f>tkj!$U$25</f>
        <v>89</v>
      </c>
      <c r="H196" s="65"/>
      <c r="I196" s="65"/>
      <c r="J196" s="59"/>
      <c r="K196" s="59"/>
      <c r="L196" s="53">
        <f>tkj!$AK$25</f>
        <v>80</v>
      </c>
      <c r="M196" s="53">
        <f>tkj!$AQ$25</f>
        <v>86</v>
      </c>
      <c r="N196" s="53">
        <f>tkj!$AW$25</f>
        <v>80</v>
      </c>
      <c r="O196" s="59"/>
      <c r="P196" s="55"/>
      <c r="Q196" s="55"/>
      <c r="R196" s="54">
        <f>tkj!$BS$25</f>
        <v>85</v>
      </c>
      <c r="S196" s="54">
        <f>tkj!$BW$25</f>
        <v>90</v>
      </c>
      <c r="T196" s="54"/>
      <c r="U196" s="54">
        <f>tkj!$CB$25</f>
        <v>90</v>
      </c>
      <c r="V196" s="58"/>
      <c r="X196" s="278">
        <v>25</v>
      </c>
    </row>
    <row r="197" spans="1:24">
      <c r="A197" s="268">
        <v>21</v>
      </c>
      <c r="B197" s="271"/>
      <c r="C197" s="274"/>
      <c r="D197" s="66" t="s">
        <v>299</v>
      </c>
      <c r="E197" s="67">
        <f>AVERAGE(E192:E196)</f>
        <v>89.8</v>
      </c>
      <c r="F197" s="67">
        <f>AVERAGE(F192:F196)</f>
        <v>89.4</v>
      </c>
      <c r="G197" s="67">
        <f>AVERAGE(G192:G196)</f>
        <v>88.4</v>
      </c>
      <c r="H197" s="68"/>
      <c r="I197" s="68"/>
      <c r="J197" s="69"/>
      <c r="K197" s="69"/>
      <c r="L197" s="67">
        <f>AVERAGE(L192:L196)</f>
        <v>80</v>
      </c>
      <c r="M197" s="67">
        <f>AVERAGE(M192:M196)</f>
        <v>81.2</v>
      </c>
      <c r="N197" s="67">
        <f>AVERAGE(N192:N196)</f>
        <v>80.400000000000006</v>
      </c>
      <c r="O197" s="69"/>
      <c r="P197" s="63"/>
      <c r="Q197" s="63"/>
      <c r="R197" s="84">
        <f>AVERAGE(R194:R196)</f>
        <v>85</v>
      </c>
      <c r="S197" s="84">
        <f>AVERAGE(S194:S196)</f>
        <v>88</v>
      </c>
      <c r="T197" s="63"/>
      <c r="U197" s="84">
        <f>AVERAGE(U192:U196)</f>
        <v>87</v>
      </c>
      <c r="V197" s="58"/>
      <c r="X197" s="278">
        <v>25</v>
      </c>
    </row>
    <row r="198" spans="1:24">
      <c r="A198" s="268">
        <v>21</v>
      </c>
      <c r="B198" s="271"/>
      <c r="C198" s="274"/>
      <c r="D198" s="70" t="s">
        <v>300</v>
      </c>
      <c r="E198" s="71">
        <f>tkj!$J$25</f>
        <v>89</v>
      </c>
      <c r="F198" s="71">
        <f>tkj!$P$25</f>
        <v>95</v>
      </c>
      <c r="G198" s="71">
        <f>tkj!$V$25</f>
        <v>86</v>
      </c>
      <c r="H198" s="72"/>
      <c r="I198" s="72"/>
      <c r="J198" s="73"/>
      <c r="K198" s="73"/>
      <c r="L198" s="71">
        <f>tkj!$AL$25</f>
        <v>86</v>
      </c>
      <c r="M198" s="71">
        <f>tkj!$AR$25</f>
        <v>95</v>
      </c>
      <c r="N198" s="71">
        <f>tkj!$AX$25</f>
        <v>95</v>
      </c>
      <c r="O198" s="73"/>
      <c r="P198" s="74"/>
      <c r="Q198" s="74"/>
      <c r="R198" s="85">
        <f>tkj!$BT$25</f>
        <v>95</v>
      </c>
      <c r="S198" s="85">
        <f>tkj!$BX$25</f>
        <v>95</v>
      </c>
      <c r="T198" s="85">
        <f>tkj!$BY$25</f>
        <v>92</v>
      </c>
      <c r="U198" s="75">
        <f>tkj!$CC$25</f>
        <v>95</v>
      </c>
      <c r="V198" s="58"/>
      <c r="X198" s="278">
        <v>25</v>
      </c>
    </row>
    <row r="199" spans="1:24">
      <c r="A199" s="268">
        <v>21</v>
      </c>
      <c r="B199" s="271"/>
      <c r="C199" s="274"/>
      <c r="D199" s="76" t="s">
        <v>301</v>
      </c>
      <c r="E199" s="77">
        <f>tkj!$CD$25</f>
        <v>88</v>
      </c>
      <c r="F199" s="77">
        <f>tkj!$CE$25</f>
        <v>85</v>
      </c>
      <c r="G199" s="77">
        <f>tkj!$CF$25</f>
        <v>84</v>
      </c>
      <c r="H199" s="72"/>
      <c r="I199" s="72"/>
      <c r="J199" s="73"/>
      <c r="K199" s="73"/>
      <c r="L199" s="77">
        <f>tkj!$CG$25</f>
        <v>70</v>
      </c>
      <c r="M199" s="77">
        <f>tkj!$CH$25</f>
        <v>87</v>
      </c>
      <c r="N199" s="77">
        <f>tkj!$CI$25</f>
        <v>85</v>
      </c>
      <c r="O199" s="73"/>
      <c r="P199" s="74"/>
      <c r="Q199" s="74"/>
      <c r="R199" s="86">
        <f>tkj!$CL$25</f>
        <v>75</v>
      </c>
      <c r="S199" s="86">
        <f>tkj!$CK$25</f>
        <v>84</v>
      </c>
      <c r="T199" s="74"/>
      <c r="U199" s="86">
        <f>tkj!$CJ$25</f>
        <v>82</v>
      </c>
      <c r="V199" s="58"/>
      <c r="X199" s="278">
        <v>25</v>
      </c>
    </row>
    <row r="200" spans="1:24" ht="15" thickBot="1">
      <c r="A200" s="269">
        <v>21</v>
      </c>
      <c r="B200" s="272"/>
      <c r="C200" s="275"/>
      <c r="D200" s="78" t="s">
        <v>302</v>
      </c>
      <c r="E200" s="79">
        <f>(E197*4+E198*3+E199*3)/10</f>
        <v>89.02000000000001</v>
      </c>
      <c r="F200" s="79">
        <f t="shared" ref="F200:G200" si="39">(F197*4+F198*3+F199*3)/10</f>
        <v>89.76</v>
      </c>
      <c r="G200" s="79">
        <f t="shared" si="39"/>
        <v>86.36</v>
      </c>
      <c r="H200" s="79">
        <f>AVERAGE(H192:H195)</f>
        <v>83</v>
      </c>
      <c r="I200" s="79">
        <f>AVERAGE(I192:I195)</f>
        <v>83.5</v>
      </c>
      <c r="J200" s="79">
        <f>AVERAGE(J192:J193)</f>
        <v>82.5</v>
      </c>
      <c r="K200" s="79">
        <f>AVERAGE(K192:K195)</f>
        <v>76</v>
      </c>
      <c r="L200" s="79">
        <f>(L197*4+L198*3+L199*3)/10</f>
        <v>78.8</v>
      </c>
      <c r="M200" s="79">
        <f>(M197*4+M198*3+M199*3)/10</f>
        <v>87.08</v>
      </c>
      <c r="N200" s="79">
        <f>(N197*4+N198*3+N199*3)/10</f>
        <v>86.16</v>
      </c>
      <c r="O200" s="79">
        <f>AVERAGE(O192:O193)</f>
        <v>85</v>
      </c>
      <c r="P200" s="79">
        <f>AVERAGE(P192:P193)</f>
        <v>87</v>
      </c>
      <c r="Q200" s="79">
        <f>AVERAGE(Q192:Q193)</f>
        <v>83.5</v>
      </c>
      <c r="R200" s="79">
        <f>(R197*4+R198*3+R199*3)/10</f>
        <v>85</v>
      </c>
      <c r="S200" s="79">
        <f>(S197*4+S198*3+S199*3)/10</f>
        <v>88.9</v>
      </c>
      <c r="T200" s="79">
        <f>T198</f>
        <v>92</v>
      </c>
      <c r="U200" s="79">
        <f t="shared" ref="U200" si="40">(U197*4+U198*3+U199*3)/10</f>
        <v>87.9</v>
      </c>
      <c r="V200" s="80">
        <f>AVERAGE(E200:U200)</f>
        <v>85.381176470588244</v>
      </c>
      <c r="X200" s="278">
        <v>25</v>
      </c>
    </row>
    <row r="201" spans="1:24" ht="15.6" thickTop="1" thickBot="1">
      <c r="A201" s="268">
        <v>22</v>
      </c>
      <c r="B201" s="270" t="s">
        <v>333</v>
      </c>
      <c r="C201" s="273" t="s">
        <v>95</v>
      </c>
      <c r="D201" s="52" t="s">
        <v>294</v>
      </c>
      <c r="E201" s="53">
        <f>tkj!$E$26</f>
        <v>95</v>
      </c>
      <c r="F201" s="53">
        <f>tkj!$K$26</f>
        <v>81</v>
      </c>
      <c r="G201" s="53">
        <f>tkj!$Q$26</f>
        <v>89</v>
      </c>
      <c r="H201" s="53">
        <f>tkj!$W$26</f>
        <v>83</v>
      </c>
      <c r="I201" s="53">
        <f>tkj!$AA$26</f>
        <v>78</v>
      </c>
      <c r="J201" s="53">
        <f>tkj!$AE$26</f>
        <v>84</v>
      </c>
      <c r="K201" s="54">
        <f>tkj!$AG$26</f>
        <v>84</v>
      </c>
      <c r="L201" s="55"/>
      <c r="M201" s="53">
        <f>tkj!$AM$26</f>
        <v>73</v>
      </c>
      <c r="N201" s="53">
        <f>tkj!$AS$26</f>
        <v>73</v>
      </c>
      <c r="O201" s="53">
        <f>tkj!$AY$26</f>
        <v>79</v>
      </c>
      <c r="P201" s="54">
        <f>tkj!$BA$26</f>
        <v>85</v>
      </c>
      <c r="Q201" s="54">
        <f>tkj!$BC$26</f>
        <v>78</v>
      </c>
      <c r="R201" s="55"/>
      <c r="S201" s="55"/>
      <c r="T201" s="55"/>
      <c r="U201" s="55"/>
      <c r="V201" s="56"/>
      <c r="X201" s="278">
        <v>26</v>
      </c>
    </row>
    <row r="202" spans="1:24" ht="15" thickBot="1">
      <c r="A202" s="268">
        <v>22</v>
      </c>
      <c r="B202" s="271"/>
      <c r="C202" s="274"/>
      <c r="D202" s="52" t="s">
        <v>295</v>
      </c>
      <c r="E202" s="53">
        <f>tkj!$F$26</f>
        <v>80</v>
      </c>
      <c r="F202" s="53">
        <f>tkj!$L$26</f>
        <v>76</v>
      </c>
      <c r="G202" s="53">
        <f>tkj!$R$26</f>
        <v>84</v>
      </c>
      <c r="H202" s="53">
        <f>tkj!$X$26</f>
        <v>84</v>
      </c>
      <c r="I202" s="53">
        <f>tkj!$AB$26</f>
        <v>80</v>
      </c>
      <c r="J202" s="53">
        <f>tkj!$AF$26</f>
        <v>82</v>
      </c>
      <c r="K202" s="54">
        <f>tkj!$AH$26</f>
        <v>80</v>
      </c>
      <c r="L202" s="55"/>
      <c r="M202" s="53">
        <f>tkj!$AN$26</f>
        <v>73</v>
      </c>
      <c r="N202" s="53">
        <f>tkj!$AT$26</f>
        <v>80</v>
      </c>
      <c r="O202" s="53">
        <f>tkj!$AZ$26</f>
        <v>85</v>
      </c>
      <c r="P202" s="54">
        <f>tkj!$BB$26</f>
        <v>86</v>
      </c>
      <c r="Q202" s="54">
        <f>tkj!$BD$26</f>
        <v>82</v>
      </c>
      <c r="R202" s="55"/>
      <c r="S202" s="55"/>
      <c r="T202" s="55"/>
      <c r="U202" s="55"/>
      <c r="V202" s="58"/>
      <c r="X202" s="278">
        <v>26</v>
      </c>
    </row>
    <row r="203" spans="1:24" ht="15" thickBot="1">
      <c r="A203" s="268">
        <v>22</v>
      </c>
      <c r="B203" s="271"/>
      <c r="C203" s="274"/>
      <c r="D203" s="52" t="s">
        <v>296</v>
      </c>
      <c r="E203" s="53">
        <f>tkj!$G$26</f>
        <v>89</v>
      </c>
      <c r="F203" s="53">
        <f>tkj!$M$26</f>
        <v>75</v>
      </c>
      <c r="G203" s="53">
        <f>tkj!$S$26</f>
        <v>80</v>
      </c>
      <c r="H203" s="53">
        <f>tkj!$Y$26</f>
        <v>80</v>
      </c>
      <c r="I203" s="53">
        <f>tkj!$AC$26</f>
        <v>80</v>
      </c>
      <c r="J203" s="59"/>
      <c r="K203" s="54">
        <f>tkj!$AI$26</f>
        <v>75</v>
      </c>
      <c r="L203" s="55"/>
      <c r="M203" s="53">
        <f>tkj!$AO$26</f>
        <v>73</v>
      </c>
      <c r="N203" s="53">
        <f>tkj!$AU$26</f>
        <v>80</v>
      </c>
      <c r="O203" s="59"/>
      <c r="P203" s="55"/>
      <c r="Q203" s="55"/>
      <c r="R203" s="54">
        <f>tkj!$BQ$26</f>
        <v>79.333333333333329</v>
      </c>
      <c r="S203" s="54">
        <f>tkj!$BU$26</f>
        <v>86</v>
      </c>
      <c r="T203" s="55"/>
      <c r="U203" s="54">
        <f>tkj!$BZ$26</f>
        <v>72</v>
      </c>
      <c r="V203" s="58"/>
      <c r="X203" s="278">
        <v>26</v>
      </c>
    </row>
    <row r="204" spans="1:24" ht="15" thickBot="1">
      <c r="A204" s="268">
        <v>22</v>
      </c>
      <c r="B204" s="271"/>
      <c r="C204" s="274"/>
      <c r="D204" s="62" t="s">
        <v>297</v>
      </c>
      <c r="E204" s="53">
        <f>tkj!$H$26</f>
        <v>83</v>
      </c>
      <c r="F204" s="53">
        <f>tkj!$N$26</f>
        <v>82</v>
      </c>
      <c r="G204" s="53">
        <f>tkj!$T$26</f>
        <v>81</v>
      </c>
      <c r="H204" s="53">
        <f>tkj!$Z$26</f>
        <v>85</v>
      </c>
      <c r="I204" s="53">
        <f>tkj!$AD$26</f>
        <v>83</v>
      </c>
      <c r="J204" s="59"/>
      <c r="K204" s="54">
        <f>tkj!$AJ$26</f>
        <v>84</v>
      </c>
      <c r="L204" s="55"/>
      <c r="M204" s="53">
        <f>tkj!$AP$26</f>
        <v>74</v>
      </c>
      <c r="N204" s="53">
        <f>tkj!$AV$26</f>
        <v>85</v>
      </c>
      <c r="O204" s="59"/>
      <c r="P204" s="55"/>
      <c r="Q204" s="55"/>
      <c r="R204" s="54">
        <f>tkj!$BR$26</f>
        <v>77.666666666666671</v>
      </c>
      <c r="S204" s="54">
        <f>tkj!$BV$26</f>
        <v>86</v>
      </c>
      <c r="T204" s="63"/>
      <c r="U204" s="54">
        <f>tkj!$CA$26</f>
        <v>80</v>
      </c>
      <c r="V204" s="58"/>
      <c r="X204" s="278">
        <v>26</v>
      </c>
    </row>
    <row r="205" spans="1:24">
      <c r="A205" s="268">
        <v>22</v>
      </c>
      <c r="B205" s="271"/>
      <c r="C205" s="274"/>
      <c r="D205" s="62" t="s">
        <v>298</v>
      </c>
      <c r="E205" s="53">
        <f>tkj!$I$26</f>
        <v>88</v>
      </c>
      <c r="F205" s="53">
        <f>tkj!$O$26</f>
        <v>90</v>
      </c>
      <c r="G205" s="53">
        <f>tkj!$U$26</f>
        <v>79</v>
      </c>
      <c r="H205" s="65"/>
      <c r="I205" s="65"/>
      <c r="J205" s="59"/>
      <c r="K205" s="59"/>
      <c r="L205" s="53">
        <f>tkj!$AK$26</f>
        <v>80</v>
      </c>
      <c r="M205" s="53">
        <f>tkj!$AQ$26</f>
        <v>79</v>
      </c>
      <c r="N205" s="53">
        <f>tkj!$AW$26</f>
        <v>80</v>
      </c>
      <c r="O205" s="59"/>
      <c r="P205" s="55"/>
      <c r="Q205" s="55"/>
      <c r="R205" s="54">
        <f>tkj!$BS$26</f>
        <v>83.666666666666671</v>
      </c>
      <c r="S205" s="54">
        <f>tkj!$BW$26</f>
        <v>90</v>
      </c>
      <c r="T205" s="54"/>
      <c r="U205" s="54">
        <f>tkj!$CB$26</f>
        <v>73</v>
      </c>
      <c r="V205" s="58"/>
      <c r="X205" s="278">
        <v>26</v>
      </c>
    </row>
    <row r="206" spans="1:24">
      <c r="A206" s="268">
        <v>22</v>
      </c>
      <c r="B206" s="271"/>
      <c r="C206" s="274"/>
      <c r="D206" s="66" t="s">
        <v>299</v>
      </c>
      <c r="E206" s="67">
        <f>AVERAGE(E201:E205)</f>
        <v>87</v>
      </c>
      <c r="F206" s="67">
        <f>AVERAGE(F201:F205)</f>
        <v>80.8</v>
      </c>
      <c r="G206" s="67">
        <f>AVERAGE(G201:G205)</f>
        <v>82.6</v>
      </c>
      <c r="H206" s="68"/>
      <c r="I206" s="68"/>
      <c r="J206" s="69"/>
      <c r="K206" s="69"/>
      <c r="L206" s="67">
        <f>AVERAGE(L201:L205)</f>
        <v>80</v>
      </c>
      <c r="M206" s="67">
        <f>AVERAGE(M201:M205)</f>
        <v>74.400000000000006</v>
      </c>
      <c r="N206" s="67">
        <f>AVERAGE(N201:N205)</f>
        <v>79.599999999999994</v>
      </c>
      <c r="O206" s="69"/>
      <c r="P206" s="63"/>
      <c r="Q206" s="63"/>
      <c r="R206" s="84">
        <f>AVERAGE(R203:R205)</f>
        <v>80.222222222222229</v>
      </c>
      <c r="S206" s="84">
        <f>AVERAGE(S203:S205)</f>
        <v>87.333333333333329</v>
      </c>
      <c r="T206" s="63"/>
      <c r="U206" s="84">
        <f>AVERAGE(U201:U205)</f>
        <v>75</v>
      </c>
      <c r="V206" s="58"/>
      <c r="X206" s="278">
        <v>26</v>
      </c>
    </row>
    <row r="207" spans="1:24">
      <c r="A207" s="268">
        <v>22</v>
      </c>
      <c r="B207" s="271"/>
      <c r="C207" s="274"/>
      <c r="D207" s="70" t="s">
        <v>300</v>
      </c>
      <c r="E207" s="71">
        <f>tkj!$J$26</f>
        <v>90</v>
      </c>
      <c r="F207" s="71">
        <f>tkj!$P$26</f>
        <v>90</v>
      </c>
      <c r="G207" s="71">
        <f>tkj!$V$26</f>
        <v>85</v>
      </c>
      <c r="H207" s="72"/>
      <c r="I207" s="72"/>
      <c r="J207" s="73"/>
      <c r="K207" s="73"/>
      <c r="L207" s="71">
        <f>tkj!$AL$26</f>
        <v>85</v>
      </c>
      <c r="M207" s="71">
        <f>tkj!$AR$26</f>
        <v>90</v>
      </c>
      <c r="N207" s="71">
        <f>tkj!$AX$26</f>
        <v>90</v>
      </c>
      <c r="O207" s="73"/>
      <c r="P207" s="74"/>
      <c r="Q207" s="74"/>
      <c r="R207" s="85">
        <f>tkj!$BT$26</f>
        <v>90</v>
      </c>
      <c r="S207" s="85">
        <f>tkj!$BX$26</f>
        <v>90</v>
      </c>
      <c r="T207" s="85">
        <f>tkj!$BY$26</f>
        <v>89</v>
      </c>
      <c r="U207" s="75">
        <f>tkj!$CC$26</f>
        <v>90</v>
      </c>
      <c r="V207" s="58"/>
      <c r="X207" s="278">
        <v>26</v>
      </c>
    </row>
    <row r="208" spans="1:24">
      <c r="A208" s="268">
        <v>22</v>
      </c>
      <c r="B208" s="271"/>
      <c r="C208" s="274"/>
      <c r="D208" s="76" t="s">
        <v>301</v>
      </c>
      <c r="E208" s="77">
        <f>tkj!$CD$26</f>
        <v>81</v>
      </c>
      <c r="F208" s="77">
        <f>tkj!$CE$26</f>
        <v>80</v>
      </c>
      <c r="G208" s="77">
        <f>tkj!$CF$26</f>
        <v>80</v>
      </c>
      <c r="H208" s="72"/>
      <c r="I208" s="72"/>
      <c r="J208" s="73"/>
      <c r="K208" s="73"/>
      <c r="L208" s="77">
        <f>tkj!$CG$26</f>
        <v>80</v>
      </c>
      <c r="M208" s="77">
        <f>tkj!$CH$26</f>
        <v>80</v>
      </c>
      <c r="N208" s="77">
        <f>tkj!$CI$26</f>
        <v>83</v>
      </c>
      <c r="O208" s="73"/>
      <c r="P208" s="74"/>
      <c r="Q208" s="74"/>
      <c r="R208" s="86">
        <f>tkj!$CL$26</f>
        <v>70</v>
      </c>
      <c r="S208" s="86">
        <f>tkj!$CK$26</f>
        <v>85</v>
      </c>
      <c r="T208" s="74"/>
      <c r="U208" s="86">
        <f>tkj!$CJ$26</f>
        <v>80</v>
      </c>
      <c r="V208" s="58"/>
      <c r="X208" s="278">
        <v>26</v>
      </c>
    </row>
    <row r="209" spans="1:24" ht="15" thickBot="1">
      <c r="A209" s="269">
        <v>22</v>
      </c>
      <c r="B209" s="272"/>
      <c r="C209" s="275"/>
      <c r="D209" s="78" t="s">
        <v>302</v>
      </c>
      <c r="E209" s="79">
        <f>(E206*4+E207*3+E208*3)/10</f>
        <v>86.1</v>
      </c>
      <c r="F209" s="79">
        <f t="shared" ref="F209:G209" si="41">(F206*4+F207*3+F208*3)/10</f>
        <v>83.320000000000007</v>
      </c>
      <c r="G209" s="79">
        <f t="shared" si="41"/>
        <v>82.539999999999992</v>
      </c>
      <c r="H209" s="79">
        <f>AVERAGE(H201:H204)</f>
        <v>83</v>
      </c>
      <c r="I209" s="79">
        <f>AVERAGE(I201:I204)</f>
        <v>80.25</v>
      </c>
      <c r="J209" s="79">
        <f>AVERAGE(J201:J202)</f>
        <v>83</v>
      </c>
      <c r="K209" s="79">
        <f>AVERAGE(K201:K204)</f>
        <v>80.75</v>
      </c>
      <c r="L209" s="79">
        <f>(L206*4+L207*3+L208*3)/10</f>
        <v>81.5</v>
      </c>
      <c r="M209" s="79">
        <f>(M206*4+M207*3+M208*3)/10</f>
        <v>80.760000000000005</v>
      </c>
      <c r="N209" s="79">
        <f>(N206*4+N207*3+N208*3)/10</f>
        <v>83.74</v>
      </c>
      <c r="O209" s="79">
        <f>AVERAGE(O201:O202)</f>
        <v>82</v>
      </c>
      <c r="P209" s="79">
        <f>AVERAGE(P201:P202)</f>
        <v>85.5</v>
      </c>
      <c r="Q209" s="79">
        <f>AVERAGE(Q201:Q202)</f>
        <v>80</v>
      </c>
      <c r="R209" s="79">
        <f>(R206*4+R207*3+R208*3)/10</f>
        <v>80.088888888888889</v>
      </c>
      <c r="S209" s="79">
        <f>(S206*4+S207*3+S208*3)/10</f>
        <v>87.433333333333323</v>
      </c>
      <c r="T209" s="79">
        <f>T207</f>
        <v>89</v>
      </c>
      <c r="U209" s="79">
        <f t="shared" ref="U209" si="42">(U206*4+U207*3+U208*3)/10</f>
        <v>81</v>
      </c>
      <c r="V209" s="80">
        <f>AVERAGE(E209:U209)</f>
        <v>82.940130718954265</v>
      </c>
      <c r="X209" s="278">
        <v>26</v>
      </c>
    </row>
    <row r="210" spans="1:24" ht="15.6" thickTop="1" thickBot="1">
      <c r="A210" s="268">
        <v>23</v>
      </c>
      <c r="B210" s="270" t="s">
        <v>334</v>
      </c>
      <c r="C210" s="273" t="s">
        <v>97</v>
      </c>
      <c r="D210" s="52" t="s">
        <v>294</v>
      </c>
      <c r="E210" s="53">
        <f>tkj!$E$27</f>
        <v>95</v>
      </c>
      <c r="F210" s="53">
        <f>tkj!$K$27</f>
        <v>86</v>
      </c>
      <c r="G210" s="53">
        <f>tkj!$Q$27</f>
        <v>87</v>
      </c>
      <c r="H210" s="53">
        <f>tkj!$W$27</f>
        <v>84</v>
      </c>
      <c r="I210" s="53">
        <f>tkj!$AA$27</f>
        <v>77</v>
      </c>
      <c r="J210" s="53">
        <f>tkj!$AE$27</f>
        <v>84</v>
      </c>
      <c r="K210" s="54">
        <f>tkj!$AG$27</f>
        <v>81</v>
      </c>
      <c r="L210" s="55"/>
      <c r="M210" s="53">
        <f>tkj!$AM$27</f>
        <v>75</v>
      </c>
      <c r="N210" s="53">
        <f>tkj!$AS$27</f>
        <v>78</v>
      </c>
      <c r="O210" s="53">
        <f>tkj!$AY$27</f>
        <v>92</v>
      </c>
      <c r="P210" s="54">
        <f>tkj!$BA$27</f>
        <v>81</v>
      </c>
      <c r="Q210" s="54">
        <f>tkj!$BC$27</f>
        <v>78</v>
      </c>
      <c r="R210" s="55"/>
      <c r="S210" s="55"/>
      <c r="T210" s="55"/>
      <c r="U210" s="55"/>
      <c r="V210" s="56"/>
      <c r="X210" s="278">
        <v>27</v>
      </c>
    </row>
    <row r="211" spans="1:24" ht="15" thickBot="1">
      <c r="A211" s="268">
        <v>23</v>
      </c>
      <c r="B211" s="271"/>
      <c r="C211" s="274"/>
      <c r="D211" s="52" t="s">
        <v>295</v>
      </c>
      <c r="E211" s="53">
        <f>tkj!$F$27</f>
        <v>96</v>
      </c>
      <c r="F211" s="53">
        <f>tkj!$L$27</f>
        <v>86</v>
      </c>
      <c r="G211" s="53">
        <f>tkj!$R$27</f>
        <v>86</v>
      </c>
      <c r="H211" s="53">
        <f>tkj!$X$27</f>
        <v>85</v>
      </c>
      <c r="I211" s="53">
        <f>tkj!$AB$27</f>
        <v>84</v>
      </c>
      <c r="J211" s="53">
        <f>tkj!$AF$27</f>
        <v>85</v>
      </c>
      <c r="K211" s="54">
        <f>tkj!$AH$27</f>
        <v>77</v>
      </c>
      <c r="L211" s="55"/>
      <c r="M211" s="53">
        <f>tkj!$AN$27</f>
        <v>76</v>
      </c>
      <c r="N211" s="53">
        <f>tkj!$AT$27</f>
        <v>78</v>
      </c>
      <c r="O211" s="53">
        <f>tkj!$AZ$27</f>
        <v>90</v>
      </c>
      <c r="P211" s="54">
        <f>tkj!$BB$27</f>
        <v>93</v>
      </c>
      <c r="Q211" s="54">
        <f>tkj!$BD$27</f>
        <v>85</v>
      </c>
      <c r="R211" s="55"/>
      <c r="S211" s="55"/>
      <c r="T211" s="55"/>
      <c r="U211" s="55"/>
      <c r="V211" s="58"/>
      <c r="X211" s="278">
        <v>27</v>
      </c>
    </row>
    <row r="212" spans="1:24" ht="15" thickBot="1">
      <c r="A212" s="268">
        <v>23</v>
      </c>
      <c r="B212" s="271"/>
      <c r="C212" s="274"/>
      <c r="D212" s="52" t="s">
        <v>296</v>
      </c>
      <c r="E212" s="53">
        <f>tkj!$G$27</f>
        <v>87</v>
      </c>
      <c r="F212" s="53">
        <f>tkj!$M$27</f>
        <v>89</v>
      </c>
      <c r="G212" s="53">
        <f>tkj!$S$27</f>
        <v>80</v>
      </c>
      <c r="H212" s="53">
        <f>tkj!$Y$27</f>
        <v>80</v>
      </c>
      <c r="I212" s="53">
        <f>tkj!$AC$27</f>
        <v>85</v>
      </c>
      <c r="J212" s="59"/>
      <c r="K212" s="54">
        <f>tkj!$AI$27</f>
        <v>74</v>
      </c>
      <c r="L212" s="55"/>
      <c r="M212" s="53">
        <f>tkj!$AO$27</f>
        <v>74</v>
      </c>
      <c r="N212" s="53">
        <f>tkj!$AU$27</f>
        <v>80</v>
      </c>
      <c r="O212" s="59"/>
      <c r="P212" s="55"/>
      <c r="Q212" s="55"/>
      <c r="R212" s="54">
        <f>tkj!$BQ$27</f>
        <v>84</v>
      </c>
      <c r="S212" s="54">
        <f>tkj!$BU$27</f>
        <v>84</v>
      </c>
      <c r="T212" s="55"/>
      <c r="U212" s="54">
        <f>tkj!$BZ$27</f>
        <v>76</v>
      </c>
      <c r="V212" s="58"/>
      <c r="X212" s="278">
        <v>27</v>
      </c>
    </row>
    <row r="213" spans="1:24" ht="15" thickBot="1">
      <c r="A213" s="268">
        <v>23</v>
      </c>
      <c r="B213" s="271"/>
      <c r="C213" s="274"/>
      <c r="D213" s="62" t="s">
        <v>297</v>
      </c>
      <c r="E213" s="53">
        <f>tkj!$H$27</f>
        <v>86</v>
      </c>
      <c r="F213" s="53">
        <f>tkj!$N$27</f>
        <v>93</v>
      </c>
      <c r="G213" s="53">
        <f>tkj!$T$27</f>
        <v>88</v>
      </c>
      <c r="H213" s="53">
        <f>tkj!$Z$27</f>
        <v>85</v>
      </c>
      <c r="I213" s="53">
        <f>tkj!$AD$27</f>
        <v>86</v>
      </c>
      <c r="J213" s="59"/>
      <c r="K213" s="54">
        <f>tkj!$AJ$27</f>
        <v>84</v>
      </c>
      <c r="L213" s="55"/>
      <c r="M213" s="53">
        <f>tkj!$AP$27</f>
        <v>76</v>
      </c>
      <c r="N213" s="53">
        <f>tkj!$AV$27</f>
        <v>82</v>
      </c>
      <c r="O213" s="59"/>
      <c r="P213" s="55"/>
      <c r="Q213" s="55"/>
      <c r="R213" s="54">
        <f>tkj!$BR$27</f>
        <v>84.333333333333329</v>
      </c>
      <c r="S213" s="54">
        <f>tkj!$BV$27</f>
        <v>84</v>
      </c>
      <c r="T213" s="63"/>
      <c r="U213" s="54">
        <f>tkj!$CA$27</f>
        <v>91</v>
      </c>
      <c r="V213" s="58"/>
      <c r="X213" s="278">
        <v>27</v>
      </c>
    </row>
    <row r="214" spans="1:24">
      <c r="A214" s="268">
        <v>23</v>
      </c>
      <c r="B214" s="271"/>
      <c r="C214" s="274"/>
      <c r="D214" s="62" t="s">
        <v>298</v>
      </c>
      <c r="E214" s="53">
        <f>tkj!$I$27</f>
        <v>90</v>
      </c>
      <c r="F214" s="53">
        <f>tkj!$O$27</f>
        <v>94</v>
      </c>
      <c r="G214" s="53">
        <f>tkj!$U$27</f>
        <v>80</v>
      </c>
      <c r="H214" s="65"/>
      <c r="I214" s="65"/>
      <c r="J214" s="59"/>
      <c r="K214" s="59"/>
      <c r="L214" s="53">
        <f>tkj!$AK$27</f>
        <v>80</v>
      </c>
      <c r="M214" s="53">
        <f>tkj!$AQ$27</f>
        <v>80</v>
      </c>
      <c r="N214" s="53">
        <f>tkj!$AW$27</f>
        <v>80</v>
      </c>
      <c r="O214" s="59"/>
      <c r="P214" s="55"/>
      <c r="Q214" s="55"/>
      <c r="R214" s="54">
        <f>tkj!$BS$27</f>
        <v>84.666666666666671</v>
      </c>
      <c r="S214" s="54">
        <f>tkj!$BW$27</f>
        <v>86</v>
      </c>
      <c r="T214" s="54"/>
      <c r="U214" s="54">
        <f>tkj!$CB$27</f>
        <v>88</v>
      </c>
      <c r="V214" s="58"/>
      <c r="X214" s="278">
        <v>27</v>
      </c>
    </row>
    <row r="215" spans="1:24">
      <c r="A215" s="268">
        <v>23</v>
      </c>
      <c r="B215" s="271"/>
      <c r="C215" s="274"/>
      <c r="D215" s="66" t="s">
        <v>299</v>
      </c>
      <c r="E215" s="67">
        <f>AVERAGE(E210:E214)</f>
        <v>90.8</v>
      </c>
      <c r="F215" s="67">
        <f>AVERAGE(F210:F214)</f>
        <v>89.6</v>
      </c>
      <c r="G215" s="67">
        <f>AVERAGE(G210:G214)</f>
        <v>84.2</v>
      </c>
      <c r="H215" s="68"/>
      <c r="I215" s="68"/>
      <c r="J215" s="69"/>
      <c r="K215" s="69"/>
      <c r="L215" s="67">
        <f>AVERAGE(L210:L214)</f>
        <v>80</v>
      </c>
      <c r="M215" s="67">
        <f>AVERAGE(M210:M214)</f>
        <v>76.2</v>
      </c>
      <c r="N215" s="67">
        <f>AVERAGE(N210:N214)</f>
        <v>79.599999999999994</v>
      </c>
      <c r="O215" s="69"/>
      <c r="P215" s="63"/>
      <c r="Q215" s="63"/>
      <c r="R215" s="84">
        <f>AVERAGE(R212:R214)</f>
        <v>84.333333333333329</v>
      </c>
      <c r="S215" s="84">
        <f>AVERAGE(S212:S214)</f>
        <v>84.666666666666671</v>
      </c>
      <c r="T215" s="63"/>
      <c r="U215" s="84">
        <f>AVERAGE(U210:U214)</f>
        <v>85</v>
      </c>
      <c r="V215" s="58"/>
      <c r="X215" s="278">
        <v>27</v>
      </c>
    </row>
    <row r="216" spans="1:24">
      <c r="A216" s="268">
        <v>23</v>
      </c>
      <c r="B216" s="271"/>
      <c r="C216" s="274"/>
      <c r="D216" s="70" t="s">
        <v>300</v>
      </c>
      <c r="E216" s="71">
        <f>tkj!$J$27</f>
        <v>86</v>
      </c>
      <c r="F216" s="71">
        <f>tkj!$P$27</f>
        <v>85</v>
      </c>
      <c r="G216" s="71">
        <f>tkj!$V$27</f>
        <v>83</v>
      </c>
      <c r="H216" s="72"/>
      <c r="I216" s="72"/>
      <c r="J216" s="73"/>
      <c r="K216" s="73"/>
      <c r="L216" s="71">
        <f>tkj!$AL$27</f>
        <v>83</v>
      </c>
      <c r="M216" s="71">
        <f>tkj!$AR$27</f>
        <v>80</v>
      </c>
      <c r="N216" s="71">
        <f>tkj!$AX$27</f>
        <v>80</v>
      </c>
      <c r="O216" s="73"/>
      <c r="P216" s="74"/>
      <c r="Q216" s="74"/>
      <c r="R216" s="85">
        <f>tkj!$BT$27</f>
        <v>85</v>
      </c>
      <c r="S216" s="85">
        <f>tkj!$BX$27</f>
        <v>85</v>
      </c>
      <c r="T216" s="85">
        <f>tkj!$BY$27</f>
        <v>84</v>
      </c>
      <c r="U216" s="75">
        <f>tkj!$CC$27</f>
        <v>80</v>
      </c>
      <c r="V216" s="58"/>
      <c r="X216" s="278">
        <v>27</v>
      </c>
    </row>
    <row r="217" spans="1:24">
      <c r="A217" s="268">
        <v>23</v>
      </c>
      <c r="B217" s="271"/>
      <c r="C217" s="274"/>
      <c r="D217" s="76" t="s">
        <v>301</v>
      </c>
      <c r="E217" s="77">
        <f>tkj!$CD$27</f>
        <v>91</v>
      </c>
      <c r="F217" s="77">
        <f>tkj!$CE$27</f>
        <v>90</v>
      </c>
      <c r="G217" s="77">
        <f>tkj!$CF$27</f>
        <v>86</v>
      </c>
      <c r="H217" s="72"/>
      <c r="I217" s="72"/>
      <c r="J217" s="73"/>
      <c r="K217" s="73"/>
      <c r="L217" s="77">
        <f>tkj!$CG$27</f>
        <v>90</v>
      </c>
      <c r="M217" s="77">
        <f>tkj!$CH$27</f>
        <v>80</v>
      </c>
      <c r="N217" s="77">
        <f>tkj!$CI$27</f>
        <v>83</v>
      </c>
      <c r="O217" s="73"/>
      <c r="P217" s="74"/>
      <c r="Q217" s="74"/>
      <c r="R217" s="86">
        <f>tkj!$CL$27</f>
        <v>95</v>
      </c>
      <c r="S217" s="86">
        <f>tkj!$CK$27</f>
        <v>87</v>
      </c>
      <c r="T217" s="74"/>
      <c r="U217" s="86">
        <f>tkj!$CJ$27</f>
        <v>82</v>
      </c>
      <c r="V217" s="58"/>
      <c r="X217" s="278">
        <v>27</v>
      </c>
    </row>
    <row r="218" spans="1:24" ht="15" thickBot="1">
      <c r="A218" s="269">
        <v>23</v>
      </c>
      <c r="B218" s="272"/>
      <c r="C218" s="275"/>
      <c r="D218" s="78" t="s">
        <v>302</v>
      </c>
      <c r="E218" s="79">
        <f>(E215*4+E216*3+E217*3)/10</f>
        <v>89.42</v>
      </c>
      <c r="F218" s="79">
        <f t="shared" ref="F218:G218" si="43">(F215*4+F216*3+F217*3)/10</f>
        <v>88.34</v>
      </c>
      <c r="G218" s="79">
        <f t="shared" si="43"/>
        <v>84.38</v>
      </c>
      <c r="H218" s="79">
        <f>AVERAGE(H210:H213)</f>
        <v>83.5</v>
      </c>
      <c r="I218" s="79">
        <f>AVERAGE(I210:I213)</f>
        <v>83</v>
      </c>
      <c r="J218" s="79">
        <f>AVERAGE(J210:J211)</f>
        <v>84.5</v>
      </c>
      <c r="K218" s="79">
        <f>AVERAGE(K210:K213)</f>
        <v>79</v>
      </c>
      <c r="L218" s="79">
        <f>(L215*4+L216*3+L217*3)/10</f>
        <v>83.9</v>
      </c>
      <c r="M218" s="79">
        <f>(M215*4+M216*3+M217*3)/10</f>
        <v>78.47999999999999</v>
      </c>
      <c r="N218" s="79">
        <f>(N215*4+N216*3+N217*3)/10</f>
        <v>80.739999999999995</v>
      </c>
      <c r="O218" s="79">
        <f>AVERAGE(O210:O211)</f>
        <v>91</v>
      </c>
      <c r="P218" s="79">
        <f>AVERAGE(P210:P211)</f>
        <v>87</v>
      </c>
      <c r="Q218" s="79">
        <f>AVERAGE(Q210:Q211)</f>
        <v>81.5</v>
      </c>
      <c r="R218" s="79">
        <f>(R215*4+R216*3+R217*3)/10</f>
        <v>87.73333333333332</v>
      </c>
      <c r="S218" s="79">
        <f>(S215*4+S216*3+S217*3)/10</f>
        <v>85.466666666666669</v>
      </c>
      <c r="T218" s="79">
        <f>T216</f>
        <v>84</v>
      </c>
      <c r="U218" s="79">
        <f t="shared" ref="U218" si="44">(U215*4+U216*3+U217*3)/10</f>
        <v>82.6</v>
      </c>
      <c r="V218" s="80">
        <f>AVERAGE(E218:U218)</f>
        <v>84.385882352941167</v>
      </c>
      <c r="X218" s="278">
        <v>27</v>
      </c>
    </row>
    <row r="219" spans="1:24" ht="15.6" thickTop="1" thickBot="1">
      <c r="A219" s="268">
        <v>24</v>
      </c>
      <c r="B219" s="270" t="s">
        <v>335</v>
      </c>
      <c r="C219" s="273" t="s">
        <v>99</v>
      </c>
      <c r="D219" s="52" t="s">
        <v>294</v>
      </c>
      <c r="E219" s="53">
        <f>tkj!$E$28</f>
        <v>87</v>
      </c>
      <c r="F219" s="53">
        <f>tkj!$K$28</f>
        <v>77</v>
      </c>
      <c r="G219" s="53">
        <f>tkj!$Q$28</f>
        <v>81</v>
      </c>
      <c r="H219" s="53">
        <f>tkj!$W$28</f>
        <v>82</v>
      </c>
      <c r="I219" s="53">
        <f>tkj!$AA$28</f>
        <v>77</v>
      </c>
      <c r="J219" s="53">
        <f>tkj!$AE$28</f>
        <v>83</v>
      </c>
      <c r="K219" s="54">
        <f>tkj!$AG$28</f>
        <v>75</v>
      </c>
      <c r="L219" s="55"/>
      <c r="M219" s="53">
        <f>tkj!$AM$28</f>
        <v>72</v>
      </c>
      <c r="N219" s="53">
        <f>tkj!$AS$28</f>
        <v>82</v>
      </c>
      <c r="O219" s="53">
        <f>tkj!$AY$28</f>
        <v>83</v>
      </c>
      <c r="P219" s="54">
        <f>tkj!$BA$28</f>
        <v>75</v>
      </c>
      <c r="Q219" s="54">
        <f>tkj!$BC$28</f>
        <v>81</v>
      </c>
      <c r="R219" s="55"/>
      <c r="S219" s="55"/>
      <c r="T219" s="55"/>
      <c r="U219" s="55"/>
      <c r="V219" s="56"/>
      <c r="X219" s="278">
        <v>28</v>
      </c>
    </row>
    <row r="220" spans="1:24" ht="15" thickBot="1">
      <c r="A220" s="268">
        <v>24</v>
      </c>
      <c r="B220" s="271"/>
      <c r="C220" s="274"/>
      <c r="D220" s="52" t="s">
        <v>295</v>
      </c>
      <c r="E220" s="53">
        <f>tkj!$F$28</f>
        <v>89</v>
      </c>
      <c r="F220" s="53">
        <f>tkj!$L$28</f>
        <v>79</v>
      </c>
      <c r="G220" s="53">
        <f>tkj!$R$28</f>
        <v>86</v>
      </c>
      <c r="H220" s="53">
        <f>tkj!$X$28</f>
        <v>85</v>
      </c>
      <c r="I220" s="53">
        <f>tkj!$AB$28</f>
        <v>82</v>
      </c>
      <c r="J220" s="53">
        <f>tkj!$AF$28</f>
        <v>83</v>
      </c>
      <c r="K220" s="54">
        <f>tkj!$AH$28</f>
        <v>75</v>
      </c>
      <c r="L220" s="55"/>
      <c r="M220" s="53">
        <f>tkj!$AN$28</f>
        <v>73</v>
      </c>
      <c r="N220" s="53">
        <f>tkj!$AT$28</f>
        <v>80</v>
      </c>
      <c r="O220" s="53">
        <f>tkj!$AZ$28</f>
        <v>92</v>
      </c>
      <c r="P220" s="54">
        <f>tkj!$BB$28</f>
        <v>90</v>
      </c>
      <c r="Q220" s="54">
        <f>tkj!$BD$28</f>
        <v>80</v>
      </c>
      <c r="R220" s="55"/>
      <c r="S220" s="55"/>
      <c r="T220" s="55"/>
      <c r="U220" s="55"/>
      <c r="V220" s="58"/>
      <c r="X220" s="278">
        <v>28</v>
      </c>
    </row>
    <row r="221" spans="1:24" ht="15" thickBot="1">
      <c r="A221" s="268">
        <v>24</v>
      </c>
      <c r="B221" s="271"/>
      <c r="C221" s="274"/>
      <c r="D221" s="52" t="s">
        <v>296</v>
      </c>
      <c r="E221" s="53">
        <f>tkj!$G$28</f>
        <v>89</v>
      </c>
      <c r="F221" s="53">
        <f>tkj!$M$28</f>
        <v>95</v>
      </c>
      <c r="G221" s="53">
        <f>tkj!$S$28</f>
        <v>85</v>
      </c>
      <c r="H221" s="53">
        <f>tkj!$Y$28</f>
        <v>82</v>
      </c>
      <c r="I221" s="53">
        <f>tkj!$AC$28</f>
        <v>84</v>
      </c>
      <c r="J221" s="59"/>
      <c r="K221" s="54">
        <f>tkj!$AI$28</f>
        <v>72</v>
      </c>
      <c r="L221" s="55"/>
      <c r="M221" s="53">
        <f>tkj!$AO$28</f>
        <v>73</v>
      </c>
      <c r="N221" s="53">
        <f>tkj!$AU$28</f>
        <v>80</v>
      </c>
      <c r="O221" s="59"/>
      <c r="P221" s="55"/>
      <c r="Q221" s="55"/>
      <c r="R221" s="54">
        <f>tkj!$BQ$28</f>
        <v>83.333333333333329</v>
      </c>
      <c r="S221" s="54">
        <f>tkj!$BU$28</f>
        <v>86</v>
      </c>
      <c r="T221" s="55"/>
      <c r="U221" s="54">
        <f>tkj!$BZ$28</f>
        <v>75</v>
      </c>
      <c r="V221" s="58"/>
      <c r="X221" s="278">
        <v>28</v>
      </c>
    </row>
    <row r="222" spans="1:24" ht="15" thickBot="1">
      <c r="A222" s="268">
        <v>24</v>
      </c>
      <c r="B222" s="271"/>
      <c r="C222" s="274"/>
      <c r="D222" s="62" t="s">
        <v>297</v>
      </c>
      <c r="E222" s="53">
        <f>tkj!$H$28</f>
        <v>84</v>
      </c>
      <c r="F222" s="53">
        <f>tkj!$N$28</f>
        <v>95</v>
      </c>
      <c r="G222" s="53">
        <f>tkj!$T$28</f>
        <v>84</v>
      </c>
      <c r="H222" s="53">
        <f>tkj!$Z$28</f>
        <v>85</v>
      </c>
      <c r="I222" s="53">
        <f>tkj!$AD$28</f>
        <v>84</v>
      </c>
      <c r="J222" s="59"/>
      <c r="K222" s="54">
        <f>tkj!$AJ$28</f>
        <v>84</v>
      </c>
      <c r="L222" s="55"/>
      <c r="M222" s="53">
        <f>tkj!$AP$28</f>
        <v>74</v>
      </c>
      <c r="N222" s="53">
        <f>tkj!$AV$28</f>
        <v>84</v>
      </c>
      <c r="O222" s="59"/>
      <c r="P222" s="55"/>
      <c r="Q222" s="55"/>
      <c r="R222" s="54">
        <f>tkj!$BR$28</f>
        <v>82</v>
      </c>
      <c r="S222" s="54">
        <f>tkj!$BV$28</f>
        <v>83</v>
      </c>
      <c r="T222" s="63"/>
      <c r="U222" s="54">
        <f>tkj!$CA$28</f>
        <v>89</v>
      </c>
      <c r="V222" s="58"/>
      <c r="X222" s="278">
        <v>28</v>
      </c>
    </row>
    <row r="223" spans="1:24">
      <c r="A223" s="268">
        <v>24</v>
      </c>
      <c r="B223" s="271"/>
      <c r="C223" s="274"/>
      <c r="D223" s="62" t="s">
        <v>298</v>
      </c>
      <c r="E223" s="53">
        <f>tkj!$I$28</f>
        <v>89</v>
      </c>
      <c r="F223" s="53">
        <f>tkj!$O$28</f>
        <v>95</v>
      </c>
      <c r="G223" s="53">
        <f>tkj!$U$28</f>
        <v>80</v>
      </c>
      <c r="H223" s="65"/>
      <c r="I223" s="65"/>
      <c r="J223" s="59"/>
      <c r="K223" s="59"/>
      <c r="L223" s="53">
        <f>tkj!$AK$28</f>
        <v>80</v>
      </c>
      <c r="M223" s="53">
        <f>tkj!$AQ$28</f>
        <v>79</v>
      </c>
      <c r="N223" s="53">
        <f>tkj!$AW$28</f>
        <v>80</v>
      </c>
      <c r="O223" s="59"/>
      <c r="P223" s="55"/>
      <c r="Q223" s="55"/>
      <c r="R223" s="54">
        <f>tkj!$BS$28</f>
        <v>84</v>
      </c>
      <c r="S223" s="54">
        <f>tkj!$BW$28</f>
        <v>88</v>
      </c>
      <c r="T223" s="54"/>
      <c r="U223" s="54">
        <f>tkj!$CB$28</f>
        <v>80</v>
      </c>
      <c r="V223" s="58"/>
      <c r="X223" s="278">
        <v>28</v>
      </c>
    </row>
    <row r="224" spans="1:24">
      <c r="A224" s="268">
        <v>24</v>
      </c>
      <c r="B224" s="271"/>
      <c r="C224" s="274"/>
      <c r="D224" s="66" t="s">
        <v>299</v>
      </c>
      <c r="E224" s="67">
        <f>AVERAGE(E219:E223)</f>
        <v>87.6</v>
      </c>
      <c r="F224" s="67">
        <f>AVERAGE(F219:F223)</f>
        <v>88.2</v>
      </c>
      <c r="G224" s="67">
        <f>AVERAGE(G219:G223)</f>
        <v>83.2</v>
      </c>
      <c r="H224" s="68"/>
      <c r="I224" s="68"/>
      <c r="J224" s="69"/>
      <c r="K224" s="69"/>
      <c r="L224" s="67">
        <f>AVERAGE(L219:L223)</f>
        <v>80</v>
      </c>
      <c r="M224" s="67">
        <f>AVERAGE(M219:M223)</f>
        <v>74.2</v>
      </c>
      <c r="N224" s="67">
        <f>AVERAGE(N219:N223)</f>
        <v>81.2</v>
      </c>
      <c r="O224" s="69"/>
      <c r="P224" s="63"/>
      <c r="Q224" s="63"/>
      <c r="R224" s="84">
        <f>AVERAGE(R221:R223)</f>
        <v>83.1111111111111</v>
      </c>
      <c r="S224" s="84">
        <f>AVERAGE(S221:S223)</f>
        <v>85.666666666666671</v>
      </c>
      <c r="T224" s="63"/>
      <c r="U224" s="84">
        <f>AVERAGE(U219:U223)</f>
        <v>81.333333333333329</v>
      </c>
      <c r="V224" s="58"/>
      <c r="X224" s="278">
        <v>28</v>
      </c>
    </row>
    <row r="225" spans="1:24">
      <c r="A225" s="268">
        <v>24</v>
      </c>
      <c r="B225" s="271"/>
      <c r="C225" s="274"/>
      <c r="D225" s="70" t="s">
        <v>300</v>
      </c>
      <c r="E225" s="71">
        <f>tkj!$J$28</f>
        <v>90</v>
      </c>
      <c r="F225" s="71">
        <f>tkj!$P$28</f>
        <v>89</v>
      </c>
      <c r="G225" s="71">
        <f>tkj!$V$28</f>
        <v>86</v>
      </c>
      <c r="H225" s="72"/>
      <c r="I225" s="72"/>
      <c r="J225" s="73"/>
      <c r="K225" s="73"/>
      <c r="L225" s="71">
        <f>tkj!$AL$28</f>
        <v>86</v>
      </c>
      <c r="M225" s="71">
        <f>tkj!$AR$28</f>
        <v>90</v>
      </c>
      <c r="N225" s="71">
        <f>tkj!$AX$28</f>
        <v>90</v>
      </c>
      <c r="O225" s="73"/>
      <c r="P225" s="74"/>
      <c r="Q225" s="74"/>
      <c r="R225" s="85">
        <f>tkj!$BT$28</f>
        <v>90</v>
      </c>
      <c r="S225" s="85">
        <f>tkj!$BX$28</f>
        <v>90</v>
      </c>
      <c r="T225" s="85">
        <f>tkj!$BY$28</f>
        <v>89</v>
      </c>
      <c r="U225" s="75">
        <f>tkj!$CC$28</f>
        <v>90</v>
      </c>
      <c r="V225" s="58"/>
      <c r="X225" s="278">
        <v>28</v>
      </c>
    </row>
    <row r="226" spans="1:24">
      <c r="A226" s="268">
        <v>24</v>
      </c>
      <c r="B226" s="271"/>
      <c r="C226" s="274"/>
      <c r="D226" s="76" t="s">
        <v>301</v>
      </c>
      <c r="E226" s="77">
        <f>tkj!$CD$5</f>
        <v>88</v>
      </c>
      <c r="F226" s="77">
        <f>tkj!$CE$5</f>
        <v>82</v>
      </c>
      <c r="G226" s="77">
        <f>tkj!$CF$5</f>
        <v>87</v>
      </c>
      <c r="H226" s="72"/>
      <c r="I226" s="72"/>
      <c r="J226" s="73"/>
      <c r="K226" s="73"/>
      <c r="L226" s="77">
        <f>tkj!$CG$5</f>
        <v>84</v>
      </c>
      <c r="M226" s="77">
        <f>tkj!$CH$5</f>
        <v>81</v>
      </c>
      <c r="N226" s="77">
        <f>tkj!$CI$5</f>
        <v>82</v>
      </c>
      <c r="O226" s="73"/>
      <c r="P226" s="74"/>
      <c r="Q226" s="74"/>
      <c r="R226" s="86">
        <f>tkj!$CL$5</f>
        <v>95</v>
      </c>
      <c r="S226" s="86">
        <f>tkj!$CK$5</f>
        <v>85</v>
      </c>
      <c r="T226" s="74"/>
      <c r="U226" s="86">
        <f>tkj!$CJ$5</f>
        <v>80</v>
      </c>
      <c r="V226" s="58"/>
      <c r="X226" s="278">
        <v>28</v>
      </c>
    </row>
    <row r="227" spans="1:24" ht="15" thickBot="1">
      <c r="A227" s="269">
        <v>24</v>
      </c>
      <c r="B227" s="272"/>
      <c r="C227" s="275"/>
      <c r="D227" s="78" t="s">
        <v>302</v>
      </c>
      <c r="E227" s="79">
        <f>(E224*4+E225*3+E226*3)/10</f>
        <v>88.44</v>
      </c>
      <c r="F227" s="79">
        <f t="shared" ref="F227:G227" si="45">(F224*4+F225*3+F226*3)/10</f>
        <v>86.58</v>
      </c>
      <c r="G227" s="79">
        <f t="shared" si="45"/>
        <v>85.179999999999993</v>
      </c>
      <c r="H227" s="79">
        <f>AVERAGE(H219:H222)</f>
        <v>83.5</v>
      </c>
      <c r="I227" s="79">
        <f>AVERAGE(I219:I222)</f>
        <v>81.75</v>
      </c>
      <c r="J227" s="79">
        <f>AVERAGE(J219:J220)</f>
        <v>83</v>
      </c>
      <c r="K227" s="79">
        <f>AVERAGE(K219:K222)</f>
        <v>76.5</v>
      </c>
      <c r="L227" s="79">
        <f>(L224*4+L225*3+L226*3)/10</f>
        <v>83</v>
      </c>
      <c r="M227" s="79">
        <f>(M224*4+M225*3+M226*3)/10</f>
        <v>80.97999999999999</v>
      </c>
      <c r="N227" s="79">
        <f>(N224*4+N225*3+N226*3)/10</f>
        <v>84.08</v>
      </c>
      <c r="O227" s="79">
        <f>AVERAGE(O219:O220)</f>
        <v>87.5</v>
      </c>
      <c r="P227" s="79">
        <f>AVERAGE(P219:P220)</f>
        <v>82.5</v>
      </c>
      <c r="Q227" s="79">
        <f>AVERAGE(Q219:Q220)</f>
        <v>80.5</v>
      </c>
      <c r="R227" s="79">
        <f>(R224*4+R225*3+R226*3)/10</f>
        <v>88.74444444444444</v>
      </c>
      <c r="S227" s="79">
        <f>(S224*4+S225*3+S226*3)/10</f>
        <v>86.76666666666668</v>
      </c>
      <c r="T227" s="79">
        <f>T225</f>
        <v>89</v>
      </c>
      <c r="U227" s="79">
        <f t="shared" ref="U227" si="46">(U224*4+U225*3+U226*3)/10</f>
        <v>83.533333333333331</v>
      </c>
      <c r="V227" s="80">
        <f>AVERAGE(E227:U227)</f>
        <v>84.20908496732028</v>
      </c>
      <c r="X227" s="278">
        <v>28</v>
      </c>
    </row>
    <row r="228" spans="1:24" ht="15.6" thickTop="1" thickBot="1">
      <c r="A228" s="268">
        <v>25</v>
      </c>
      <c r="B228" s="270" t="s">
        <v>336</v>
      </c>
      <c r="C228" s="273" t="s">
        <v>101</v>
      </c>
      <c r="D228" s="52" t="s">
        <v>294</v>
      </c>
      <c r="E228" s="53">
        <f>tkj!$E$29</f>
        <v>80</v>
      </c>
      <c r="F228" s="53">
        <f>tkj!$K$29</f>
        <v>78</v>
      </c>
      <c r="G228" s="53">
        <f>tkj!$Q$29</f>
        <v>90</v>
      </c>
      <c r="H228" s="53">
        <f>tkj!$W$29</f>
        <v>82</v>
      </c>
      <c r="I228" s="53">
        <f>tkj!$AA$29</f>
        <v>77</v>
      </c>
      <c r="J228" s="53">
        <f>tkj!$AE$29</f>
        <v>82</v>
      </c>
      <c r="K228" s="54">
        <f>tkj!$AG$29</f>
        <v>79</v>
      </c>
      <c r="L228" s="55"/>
      <c r="M228" s="53">
        <f>tkj!$AM$29</f>
        <v>73</v>
      </c>
      <c r="N228" s="53">
        <f>tkj!$AS$29</f>
        <v>72</v>
      </c>
      <c r="O228" s="53">
        <f>tkj!$AY$29</f>
        <v>75</v>
      </c>
      <c r="P228" s="54">
        <f>tkj!$BA$29</f>
        <v>75</v>
      </c>
      <c r="Q228" s="54">
        <f>tkj!$BC$29</f>
        <v>78</v>
      </c>
      <c r="R228" s="55"/>
      <c r="S228" s="55"/>
      <c r="T228" s="55"/>
      <c r="U228" s="55"/>
      <c r="V228" s="56"/>
      <c r="X228" s="278">
        <v>29</v>
      </c>
    </row>
    <row r="229" spans="1:24" ht="15" thickBot="1">
      <c r="A229" s="268">
        <v>25</v>
      </c>
      <c r="B229" s="271"/>
      <c r="C229" s="274"/>
      <c r="D229" s="52" t="s">
        <v>295</v>
      </c>
      <c r="E229" s="53">
        <f>tkj!$F$29</f>
        <v>80</v>
      </c>
      <c r="F229" s="53">
        <f>tkj!$L$29</f>
        <v>76</v>
      </c>
      <c r="G229" s="53">
        <f>tkj!$R$29</f>
        <v>87</v>
      </c>
      <c r="H229" s="53">
        <f>tkj!$X$29</f>
        <v>84</v>
      </c>
      <c r="I229" s="53">
        <f>tkj!$AB$29</f>
        <v>80</v>
      </c>
      <c r="J229" s="53">
        <f>tkj!$AF$29</f>
        <v>81</v>
      </c>
      <c r="K229" s="54">
        <f>tkj!$AH$29</f>
        <v>70</v>
      </c>
      <c r="L229" s="55"/>
      <c r="M229" s="53">
        <f>tkj!$AN$29</f>
        <v>73</v>
      </c>
      <c r="N229" s="53">
        <f>tkj!$AT$29</f>
        <v>80</v>
      </c>
      <c r="O229" s="53">
        <f>tkj!$AZ$29</f>
        <v>76</v>
      </c>
      <c r="P229" s="54">
        <f>tkj!$BB$29</f>
        <v>78</v>
      </c>
      <c r="Q229" s="54">
        <f>tkj!$BD$29</f>
        <v>80</v>
      </c>
      <c r="R229" s="55"/>
      <c r="S229" s="55"/>
      <c r="T229" s="55"/>
      <c r="U229" s="55"/>
      <c r="V229" s="58"/>
      <c r="X229" s="278">
        <v>29</v>
      </c>
    </row>
    <row r="230" spans="1:24" ht="15" thickBot="1">
      <c r="A230" s="268">
        <v>25</v>
      </c>
      <c r="B230" s="271"/>
      <c r="C230" s="274"/>
      <c r="D230" s="52" t="s">
        <v>296</v>
      </c>
      <c r="E230" s="53">
        <f>tkj!$G$29</f>
        <v>89</v>
      </c>
      <c r="F230" s="53">
        <f>tkj!$M$29</f>
        <v>74</v>
      </c>
      <c r="G230" s="53">
        <f>tkj!$S$29</f>
        <v>78</v>
      </c>
      <c r="H230" s="53">
        <f>tkj!$Y$29</f>
        <v>80</v>
      </c>
      <c r="I230" s="53">
        <f>tkj!$AC$29</f>
        <v>82</v>
      </c>
      <c r="J230" s="59"/>
      <c r="K230" s="54">
        <f>tkj!$AI$29</f>
        <v>71</v>
      </c>
      <c r="L230" s="55"/>
      <c r="M230" s="53">
        <f>tkj!$AO$29</f>
        <v>72</v>
      </c>
      <c r="N230" s="53">
        <f>tkj!$AU$29</f>
        <v>80</v>
      </c>
      <c r="O230" s="59"/>
      <c r="P230" s="55"/>
      <c r="Q230" s="55"/>
      <c r="R230" s="54">
        <f>tkj!$BQ$29</f>
        <v>81</v>
      </c>
      <c r="S230" s="54">
        <f>tkj!$BU$29</f>
        <v>87</v>
      </c>
      <c r="T230" s="55"/>
      <c r="U230" s="54">
        <f>tkj!$BZ$29</f>
        <v>70</v>
      </c>
      <c r="V230" s="58"/>
      <c r="X230" s="278">
        <v>29</v>
      </c>
    </row>
    <row r="231" spans="1:24" ht="15" thickBot="1">
      <c r="A231" s="268">
        <v>25</v>
      </c>
      <c r="B231" s="271"/>
      <c r="C231" s="274"/>
      <c r="D231" s="62" t="s">
        <v>297</v>
      </c>
      <c r="E231" s="53">
        <f>tkj!$H$29</f>
        <v>84</v>
      </c>
      <c r="F231" s="53">
        <f>tkj!$N$29</f>
        <v>84</v>
      </c>
      <c r="G231" s="53">
        <f>tkj!$T$29</f>
        <v>78</v>
      </c>
      <c r="H231" s="53">
        <f>tkj!$Z$29</f>
        <v>85</v>
      </c>
      <c r="I231" s="53">
        <f>tkj!$AD$29</f>
        <v>83</v>
      </c>
      <c r="J231" s="59"/>
      <c r="K231" s="54">
        <f>tkj!$AJ$29</f>
        <v>81</v>
      </c>
      <c r="L231" s="55"/>
      <c r="M231" s="53">
        <f>tkj!$AP$29</f>
        <v>73</v>
      </c>
      <c r="N231" s="53">
        <f>tkj!$AV$29</f>
        <v>83</v>
      </c>
      <c r="O231" s="59"/>
      <c r="P231" s="55"/>
      <c r="Q231" s="55"/>
      <c r="R231" s="54">
        <f>tkj!$BR$29</f>
        <v>79.333333333333329</v>
      </c>
      <c r="S231" s="54">
        <f>tkj!$BV$29</f>
        <v>87</v>
      </c>
      <c r="T231" s="63"/>
      <c r="U231" s="54">
        <f>tkj!$CA$29</f>
        <v>81</v>
      </c>
      <c r="V231" s="58"/>
      <c r="X231" s="278">
        <v>29</v>
      </c>
    </row>
    <row r="232" spans="1:24">
      <c r="A232" s="268">
        <v>25</v>
      </c>
      <c r="B232" s="271"/>
      <c r="C232" s="274"/>
      <c r="D232" s="62" t="s">
        <v>298</v>
      </c>
      <c r="E232" s="53">
        <f>tkj!$I$29</f>
        <v>88</v>
      </c>
      <c r="F232" s="53">
        <f>tkj!$O$29</f>
        <v>85</v>
      </c>
      <c r="G232" s="53">
        <f>tkj!$U$29</f>
        <v>75</v>
      </c>
      <c r="H232" s="65"/>
      <c r="I232" s="65"/>
      <c r="J232" s="59"/>
      <c r="K232" s="59"/>
      <c r="L232" s="53">
        <f>tkj!$AK$29</f>
        <v>80</v>
      </c>
      <c r="M232" s="53">
        <f>tkj!$AQ$29</f>
        <v>77</v>
      </c>
      <c r="N232" s="53">
        <f>tkj!$AW$29</f>
        <v>80</v>
      </c>
      <c r="O232" s="59"/>
      <c r="P232" s="55"/>
      <c r="Q232" s="55"/>
      <c r="R232" s="54">
        <f>tkj!$BS$29</f>
        <v>81</v>
      </c>
      <c r="S232" s="54">
        <f>tkj!$BW$29</f>
        <v>90</v>
      </c>
      <c r="T232" s="54"/>
      <c r="U232" s="54">
        <f>tkj!$CB$29</f>
        <v>80</v>
      </c>
      <c r="V232" s="58"/>
      <c r="X232" s="278">
        <v>29</v>
      </c>
    </row>
    <row r="233" spans="1:24">
      <c r="A233" s="268">
        <v>25</v>
      </c>
      <c r="B233" s="271"/>
      <c r="C233" s="274"/>
      <c r="D233" s="66" t="s">
        <v>299</v>
      </c>
      <c r="E233" s="67">
        <f>AVERAGE(E228:E232)</f>
        <v>84.2</v>
      </c>
      <c r="F233" s="67">
        <f>AVERAGE(F228:F232)</f>
        <v>79.400000000000006</v>
      </c>
      <c r="G233" s="67">
        <f>AVERAGE(G228:G232)</f>
        <v>81.599999999999994</v>
      </c>
      <c r="H233" s="68"/>
      <c r="I233" s="68"/>
      <c r="J233" s="69"/>
      <c r="K233" s="69"/>
      <c r="L233" s="67">
        <f>AVERAGE(L228:L232)</f>
        <v>80</v>
      </c>
      <c r="M233" s="67">
        <f>AVERAGE(M228:M232)</f>
        <v>73.599999999999994</v>
      </c>
      <c r="N233" s="67">
        <f>AVERAGE(N228:N232)</f>
        <v>79</v>
      </c>
      <c r="O233" s="69"/>
      <c r="P233" s="63"/>
      <c r="Q233" s="63"/>
      <c r="R233" s="84">
        <f>AVERAGE(R230:R232)</f>
        <v>80.444444444444443</v>
      </c>
      <c r="S233" s="84">
        <f>AVERAGE(S230:S232)</f>
        <v>88</v>
      </c>
      <c r="T233" s="63"/>
      <c r="U233" s="84">
        <f>AVERAGE(U228:U232)</f>
        <v>77</v>
      </c>
      <c r="V233" s="58"/>
      <c r="X233" s="278">
        <v>29</v>
      </c>
    </row>
    <row r="234" spans="1:24">
      <c r="A234" s="268">
        <v>25</v>
      </c>
      <c r="B234" s="271"/>
      <c r="C234" s="274"/>
      <c r="D234" s="70" t="s">
        <v>300</v>
      </c>
      <c r="E234" s="71">
        <f>tkj!$J$29</f>
        <v>86</v>
      </c>
      <c r="F234" s="71">
        <f>tkj!$P$29</f>
        <v>90</v>
      </c>
      <c r="G234" s="71">
        <f>tkj!$V$29</f>
        <v>79</v>
      </c>
      <c r="H234" s="72"/>
      <c r="I234" s="72"/>
      <c r="J234" s="73"/>
      <c r="K234" s="73"/>
      <c r="L234" s="71">
        <f>tkj!$AL$29</f>
        <v>79</v>
      </c>
      <c r="M234" s="71">
        <f>tkj!$AR$29</f>
        <v>80</v>
      </c>
      <c r="N234" s="71">
        <f>tkj!$AX$29</f>
        <v>80</v>
      </c>
      <c r="O234" s="73"/>
      <c r="P234" s="74"/>
      <c r="Q234" s="74"/>
      <c r="R234" s="85">
        <f>tkj!$BT$29</f>
        <v>85</v>
      </c>
      <c r="S234" s="85">
        <f>tkj!$BX$29</f>
        <v>85</v>
      </c>
      <c r="T234" s="85">
        <f>tkj!$BY$29</f>
        <v>84</v>
      </c>
      <c r="U234" s="75">
        <f>tkj!$CC$29</f>
        <v>80</v>
      </c>
      <c r="V234" s="58"/>
      <c r="X234" s="278">
        <v>29</v>
      </c>
    </row>
    <row r="235" spans="1:24">
      <c r="A235" s="268">
        <v>25</v>
      </c>
      <c r="B235" s="271"/>
      <c r="C235" s="274"/>
      <c r="D235" s="76" t="s">
        <v>301</v>
      </c>
      <c r="E235" s="77">
        <f>tkj!$CD$29</f>
        <v>83</v>
      </c>
      <c r="F235" s="77">
        <f>tkj!$CE$29</f>
        <v>80</v>
      </c>
      <c r="G235" s="77">
        <f>tkj!$CF$29</f>
        <v>78</v>
      </c>
      <c r="H235" s="72"/>
      <c r="I235" s="72"/>
      <c r="J235" s="73"/>
      <c r="K235" s="73"/>
      <c r="L235" s="77">
        <f>tkj!$CG$29</f>
        <v>70</v>
      </c>
      <c r="M235" s="77">
        <f>tkj!$CH$29</f>
        <v>78</v>
      </c>
      <c r="N235" s="77">
        <f>tkj!$CI$29</f>
        <v>83</v>
      </c>
      <c r="O235" s="73"/>
      <c r="P235" s="74"/>
      <c r="Q235" s="74"/>
      <c r="R235" s="86">
        <f>tkj!$CL$29</f>
        <v>70</v>
      </c>
      <c r="S235" s="86">
        <f>tkj!$CK$29</f>
        <v>84</v>
      </c>
      <c r="T235" s="74"/>
      <c r="U235" s="86">
        <f>tkj!$CJ$29</f>
        <v>80</v>
      </c>
      <c r="V235" s="58"/>
      <c r="X235" s="278">
        <v>29</v>
      </c>
    </row>
    <row r="236" spans="1:24" ht="15" thickBot="1">
      <c r="A236" s="269">
        <v>25</v>
      </c>
      <c r="B236" s="272"/>
      <c r="C236" s="275"/>
      <c r="D236" s="78" t="s">
        <v>302</v>
      </c>
      <c r="E236" s="79">
        <f>(E233*4+E234*3+E235*3)/10</f>
        <v>84.38</v>
      </c>
      <c r="F236" s="79">
        <f t="shared" ref="F236:G236" si="47">(F233*4+F234*3+F235*3)/10</f>
        <v>82.76</v>
      </c>
      <c r="G236" s="79">
        <f t="shared" si="47"/>
        <v>79.739999999999995</v>
      </c>
      <c r="H236" s="79">
        <f>AVERAGE(H228:H231)</f>
        <v>82.75</v>
      </c>
      <c r="I236" s="79">
        <f>AVERAGE(I228:I231)</f>
        <v>80.5</v>
      </c>
      <c r="J236" s="79">
        <f>AVERAGE(J228:J229)</f>
        <v>81.5</v>
      </c>
      <c r="K236" s="79">
        <f>AVERAGE(K228:K231)</f>
        <v>75.25</v>
      </c>
      <c r="L236" s="79">
        <f>(L233*4+L234*3+L235*3)/10</f>
        <v>76.7</v>
      </c>
      <c r="M236" s="79">
        <f>(M233*4+M234*3+M235*3)/10</f>
        <v>76.84</v>
      </c>
      <c r="N236" s="79">
        <f>(N233*4+N234*3+N235*3)/10</f>
        <v>80.5</v>
      </c>
      <c r="O236" s="79">
        <f>AVERAGE(O228:O229)</f>
        <v>75.5</v>
      </c>
      <c r="P236" s="79">
        <f>AVERAGE(P228:P229)</f>
        <v>76.5</v>
      </c>
      <c r="Q236" s="79">
        <f>AVERAGE(Q228:Q229)</f>
        <v>79</v>
      </c>
      <c r="R236" s="79">
        <f>(R233*4+R234*3+R235*3)/10</f>
        <v>78.677777777777777</v>
      </c>
      <c r="S236" s="79">
        <f>(S233*4+S234*3+S235*3)/10</f>
        <v>85.9</v>
      </c>
      <c r="T236" s="79">
        <f>T234</f>
        <v>84</v>
      </c>
      <c r="U236" s="79">
        <f t="shared" ref="U236" si="48">(U233*4+U234*3+U235*3)/10</f>
        <v>78.8</v>
      </c>
      <c r="V236" s="80">
        <f>AVERAGE(E236:U236)</f>
        <v>79.958692810457521</v>
      </c>
      <c r="X236" s="278">
        <v>29</v>
      </c>
    </row>
    <row r="237" spans="1:24" ht="18" customHeight="1" thickTop="1" thickBot="1">
      <c r="A237" s="268">
        <v>26</v>
      </c>
      <c r="B237" s="270" t="s">
        <v>337</v>
      </c>
      <c r="C237" s="273" t="s">
        <v>103</v>
      </c>
      <c r="D237" s="52" t="s">
        <v>294</v>
      </c>
      <c r="E237" s="53">
        <f>tkj!$E$30</f>
        <v>90</v>
      </c>
      <c r="F237" s="53">
        <f>tkj!$K$30</f>
        <v>81</v>
      </c>
      <c r="G237" s="53">
        <f>tkj!$Q$30</f>
        <v>90</v>
      </c>
      <c r="H237" s="53">
        <f>tkj!$W$30</f>
        <v>82</v>
      </c>
      <c r="I237" s="53">
        <f>tkj!$AA$30</f>
        <v>86</v>
      </c>
      <c r="J237" s="53">
        <f>tkj!$AE$30</f>
        <v>84</v>
      </c>
      <c r="K237" s="54">
        <f>tkj!$AG$30</f>
        <v>78</v>
      </c>
      <c r="L237" s="55"/>
      <c r="M237" s="53">
        <f>tkj!$AM$30</f>
        <v>72</v>
      </c>
      <c r="N237" s="53">
        <f>tkj!$AS$30</f>
        <v>75</v>
      </c>
      <c r="O237" s="53">
        <f>tkj!$AY$30</f>
        <v>87</v>
      </c>
      <c r="P237" s="54">
        <f>tkj!$BA$30</f>
        <v>79</v>
      </c>
      <c r="Q237" s="54">
        <f>tkj!$BC$30</f>
        <v>80</v>
      </c>
      <c r="R237" s="55"/>
      <c r="S237" s="55"/>
      <c r="T237" s="55"/>
      <c r="U237" s="55"/>
      <c r="V237" s="56"/>
      <c r="X237" s="288">
        <v>30</v>
      </c>
    </row>
    <row r="238" spans="1:24" ht="15" thickBot="1">
      <c r="A238" s="268">
        <v>26</v>
      </c>
      <c r="B238" s="271"/>
      <c r="C238" s="274"/>
      <c r="D238" s="52" t="s">
        <v>295</v>
      </c>
      <c r="E238" s="53">
        <f>tkj!$F$30</f>
        <v>97</v>
      </c>
      <c r="F238" s="53">
        <f>tkj!$L$30</f>
        <v>77</v>
      </c>
      <c r="G238" s="53">
        <f>tkj!$R$30</f>
        <v>88</v>
      </c>
      <c r="H238" s="53">
        <f>tkj!$X$30</f>
        <v>84</v>
      </c>
      <c r="I238" s="53">
        <f>tkj!$AB$30</f>
        <v>88</v>
      </c>
      <c r="J238" s="53">
        <f>tkj!$AF$30</f>
        <v>84</v>
      </c>
      <c r="K238" s="54">
        <f>tkj!$AH$30</f>
        <v>78</v>
      </c>
      <c r="L238" s="55"/>
      <c r="M238" s="53">
        <f>tkj!$AN$30</f>
        <v>76</v>
      </c>
      <c r="N238" s="53">
        <f>tkj!$AT$30</f>
        <v>80</v>
      </c>
      <c r="O238" s="53">
        <f>tkj!$AZ$30</f>
        <v>89</v>
      </c>
      <c r="P238" s="54">
        <f>tkj!$BB$30</f>
        <v>87</v>
      </c>
      <c r="Q238" s="54">
        <f>tkj!$BD$30</f>
        <v>82</v>
      </c>
      <c r="R238" s="55"/>
      <c r="S238" s="55"/>
      <c r="T238" s="55"/>
      <c r="U238" s="55"/>
      <c r="V238" s="58"/>
      <c r="X238" s="288">
        <v>30</v>
      </c>
    </row>
    <row r="239" spans="1:24" ht="15" thickBot="1">
      <c r="A239" s="268">
        <v>26</v>
      </c>
      <c r="B239" s="271"/>
      <c r="C239" s="274"/>
      <c r="D239" s="52" t="s">
        <v>296</v>
      </c>
      <c r="E239" s="53">
        <f>tkj!$G$30</f>
        <v>89</v>
      </c>
      <c r="F239" s="53">
        <f>tkj!$M$30</f>
        <v>89</v>
      </c>
      <c r="G239" s="53">
        <f>tkj!$S$30</f>
        <v>83</v>
      </c>
      <c r="H239" s="53">
        <f>tkj!$Y$30</f>
        <v>80</v>
      </c>
      <c r="I239" s="53">
        <f>tkj!$AC$30</f>
        <v>85</v>
      </c>
      <c r="J239" s="59"/>
      <c r="K239" s="54">
        <f>tkj!$AI$30</f>
        <v>76</v>
      </c>
      <c r="L239" s="55"/>
      <c r="M239" s="53">
        <f>tkj!$AO$30</f>
        <v>75</v>
      </c>
      <c r="N239" s="53">
        <f>tkj!$AU$30</f>
        <v>80</v>
      </c>
      <c r="O239" s="59"/>
      <c r="P239" s="55"/>
      <c r="Q239" s="55"/>
      <c r="R239" s="54">
        <f>tkj!$BQ$30</f>
        <v>84.333333333333329</v>
      </c>
      <c r="S239" s="54">
        <f>tkj!$BU$30</f>
        <v>89</v>
      </c>
      <c r="T239" s="55"/>
      <c r="U239" s="54">
        <f>tkj!$BZ$30</f>
        <v>76</v>
      </c>
      <c r="V239" s="58"/>
      <c r="X239" s="288">
        <v>30</v>
      </c>
    </row>
    <row r="240" spans="1:24" ht="15" thickBot="1">
      <c r="A240" s="268">
        <v>26</v>
      </c>
      <c r="B240" s="271"/>
      <c r="C240" s="274"/>
      <c r="D240" s="62" t="s">
        <v>297</v>
      </c>
      <c r="E240" s="53">
        <f>tkj!$H$30</f>
        <v>84</v>
      </c>
      <c r="F240" s="53">
        <f>tkj!$N$30</f>
        <v>93</v>
      </c>
      <c r="G240" s="53">
        <f>tkj!$T$30</f>
        <v>83</v>
      </c>
      <c r="H240" s="53">
        <f>tkj!$Z$30</f>
        <v>85</v>
      </c>
      <c r="I240" s="53">
        <f>tkj!$AD$30</f>
        <v>86</v>
      </c>
      <c r="J240" s="59"/>
      <c r="K240" s="54">
        <f>tkj!$AJ$30</f>
        <v>84</v>
      </c>
      <c r="L240" s="55"/>
      <c r="M240" s="53">
        <f>tkj!$AP$30</f>
        <v>76</v>
      </c>
      <c r="N240" s="53">
        <f>tkj!$AV$30</f>
        <v>83</v>
      </c>
      <c r="O240" s="59"/>
      <c r="P240" s="55"/>
      <c r="Q240" s="55"/>
      <c r="R240" s="54">
        <f>tkj!$BR$30</f>
        <v>85.666666666666671</v>
      </c>
      <c r="S240" s="54">
        <f>tkj!$BV$30</f>
        <v>91</v>
      </c>
      <c r="T240" s="63"/>
      <c r="U240" s="54">
        <f>tkj!$CA$30</f>
        <v>88</v>
      </c>
      <c r="V240" s="58"/>
      <c r="X240" s="288">
        <v>30</v>
      </c>
    </row>
    <row r="241" spans="1:24">
      <c r="A241" s="268">
        <v>26</v>
      </c>
      <c r="B241" s="271"/>
      <c r="C241" s="274"/>
      <c r="D241" s="62" t="s">
        <v>298</v>
      </c>
      <c r="E241" s="53">
        <f>tkj!$I$30</f>
        <v>93</v>
      </c>
      <c r="F241" s="53">
        <f>tkj!$O$30</f>
        <v>94</v>
      </c>
      <c r="G241" s="53">
        <f>tkj!$U$30</f>
        <v>84</v>
      </c>
      <c r="H241" s="65"/>
      <c r="I241" s="65"/>
      <c r="J241" s="59"/>
      <c r="K241" s="59"/>
      <c r="L241" s="53">
        <f>tkj!$AK$30</f>
        <v>82</v>
      </c>
      <c r="M241" s="53">
        <f>tkj!$AQ$30</f>
        <v>80</v>
      </c>
      <c r="N241" s="53">
        <f>tkj!$AW$30</f>
        <v>83</v>
      </c>
      <c r="O241" s="59"/>
      <c r="P241" s="55"/>
      <c r="Q241" s="55"/>
      <c r="R241" s="54">
        <f>tkj!$BS$30</f>
        <v>84</v>
      </c>
      <c r="S241" s="54">
        <f>tkj!$BW$30</f>
        <v>90</v>
      </c>
      <c r="T241" s="54"/>
      <c r="U241" s="54">
        <f>tkj!$CB$30</f>
        <v>80</v>
      </c>
      <c r="V241" s="58"/>
      <c r="X241" s="288">
        <v>30</v>
      </c>
    </row>
    <row r="242" spans="1:24">
      <c r="A242" s="268">
        <v>26</v>
      </c>
      <c r="B242" s="271"/>
      <c r="C242" s="274"/>
      <c r="D242" s="66" t="s">
        <v>299</v>
      </c>
      <c r="E242" s="67">
        <f>AVERAGE(E237:E241)</f>
        <v>90.6</v>
      </c>
      <c r="F242" s="67">
        <f>AVERAGE(F237:F241)</f>
        <v>86.8</v>
      </c>
      <c r="G242" s="67">
        <f>AVERAGE(G237:G241)</f>
        <v>85.6</v>
      </c>
      <c r="H242" s="68"/>
      <c r="I242" s="68"/>
      <c r="J242" s="69"/>
      <c r="K242" s="69"/>
      <c r="L242" s="67">
        <f>AVERAGE(L237:L241)</f>
        <v>82</v>
      </c>
      <c r="M242" s="67">
        <f>AVERAGE(M237:M241)</f>
        <v>75.8</v>
      </c>
      <c r="N242" s="67">
        <f>AVERAGE(N237:N241)</f>
        <v>80.2</v>
      </c>
      <c r="O242" s="69"/>
      <c r="P242" s="63"/>
      <c r="Q242" s="63"/>
      <c r="R242" s="84">
        <f>AVERAGE(R239:R241)</f>
        <v>84.666666666666671</v>
      </c>
      <c r="S242" s="84">
        <f>AVERAGE(S239:S241)</f>
        <v>90</v>
      </c>
      <c r="T242" s="63"/>
      <c r="U242" s="84">
        <f>AVERAGE(U237:U241)</f>
        <v>81.333333333333329</v>
      </c>
      <c r="V242" s="58"/>
      <c r="X242" s="288">
        <v>30</v>
      </c>
    </row>
    <row r="243" spans="1:24">
      <c r="A243" s="268">
        <v>26</v>
      </c>
      <c r="B243" s="271"/>
      <c r="C243" s="274"/>
      <c r="D243" s="70" t="s">
        <v>300</v>
      </c>
      <c r="E243" s="71">
        <f>tkj!$J$30</f>
        <v>92</v>
      </c>
      <c r="F243" s="71">
        <f>tkj!$P$30</f>
        <v>95</v>
      </c>
      <c r="G243" s="71">
        <f>tkj!$V$30</f>
        <v>88</v>
      </c>
      <c r="H243" s="72"/>
      <c r="I243" s="72"/>
      <c r="J243" s="73"/>
      <c r="K243" s="73"/>
      <c r="L243" s="71">
        <f>tkj!$AL$30</f>
        <v>88</v>
      </c>
      <c r="M243" s="71">
        <f>tkj!$AR$30</f>
        <v>90</v>
      </c>
      <c r="N243" s="71">
        <f>tkj!$AX$30</f>
        <v>90</v>
      </c>
      <c r="O243" s="73"/>
      <c r="P243" s="74"/>
      <c r="Q243" s="74"/>
      <c r="R243" s="85">
        <f>tkj!$BT$30</f>
        <v>95</v>
      </c>
      <c r="S243" s="85">
        <f>tkj!$BX$30</f>
        <v>95</v>
      </c>
      <c r="T243" s="85">
        <f>tkj!$BY$30</f>
        <v>92</v>
      </c>
      <c r="U243" s="75">
        <f>tkj!$CC$30</f>
        <v>90</v>
      </c>
      <c r="V243" s="58"/>
      <c r="X243" s="288">
        <v>30</v>
      </c>
    </row>
    <row r="244" spans="1:24">
      <c r="A244" s="268">
        <v>26</v>
      </c>
      <c r="B244" s="271"/>
      <c r="C244" s="274"/>
      <c r="D244" s="76" t="s">
        <v>301</v>
      </c>
      <c r="E244" s="77">
        <f>tkj!$CD$30</f>
        <v>88</v>
      </c>
      <c r="F244" s="77">
        <f>tkj!$CE$30</f>
        <v>94</v>
      </c>
      <c r="G244" s="77">
        <f>tkj!$CF$30</f>
        <v>84</v>
      </c>
      <c r="H244" s="72"/>
      <c r="I244" s="72"/>
      <c r="J244" s="73"/>
      <c r="K244" s="73"/>
      <c r="L244" s="77">
        <f>tkj!$CG$30</f>
        <v>90</v>
      </c>
      <c r="M244" s="77">
        <f>tkj!$CH$30</f>
        <v>81</v>
      </c>
      <c r="N244" s="77">
        <f>tkj!$CI$30</f>
        <v>82</v>
      </c>
      <c r="O244" s="73"/>
      <c r="P244" s="74"/>
      <c r="Q244" s="74"/>
      <c r="R244" s="86">
        <f>tkj!$CL$30</f>
        <v>80</v>
      </c>
      <c r="S244" s="86">
        <f>tkj!$CK$30</f>
        <v>88</v>
      </c>
      <c r="T244" s="74"/>
      <c r="U244" s="86">
        <f>tkj!$CJ$30</f>
        <v>85</v>
      </c>
      <c r="V244" s="58"/>
      <c r="X244" s="288">
        <v>30</v>
      </c>
    </row>
    <row r="245" spans="1:24" ht="15" thickBot="1">
      <c r="A245" s="269">
        <v>26</v>
      </c>
      <c r="B245" s="272"/>
      <c r="C245" s="275"/>
      <c r="D245" s="78" t="s">
        <v>302</v>
      </c>
      <c r="E245" s="79">
        <f>(E242*4+E243*3+E244*3)/10</f>
        <v>90.24</v>
      </c>
      <c r="F245" s="79">
        <f t="shared" ref="F245:G245" si="49">(F242*4+F243*3+F244*3)/10</f>
        <v>91.42</v>
      </c>
      <c r="G245" s="79">
        <f t="shared" si="49"/>
        <v>85.84</v>
      </c>
      <c r="H245" s="79">
        <f>AVERAGE(H237:H240)</f>
        <v>82.75</v>
      </c>
      <c r="I245" s="79">
        <f>AVERAGE(I237:I240)</f>
        <v>86.25</v>
      </c>
      <c r="J245" s="79">
        <f>AVERAGE(J237:J238)</f>
        <v>84</v>
      </c>
      <c r="K245" s="79">
        <f>AVERAGE(K237:K240)</f>
        <v>79</v>
      </c>
      <c r="L245" s="79">
        <f>(L242*4+L243*3+L244*3)/10</f>
        <v>86.2</v>
      </c>
      <c r="M245" s="79">
        <f>(M242*4+M243*3+M244*3)/10</f>
        <v>81.62</v>
      </c>
      <c r="N245" s="79">
        <f>(N242*4+N243*3+N244*3)/10</f>
        <v>83.679999999999993</v>
      </c>
      <c r="O245" s="79">
        <f>AVERAGE(O237:O238)</f>
        <v>88</v>
      </c>
      <c r="P245" s="79">
        <f>AVERAGE(P237:P238)</f>
        <v>83</v>
      </c>
      <c r="Q245" s="79">
        <f>AVERAGE(Q237:Q238)</f>
        <v>81</v>
      </c>
      <c r="R245" s="79">
        <f>(R242*4+R243*3+R244*3)/10</f>
        <v>86.366666666666674</v>
      </c>
      <c r="S245" s="79">
        <f>(S242*4+S243*3+S244*3)/10</f>
        <v>90.9</v>
      </c>
      <c r="T245" s="79">
        <f>T243</f>
        <v>92</v>
      </c>
      <c r="U245" s="79">
        <f t="shared" ref="U245" si="50">(U242*4+U243*3+U244*3)/10</f>
        <v>85.033333333333331</v>
      </c>
      <c r="V245" s="80">
        <f>AVERAGE(E245:U245)</f>
        <v>85.723529411764716</v>
      </c>
      <c r="X245" s="288">
        <v>30</v>
      </c>
    </row>
    <row r="246" spans="1:24" ht="15.6" thickTop="1" thickBot="1">
      <c r="A246" s="268">
        <v>27</v>
      </c>
      <c r="B246" s="270" t="s">
        <v>338</v>
      </c>
      <c r="C246" s="273" t="s">
        <v>105</v>
      </c>
      <c r="D246" s="52" t="s">
        <v>294</v>
      </c>
      <c r="E246" s="53">
        <f>tkj!$E$31</f>
        <v>89</v>
      </c>
      <c r="F246" s="53">
        <f>tkj!$K$31</f>
        <v>81</v>
      </c>
      <c r="G246" s="53">
        <f>tkj!$Q$31</f>
        <v>80</v>
      </c>
      <c r="H246" s="53">
        <f>tkj!$W$31</f>
        <v>82</v>
      </c>
      <c r="I246" s="53">
        <f>tkj!$AA$31</f>
        <v>86</v>
      </c>
      <c r="J246" s="53">
        <f>tkj!$AE$31</f>
        <v>84</v>
      </c>
      <c r="K246" s="54">
        <f>tkj!$AG$31</f>
        <v>81</v>
      </c>
      <c r="L246" s="55"/>
      <c r="M246" s="53">
        <f>tkj!$AM$31</f>
        <v>75</v>
      </c>
      <c r="N246" s="53">
        <f>tkj!$AS$31</f>
        <v>75</v>
      </c>
      <c r="O246" s="53">
        <f>tkj!$AY$31</f>
        <v>89</v>
      </c>
      <c r="P246" s="54">
        <f>tkj!$BA$31</f>
        <v>82</v>
      </c>
      <c r="Q246" s="54">
        <f>tkj!$BC$31</f>
        <v>80</v>
      </c>
      <c r="R246" s="55"/>
      <c r="S246" s="55"/>
      <c r="T246" s="55"/>
      <c r="U246" s="55"/>
      <c r="V246" s="56"/>
      <c r="X246" s="278">
        <v>31</v>
      </c>
    </row>
    <row r="247" spans="1:24" ht="15" thickBot="1">
      <c r="A247" s="268">
        <v>27</v>
      </c>
      <c r="B247" s="271"/>
      <c r="C247" s="274"/>
      <c r="D247" s="52" t="s">
        <v>295</v>
      </c>
      <c r="E247" s="53">
        <f>tkj!$F$31</f>
        <v>82</v>
      </c>
      <c r="F247" s="53">
        <f>tkj!$L$31</f>
        <v>80</v>
      </c>
      <c r="G247" s="53">
        <f>tkj!$R$31</f>
        <v>87</v>
      </c>
      <c r="H247" s="53">
        <f>tkj!$X$31</f>
        <v>84</v>
      </c>
      <c r="I247" s="53">
        <f>tkj!$AB$31</f>
        <v>86</v>
      </c>
      <c r="J247" s="53">
        <f>tkj!$AF$31</f>
        <v>84</v>
      </c>
      <c r="K247" s="54">
        <f>tkj!$AH$31</f>
        <v>77</v>
      </c>
      <c r="L247" s="55"/>
      <c r="M247" s="53">
        <f>tkj!$AN$31</f>
        <v>76</v>
      </c>
      <c r="N247" s="53">
        <f>tkj!$AT$31</f>
        <v>80</v>
      </c>
      <c r="O247" s="53">
        <f>tkj!$AZ$31</f>
        <v>96</v>
      </c>
      <c r="P247" s="54">
        <f>tkj!$BB$31</f>
        <v>92</v>
      </c>
      <c r="Q247" s="54">
        <f>tkj!$BD$31</f>
        <v>82</v>
      </c>
      <c r="R247" s="55"/>
      <c r="S247" s="55"/>
      <c r="T247" s="55"/>
      <c r="U247" s="55"/>
      <c r="V247" s="58"/>
      <c r="X247" s="278">
        <v>31</v>
      </c>
    </row>
    <row r="248" spans="1:24" ht="15" thickBot="1">
      <c r="A248" s="268">
        <v>27</v>
      </c>
      <c r="B248" s="271"/>
      <c r="C248" s="274"/>
      <c r="D248" s="52" t="s">
        <v>296</v>
      </c>
      <c r="E248" s="53">
        <f>tkj!$G$31</f>
        <v>90</v>
      </c>
      <c r="F248" s="53">
        <f>tkj!$M$31</f>
        <v>95</v>
      </c>
      <c r="G248" s="53">
        <f>tkj!$S$31</f>
        <v>78</v>
      </c>
      <c r="H248" s="53">
        <f>tkj!$Y$31</f>
        <v>83</v>
      </c>
      <c r="I248" s="53">
        <f>tkj!$AC$31</f>
        <v>85</v>
      </c>
      <c r="J248" s="59"/>
      <c r="K248" s="54">
        <f>tkj!$AI$31</f>
        <v>73</v>
      </c>
      <c r="L248" s="55"/>
      <c r="M248" s="53">
        <f>tkj!$AO$31</f>
        <v>77</v>
      </c>
      <c r="N248" s="53">
        <f>tkj!$AU$31</f>
        <v>80</v>
      </c>
      <c r="O248" s="59"/>
      <c r="P248" s="55"/>
      <c r="Q248" s="55"/>
      <c r="R248" s="54">
        <f>tkj!$BQ$31</f>
        <v>84</v>
      </c>
      <c r="S248" s="54">
        <f>tkj!$BU$31</f>
        <v>88</v>
      </c>
      <c r="T248" s="55"/>
      <c r="U248" s="54">
        <f>tkj!$BZ$31</f>
        <v>78</v>
      </c>
      <c r="V248" s="58"/>
      <c r="X248" s="278">
        <v>31</v>
      </c>
    </row>
    <row r="249" spans="1:24" ht="15" thickBot="1">
      <c r="A249" s="268">
        <v>27</v>
      </c>
      <c r="B249" s="271"/>
      <c r="C249" s="274"/>
      <c r="D249" s="62" t="s">
        <v>297</v>
      </c>
      <c r="E249" s="53">
        <f>tkj!$H$31</f>
        <v>85</v>
      </c>
      <c r="F249" s="53">
        <f>tkj!$N$31</f>
        <v>95</v>
      </c>
      <c r="G249" s="53">
        <f>tkj!$T$31</f>
        <v>81</v>
      </c>
      <c r="H249" s="53">
        <f>tkj!$Z$31</f>
        <v>85</v>
      </c>
      <c r="I249" s="53">
        <f>tkj!$AD$31</f>
        <v>86</v>
      </c>
      <c r="J249" s="59"/>
      <c r="K249" s="54">
        <f>tkj!$AJ$31</f>
        <v>84</v>
      </c>
      <c r="L249" s="55"/>
      <c r="M249" s="53">
        <f>tkj!$AP$31</f>
        <v>78</v>
      </c>
      <c r="N249" s="53">
        <f>tkj!$AV$31</f>
        <v>85</v>
      </c>
      <c r="O249" s="59"/>
      <c r="P249" s="55"/>
      <c r="Q249" s="55"/>
      <c r="R249" s="54">
        <f>tkj!$BR$31</f>
        <v>84</v>
      </c>
      <c r="S249" s="54">
        <f>tkj!$BV$31</f>
        <v>88</v>
      </c>
      <c r="T249" s="63"/>
      <c r="U249" s="54">
        <f>tkj!$CA$31</f>
        <v>91</v>
      </c>
      <c r="V249" s="58"/>
      <c r="X249" s="278">
        <v>31</v>
      </c>
    </row>
    <row r="250" spans="1:24">
      <c r="A250" s="268">
        <v>27</v>
      </c>
      <c r="B250" s="271"/>
      <c r="C250" s="274"/>
      <c r="D250" s="62" t="s">
        <v>298</v>
      </c>
      <c r="E250" s="53">
        <f>tkj!$I$31</f>
        <v>93</v>
      </c>
      <c r="F250" s="53">
        <f>tkj!$O$31</f>
        <v>95</v>
      </c>
      <c r="G250" s="53">
        <f>tkj!$U$31</f>
        <v>81</v>
      </c>
      <c r="H250" s="65"/>
      <c r="I250" s="65"/>
      <c r="J250" s="59"/>
      <c r="K250" s="59"/>
      <c r="L250" s="53">
        <f>tkj!$AK$31</f>
        <v>81</v>
      </c>
      <c r="M250" s="53">
        <f>tkj!$AQ$31</f>
        <v>81</v>
      </c>
      <c r="N250" s="53">
        <f>tkj!$AW$31</f>
        <v>82</v>
      </c>
      <c r="O250" s="59"/>
      <c r="P250" s="55"/>
      <c r="Q250" s="55"/>
      <c r="R250" s="54">
        <f>tkj!$BS$31</f>
        <v>85</v>
      </c>
      <c r="S250" s="54">
        <f>tkj!$BW$31</f>
        <v>90</v>
      </c>
      <c r="T250" s="54"/>
      <c r="U250" s="54">
        <f>tkj!$CB$31</f>
        <v>90</v>
      </c>
      <c r="V250" s="58"/>
      <c r="X250" s="278">
        <v>31</v>
      </c>
    </row>
    <row r="251" spans="1:24">
      <c r="A251" s="268">
        <v>27</v>
      </c>
      <c r="B251" s="271"/>
      <c r="C251" s="274"/>
      <c r="D251" s="66" t="s">
        <v>299</v>
      </c>
      <c r="E251" s="67">
        <f>AVERAGE(E246:E250)</f>
        <v>87.8</v>
      </c>
      <c r="F251" s="67">
        <f>AVERAGE(F246:F250)</f>
        <v>89.2</v>
      </c>
      <c r="G251" s="67">
        <f>AVERAGE(G246:G250)</f>
        <v>81.400000000000006</v>
      </c>
      <c r="H251" s="68"/>
      <c r="I251" s="68"/>
      <c r="J251" s="69"/>
      <c r="K251" s="69"/>
      <c r="L251" s="67">
        <f>AVERAGE(L246:L250)</f>
        <v>81</v>
      </c>
      <c r="M251" s="67">
        <f>AVERAGE(M246:M250)</f>
        <v>77.400000000000006</v>
      </c>
      <c r="N251" s="67">
        <f>AVERAGE(N246:N250)</f>
        <v>80.400000000000006</v>
      </c>
      <c r="O251" s="69"/>
      <c r="P251" s="63"/>
      <c r="Q251" s="63"/>
      <c r="R251" s="84">
        <f>AVERAGE(R248:R250)</f>
        <v>84.333333333333329</v>
      </c>
      <c r="S251" s="84">
        <f>AVERAGE(S248:S250)</f>
        <v>88.666666666666671</v>
      </c>
      <c r="T251" s="63"/>
      <c r="U251" s="84">
        <f>AVERAGE(U246:U250)</f>
        <v>86.333333333333329</v>
      </c>
      <c r="V251" s="58"/>
      <c r="X251" s="278">
        <v>31</v>
      </c>
    </row>
    <row r="252" spans="1:24">
      <c r="A252" s="268">
        <v>27</v>
      </c>
      <c r="B252" s="271"/>
      <c r="C252" s="274"/>
      <c r="D252" s="70" t="s">
        <v>300</v>
      </c>
      <c r="E252" s="71">
        <f>tkj!$J$31</f>
        <v>89</v>
      </c>
      <c r="F252" s="71">
        <f>tkj!$P$31</f>
        <v>95</v>
      </c>
      <c r="G252" s="71">
        <f>tkj!$V$31</f>
        <v>86</v>
      </c>
      <c r="H252" s="72"/>
      <c r="I252" s="72"/>
      <c r="J252" s="73"/>
      <c r="K252" s="73"/>
      <c r="L252" s="71">
        <f>tkj!$AL$31</f>
        <v>86</v>
      </c>
      <c r="M252" s="71">
        <f>tkj!$AR$31</f>
        <v>95</v>
      </c>
      <c r="N252" s="71">
        <f>tkj!$AX$31</f>
        <v>95</v>
      </c>
      <c r="O252" s="73"/>
      <c r="P252" s="74"/>
      <c r="Q252" s="74"/>
      <c r="R252" s="85">
        <f>tkj!$BT$31</f>
        <v>95</v>
      </c>
      <c r="S252" s="85">
        <f>tkj!$BX$31</f>
        <v>95</v>
      </c>
      <c r="T252" s="85">
        <f>tkj!$BY$31</f>
        <v>92</v>
      </c>
      <c r="U252" s="75">
        <f>tkj!$CC$31</f>
        <v>95</v>
      </c>
      <c r="V252" s="58"/>
      <c r="X252" s="278">
        <v>31</v>
      </c>
    </row>
    <row r="253" spans="1:24">
      <c r="A253" s="268">
        <v>27</v>
      </c>
      <c r="B253" s="271"/>
      <c r="C253" s="274"/>
      <c r="D253" s="76" t="s">
        <v>301</v>
      </c>
      <c r="E253" s="77">
        <f>tkj!$CD$31</f>
        <v>85</v>
      </c>
      <c r="F253" s="77">
        <f>tkj!$CE$31</f>
        <v>90</v>
      </c>
      <c r="G253" s="77">
        <f>tkj!$CF$31</f>
        <v>82</v>
      </c>
      <c r="H253" s="72"/>
      <c r="I253" s="72"/>
      <c r="J253" s="73"/>
      <c r="K253" s="73"/>
      <c r="L253" s="77">
        <f>tkj!$CG$31</f>
        <v>72</v>
      </c>
      <c r="M253" s="77">
        <f>tkj!$CH$31</f>
        <v>81</v>
      </c>
      <c r="N253" s="77">
        <f>tkj!$CI$31</f>
        <v>86</v>
      </c>
      <c r="O253" s="73"/>
      <c r="P253" s="74"/>
      <c r="Q253" s="74"/>
      <c r="R253" s="86">
        <f>tkj!$CL$31</f>
        <v>70</v>
      </c>
      <c r="S253" s="86">
        <f>tkj!$CK$31</f>
        <v>84</v>
      </c>
      <c r="T253" s="74"/>
      <c r="U253" s="86">
        <f>tkj!$CJ$31</f>
        <v>82</v>
      </c>
      <c r="V253" s="58"/>
      <c r="X253" s="278">
        <v>31</v>
      </c>
    </row>
    <row r="254" spans="1:24" ht="15" thickBot="1">
      <c r="A254" s="269">
        <v>27</v>
      </c>
      <c r="B254" s="272"/>
      <c r="C254" s="275"/>
      <c r="D254" s="78" t="s">
        <v>302</v>
      </c>
      <c r="E254" s="79">
        <f>(E251*4+E252*3+E253*3)/10</f>
        <v>87.320000000000007</v>
      </c>
      <c r="F254" s="79">
        <f t="shared" ref="F254:G254" si="51">(F251*4+F252*3+F253*3)/10</f>
        <v>91.179999999999993</v>
      </c>
      <c r="G254" s="79">
        <f t="shared" si="51"/>
        <v>82.960000000000008</v>
      </c>
      <c r="H254" s="79">
        <f>AVERAGE(H246:H249)</f>
        <v>83.5</v>
      </c>
      <c r="I254" s="79">
        <f>AVERAGE(I246:I249)</f>
        <v>85.75</v>
      </c>
      <c r="J254" s="79">
        <f>AVERAGE(J246:J247)</f>
        <v>84</v>
      </c>
      <c r="K254" s="79">
        <f>AVERAGE(K246:K249)</f>
        <v>78.75</v>
      </c>
      <c r="L254" s="79">
        <f>(L251*4+L252*3+L253*3)/10</f>
        <v>79.8</v>
      </c>
      <c r="M254" s="79">
        <f>(M251*4+M252*3+M253*3)/10</f>
        <v>83.76</v>
      </c>
      <c r="N254" s="79">
        <f>(N251*4+N252*3+N253*3)/10</f>
        <v>86.460000000000008</v>
      </c>
      <c r="O254" s="79">
        <f>AVERAGE(O246:O247)</f>
        <v>92.5</v>
      </c>
      <c r="P254" s="79">
        <f>AVERAGE(P246:P247)</f>
        <v>87</v>
      </c>
      <c r="Q254" s="79">
        <f>AVERAGE(Q246:Q247)</f>
        <v>81</v>
      </c>
      <c r="R254" s="79">
        <f>(R251*4+R252*3+R253*3)/10</f>
        <v>83.23333333333332</v>
      </c>
      <c r="S254" s="79">
        <f>(S251*4+S252*3+S253*3)/10</f>
        <v>89.166666666666671</v>
      </c>
      <c r="T254" s="79">
        <f>T252</f>
        <v>92</v>
      </c>
      <c r="U254" s="79">
        <f t="shared" ref="U254" si="52">(U251*4+U252*3+U253*3)/10</f>
        <v>87.633333333333326</v>
      </c>
      <c r="V254" s="80">
        <f>AVERAGE(E254:U254)</f>
        <v>85.647843137254895</v>
      </c>
      <c r="X254" s="278">
        <v>31</v>
      </c>
    </row>
    <row r="255" spans="1:24" ht="15.6" thickTop="1" thickBot="1">
      <c r="A255" s="268">
        <v>28</v>
      </c>
      <c r="B255" s="270" t="s">
        <v>339</v>
      </c>
      <c r="C255" s="273" t="s">
        <v>107</v>
      </c>
      <c r="D255" s="52" t="s">
        <v>294</v>
      </c>
      <c r="E255" s="53">
        <f>tkj!$E$32</f>
        <v>80</v>
      </c>
      <c r="F255" s="53">
        <f>tkj!$K$32</f>
        <v>80</v>
      </c>
      <c r="G255" s="53">
        <f>tkj!$Q$32</f>
        <v>83</v>
      </c>
      <c r="H255" s="53">
        <f>tkj!$W$32</f>
        <v>82</v>
      </c>
      <c r="I255" s="53">
        <f>tkj!$AA$32</f>
        <v>77</v>
      </c>
      <c r="J255" s="53">
        <f>tkj!$AE$32</f>
        <v>81</v>
      </c>
      <c r="K255" s="54">
        <f>tkj!$AG$32</f>
        <v>80</v>
      </c>
      <c r="L255" s="55"/>
      <c r="M255" s="53">
        <f>tkj!$AM$32</f>
        <v>71</v>
      </c>
      <c r="N255" s="53">
        <f>tkj!$AS$32</f>
        <v>73</v>
      </c>
      <c r="O255" s="53">
        <f>tkj!$AY$32</f>
        <v>75</v>
      </c>
      <c r="P255" s="54">
        <f>tkj!$BA$32</f>
        <v>77</v>
      </c>
      <c r="Q255" s="54">
        <f>tkj!$BC$32</f>
        <v>78</v>
      </c>
      <c r="R255" s="55"/>
      <c r="S255" s="55"/>
      <c r="T255" s="55"/>
      <c r="U255" s="55"/>
      <c r="V255" s="56"/>
      <c r="X255" s="278">
        <v>32</v>
      </c>
    </row>
    <row r="256" spans="1:24" ht="15" thickBot="1">
      <c r="A256" s="268">
        <v>28</v>
      </c>
      <c r="B256" s="271"/>
      <c r="C256" s="274"/>
      <c r="D256" s="52" t="s">
        <v>295</v>
      </c>
      <c r="E256" s="53">
        <f>tkj!$F$32</f>
        <v>81</v>
      </c>
      <c r="F256" s="53">
        <f>tkj!$L$32</f>
        <v>76</v>
      </c>
      <c r="G256" s="53">
        <f>tkj!$R$32</f>
        <v>87</v>
      </c>
      <c r="H256" s="53">
        <f>tkj!$X$32</f>
        <v>84</v>
      </c>
      <c r="I256" s="53">
        <f>tkj!$AB$32</f>
        <v>85</v>
      </c>
      <c r="J256" s="53">
        <f>tkj!$AF$32</f>
        <v>82</v>
      </c>
      <c r="K256" s="54">
        <f>tkj!$AH$32</f>
        <v>72</v>
      </c>
      <c r="L256" s="55"/>
      <c r="M256" s="53">
        <f>tkj!$AN$32</f>
        <v>72</v>
      </c>
      <c r="N256" s="53">
        <f>tkj!$AT$32</f>
        <v>80</v>
      </c>
      <c r="O256" s="53">
        <f>tkj!$AZ$32</f>
        <v>81</v>
      </c>
      <c r="P256" s="54">
        <f>tkj!$BB$32</f>
        <v>84</v>
      </c>
      <c r="Q256" s="54">
        <f>tkj!$BD$32</f>
        <v>80</v>
      </c>
      <c r="R256" s="55"/>
      <c r="S256" s="55"/>
      <c r="T256" s="55"/>
      <c r="U256" s="55"/>
      <c r="V256" s="58"/>
      <c r="X256" s="278">
        <v>32</v>
      </c>
    </row>
    <row r="257" spans="1:24" ht="15" thickBot="1">
      <c r="A257" s="268">
        <v>28</v>
      </c>
      <c r="B257" s="271"/>
      <c r="C257" s="274"/>
      <c r="D257" s="52" t="s">
        <v>296</v>
      </c>
      <c r="E257" s="53">
        <f>tkj!$G$32</f>
        <v>89</v>
      </c>
      <c r="F257" s="53">
        <f>tkj!$M$32</f>
        <v>79</v>
      </c>
      <c r="G257" s="53">
        <f>tkj!$S$32</f>
        <v>85</v>
      </c>
      <c r="H257" s="53">
        <f>tkj!$Y$32</f>
        <v>81</v>
      </c>
      <c r="I257" s="53">
        <f>tkj!$AC$32</f>
        <v>80</v>
      </c>
      <c r="J257" s="59"/>
      <c r="K257" s="54">
        <f>tkj!$AI$32</f>
        <v>73</v>
      </c>
      <c r="L257" s="55"/>
      <c r="M257" s="53">
        <f>tkj!$AO$32</f>
        <v>75</v>
      </c>
      <c r="N257" s="53">
        <f>tkj!$AU$32</f>
        <v>78</v>
      </c>
      <c r="O257" s="59"/>
      <c r="P257" s="55"/>
      <c r="Q257" s="55"/>
      <c r="R257" s="54">
        <f>tkj!$BQ$32</f>
        <v>79.333333333333329</v>
      </c>
      <c r="S257" s="54">
        <f>tkj!$BU$32</f>
        <v>87</v>
      </c>
      <c r="T257" s="55"/>
      <c r="U257" s="54">
        <f>tkj!$BZ$32</f>
        <v>70</v>
      </c>
      <c r="V257" s="58"/>
      <c r="X257" s="278">
        <v>32</v>
      </c>
    </row>
    <row r="258" spans="1:24" ht="15" thickBot="1">
      <c r="A258" s="268">
        <v>28</v>
      </c>
      <c r="B258" s="271"/>
      <c r="C258" s="274"/>
      <c r="D258" s="62" t="s">
        <v>297</v>
      </c>
      <c r="E258" s="53">
        <f>tkj!$H$32</f>
        <v>84</v>
      </c>
      <c r="F258" s="53">
        <f>tkj!$N$32</f>
        <v>87</v>
      </c>
      <c r="G258" s="53">
        <f>tkj!$T$32</f>
        <v>88</v>
      </c>
      <c r="H258" s="53">
        <f>tkj!$Z$32</f>
        <v>84</v>
      </c>
      <c r="I258" s="53">
        <f>tkj!$AD$32</f>
        <v>83</v>
      </c>
      <c r="J258" s="59"/>
      <c r="K258" s="54">
        <f>tkj!$AJ$32</f>
        <v>83</v>
      </c>
      <c r="L258" s="55"/>
      <c r="M258" s="53">
        <f>tkj!$AP$32</f>
        <v>76</v>
      </c>
      <c r="N258" s="53">
        <f>tkj!$AV$32</f>
        <v>82</v>
      </c>
      <c r="O258" s="59"/>
      <c r="P258" s="55"/>
      <c r="Q258" s="55"/>
      <c r="R258" s="54">
        <f>tkj!$BR$32</f>
        <v>76</v>
      </c>
      <c r="S258" s="54">
        <f>tkj!$BV$32</f>
        <v>85</v>
      </c>
      <c r="T258" s="63"/>
      <c r="U258" s="54">
        <f>tkj!$CA$32</f>
        <v>75</v>
      </c>
      <c r="V258" s="58"/>
      <c r="X258" s="278">
        <v>32</v>
      </c>
    </row>
    <row r="259" spans="1:24">
      <c r="A259" s="268">
        <v>28</v>
      </c>
      <c r="B259" s="271"/>
      <c r="C259" s="274"/>
      <c r="D259" s="62" t="s">
        <v>298</v>
      </c>
      <c r="E259" s="53">
        <f>tkj!$I$32</f>
        <v>91</v>
      </c>
      <c r="F259" s="53">
        <f>tkj!$O$32</f>
        <v>91</v>
      </c>
      <c r="G259" s="53">
        <f>tkj!$U$32</f>
        <v>81</v>
      </c>
      <c r="H259" s="65"/>
      <c r="I259" s="65"/>
      <c r="J259" s="59"/>
      <c r="K259" s="59"/>
      <c r="L259" s="53">
        <f>tkj!$AK$32</f>
        <v>80</v>
      </c>
      <c r="M259" s="53">
        <f>tkj!$AQ$32</f>
        <v>77</v>
      </c>
      <c r="N259" s="53">
        <f>tkj!$AW$32</f>
        <v>78</v>
      </c>
      <c r="O259" s="59"/>
      <c r="P259" s="55"/>
      <c r="Q259" s="55"/>
      <c r="R259" s="54">
        <f>tkj!$BS$32</f>
        <v>82.333333333333329</v>
      </c>
      <c r="S259" s="54">
        <f>tkj!$BW$32</f>
        <v>86</v>
      </c>
      <c r="T259" s="54"/>
      <c r="U259" s="54">
        <f>tkj!$CB$32</f>
        <v>80</v>
      </c>
      <c r="V259" s="58"/>
      <c r="X259" s="278">
        <v>32</v>
      </c>
    </row>
    <row r="260" spans="1:24">
      <c r="A260" s="268">
        <v>28</v>
      </c>
      <c r="B260" s="271"/>
      <c r="C260" s="274"/>
      <c r="D260" s="66" t="s">
        <v>299</v>
      </c>
      <c r="E260" s="67">
        <f>AVERAGE(E255:E259)</f>
        <v>85</v>
      </c>
      <c r="F260" s="67">
        <f>AVERAGE(F255:F259)</f>
        <v>82.6</v>
      </c>
      <c r="G260" s="67">
        <f>AVERAGE(G255:G259)</f>
        <v>84.8</v>
      </c>
      <c r="H260" s="68"/>
      <c r="I260" s="68"/>
      <c r="J260" s="69"/>
      <c r="K260" s="69"/>
      <c r="L260" s="67">
        <f>AVERAGE(L255:L259)</f>
        <v>80</v>
      </c>
      <c r="M260" s="67">
        <f>AVERAGE(M255:M259)</f>
        <v>74.2</v>
      </c>
      <c r="N260" s="67">
        <f>AVERAGE(N255:N259)</f>
        <v>78.2</v>
      </c>
      <c r="O260" s="69"/>
      <c r="P260" s="63"/>
      <c r="Q260" s="63"/>
      <c r="R260" s="84">
        <f>AVERAGE(R257:R259)</f>
        <v>79.222222222222214</v>
      </c>
      <c r="S260" s="84">
        <f>AVERAGE(S257:S259)</f>
        <v>86</v>
      </c>
      <c r="T260" s="63"/>
      <c r="U260" s="84">
        <f>AVERAGE(U255:U259)</f>
        <v>75</v>
      </c>
      <c r="V260" s="58"/>
      <c r="X260" s="278">
        <v>32</v>
      </c>
    </row>
    <row r="261" spans="1:24">
      <c r="A261" s="268">
        <v>28</v>
      </c>
      <c r="B261" s="271"/>
      <c r="C261" s="274"/>
      <c r="D261" s="70" t="s">
        <v>300</v>
      </c>
      <c r="E261" s="71">
        <f>tkj!$J$32</f>
        <v>84</v>
      </c>
      <c r="F261" s="71">
        <f>tkj!$P$32</f>
        <v>85</v>
      </c>
      <c r="G261" s="71">
        <f>tkj!$V$32</f>
        <v>82</v>
      </c>
      <c r="H261" s="72"/>
      <c r="I261" s="72"/>
      <c r="J261" s="73"/>
      <c r="K261" s="73"/>
      <c r="L261" s="71">
        <f>tkj!$AL$32</f>
        <v>82</v>
      </c>
      <c r="M261" s="71">
        <f>tkj!$AR$32</f>
        <v>83</v>
      </c>
      <c r="N261" s="71">
        <f>tkj!$AX$32</f>
        <v>83</v>
      </c>
      <c r="O261" s="73"/>
      <c r="P261" s="74"/>
      <c r="Q261" s="74"/>
      <c r="R261" s="85">
        <f>tkj!$BT$32</f>
        <v>83</v>
      </c>
      <c r="S261" s="85">
        <f>tkj!$BX$32</f>
        <v>83</v>
      </c>
      <c r="T261" s="85">
        <f>tkj!$BY$32</f>
        <v>83</v>
      </c>
      <c r="U261" s="75">
        <f>tkj!$CC$32</f>
        <v>83</v>
      </c>
      <c r="V261" s="58"/>
      <c r="X261" s="278">
        <v>32</v>
      </c>
    </row>
    <row r="262" spans="1:24">
      <c r="A262" s="268">
        <v>28</v>
      </c>
      <c r="B262" s="271"/>
      <c r="C262" s="274"/>
      <c r="D262" s="76" t="s">
        <v>301</v>
      </c>
      <c r="E262" s="77">
        <f>tkj!$CD$32</f>
        <v>83</v>
      </c>
      <c r="F262" s="77">
        <f>tkj!$CE$32</f>
        <v>85</v>
      </c>
      <c r="G262" s="77">
        <f>tkj!$CF$32</f>
        <v>80</v>
      </c>
      <c r="H262" s="72"/>
      <c r="I262" s="72"/>
      <c r="J262" s="73"/>
      <c r="K262" s="73"/>
      <c r="L262" s="77">
        <f>tkj!$CG$32</f>
        <v>93</v>
      </c>
      <c r="M262" s="77">
        <f>tkj!$CH$32</f>
        <v>77</v>
      </c>
      <c r="N262" s="77">
        <f>tkj!$CI$32</f>
        <v>85</v>
      </c>
      <c r="O262" s="73"/>
      <c r="P262" s="74"/>
      <c r="Q262" s="74"/>
      <c r="R262" s="86">
        <f>tkj!$CL$32</f>
        <v>72</v>
      </c>
      <c r="S262" s="86">
        <f>tkj!$CK$32</f>
        <v>88</v>
      </c>
      <c r="T262" s="74"/>
      <c r="U262" s="86">
        <f>tkj!$CJ$32</f>
        <v>82</v>
      </c>
      <c r="V262" s="58"/>
      <c r="X262" s="278">
        <v>32</v>
      </c>
    </row>
    <row r="263" spans="1:24" ht="15" thickBot="1">
      <c r="A263" s="269">
        <v>28</v>
      </c>
      <c r="B263" s="272"/>
      <c r="C263" s="275"/>
      <c r="D263" s="78" t="s">
        <v>302</v>
      </c>
      <c r="E263" s="79">
        <f>(E260*4+E261*3+E262*3)/10</f>
        <v>84.1</v>
      </c>
      <c r="F263" s="79">
        <f t="shared" ref="F263:G263" si="53">(F260*4+F261*3+F262*3)/10</f>
        <v>84.039999999999992</v>
      </c>
      <c r="G263" s="79">
        <f t="shared" si="53"/>
        <v>82.52000000000001</v>
      </c>
      <c r="H263" s="79">
        <f>AVERAGE(H255:H258)</f>
        <v>82.75</v>
      </c>
      <c r="I263" s="79">
        <f>AVERAGE(I255:I258)</f>
        <v>81.25</v>
      </c>
      <c r="J263" s="79">
        <f>AVERAGE(J255:J256)</f>
        <v>81.5</v>
      </c>
      <c r="K263" s="79">
        <f>AVERAGE(K255:K258)</f>
        <v>77</v>
      </c>
      <c r="L263" s="79">
        <f>(L260*4+L261*3+L262*3)/10</f>
        <v>84.5</v>
      </c>
      <c r="M263" s="79">
        <f>(M260*4+M261*3+M262*3)/10</f>
        <v>77.679999999999993</v>
      </c>
      <c r="N263" s="79">
        <f>(N260*4+N261*3+N262*3)/10</f>
        <v>81.679999999999993</v>
      </c>
      <c r="O263" s="79">
        <f>AVERAGE(O255:O256)</f>
        <v>78</v>
      </c>
      <c r="P263" s="79">
        <f>AVERAGE(P255:P256)</f>
        <v>80.5</v>
      </c>
      <c r="Q263" s="79">
        <f>AVERAGE(Q255:Q256)</f>
        <v>79</v>
      </c>
      <c r="R263" s="79">
        <f>(R260*4+R261*3+R262*3)/10</f>
        <v>78.188888888888897</v>
      </c>
      <c r="S263" s="79">
        <f>(S260*4+S261*3+S262*3)/10</f>
        <v>85.7</v>
      </c>
      <c r="T263" s="79">
        <f>T261</f>
        <v>83</v>
      </c>
      <c r="U263" s="79">
        <f t="shared" ref="U263" si="54">(U260*4+U261*3+U262*3)/10</f>
        <v>79.5</v>
      </c>
      <c r="V263" s="80">
        <f>AVERAGE(E263:U263)</f>
        <v>81.22993464052287</v>
      </c>
      <c r="X263" s="278">
        <v>32</v>
      </c>
    </row>
    <row r="264" spans="1:24" ht="15.6" thickTop="1" thickBot="1">
      <c r="A264" s="268">
        <v>29</v>
      </c>
      <c r="B264" s="270" t="s">
        <v>340</v>
      </c>
      <c r="C264" s="273" t="s">
        <v>109</v>
      </c>
      <c r="D264" s="52" t="s">
        <v>294</v>
      </c>
      <c r="E264" s="53">
        <f>tkj!$E$33</f>
        <v>91</v>
      </c>
      <c r="F264" s="53">
        <f>tkj!$K$33</f>
        <v>80</v>
      </c>
      <c r="G264" s="53">
        <f>tkj!$Q$33</f>
        <v>96</v>
      </c>
      <c r="H264" s="53">
        <f>tkj!$W$33</f>
        <v>83</v>
      </c>
      <c r="I264" s="53">
        <f>tkj!$AA$33</f>
        <v>89</v>
      </c>
      <c r="J264" s="53">
        <f>tkj!$AE$33</f>
        <v>84</v>
      </c>
      <c r="K264" s="54">
        <f>tkj!$AG$33</f>
        <v>82</v>
      </c>
      <c r="L264" s="55"/>
      <c r="M264" s="53">
        <f>tkj!$AM$33</f>
        <v>71</v>
      </c>
      <c r="N264" s="53">
        <f>tkj!$AS$33</f>
        <v>84</v>
      </c>
      <c r="O264" s="53">
        <f>tkj!$AY$33</f>
        <v>80</v>
      </c>
      <c r="P264" s="54">
        <f>tkj!$BA$33</f>
        <v>80</v>
      </c>
      <c r="Q264" s="54">
        <f>tkj!$BC$33</f>
        <v>87</v>
      </c>
      <c r="R264" s="55"/>
      <c r="S264" s="55"/>
      <c r="T264" s="55"/>
      <c r="U264" s="55"/>
      <c r="V264" s="56"/>
      <c r="X264" s="278">
        <v>33</v>
      </c>
    </row>
    <row r="265" spans="1:24" ht="15" thickBot="1">
      <c r="A265" s="268">
        <v>29</v>
      </c>
      <c r="B265" s="271"/>
      <c r="C265" s="274"/>
      <c r="D265" s="52" t="s">
        <v>295</v>
      </c>
      <c r="E265" s="53">
        <f>tkj!$F$33</f>
        <v>87</v>
      </c>
      <c r="F265" s="53">
        <f>tkj!$L$33</f>
        <v>82</v>
      </c>
      <c r="G265" s="53">
        <f>tkj!$R$33</f>
        <v>90</v>
      </c>
      <c r="H265" s="53">
        <f>tkj!$X$33</f>
        <v>85</v>
      </c>
      <c r="I265" s="53">
        <f>tkj!$AB$33</f>
        <v>84</v>
      </c>
      <c r="J265" s="53">
        <f>tkj!$AF$33</f>
        <v>84</v>
      </c>
      <c r="K265" s="54">
        <f>tkj!$AH$33</f>
        <v>77</v>
      </c>
      <c r="L265" s="55"/>
      <c r="M265" s="53">
        <f>tkj!$AN$33</f>
        <v>72</v>
      </c>
      <c r="N265" s="53">
        <f>tkj!$AT$33</f>
        <v>80</v>
      </c>
      <c r="O265" s="53">
        <f>tkj!$AZ$33</f>
        <v>90</v>
      </c>
      <c r="P265" s="54">
        <f>tkj!$BB$33</f>
        <v>89</v>
      </c>
      <c r="Q265" s="54">
        <f>tkj!$BD$33</f>
        <v>80</v>
      </c>
      <c r="R265" s="55"/>
      <c r="S265" s="55"/>
      <c r="T265" s="55"/>
      <c r="U265" s="55"/>
      <c r="V265" s="58"/>
      <c r="X265" s="278">
        <v>33</v>
      </c>
    </row>
    <row r="266" spans="1:24" ht="15" thickBot="1">
      <c r="A266" s="268">
        <v>29</v>
      </c>
      <c r="B266" s="271"/>
      <c r="C266" s="274"/>
      <c r="D266" s="52" t="s">
        <v>296</v>
      </c>
      <c r="E266" s="53">
        <f>tkj!$G$33</f>
        <v>88</v>
      </c>
      <c r="F266" s="53">
        <f>tkj!$M$33</f>
        <v>89</v>
      </c>
      <c r="G266" s="53">
        <f>tkj!$S$33</f>
        <v>86</v>
      </c>
      <c r="H266" s="53">
        <f>tkj!$Y$33</f>
        <v>81</v>
      </c>
      <c r="I266" s="53">
        <f>tkj!$AC$33</f>
        <v>80</v>
      </c>
      <c r="J266" s="59"/>
      <c r="K266" s="54">
        <f>tkj!$AI$33</f>
        <v>75</v>
      </c>
      <c r="L266" s="55"/>
      <c r="M266" s="53">
        <f>tkj!$AO$33</f>
        <v>73</v>
      </c>
      <c r="N266" s="53">
        <f>tkj!$AU$33</f>
        <v>80</v>
      </c>
      <c r="O266" s="59"/>
      <c r="P266" s="55"/>
      <c r="Q266" s="55"/>
      <c r="R266" s="54">
        <f>tkj!$BQ$33</f>
        <v>84</v>
      </c>
      <c r="S266" s="54">
        <f>tkj!$BU$33</f>
        <v>83</v>
      </c>
      <c r="T266" s="55"/>
      <c r="U266" s="54">
        <f>tkj!$BZ$33</f>
        <v>73</v>
      </c>
      <c r="V266" s="58"/>
      <c r="X266" s="278">
        <v>33</v>
      </c>
    </row>
    <row r="267" spans="1:24" ht="15" thickBot="1">
      <c r="A267" s="268">
        <v>29</v>
      </c>
      <c r="B267" s="271"/>
      <c r="C267" s="274"/>
      <c r="D267" s="62" t="s">
        <v>297</v>
      </c>
      <c r="E267" s="53">
        <f>tkj!$H$33</f>
        <v>84</v>
      </c>
      <c r="F267" s="53">
        <f>tkj!$N$33</f>
        <v>92</v>
      </c>
      <c r="G267" s="53">
        <f>tkj!$T$33</f>
        <v>82</v>
      </c>
      <c r="H267" s="53">
        <f>tkj!$Z$33</f>
        <v>85</v>
      </c>
      <c r="I267" s="53">
        <f>tkj!$AD$33</f>
        <v>84</v>
      </c>
      <c r="J267" s="59"/>
      <c r="K267" s="54">
        <f>tkj!$AJ$33</f>
        <v>83</v>
      </c>
      <c r="L267" s="55"/>
      <c r="M267" s="53">
        <f>tkj!$AP$33</f>
        <v>74</v>
      </c>
      <c r="N267" s="53">
        <f>tkj!$AV$33</f>
        <v>85</v>
      </c>
      <c r="O267" s="59"/>
      <c r="P267" s="55"/>
      <c r="Q267" s="55"/>
      <c r="R267" s="54">
        <f>tkj!$BR$33</f>
        <v>84</v>
      </c>
      <c r="S267" s="54">
        <f>tkj!$BV$33</f>
        <v>83</v>
      </c>
      <c r="T267" s="63"/>
      <c r="U267" s="54">
        <f>tkj!$CA$33</f>
        <v>89</v>
      </c>
      <c r="V267" s="58"/>
      <c r="X267" s="278">
        <v>33</v>
      </c>
    </row>
    <row r="268" spans="1:24">
      <c r="A268" s="268">
        <v>29</v>
      </c>
      <c r="B268" s="271"/>
      <c r="C268" s="274"/>
      <c r="D268" s="62" t="s">
        <v>298</v>
      </c>
      <c r="E268" s="53">
        <f>tkj!$I$33</f>
        <v>94</v>
      </c>
      <c r="F268" s="53">
        <f>tkj!$O$33</f>
        <v>95</v>
      </c>
      <c r="G268" s="53">
        <f>tkj!$U$33</f>
        <v>89</v>
      </c>
      <c r="H268" s="65"/>
      <c r="I268" s="65"/>
      <c r="J268" s="59"/>
      <c r="K268" s="59"/>
      <c r="L268" s="53">
        <f>tkj!$AK$33</f>
        <v>81</v>
      </c>
      <c r="M268" s="53">
        <f>tkj!$AQ$33</f>
        <v>81</v>
      </c>
      <c r="N268" s="53">
        <f>tkj!$AW$33</f>
        <v>85</v>
      </c>
      <c r="O268" s="59"/>
      <c r="P268" s="55"/>
      <c r="Q268" s="55"/>
      <c r="R268" s="54">
        <f>tkj!$BS$33</f>
        <v>84.666666666666671</v>
      </c>
      <c r="S268" s="54">
        <f>tkj!$BW$33</f>
        <v>90</v>
      </c>
      <c r="T268" s="54"/>
      <c r="U268" s="54">
        <f>tkj!$CB$33</f>
        <v>80</v>
      </c>
      <c r="V268" s="58"/>
      <c r="X268" s="278">
        <v>33</v>
      </c>
    </row>
    <row r="269" spans="1:24">
      <c r="A269" s="268">
        <v>29</v>
      </c>
      <c r="B269" s="271"/>
      <c r="C269" s="274"/>
      <c r="D269" s="66" t="s">
        <v>299</v>
      </c>
      <c r="E269" s="67">
        <f>AVERAGE(E264:E268)</f>
        <v>88.8</v>
      </c>
      <c r="F269" s="67">
        <f>AVERAGE(F264:F268)</f>
        <v>87.6</v>
      </c>
      <c r="G269" s="67">
        <f>AVERAGE(G264:G268)</f>
        <v>88.6</v>
      </c>
      <c r="H269" s="68"/>
      <c r="I269" s="68"/>
      <c r="J269" s="69"/>
      <c r="K269" s="69"/>
      <c r="L269" s="67">
        <f>AVERAGE(L264:L268)</f>
        <v>81</v>
      </c>
      <c r="M269" s="67">
        <f>AVERAGE(M264:M268)</f>
        <v>74.2</v>
      </c>
      <c r="N269" s="67">
        <f>AVERAGE(N264:N268)</f>
        <v>82.8</v>
      </c>
      <c r="O269" s="69"/>
      <c r="P269" s="63"/>
      <c r="Q269" s="63"/>
      <c r="R269" s="84">
        <f>AVERAGE(R266:R268)</f>
        <v>84.222222222222229</v>
      </c>
      <c r="S269" s="84">
        <f>AVERAGE(S266:S268)</f>
        <v>85.333333333333329</v>
      </c>
      <c r="T269" s="63"/>
      <c r="U269" s="84">
        <f>AVERAGE(U264:U268)</f>
        <v>80.666666666666671</v>
      </c>
      <c r="V269" s="58"/>
      <c r="X269" s="278">
        <v>33</v>
      </c>
    </row>
    <row r="270" spans="1:24">
      <c r="A270" s="268">
        <v>29</v>
      </c>
      <c r="B270" s="271"/>
      <c r="C270" s="274"/>
      <c r="D270" s="70" t="s">
        <v>300</v>
      </c>
      <c r="E270" s="71">
        <f>tkj!$J$33</f>
        <v>93</v>
      </c>
      <c r="F270" s="71">
        <f>tkj!$P$33</f>
        <v>93</v>
      </c>
      <c r="G270" s="71">
        <f>tkj!$V$33</f>
        <v>84</v>
      </c>
      <c r="H270" s="72"/>
      <c r="I270" s="72"/>
      <c r="J270" s="73"/>
      <c r="K270" s="73"/>
      <c r="L270" s="71">
        <f>tkj!$AL$33</f>
        <v>84</v>
      </c>
      <c r="M270" s="71">
        <f>tkj!$AR$33</f>
        <v>82</v>
      </c>
      <c r="N270" s="71">
        <f>tkj!$AX$33</f>
        <v>82</v>
      </c>
      <c r="O270" s="73"/>
      <c r="P270" s="74"/>
      <c r="Q270" s="74"/>
      <c r="R270" s="85">
        <f>tkj!$BT$33</f>
        <v>84</v>
      </c>
      <c r="S270" s="85">
        <f>tkj!$BX$33</f>
        <v>84</v>
      </c>
      <c r="T270" s="85">
        <f>tkj!$BY$33</f>
        <v>87</v>
      </c>
      <c r="U270" s="75">
        <f>tkj!$CC$33</f>
        <v>82</v>
      </c>
      <c r="V270" s="58"/>
      <c r="X270" s="278">
        <v>33</v>
      </c>
    </row>
    <row r="271" spans="1:24">
      <c r="A271" s="268">
        <v>29</v>
      </c>
      <c r="B271" s="271"/>
      <c r="C271" s="274"/>
      <c r="D271" s="76" t="s">
        <v>301</v>
      </c>
      <c r="E271" s="77">
        <f>tkj!$CD$33</f>
        <v>90</v>
      </c>
      <c r="F271" s="77">
        <f>tkj!$CE$33</f>
        <v>95</v>
      </c>
      <c r="G271" s="77">
        <f>tkj!$CF$33</f>
        <v>81</v>
      </c>
      <c r="H271" s="72"/>
      <c r="I271" s="72"/>
      <c r="J271" s="73"/>
      <c r="K271" s="73"/>
      <c r="L271" s="77">
        <f>tkj!$CG$33</f>
        <v>92</v>
      </c>
      <c r="M271" s="77">
        <f>tkj!$CH$33</f>
        <v>81</v>
      </c>
      <c r="N271" s="77">
        <f>tkj!$CI$33</f>
        <v>88</v>
      </c>
      <c r="O271" s="73"/>
      <c r="P271" s="74"/>
      <c r="Q271" s="74"/>
      <c r="R271" s="86">
        <f>tkj!$CL$33</f>
        <v>92</v>
      </c>
      <c r="S271" s="86">
        <f>tkj!$CK$33</f>
        <v>88</v>
      </c>
      <c r="T271" s="74"/>
      <c r="U271" s="86">
        <f>tkj!$CJ$33</f>
        <v>82</v>
      </c>
      <c r="V271" s="58"/>
      <c r="X271" s="278">
        <v>33</v>
      </c>
    </row>
    <row r="272" spans="1:24" ht="15" thickBot="1">
      <c r="A272" s="269">
        <v>29</v>
      </c>
      <c r="B272" s="272"/>
      <c r="C272" s="275"/>
      <c r="D272" s="78" t="s">
        <v>302</v>
      </c>
      <c r="E272" s="79">
        <f>(E269*4+E270*3+E271*3)/10</f>
        <v>90.42</v>
      </c>
      <c r="F272" s="79">
        <f t="shared" ref="F272:G272" si="55">(F269*4+F270*3+F271*3)/10</f>
        <v>91.44</v>
      </c>
      <c r="G272" s="79">
        <f t="shared" si="55"/>
        <v>84.94</v>
      </c>
      <c r="H272" s="79">
        <f>AVERAGE(H264:H267)</f>
        <v>83.5</v>
      </c>
      <c r="I272" s="79">
        <f>AVERAGE(I264:I267)</f>
        <v>84.25</v>
      </c>
      <c r="J272" s="79">
        <f>AVERAGE(J264:J265)</f>
        <v>84</v>
      </c>
      <c r="K272" s="79">
        <f>AVERAGE(K264:K267)</f>
        <v>79.25</v>
      </c>
      <c r="L272" s="79">
        <f>(L269*4+L270*3+L271*3)/10</f>
        <v>85.2</v>
      </c>
      <c r="M272" s="79">
        <f>(M269*4+M270*3+M271*3)/10</f>
        <v>78.58</v>
      </c>
      <c r="N272" s="79">
        <f>(N269*4+N270*3+N271*3)/10</f>
        <v>84.12</v>
      </c>
      <c r="O272" s="79">
        <f>AVERAGE(O264:O265)</f>
        <v>85</v>
      </c>
      <c r="P272" s="79">
        <f>AVERAGE(P264:P265)</f>
        <v>84.5</v>
      </c>
      <c r="Q272" s="79">
        <f>AVERAGE(Q264:Q265)</f>
        <v>83.5</v>
      </c>
      <c r="R272" s="79">
        <f>(R269*4+R270*3+R271*3)/10</f>
        <v>86.488888888888894</v>
      </c>
      <c r="S272" s="79">
        <f>(S269*4+S270*3+S271*3)/10</f>
        <v>85.73333333333332</v>
      </c>
      <c r="T272" s="79">
        <f>T270</f>
        <v>87</v>
      </c>
      <c r="U272" s="79">
        <f t="shared" ref="U272" si="56">(U269*4+U270*3+U271*3)/10</f>
        <v>81.466666666666669</v>
      </c>
      <c r="V272" s="80">
        <f>AVERAGE(E272:U272)</f>
        <v>84.669934640522882</v>
      </c>
      <c r="X272" s="278">
        <v>33</v>
      </c>
    </row>
    <row r="273" spans="1:24" ht="15.6" thickTop="1" thickBot="1">
      <c r="A273" s="268">
        <v>30</v>
      </c>
      <c r="B273" s="270" t="s">
        <v>341</v>
      </c>
      <c r="C273" s="273" t="s">
        <v>111</v>
      </c>
      <c r="D273" s="52" t="s">
        <v>294</v>
      </c>
      <c r="E273" s="53">
        <f>tkj!$E$34</f>
        <v>93</v>
      </c>
      <c r="F273" s="53">
        <f>tkj!$K$34</f>
        <v>83</v>
      </c>
      <c r="G273" s="53">
        <f>tkj!$Q$34</f>
        <v>85</v>
      </c>
      <c r="H273" s="53">
        <f>tkj!$W$34</f>
        <v>81</v>
      </c>
      <c r="I273" s="53">
        <f>tkj!$AA$34</f>
        <v>89</v>
      </c>
      <c r="J273" s="53">
        <f>tkj!$AE$34</f>
        <v>84</v>
      </c>
      <c r="K273" s="54">
        <f>tkj!$AG$34</f>
        <v>80</v>
      </c>
      <c r="L273" s="55"/>
      <c r="M273" s="53">
        <f>tkj!$AM$34</f>
        <v>80</v>
      </c>
      <c r="N273" s="53">
        <f>tkj!$AS$34</f>
        <v>81</v>
      </c>
      <c r="O273" s="53">
        <f>tkj!$AY$34</f>
        <v>92</v>
      </c>
      <c r="P273" s="54">
        <f>tkj!$BA$34</f>
        <v>94</v>
      </c>
      <c r="Q273" s="54">
        <f>tkj!$BC$34</f>
        <v>88</v>
      </c>
      <c r="R273" s="55"/>
      <c r="S273" s="55"/>
      <c r="T273" s="55"/>
      <c r="U273" s="55"/>
      <c r="V273" s="56"/>
      <c r="X273" s="278">
        <v>34</v>
      </c>
    </row>
    <row r="274" spans="1:24" ht="15" thickBot="1">
      <c r="A274" s="268">
        <v>30</v>
      </c>
      <c r="B274" s="271"/>
      <c r="C274" s="274"/>
      <c r="D274" s="52" t="s">
        <v>295</v>
      </c>
      <c r="E274" s="53">
        <f>tkj!$F$34</f>
        <v>98</v>
      </c>
      <c r="F274" s="53">
        <f>tkj!$L$34</f>
        <v>83</v>
      </c>
      <c r="G274" s="53">
        <f>tkj!$R$34</f>
        <v>91</v>
      </c>
      <c r="H274" s="53">
        <f>tkj!$X$34</f>
        <v>84</v>
      </c>
      <c r="I274" s="53">
        <f>tkj!$AB$34</f>
        <v>85</v>
      </c>
      <c r="J274" s="53">
        <f>tkj!$AF$34</f>
        <v>83</v>
      </c>
      <c r="K274" s="54">
        <f>tkj!$AH$34</f>
        <v>80</v>
      </c>
      <c r="L274" s="55"/>
      <c r="M274" s="53">
        <f>tkj!$AN$34</f>
        <v>85</v>
      </c>
      <c r="N274" s="53">
        <f>tkj!$AT$34</f>
        <v>80</v>
      </c>
      <c r="O274" s="53">
        <f>tkj!$AZ$34</f>
        <v>91</v>
      </c>
      <c r="P274" s="54">
        <f>tkj!$BB$34</f>
        <v>96</v>
      </c>
      <c r="Q274" s="54">
        <f>tkj!$BD$34</f>
        <v>90</v>
      </c>
      <c r="R274" s="55"/>
      <c r="S274" s="55"/>
      <c r="T274" s="55"/>
      <c r="U274" s="55"/>
      <c r="V274" s="58"/>
      <c r="X274" s="278">
        <v>34</v>
      </c>
    </row>
    <row r="275" spans="1:24" ht="15" thickBot="1">
      <c r="A275" s="268">
        <v>30</v>
      </c>
      <c r="B275" s="271"/>
      <c r="C275" s="274"/>
      <c r="D275" s="52" t="s">
        <v>296</v>
      </c>
      <c r="E275" s="53">
        <f>tkj!$G$34</f>
        <v>92</v>
      </c>
      <c r="F275" s="53">
        <f>tkj!$M$34</f>
        <v>95</v>
      </c>
      <c r="G275" s="53">
        <f>tkj!$S$34</f>
        <v>88</v>
      </c>
      <c r="H275" s="53">
        <f>tkj!$Y$34</f>
        <v>81</v>
      </c>
      <c r="I275" s="53">
        <f>tkj!$AC$34</f>
        <v>85</v>
      </c>
      <c r="J275" s="59"/>
      <c r="K275" s="54">
        <f>tkj!$AI$34</f>
        <v>78</v>
      </c>
      <c r="L275" s="55"/>
      <c r="M275" s="53">
        <f>tkj!$AO$34</f>
        <v>85</v>
      </c>
      <c r="N275" s="53">
        <f>tkj!$AU$34</f>
        <v>80</v>
      </c>
      <c r="O275" s="59"/>
      <c r="P275" s="55"/>
      <c r="Q275" s="55"/>
      <c r="R275" s="54">
        <f>tkj!$BQ$34</f>
        <v>86.333333333333329</v>
      </c>
      <c r="S275" s="54">
        <f>tkj!$BU$34</f>
        <v>86</v>
      </c>
      <c r="T275" s="55"/>
      <c r="U275" s="54">
        <f>tkj!$BZ$34</f>
        <v>85</v>
      </c>
      <c r="V275" s="58"/>
      <c r="X275" s="278">
        <v>34</v>
      </c>
    </row>
    <row r="276" spans="1:24" ht="15" thickBot="1">
      <c r="A276" s="268">
        <v>30</v>
      </c>
      <c r="B276" s="271"/>
      <c r="C276" s="274"/>
      <c r="D276" s="62" t="s">
        <v>297</v>
      </c>
      <c r="E276" s="53">
        <f>tkj!$H$34</f>
        <v>89</v>
      </c>
      <c r="F276" s="53">
        <f>tkj!$N$34</f>
        <v>95</v>
      </c>
      <c r="G276" s="53">
        <f>tkj!$T$34</f>
        <v>94</v>
      </c>
      <c r="H276" s="53">
        <f>tkj!$Z$34</f>
        <v>85</v>
      </c>
      <c r="I276" s="53">
        <f>tkj!$AD$34</f>
        <v>86</v>
      </c>
      <c r="J276" s="59"/>
      <c r="K276" s="54">
        <f>tkj!$AJ$34</f>
        <v>85</v>
      </c>
      <c r="L276" s="55"/>
      <c r="M276" s="53">
        <f>tkj!$AP$34</f>
        <v>86</v>
      </c>
      <c r="N276" s="53">
        <f>tkj!$AV$34</f>
        <v>83</v>
      </c>
      <c r="O276" s="59"/>
      <c r="P276" s="55"/>
      <c r="Q276" s="55"/>
      <c r="R276" s="54">
        <f>tkj!$BR$34</f>
        <v>88.666666666666671</v>
      </c>
      <c r="S276" s="54">
        <f>tkj!$BV$34</f>
        <v>86</v>
      </c>
      <c r="T276" s="63"/>
      <c r="U276" s="54">
        <f>tkj!$CA$34</f>
        <v>95</v>
      </c>
      <c r="V276" s="58"/>
      <c r="X276" s="278">
        <v>34</v>
      </c>
    </row>
    <row r="277" spans="1:24">
      <c r="A277" s="268">
        <v>30</v>
      </c>
      <c r="B277" s="271"/>
      <c r="C277" s="274"/>
      <c r="D277" s="62" t="s">
        <v>298</v>
      </c>
      <c r="E277" s="53">
        <f>tkj!$I$34</f>
        <v>90</v>
      </c>
      <c r="F277" s="53">
        <f>tkj!$O$34</f>
        <v>95</v>
      </c>
      <c r="G277" s="53">
        <f>tkj!$U$34</f>
        <v>90</v>
      </c>
      <c r="H277" s="65"/>
      <c r="I277" s="65"/>
      <c r="J277" s="59"/>
      <c r="K277" s="59"/>
      <c r="L277" s="53">
        <f>tkj!$AK$34</f>
        <v>89</v>
      </c>
      <c r="M277" s="53">
        <f>tkj!$AQ$34</f>
        <v>84</v>
      </c>
      <c r="N277" s="53">
        <f>tkj!$AW$34</f>
        <v>83</v>
      </c>
      <c r="O277" s="59"/>
      <c r="P277" s="55"/>
      <c r="Q277" s="55"/>
      <c r="R277" s="54">
        <f>tkj!$BS$34</f>
        <v>87</v>
      </c>
      <c r="S277" s="54">
        <f>tkj!$BW$34</f>
        <v>90</v>
      </c>
      <c r="T277" s="54"/>
      <c r="U277" s="54">
        <f>tkj!$CB$34</f>
        <v>80</v>
      </c>
      <c r="V277" s="58"/>
      <c r="X277" s="278">
        <v>34</v>
      </c>
    </row>
    <row r="278" spans="1:24">
      <c r="A278" s="268">
        <v>30</v>
      </c>
      <c r="B278" s="271"/>
      <c r="C278" s="274"/>
      <c r="D278" s="66" t="s">
        <v>299</v>
      </c>
      <c r="E278" s="67">
        <f>AVERAGE(E273:E277)</f>
        <v>92.4</v>
      </c>
      <c r="F278" s="67">
        <f>AVERAGE(F273:F277)</f>
        <v>90.2</v>
      </c>
      <c r="G278" s="67">
        <f>AVERAGE(G273:G277)</f>
        <v>89.6</v>
      </c>
      <c r="H278" s="68"/>
      <c r="I278" s="68"/>
      <c r="J278" s="69"/>
      <c r="K278" s="69"/>
      <c r="L278" s="67">
        <f>AVERAGE(L273:L277)</f>
        <v>89</v>
      </c>
      <c r="M278" s="67">
        <f>AVERAGE(M273:M277)</f>
        <v>84</v>
      </c>
      <c r="N278" s="67">
        <f>AVERAGE(N273:N277)</f>
        <v>81.400000000000006</v>
      </c>
      <c r="O278" s="69"/>
      <c r="P278" s="63"/>
      <c r="Q278" s="63"/>
      <c r="R278" s="84">
        <f>AVERAGE(R275:R277)</f>
        <v>87.333333333333329</v>
      </c>
      <c r="S278" s="84">
        <f>AVERAGE(S275:S277)</f>
        <v>87.333333333333329</v>
      </c>
      <c r="T278" s="63"/>
      <c r="U278" s="84">
        <f>AVERAGE(U273:U277)</f>
        <v>86.666666666666671</v>
      </c>
      <c r="V278" s="58"/>
      <c r="X278" s="278">
        <v>34</v>
      </c>
    </row>
    <row r="279" spans="1:24">
      <c r="A279" s="268">
        <v>30</v>
      </c>
      <c r="B279" s="271"/>
      <c r="C279" s="274"/>
      <c r="D279" s="70" t="s">
        <v>300</v>
      </c>
      <c r="E279" s="71">
        <f>tkj!$J$34</f>
        <v>93</v>
      </c>
      <c r="F279" s="71">
        <f>tkj!$P$34</f>
        <v>93</v>
      </c>
      <c r="G279" s="71">
        <f>tkj!$V$34</f>
        <v>87</v>
      </c>
      <c r="H279" s="72"/>
      <c r="I279" s="72"/>
      <c r="J279" s="73"/>
      <c r="K279" s="73"/>
      <c r="L279" s="71">
        <f>tkj!$AL$34</f>
        <v>87</v>
      </c>
      <c r="M279" s="71">
        <f>tkj!$AR$34</f>
        <v>74</v>
      </c>
      <c r="N279" s="71">
        <f>tkj!$AX$34</f>
        <v>74</v>
      </c>
      <c r="O279" s="73"/>
      <c r="P279" s="74"/>
      <c r="Q279" s="74"/>
      <c r="R279" s="85">
        <f>tkj!$BT$34</f>
        <v>82</v>
      </c>
      <c r="S279" s="85">
        <f>tkj!$BX$34</f>
        <v>82</v>
      </c>
      <c r="T279" s="85">
        <f>tkj!$BY$34</f>
        <v>86</v>
      </c>
      <c r="U279" s="75">
        <f>tkj!$CC$34</f>
        <v>74</v>
      </c>
      <c r="V279" s="58"/>
      <c r="X279" s="278">
        <v>34</v>
      </c>
    </row>
    <row r="280" spans="1:24">
      <c r="A280" s="268">
        <v>30</v>
      </c>
      <c r="B280" s="271"/>
      <c r="C280" s="274"/>
      <c r="D280" s="76" t="s">
        <v>301</v>
      </c>
      <c r="E280" s="77">
        <f>tkj!$CD$34</f>
        <v>86</v>
      </c>
      <c r="F280" s="77">
        <f>tkj!$CE$34</f>
        <v>88</v>
      </c>
      <c r="G280" s="77">
        <f>tkj!$CF$34</f>
        <v>90</v>
      </c>
      <c r="H280" s="72"/>
      <c r="I280" s="72"/>
      <c r="J280" s="73"/>
      <c r="K280" s="73"/>
      <c r="L280" s="77">
        <f>tkj!$CG$34</f>
        <v>87</v>
      </c>
      <c r="M280" s="77">
        <f>tkj!$CH$34</f>
        <v>85</v>
      </c>
      <c r="N280" s="77">
        <f>tkj!$CI$34</f>
        <v>87</v>
      </c>
      <c r="O280" s="73"/>
      <c r="P280" s="74"/>
      <c r="Q280" s="74"/>
      <c r="R280" s="86">
        <f>tkj!$CL$34</f>
        <v>85</v>
      </c>
      <c r="S280" s="86">
        <f>tkj!$CK$34</f>
        <v>84</v>
      </c>
      <c r="T280" s="74"/>
      <c r="U280" s="86">
        <f>tkj!$CJ$34</f>
        <v>82</v>
      </c>
      <c r="V280" s="58"/>
      <c r="X280" s="278">
        <v>34</v>
      </c>
    </row>
    <row r="281" spans="1:24" ht="15" thickBot="1">
      <c r="A281" s="269">
        <v>30</v>
      </c>
      <c r="B281" s="272"/>
      <c r="C281" s="275"/>
      <c r="D281" s="78" t="s">
        <v>302</v>
      </c>
      <c r="E281" s="79">
        <f>(E278*4+E279*3+E280*3)/10</f>
        <v>90.66</v>
      </c>
      <c r="F281" s="79">
        <f t="shared" ref="F281:G281" si="57">(F278*4+F279*3+F280*3)/10</f>
        <v>90.38</v>
      </c>
      <c r="G281" s="79">
        <f t="shared" si="57"/>
        <v>88.94</v>
      </c>
      <c r="H281" s="79">
        <f>AVERAGE(H273:H276)</f>
        <v>82.75</v>
      </c>
      <c r="I281" s="79">
        <f>AVERAGE(I273:I276)</f>
        <v>86.25</v>
      </c>
      <c r="J281" s="79">
        <f>AVERAGE(J273:J274)</f>
        <v>83.5</v>
      </c>
      <c r="K281" s="79">
        <f>AVERAGE(K273:K276)</f>
        <v>80.75</v>
      </c>
      <c r="L281" s="79">
        <f>(L278*4+L279*3+L280*3)/10</f>
        <v>87.8</v>
      </c>
      <c r="M281" s="79">
        <f>(M278*4+M279*3+M280*3)/10</f>
        <v>81.3</v>
      </c>
      <c r="N281" s="79">
        <f>(N278*4+N279*3+N280*3)/10</f>
        <v>80.86</v>
      </c>
      <c r="O281" s="79">
        <f>AVERAGE(O273:O274)</f>
        <v>91.5</v>
      </c>
      <c r="P281" s="79">
        <f>AVERAGE(P273:P274)</f>
        <v>95</v>
      </c>
      <c r="Q281" s="79">
        <f>AVERAGE(Q273:Q274)</f>
        <v>89</v>
      </c>
      <c r="R281" s="79">
        <f>(R278*4+R279*3+R280*3)/10</f>
        <v>85.033333333333331</v>
      </c>
      <c r="S281" s="79">
        <f>(S278*4+S279*3+S280*3)/10</f>
        <v>84.73333333333332</v>
      </c>
      <c r="T281" s="79">
        <f>T279</f>
        <v>86</v>
      </c>
      <c r="U281" s="79">
        <f t="shared" ref="U281" si="58">(U278*4+U279*3+U280*3)/10</f>
        <v>81.466666666666669</v>
      </c>
      <c r="V281" s="80">
        <f>AVERAGE(E281:U281)</f>
        <v>86.230784313725493</v>
      </c>
      <c r="X281" s="278">
        <v>34</v>
      </c>
    </row>
    <row r="282" spans="1:24" ht="18" customHeight="1" thickTop="1" thickBot="1">
      <c r="A282" s="268">
        <v>31</v>
      </c>
      <c r="B282" s="270" t="s">
        <v>342</v>
      </c>
      <c r="C282" s="273" t="s">
        <v>113</v>
      </c>
      <c r="D282" s="52" t="s">
        <v>294</v>
      </c>
      <c r="E282" s="53">
        <f>tkj!$E$35</f>
        <v>82</v>
      </c>
      <c r="F282" s="53">
        <f>tkj!$K$35</f>
        <v>82</v>
      </c>
      <c r="G282" s="53">
        <f>tkj!$Q$35</f>
        <v>87</v>
      </c>
      <c r="H282" s="53">
        <f>tkj!$W$35</f>
        <v>82</v>
      </c>
      <c r="I282" s="53">
        <f>tkj!$AA$35</f>
        <v>75</v>
      </c>
      <c r="J282" s="53">
        <f>tkj!$AE$35</f>
        <v>81</v>
      </c>
      <c r="K282" s="54">
        <f>tkj!$AG$35</f>
        <v>80</v>
      </c>
      <c r="L282" s="55"/>
      <c r="M282" s="53">
        <f>tkj!$AM$35</f>
        <v>72</v>
      </c>
      <c r="N282" s="53">
        <f>tkj!$AS$35</f>
        <v>78</v>
      </c>
      <c r="O282" s="53">
        <f>tkj!$AY$35</f>
        <v>89</v>
      </c>
      <c r="P282" s="54">
        <f>tkj!$BA$35</f>
        <v>72</v>
      </c>
      <c r="Q282" s="54">
        <f>tkj!$BC$35</f>
        <v>74</v>
      </c>
      <c r="R282" s="55"/>
      <c r="S282" s="55"/>
      <c r="T282" s="55"/>
      <c r="U282" s="55"/>
      <c r="V282" s="56"/>
      <c r="X282" s="278">
        <v>35</v>
      </c>
    </row>
    <row r="283" spans="1:24" ht="15" thickBot="1">
      <c r="A283" s="268">
        <v>31</v>
      </c>
      <c r="B283" s="271"/>
      <c r="C283" s="274"/>
      <c r="D283" s="52" t="s">
        <v>295</v>
      </c>
      <c r="E283" s="53">
        <f>tkj!$F$35</f>
        <v>83</v>
      </c>
      <c r="F283" s="53">
        <f>tkj!$L$35</f>
        <v>82</v>
      </c>
      <c r="G283" s="53">
        <f>tkj!$R$35</f>
        <v>86</v>
      </c>
      <c r="H283" s="53">
        <f>tkj!$X$35</f>
        <v>85</v>
      </c>
      <c r="I283" s="53">
        <f>tkj!$AB$35</f>
        <v>82</v>
      </c>
      <c r="J283" s="53">
        <f>tkj!$AF$35</f>
        <v>84</v>
      </c>
      <c r="K283" s="54">
        <f>tkj!$AH$35</f>
        <v>74</v>
      </c>
      <c r="L283" s="55"/>
      <c r="M283" s="53">
        <f>tkj!$AN$35</f>
        <v>73</v>
      </c>
      <c r="N283" s="53">
        <f>tkj!$AT$35</f>
        <v>80</v>
      </c>
      <c r="O283" s="53">
        <f>tkj!$AZ$35</f>
        <v>87</v>
      </c>
      <c r="P283" s="54">
        <f>tkj!$BB$35</f>
        <v>84</v>
      </c>
      <c r="Q283" s="54">
        <f>tkj!$BD$35</f>
        <v>82</v>
      </c>
      <c r="R283" s="55"/>
      <c r="S283" s="55"/>
      <c r="T283" s="55"/>
      <c r="U283" s="55"/>
      <c r="V283" s="58"/>
      <c r="X283" s="278">
        <v>35</v>
      </c>
    </row>
    <row r="284" spans="1:24" ht="15" thickBot="1">
      <c r="A284" s="268">
        <v>31</v>
      </c>
      <c r="B284" s="271"/>
      <c r="C284" s="274"/>
      <c r="D284" s="52" t="s">
        <v>296</v>
      </c>
      <c r="E284" s="53">
        <f>tkj!$G$35</f>
        <v>90</v>
      </c>
      <c r="F284" s="53">
        <f>tkj!$M$35</f>
        <v>84</v>
      </c>
      <c r="G284" s="53">
        <f>tkj!$S$35</f>
        <v>78</v>
      </c>
      <c r="H284" s="53">
        <f>tkj!$Y$35</f>
        <v>80</v>
      </c>
      <c r="I284" s="53">
        <f>tkj!$AC$35</f>
        <v>83</v>
      </c>
      <c r="J284" s="59"/>
      <c r="K284" s="54">
        <f>tkj!$AI$35</f>
        <v>70</v>
      </c>
      <c r="L284" s="55"/>
      <c r="M284" s="53">
        <f>tkj!$AO$35</f>
        <v>74</v>
      </c>
      <c r="N284" s="53">
        <f>tkj!$AU$35</f>
        <v>80</v>
      </c>
      <c r="O284" s="59"/>
      <c r="P284" s="55"/>
      <c r="Q284" s="55"/>
      <c r="R284" s="54">
        <f>tkj!$BQ$35</f>
        <v>84.333333333333329</v>
      </c>
      <c r="S284" s="54">
        <f>tkj!$BU$35</f>
        <v>87</v>
      </c>
      <c r="T284" s="55"/>
      <c r="U284" s="54">
        <f>tkj!$BZ$35</f>
        <v>72</v>
      </c>
      <c r="V284" s="58"/>
      <c r="X284" s="278">
        <v>35</v>
      </c>
    </row>
    <row r="285" spans="1:24" ht="15" thickBot="1">
      <c r="A285" s="268">
        <v>31</v>
      </c>
      <c r="B285" s="271"/>
      <c r="C285" s="274"/>
      <c r="D285" s="62" t="s">
        <v>297</v>
      </c>
      <c r="E285" s="53">
        <f>tkj!$H$35</f>
        <v>86</v>
      </c>
      <c r="F285" s="53">
        <f>tkj!$N$35</f>
        <v>86</v>
      </c>
      <c r="G285" s="53">
        <f>tkj!$T$35</f>
        <v>80</v>
      </c>
      <c r="H285" s="53">
        <f>tkj!$Z$35</f>
        <v>85</v>
      </c>
      <c r="I285" s="53">
        <f>tkj!$AD$35</f>
        <v>85</v>
      </c>
      <c r="J285" s="59"/>
      <c r="K285" s="54">
        <f>tkj!$AJ$35</f>
        <v>84</v>
      </c>
      <c r="L285" s="55"/>
      <c r="M285" s="53">
        <f>tkj!$AP$35</f>
        <v>75</v>
      </c>
      <c r="N285" s="53">
        <f>tkj!$AV$35</f>
        <v>82</v>
      </c>
      <c r="O285" s="59"/>
      <c r="P285" s="55"/>
      <c r="Q285" s="55"/>
      <c r="R285" s="54">
        <f>tkj!$BR$35</f>
        <v>83.666666666666671</v>
      </c>
      <c r="S285" s="54">
        <f>tkj!$BV$35</f>
        <v>87</v>
      </c>
      <c r="T285" s="63"/>
      <c r="U285" s="54">
        <f>tkj!$CA$35</f>
        <v>87</v>
      </c>
      <c r="V285" s="58"/>
      <c r="X285" s="278">
        <v>35</v>
      </c>
    </row>
    <row r="286" spans="1:24">
      <c r="A286" s="268">
        <v>31</v>
      </c>
      <c r="B286" s="271"/>
      <c r="C286" s="274"/>
      <c r="D286" s="62" t="s">
        <v>298</v>
      </c>
      <c r="E286" s="53">
        <f>tkj!$I$35</f>
        <v>92</v>
      </c>
      <c r="F286" s="53">
        <f>tkj!$O$35</f>
        <v>91</v>
      </c>
      <c r="G286" s="53">
        <f>tkj!$U$35</f>
        <v>81</v>
      </c>
      <c r="H286" s="65"/>
      <c r="I286" s="65"/>
      <c r="J286" s="59"/>
      <c r="K286" s="59"/>
      <c r="L286" s="53">
        <f>tkj!$AK$35</f>
        <v>80</v>
      </c>
      <c r="M286" s="53">
        <f>tkj!$AQ$35</f>
        <v>78</v>
      </c>
      <c r="N286" s="53">
        <f>tkj!$AW$35</f>
        <v>80</v>
      </c>
      <c r="O286" s="59"/>
      <c r="P286" s="55"/>
      <c r="Q286" s="55"/>
      <c r="R286" s="54">
        <f>tkj!$BS$35</f>
        <v>85</v>
      </c>
      <c r="S286" s="54">
        <f>tkj!$BW$35</f>
        <v>86</v>
      </c>
      <c r="T286" s="54"/>
      <c r="U286" s="54">
        <f>tkj!$CB$35</f>
        <v>80</v>
      </c>
      <c r="V286" s="58"/>
      <c r="X286" s="278">
        <v>35</v>
      </c>
    </row>
    <row r="287" spans="1:24">
      <c r="A287" s="268">
        <v>31</v>
      </c>
      <c r="B287" s="271"/>
      <c r="C287" s="274"/>
      <c r="D287" s="66" t="s">
        <v>299</v>
      </c>
      <c r="E287" s="67">
        <f>AVERAGE(E282:E286)</f>
        <v>86.6</v>
      </c>
      <c r="F287" s="67">
        <f>AVERAGE(F282:F286)</f>
        <v>85</v>
      </c>
      <c r="G287" s="67">
        <f>AVERAGE(G282:G286)</f>
        <v>82.4</v>
      </c>
      <c r="H287" s="68"/>
      <c r="I287" s="68"/>
      <c r="J287" s="69"/>
      <c r="K287" s="69"/>
      <c r="L287" s="67">
        <f>AVERAGE(L282:L286)</f>
        <v>80</v>
      </c>
      <c r="M287" s="67">
        <f>AVERAGE(M282:M286)</f>
        <v>74.400000000000006</v>
      </c>
      <c r="N287" s="67">
        <f>AVERAGE(N282:N286)</f>
        <v>80</v>
      </c>
      <c r="O287" s="69"/>
      <c r="P287" s="63"/>
      <c r="Q287" s="63"/>
      <c r="R287" s="84">
        <f>AVERAGE(R284:R286)</f>
        <v>84.333333333333329</v>
      </c>
      <c r="S287" s="84">
        <f>AVERAGE(S284:S286)</f>
        <v>86.666666666666671</v>
      </c>
      <c r="T287" s="63"/>
      <c r="U287" s="84">
        <f>AVERAGE(U282:U286)</f>
        <v>79.666666666666671</v>
      </c>
      <c r="V287" s="58"/>
      <c r="X287" s="278">
        <v>35</v>
      </c>
    </row>
    <row r="288" spans="1:24">
      <c r="A288" s="268">
        <v>31</v>
      </c>
      <c r="B288" s="271"/>
      <c r="C288" s="274"/>
      <c r="D288" s="70" t="s">
        <v>300</v>
      </c>
      <c r="E288" s="71">
        <f>tkj!$J$35</f>
        <v>93</v>
      </c>
      <c r="F288" s="71">
        <f>tkj!$P$35</f>
        <v>95</v>
      </c>
      <c r="G288" s="71">
        <f>tkj!$V$35</f>
        <v>82</v>
      </c>
      <c r="H288" s="72"/>
      <c r="I288" s="72"/>
      <c r="J288" s="73"/>
      <c r="K288" s="73"/>
      <c r="L288" s="71">
        <f>tkj!$AL$35</f>
        <v>82</v>
      </c>
      <c r="M288" s="71">
        <f>tkj!$AR$35</f>
        <v>74</v>
      </c>
      <c r="N288" s="71">
        <f>tkj!$AX$35</f>
        <v>74</v>
      </c>
      <c r="O288" s="73"/>
      <c r="P288" s="74"/>
      <c r="Q288" s="74"/>
      <c r="R288" s="85">
        <f>tkj!$BT$35</f>
        <v>74</v>
      </c>
      <c r="S288" s="85">
        <f>tkj!$BX$35</f>
        <v>74</v>
      </c>
      <c r="T288" s="85">
        <f>tkj!$BY$35</f>
        <v>84</v>
      </c>
      <c r="U288" s="75">
        <f>tkj!$CC$35</f>
        <v>74</v>
      </c>
      <c r="V288" s="58"/>
      <c r="X288" s="278">
        <v>35</v>
      </c>
    </row>
    <row r="289" spans="1:24">
      <c r="A289" s="268">
        <v>31</v>
      </c>
      <c r="B289" s="271"/>
      <c r="C289" s="274"/>
      <c r="D289" s="76" t="s">
        <v>301</v>
      </c>
      <c r="E289" s="77">
        <f>tkj!$CD$35</f>
        <v>89</v>
      </c>
      <c r="F289" s="77">
        <f>tkj!$CE$35</f>
        <v>88</v>
      </c>
      <c r="G289" s="77">
        <f>tkj!$CF$35</f>
        <v>83</v>
      </c>
      <c r="H289" s="72"/>
      <c r="I289" s="72"/>
      <c r="J289" s="73"/>
      <c r="K289" s="73"/>
      <c r="L289" s="77">
        <f>tkj!$CG$35</f>
        <v>93</v>
      </c>
      <c r="M289" s="77">
        <f>tkj!$CH$35</f>
        <v>79</v>
      </c>
      <c r="N289" s="77">
        <f>tkj!$CI$35</f>
        <v>83</v>
      </c>
      <c r="O289" s="73"/>
      <c r="P289" s="74"/>
      <c r="Q289" s="74"/>
      <c r="R289" s="86">
        <f>tkj!$CL$35</f>
        <v>92</v>
      </c>
      <c r="S289" s="86">
        <f>tkj!$CK$35</f>
        <v>85</v>
      </c>
      <c r="T289" s="74"/>
      <c r="U289" s="86">
        <f>tkj!$CJ$35</f>
        <v>82</v>
      </c>
      <c r="V289" s="58"/>
      <c r="X289" s="278">
        <v>35</v>
      </c>
    </row>
    <row r="290" spans="1:24" ht="15" thickBot="1">
      <c r="A290" s="269">
        <v>31</v>
      </c>
      <c r="B290" s="272"/>
      <c r="C290" s="275"/>
      <c r="D290" s="78" t="s">
        <v>302</v>
      </c>
      <c r="E290" s="79">
        <f>(E287*4+E288*3+E289*3)/10</f>
        <v>89.24</v>
      </c>
      <c r="F290" s="79">
        <f t="shared" ref="F290:G290" si="59">(F287*4+F288*3+F289*3)/10</f>
        <v>88.9</v>
      </c>
      <c r="G290" s="79">
        <f t="shared" si="59"/>
        <v>82.460000000000008</v>
      </c>
      <c r="H290" s="79">
        <f>AVERAGE(H282:H285)</f>
        <v>83</v>
      </c>
      <c r="I290" s="79">
        <f>AVERAGE(I282:I285)</f>
        <v>81.25</v>
      </c>
      <c r="J290" s="79">
        <f>AVERAGE(J282:J283)</f>
        <v>82.5</v>
      </c>
      <c r="K290" s="79">
        <f>AVERAGE(K282:K285)</f>
        <v>77</v>
      </c>
      <c r="L290" s="79">
        <f>(L287*4+L288*3+L289*3)/10</f>
        <v>84.5</v>
      </c>
      <c r="M290" s="79">
        <f>(M287*4+M288*3+M289*3)/10</f>
        <v>75.66</v>
      </c>
      <c r="N290" s="79">
        <f>(N287*4+N288*3+N289*3)/10</f>
        <v>79.099999999999994</v>
      </c>
      <c r="O290" s="79">
        <f>AVERAGE(O282:O283)</f>
        <v>88</v>
      </c>
      <c r="P290" s="79">
        <f>AVERAGE(P282:P283)</f>
        <v>78</v>
      </c>
      <c r="Q290" s="79">
        <f>AVERAGE(Q282:Q283)</f>
        <v>78</v>
      </c>
      <c r="R290" s="79">
        <f>(R287*4+R288*3+R289*3)/10</f>
        <v>83.533333333333331</v>
      </c>
      <c r="S290" s="79">
        <f>(S287*4+S288*3+S289*3)/10</f>
        <v>82.366666666666674</v>
      </c>
      <c r="T290" s="79">
        <f>T288</f>
        <v>84</v>
      </c>
      <c r="U290" s="79">
        <f t="shared" ref="U290" si="60">(U287*4+U288*3+U289*3)/10</f>
        <v>78.666666666666671</v>
      </c>
      <c r="V290" s="80">
        <f>AVERAGE(E290:U290)</f>
        <v>82.128039215686286</v>
      </c>
      <c r="X290" s="278">
        <v>35</v>
      </c>
    </row>
    <row r="291" spans="1:24" ht="15.6" thickTop="1" thickBot="1">
      <c r="A291" s="268">
        <v>32</v>
      </c>
      <c r="B291" s="270" t="s">
        <v>343</v>
      </c>
      <c r="C291" s="273" t="s">
        <v>115</v>
      </c>
      <c r="D291" s="52" t="s">
        <v>294</v>
      </c>
      <c r="E291" s="53">
        <f>tkj!$E$36</f>
        <v>87</v>
      </c>
      <c r="F291" s="53">
        <f>tkj!$K$36</f>
        <v>81</v>
      </c>
      <c r="G291" s="53">
        <f>tkj!$Q$36</f>
        <v>84</v>
      </c>
      <c r="H291" s="53">
        <f>tkj!$W$36</f>
        <v>80</v>
      </c>
      <c r="I291" s="53">
        <f>tkj!$AA$36</f>
        <v>85</v>
      </c>
      <c r="J291" s="53">
        <f>tkj!$AE$36</f>
        <v>82</v>
      </c>
      <c r="K291" s="54">
        <f>tkj!$AG$36</f>
        <v>72</v>
      </c>
      <c r="L291" s="55"/>
      <c r="M291" s="53">
        <f>tkj!$AM$36</f>
        <v>70</v>
      </c>
      <c r="N291" s="53">
        <f>tkj!$AS$36</f>
        <v>70</v>
      </c>
      <c r="O291" s="53">
        <f>tkj!$AY$36</f>
        <v>72</v>
      </c>
      <c r="P291" s="54">
        <f>tkj!$BA$36</f>
        <v>77</v>
      </c>
      <c r="Q291" s="54">
        <f>tkj!$BC$36</f>
        <v>70</v>
      </c>
      <c r="R291" s="55"/>
      <c r="S291" s="55"/>
      <c r="T291" s="55"/>
      <c r="U291" s="55"/>
      <c r="V291" s="56"/>
      <c r="X291" s="278">
        <v>36</v>
      </c>
    </row>
    <row r="292" spans="1:24" ht="15" thickBot="1">
      <c r="A292" s="268">
        <v>32</v>
      </c>
      <c r="B292" s="271"/>
      <c r="C292" s="274"/>
      <c r="D292" s="52" t="s">
        <v>295</v>
      </c>
      <c r="E292" s="53">
        <f>tkj!$F$36</f>
        <v>80</v>
      </c>
      <c r="F292" s="53">
        <f>tkj!$L$36</f>
        <v>76</v>
      </c>
      <c r="G292" s="53">
        <f>tkj!$R$36</f>
        <v>86</v>
      </c>
      <c r="H292" s="53">
        <f>tkj!$X$36</f>
        <v>83</v>
      </c>
      <c r="I292" s="53">
        <f>tkj!$AB$36</f>
        <v>82</v>
      </c>
      <c r="J292" s="53">
        <f>tkj!$AF$36</f>
        <v>81</v>
      </c>
      <c r="K292" s="54">
        <f>tkj!$AH$36</f>
        <v>71</v>
      </c>
      <c r="L292" s="55"/>
      <c r="M292" s="53">
        <f>tkj!$AN$36</f>
        <v>72</v>
      </c>
      <c r="N292" s="53">
        <f>tkj!$AT$36</f>
        <v>78</v>
      </c>
      <c r="O292" s="53">
        <f>tkj!$AZ$36</f>
        <v>75</v>
      </c>
      <c r="P292" s="54">
        <f>tkj!$BB$36</f>
        <v>78</v>
      </c>
      <c r="Q292" s="54">
        <f>tkj!$BD$36</f>
        <v>78</v>
      </c>
      <c r="R292" s="55"/>
      <c r="S292" s="55"/>
      <c r="T292" s="55"/>
      <c r="U292" s="55"/>
      <c r="V292" s="58"/>
      <c r="X292" s="278">
        <v>36</v>
      </c>
    </row>
    <row r="293" spans="1:24" ht="15" thickBot="1">
      <c r="A293" s="268">
        <v>32</v>
      </c>
      <c r="B293" s="271"/>
      <c r="C293" s="274"/>
      <c r="D293" s="52" t="s">
        <v>296</v>
      </c>
      <c r="E293" s="53">
        <f>tkj!$G$36</f>
        <v>87</v>
      </c>
      <c r="F293" s="53">
        <f>tkj!$M$36</f>
        <v>71</v>
      </c>
      <c r="G293" s="53">
        <f>tkj!$S$36</f>
        <v>79</v>
      </c>
      <c r="H293" s="53">
        <f>tkj!$Y$36</f>
        <v>81</v>
      </c>
      <c r="I293" s="53">
        <f>tkj!$AC$36</f>
        <v>74</v>
      </c>
      <c r="J293" s="59"/>
      <c r="K293" s="54">
        <f>tkj!$AI$36</f>
        <v>71</v>
      </c>
      <c r="L293" s="55"/>
      <c r="M293" s="53">
        <f>tkj!$AO$36</f>
        <v>72</v>
      </c>
      <c r="N293" s="53">
        <f>tkj!$AU$36</f>
        <v>78</v>
      </c>
      <c r="O293" s="59"/>
      <c r="P293" s="55"/>
      <c r="Q293" s="55"/>
      <c r="R293" s="54">
        <f>tkj!$BQ$36</f>
        <v>75</v>
      </c>
      <c r="S293" s="54">
        <f>tkj!$BU$36</f>
        <v>83</v>
      </c>
      <c r="T293" s="55"/>
      <c r="U293" s="54">
        <f>tkj!$BZ$36</f>
        <v>71</v>
      </c>
      <c r="V293" s="58"/>
      <c r="X293" s="278">
        <v>36</v>
      </c>
    </row>
    <row r="294" spans="1:24" ht="15" thickBot="1">
      <c r="A294" s="268">
        <v>32</v>
      </c>
      <c r="B294" s="271"/>
      <c r="C294" s="274"/>
      <c r="D294" s="62" t="s">
        <v>297</v>
      </c>
      <c r="E294" s="53">
        <f>tkj!$H$36</f>
        <v>83</v>
      </c>
      <c r="F294" s="53">
        <f>tkj!$N$36</f>
        <v>79</v>
      </c>
      <c r="G294" s="53">
        <f>tkj!$T$36</f>
        <v>79</v>
      </c>
      <c r="H294" s="53">
        <f>tkj!$Z$36</f>
        <v>85</v>
      </c>
      <c r="I294" s="53">
        <f>tkj!$AD$36</f>
        <v>72</v>
      </c>
      <c r="J294" s="59"/>
      <c r="K294" s="54">
        <f>tkj!$AJ$36</f>
        <v>80</v>
      </c>
      <c r="L294" s="55"/>
      <c r="M294" s="53">
        <f>tkj!$AP$36</f>
        <v>73</v>
      </c>
      <c r="N294" s="53">
        <f>tkj!$AV$36</f>
        <v>75</v>
      </c>
      <c r="O294" s="59"/>
      <c r="P294" s="55"/>
      <c r="Q294" s="55"/>
      <c r="R294" s="54">
        <f>tkj!$BR$36</f>
        <v>71.666666666666671</v>
      </c>
      <c r="S294" s="54">
        <f>tkj!$BV$36</f>
        <v>83</v>
      </c>
      <c r="T294" s="63"/>
      <c r="U294" s="54">
        <f>tkj!$CA$36</f>
        <v>74</v>
      </c>
      <c r="V294" s="58"/>
      <c r="X294" s="278">
        <v>36</v>
      </c>
    </row>
    <row r="295" spans="1:24">
      <c r="A295" s="268">
        <v>32</v>
      </c>
      <c r="B295" s="271"/>
      <c r="C295" s="274"/>
      <c r="D295" s="62" t="s">
        <v>298</v>
      </c>
      <c r="E295" s="53">
        <f>tkj!$I$36</f>
        <v>83</v>
      </c>
      <c r="F295" s="53">
        <f>tkj!$O$36</f>
        <v>80</v>
      </c>
      <c r="G295" s="53">
        <f>tkj!$U$36</f>
        <v>75</v>
      </c>
      <c r="H295" s="65"/>
      <c r="I295" s="65"/>
      <c r="J295" s="59"/>
      <c r="K295" s="59"/>
      <c r="L295" s="53">
        <f>tkj!$AK$36</f>
        <v>80</v>
      </c>
      <c r="M295" s="53">
        <f>tkj!$AQ$36</f>
        <v>77</v>
      </c>
      <c r="N295" s="53">
        <f>tkj!$AW$36</f>
        <v>78</v>
      </c>
      <c r="O295" s="59"/>
      <c r="P295" s="55"/>
      <c r="Q295" s="55"/>
      <c r="R295" s="54">
        <f>tkj!$BS$36</f>
        <v>77</v>
      </c>
      <c r="S295" s="54">
        <f>tkj!$BW$36</f>
        <v>80</v>
      </c>
      <c r="T295" s="54"/>
      <c r="U295" s="54">
        <f>tkj!$CB$36</f>
        <v>72</v>
      </c>
      <c r="V295" s="58"/>
      <c r="X295" s="278">
        <v>36</v>
      </c>
    </row>
    <row r="296" spans="1:24">
      <c r="A296" s="268">
        <v>32</v>
      </c>
      <c r="B296" s="271"/>
      <c r="C296" s="274"/>
      <c r="D296" s="66" t="s">
        <v>299</v>
      </c>
      <c r="E296" s="67">
        <f>AVERAGE(E291:E295)</f>
        <v>84</v>
      </c>
      <c r="F296" s="67">
        <f>AVERAGE(F291:F295)</f>
        <v>77.400000000000006</v>
      </c>
      <c r="G296" s="67">
        <f>AVERAGE(G291:G295)</f>
        <v>80.599999999999994</v>
      </c>
      <c r="H296" s="68"/>
      <c r="I296" s="68"/>
      <c r="J296" s="69"/>
      <c r="K296" s="69"/>
      <c r="L296" s="67">
        <f>AVERAGE(L291:L295)</f>
        <v>80</v>
      </c>
      <c r="M296" s="67">
        <f>AVERAGE(M291:M295)</f>
        <v>72.8</v>
      </c>
      <c r="N296" s="67">
        <f>AVERAGE(N291:N295)</f>
        <v>75.8</v>
      </c>
      <c r="O296" s="69"/>
      <c r="P296" s="63"/>
      <c r="Q296" s="63"/>
      <c r="R296" s="84">
        <f>AVERAGE(R293:R295)</f>
        <v>74.555555555555557</v>
      </c>
      <c r="S296" s="84">
        <f>AVERAGE(S293:S295)</f>
        <v>82</v>
      </c>
      <c r="T296" s="63"/>
      <c r="U296" s="84">
        <f>AVERAGE(U291:U295)</f>
        <v>72.333333333333329</v>
      </c>
      <c r="V296" s="58"/>
      <c r="X296" s="278">
        <v>36</v>
      </c>
    </row>
    <row r="297" spans="1:24">
      <c r="A297" s="268">
        <v>32</v>
      </c>
      <c r="B297" s="271"/>
      <c r="C297" s="274"/>
      <c r="D297" s="70" t="s">
        <v>300</v>
      </c>
      <c r="E297" s="71">
        <f>tkj!$J$36</f>
        <v>75</v>
      </c>
      <c r="F297" s="71">
        <f>tkj!$P$36</f>
        <v>90</v>
      </c>
      <c r="G297" s="71">
        <f>tkj!$V$36</f>
        <v>86</v>
      </c>
      <c r="H297" s="72"/>
      <c r="I297" s="72"/>
      <c r="J297" s="73"/>
      <c r="K297" s="73"/>
      <c r="L297" s="71">
        <f>tkj!$AL$36</f>
        <v>86</v>
      </c>
      <c r="M297" s="71">
        <f>tkj!$AR$36</f>
        <v>80</v>
      </c>
      <c r="N297" s="71">
        <f>tkj!$AX$36</f>
        <v>80</v>
      </c>
      <c r="O297" s="73"/>
      <c r="P297" s="74"/>
      <c r="Q297" s="74"/>
      <c r="R297" s="85">
        <f>tkj!$BT$36</f>
        <v>77</v>
      </c>
      <c r="S297" s="85">
        <f>tkj!$BX$36</f>
        <v>77</v>
      </c>
      <c r="T297" s="85">
        <f>tkj!$BY$36</f>
        <v>82</v>
      </c>
      <c r="U297" s="75">
        <f>tkj!$CC$36</f>
        <v>80</v>
      </c>
      <c r="V297" s="58"/>
      <c r="X297" s="278">
        <v>36</v>
      </c>
    </row>
    <row r="298" spans="1:24">
      <c r="A298" s="268">
        <v>32</v>
      </c>
      <c r="B298" s="271"/>
      <c r="C298" s="274"/>
      <c r="D298" s="76" t="s">
        <v>301</v>
      </c>
      <c r="E298" s="77">
        <f>tkj!$CD$36</f>
        <v>80</v>
      </c>
      <c r="F298" s="77">
        <f>tkj!$CE$36</f>
        <v>85</v>
      </c>
      <c r="G298" s="77">
        <f>tkj!$CF$36</f>
        <v>80</v>
      </c>
      <c r="H298" s="72"/>
      <c r="I298" s="72"/>
      <c r="J298" s="73"/>
      <c r="K298" s="73"/>
      <c r="L298" s="77">
        <f>tkj!$CG$36</f>
        <v>75</v>
      </c>
      <c r="M298" s="77">
        <f>tkj!$CH$36</f>
        <v>77</v>
      </c>
      <c r="N298" s="77">
        <f>tkj!$CI$36</f>
        <v>80</v>
      </c>
      <c r="O298" s="73"/>
      <c r="P298" s="74"/>
      <c r="Q298" s="74"/>
      <c r="R298" s="86">
        <f>tkj!$CL$36</f>
        <v>95</v>
      </c>
      <c r="S298" s="86">
        <f>tkj!$CK$36</f>
        <v>89</v>
      </c>
      <c r="T298" s="74"/>
      <c r="U298" s="86">
        <f>tkj!$CJ$36</f>
        <v>80</v>
      </c>
      <c r="V298" s="58"/>
      <c r="X298" s="278">
        <v>36</v>
      </c>
    </row>
    <row r="299" spans="1:24" ht="15" thickBot="1">
      <c r="A299" s="269">
        <v>32</v>
      </c>
      <c r="B299" s="272"/>
      <c r="C299" s="275"/>
      <c r="D299" s="78" t="s">
        <v>302</v>
      </c>
      <c r="E299" s="79">
        <f>(E296*4+E297*3+E298*3)/10</f>
        <v>80.099999999999994</v>
      </c>
      <c r="F299" s="79">
        <f t="shared" ref="F299:G299" si="61">(F296*4+F297*3+F298*3)/10</f>
        <v>83.460000000000008</v>
      </c>
      <c r="G299" s="79">
        <f t="shared" si="61"/>
        <v>82.039999999999992</v>
      </c>
      <c r="H299" s="79">
        <f>AVERAGE(H291:H294)</f>
        <v>82.25</v>
      </c>
      <c r="I299" s="79">
        <f>AVERAGE(I291:I294)</f>
        <v>78.25</v>
      </c>
      <c r="J299" s="79">
        <f>AVERAGE(J291:J292)</f>
        <v>81.5</v>
      </c>
      <c r="K299" s="79">
        <f>AVERAGE(K291:K294)</f>
        <v>73.5</v>
      </c>
      <c r="L299" s="79">
        <f>(L296*4+L297*3+L298*3)/10</f>
        <v>80.3</v>
      </c>
      <c r="M299" s="79">
        <f>(M296*4+M297*3+M298*3)/10</f>
        <v>76.22</v>
      </c>
      <c r="N299" s="79">
        <f>(N296*4+N297*3+N298*3)/10</f>
        <v>78.320000000000007</v>
      </c>
      <c r="O299" s="79">
        <f>AVERAGE(O291:O292)</f>
        <v>73.5</v>
      </c>
      <c r="P299" s="79">
        <f>AVERAGE(P291:P292)</f>
        <v>77.5</v>
      </c>
      <c r="Q299" s="79">
        <f>AVERAGE(Q291:Q292)</f>
        <v>74</v>
      </c>
      <c r="R299" s="79">
        <f>(R296*4+R297*3+R298*3)/10</f>
        <v>81.422222222222217</v>
      </c>
      <c r="S299" s="79">
        <f>(S296*4+S297*3+S298*3)/10</f>
        <v>82.6</v>
      </c>
      <c r="T299" s="79">
        <f>T297</f>
        <v>82</v>
      </c>
      <c r="U299" s="79">
        <f t="shared" ref="U299" si="62">(U296*4+U297*3+U298*3)/10</f>
        <v>76.933333333333323</v>
      </c>
      <c r="V299" s="80">
        <f>AVERAGE(E299:U299)</f>
        <v>79.052679738562091</v>
      </c>
      <c r="X299" s="278">
        <v>36</v>
      </c>
    </row>
    <row r="300" spans="1:24" ht="15.6" thickTop="1" thickBot="1">
      <c r="A300" s="268">
        <v>33</v>
      </c>
      <c r="B300" s="270" t="s">
        <v>344</v>
      </c>
      <c r="C300" s="273" t="s">
        <v>117</v>
      </c>
      <c r="D300" s="52" t="s">
        <v>294</v>
      </c>
      <c r="E300" s="53">
        <f>tkj!$E$37</f>
        <v>80</v>
      </c>
      <c r="F300" s="53">
        <f>tkj!$K$37</f>
        <v>80</v>
      </c>
      <c r="G300" s="53">
        <f>tkj!$Q$37</f>
        <v>84</v>
      </c>
      <c r="H300" s="53">
        <f>tkj!$W$37</f>
        <v>82</v>
      </c>
      <c r="I300" s="53">
        <f>tkj!$AA$37</f>
        <v>89</v>
      </c>
      <c r="J300" s="53">
        <f>tkj!$AE$37</f>
        <v>81</v>
      </c>
      <c r="K300" s="54">
        <f>tkj!$AG$37</f>
        <v>78</v>
      </c>
      <c r="L300" s="55"/>
      <c r="M300" s="53">
        <f>tkj!$AM$37</f>
        <v>71</v>
      </c>
      <c r="N300" s="53">
        <f>tkj!$AS$37</f>
        <v>82</v>
      </c>
      <c r="O300" s="53">
        <f>tkj!$AY$37</f>
        <v>79</v>
      </c>
      <c r="P300" s="54">
        <f>tkj!$BA$37</f>
        <v>78</v>
      </c>
      <c r="Q300" s="54">
        <f>tkj!$BC$37</f>
        <v>87</v>
      </c>
      <c r="R300" s="55"/>
      <c r="S300" s="55"/>
      <c r="T300" s="55"/>
      <c r="U300" s="55"/>
      <c r="V300" s="56"/>
      <c r="X300" s="278">
        <v>37</v>
      </c>
    </row>
    <row r="301" spans="1:24" ht="15" thickBot="1">
      <c r="A301" s="268">
        <v>33</v>
      </c>
      <c r="B301" s="271"/>
      <c r="C301" s="274"/>
      <c r="D301" s="52" t="s">
        <v>295</v>
      </c>
      <c r="E301" s="53">
        <f>tkj!$F$37</f>
        <v>81</v>
      </c>
      <c r="F301" s="53">
        <f>tkj!$L$37</f>
        <v>81</v>
      </c>
      <c r="G301" s="53">
        <f>tkj!$R$37</f>
        <v>91</v>
      </c>
      <c r="H301" s="53">
        <f>tkj!$X$37</f>
        <v>85</v>
      </c>
      <c r="I301" s="53">
        <f>tkj!$AB$37</f>
        <v>86</v>
      </c>
      <c r="J301" s="53">
        <f>tkj!$AF$37</f>
        <v>82</v>
      </c>
      <c r="K301" s="54">
        <f>tkj!$AH$37</f>
        <v>76</v>
      </c>
      <c r="L301" s="55"/>
      <c r="M301" s="53">
        <f>tkj!$AN$37</f>
        <v>71</v>
      </c>
      <c r="N301" s="53">
        <f>tkj!$AT$37</f>
        <v>88</v>
      </c>
      <c r="O301" s="53">
        <f>tkj!$AZ$37</f>
        <v>97</v>
      </c>
      <c r="P301" s="54">
        <f>tkj!$BB$37</f>
        <v>86</v>
      </c>
      <c r="Q301" s="54">
        <f>tkj!$BD$37</f>
        <v>83</v>
      </c>
      <c r="R301" s="55"/>
      <c r="S301" s="55"/>
      <c r="T301" s="55"/>
      <c r="U301" s="55"/>
      <c r="V301" s="58"/>
      <c r="X301" s="278">
        <v>37</v>
      </c>
    </row>
    <row r="302" spans="1:24" ht="15" thickBot="1">
      <c r="A302" s="268">
        <v>33</v>
      </c>
      <c r="B302" s="271"/>
      <c r="C302" s="274"/>
      <c r="D302" s="52" t="s">
        <v>296</v>
      </c>
      <c r="E302" s="53">
        <f>tkj!$G$37</f>
        <v>87</v>
      </c>
      <c r="F302" s="53">
        <f>tkj!$M$37</f>
        <v>91</v>
      </c>
      <c r="G302" s="53">
        <f>tkj!$S$37</f>
        <v>90</v>
      </c>
      <c r="H302" s="53">
        <f>tkj!$Y$37</f>
        <v>81</v>
      </c>
      <c r="I302" s="53">
        <f>tkj!$AC$37</f>
        <v>82</v>
      </c>
      <c r="J302" s="59"/>
      <c r="K302" s="54">
        <f>tkj!$AI$37</f>
        <v>71</v>
      </c>
      <c r="L302" s="55"/>
      <c r="M302" s="53">
        <f>tkj!$AO$37</f>
        <v>74</v>
      </c>
      <c r="N302" s="53">
        <f>tkj!$AU$37</f>
        <v>88</v>
      </c>
      <c r="O302" s="59"/>
      <c r="P302" s="55"/>
      <c r="Q302" s="55"/>
      <c r="R302" s="54">
        <f>tkj!$BQ$37</f>
        <v>86.333333333333329</v>
      </c>
      <c r="S302" s="54">
        <f>tkj!$BU$37</f>
        <v>82</v>
      </c>
      <c r="T302" s="55"/>
      <c r="U302" s="54">
        <f>tkj!$BZ$37</f>
        <v>81</v>
      </c>
      <c r="V302" s="58"/>
      <c r="X302" s="278">
        <v>37</v>
      </c>
    </row>
    <row r="303" spans="1:24" ht="15" thickBot="1">
      <c r="A303" s="268">
        <v>33</v>
      </c>
      <c r="B303" s="271"/>
      <c r="C303" s="274"/>
      <c r="D303" s="62" t="s">
        <v>297</v>
      </c>
      <c r="E303" s="53">
        <f>tkj!$H$37</f>
        <v>83</v>
      </c>
      <c r="F303" s="53">
        <f>tkj!$N$37</f>
        <v>86</v>
      </c>
      <c r="G303" s="53">
        <f>tkj!$T$37</f>
        <v>90</v>
      </c>
      <c r="H303" s="53">
        <f>tkj!$Z$37</f>
        <v>85</v>
      </c>
      <c r="I303" s="53">
        <f>tkj!$AD$37</f>
        <v>84</v>
      </c>
      <c r="J303" s="59"/>
      <c r="K303" s="54">
        <f>tkj!$AJ$37</f>
        <v>84</v>
      </c>
      <c r="L303" s="55"/>
      <c r="M303" s="53">
        <f>tkj!$AP$37</f>
        <v>75</v>
      </c>
      <c r="N303" s="53">
        <f>tkj!$AV$37</f>
        <v>88</v>
      </c>
      <c r="O303" s="59"/>
      <c r="P303" s="55"/>
      <c r="Q303" s="55"/>
      <c r="R303" s="54">
        <f>tkj!$BR$37</f>
        <v>87.666666666666671</v>
      </c>
      <c r="S303" s="54">
        <f>tkj!$BV$37</f>
        <v>82</v>
      </c>
      <c r="T303" s="63"/>
      <c r="U303" s="54">
        <f>tkj!$CA$37</f>
        <v>90</v>
      </c>
      <c r="V303" s="58"/>
      <c r="X303" s="278">
        <v>37</v>
      </c>
    </row>
    <row r="304" spans="1:24">
      <c r="A304" s="268">
        <v>33</v>
      </c>
      <c r="B304" s="271"/>
      <c r="C304" s="274"/>
      <c r="D304" s="62" t="s">
        <v>298</v>
      </c>
      <c r="E304" s="53">
        <f>tkj!$I$37</f>
        <v>90</v>
      </c>
      <c r="F304" s="53">
        <f>tkj!$O$37</f>
        <v>90</v>
      </c>
      <c r="G304" s="53">
        <f>tkj!$U$37</f>
        <v>86</v>
      </c>
      <c r="H304" s="65"/>
      <c r="I304" s="65"/>
      <c r="J304" s="59"/>
      <c r="K304" s="59"/>
      <c r="L304" s="53">
        <f>tkj!$AK$37</f>
        <v>80</v>
      </c>
      <c r="M304" s="53">
        <f>tkj!$AQ$37</f>
        <v>79</v>
      </c>
      <c r="N304" s="53">
        <f>tkj!$AW$37</f>
        <v>88</v>
      </c>
      <c r="O304" s="59"/>
      <c r="P304" s="55"/>
      <c r="Q304" s="55"/>
      <c r="R304" s="54">
        <f>tkj!$BS$37</f>
        <v>85.666666666666671</v>
      </c>
      <c r="S304" s="54">
        <f>tkj!$BW$37</f>
        <v>88</v>
      </c>
      <c r="T304" s="54"/>
      <c r="U304" s="54">
        <f>tkj!$CB$37</f>
        <v>85</v>
      </c>
      <c r="V304" s="58"/>
      <c r="X304" s="278">
        <v>37</v>
      </c>
    </row>
    <row r="305" spans="1:24">
      <c r="A305" s="268">
        <v>33</v>
      </c>
      <c r="B305" s="271"/>
      <c r="C305" s="274"/>
      <c r="D305" s="66" t="s">
        <v>299</v>
      </c>
      <c r="E305" s="67">
        <f>AVERAGE(E300:E304)</f>
        <v>84.2</v>
      </c>
      <c r="F305" s="67">
        <f>AVERAGE(F300:F304)</f>
        <v>85.6</v>
      </c>
      <c r="G305" s="67">
        <f>AVERAGE(G300:G304)</f>
        <v>88.2</v>
      </c>
      <c r="H305" s="68"/>
      <c r="I305" s="68"/>
      <c r="J305" s="69"/>
      <c r="K305" s="69"/>
      <c r="L305" s="67">
        <f>AVERAGE(L300:L304)</f>
        <v>80</v>
      </c>
      <c r="M305" s="67">
        <f>AVERAGE(M300:M304)</f>
        <v>74</v>
      </c>
      <c r="N305" s="67">
        <f>AVERAGE(N300:N304)</f>
        <v>86.8</v>
      </c>
      <c r="O305" s="69"/>
      <c r="P305" s="63"/>
      <c r="Q305" s="63"/>
      <c r="R305" s="84">
        <f>AVERAGE(R302:R304)</f>
        <v>86.555555555555557</v>
      </c>
      <c r="S305" s="84">
        <f>AVERAGE(S302:S304)</f>
        <v>84</v>
      </c>
      <c r="T305" s="63"/>
      <c r="U305" s="84">
        <f>AVERAGE(U300:U304)</f>
        <v>85.333333333333329</v>
      </c>
      <c r="V305" s="58"/>
      <c r="X305" s="278">
        <v>37</v>
      </c>
    </row>
    <row r="306" spans="1:24">
      <c r="A306" s="268">
        <v>33</v>
      </c>
      <c r="B306" s="271"/>
      <c r="C306" s="274"/>
      <c r="D306" s="70" t="s">
        <v>300</v>
      </c>
      <c r="E306" s="71">
        <f>tkj!$J$37</f>
        <v>85</v>
      </c>
      <c r="F306" s="71">
        <f>tkj!$P$37</f>
        <v>87</v>
      </c>
      <c r="G306" s="71">
        <f>tkj!$V$37</f>
        <v>88</v>
      </c>
      <c r="H306" s="72"/>
      <c r="I306" s="72"/>
      <c r="J306" s="73"/>
      <c r="K306" s="73"/>
      <c r="L306" s="71">
        <f>tkj!$AL$37</f>
        <v>88</v>
      </c>
      <c r="M306" s="71">
        <f>tkj!$AR$37</f>
        <v>85</v>
      </c>
      <c r="N306" s="71">
        <f>tkj!$AX$37</f>
        <v>85</v>
      </c>
      <c r="O306" s="73"/>
      <c r="P306" s="74"/>
      <c r="Q306" s="74"/>
      <c r="R306" s="85">
        <f>tkj!$BT$37</f>
        <v>90</v>
      </c>
      <c r="S306" s="85">
        <f>tkj!$BX$37</f>
        <v>90</v>
      </c>
      <c r="T306" s="85">
        <f>tkj!$BY$37</f>
        <v>87</v>
      </c>
      <c r="U306" s="75">
        <f>tkj!$CC$37</f>
        <v>85</v>
      </c>
      <c r="V306" s="58"/>
      <c r="X306" s="278">
        <v>37</v>
      </c>
    </row>
    <row r="307" spans="1:24">
      <c r="A307" s="268">
        <v>33</v>
      </c>
      <c r="B307" s="271"/>
      <c r="C307" s="274"/>
      <c r="D307" s="76" t="s">
        <v>301</v>
      </c>
      <c r="E307" s="77">
        <f>tkj!$CD$5</f>
        <v>88</v>
      </c>
      <c r="F307" s="77">
        <f>tkj!$CE$5</f>
        <v>82</v>
      </c>
      <c r="G307" s="77">
        <f>tkj!$CF$5</f>
        <v>87</v>
      </c>
      <c r="H307" s="72"/>
      <c r="I307" s="72"/>
      <c r="J307" s="73"/>
      <c r="K307" s="73"/>
      <c r="L307" s="77">
        <f>tkj!$CG$5</f>
        <v>84</v>
      </c>
      <c r="M307" s="77">
        <f>tkj!$CH$5</f>
        <v>81</v>
      </c>
      <c r="N307" s="77">
        <f>tkj!$CI$5</f>
        <v>82</v>
      </c>
      <c r="O307" s="73"/>
      <c r="P307" s="74"/>
      <c r="Q307" s="74"/>
      <c r="R307" s="86">
        <f>tkj!$CL$5</f>
        <v>95</v>
      </c>
      <c r="S307" s="86">
        <f>tkj!$CK$5</f>
        <v>85</v>
      </c>
      <c r="T307" s="74"/>
      <c r="U307" s="86">
        <f>tkj!$CJ$5</f>
        <v>80</v>
      </c>
      <c r="V307" s="58"/>
      <c r="X307" s="278">
        <v>37</v>
      </c>
    </row>
    <row r="308" spans="1:24" ht="15" thickBot="1">
      <c r="A308" s="269">
        <v>33</v>
      </c>
      <c r="B308" s="272"/>
      <c r="C308" s="275"/>
      <c r="D308" s="78" t="s">
        <v>302</v>
      </c>
      <c r="E308" s="79">
        <f>(E305*4+E306*3+E307*3)/10</f>
        <v>85.58</v>
      </c>
      <c r="F308" s="79">
        <f t="shared" ref="F308:G308" si="63">(F305*4+F306*3+F307*3)/10</f>
        <v>84.94</v>
      </c>
      <c r="G308" s="79">
        <f t="shared" si="63"/>
        <v>87.78</v>
      </c>
      <c r="H308" s="79">
        <f>AVERAGE(H300:H303)</f>
        <v>83.25</v>
      </c>
      <c r="I308" s="79">
        <f>AVERAGE(I300:I303)</f>
        <v>85.25</v>
      </c>
      <c r="J308" s="79">
        <f>AVERAGE(J300:J301)</f>
        <v>81.5</v>
      </c>
      <c r="K308" s="79">
        <f>AVERAGE(K300:K303)</f>
        <v>77.25</v>
      </c>
      <c r="L308" s="79">
        <f>(L305*4+L306*3+L307*3)/10</f>
        <v>83.6</v>
      </c>
      <c r="M308" s="79">
        <f>(M305*4+M306*3+M307*3)/10</f>
        <v>79.400000000000006</v>
      </c>
      <c r="N308" s="79">
        <f>(N305*4+N306*3+N307*3)/10</f>
        <v>84.820000000000007</v>
      </c>
      <c r="O308" s="79">
        <f>AVERAGE(O300:O301)</f>
        <v>88</v>
      </c>
      <c r="P308" s="79">
        <f>AVERAGE(P300:P301)</f>
        <v>82</v>
      </c>
      <c r="Q308" s="79">
        <f>AVERAGE(Q300:Q301)</f>
        <v>85</v>
      </c>
      <c r="R308" s="79">
        <f>(R305*4+R306*3+R307*3)/10</f>
        <v>90.12222222222222</v>
      </c>
      <c r="S308" s="79">
        <f>(S305*4+S306*3+S307*3)/10</f>
        <v>86.1</v>
      </c>
      <c r="T308" s="79">
        <f>T306</f>
        <v>87</v>
      </c>
      <c r="U308" s="79">
        <f t="shared" ref="U308" si="64">(U305*4+U306*3+U307*3)/10</f>
        <v>83.633333333333326</v>
      </c>
      <c r="V308" s="80">
        <f>AVERAGE(E308:U308)</f>
        <v>84.42503267973855</v>
      </c>
      <c r="X308" s="278">
        <v>37</v>
      </c>
    </row>
    <row r="309" spans="1:24" ht="15.6" thickTop="1" thickBot="1">
      <c r="A309" s="268">
        <v>34</v>
      </c>
      <c r="B309" s="270" t="s">
        <v>345</v>
      </c>
      <c r="C309" s="273" t="s">
        <v>119</v>
      </c>
      <c r="D309" s="52" t="s">
        <v>294</v>
      </c>
      <c r="E309" s="53">
        <f>tkj!$E$38</f>
        <v>87</v>
      </c>
      <c r="F309" s="53">
        <f>tkj!$K$38</f>
        <v>80</v>
      </c>
      <c r="G309" s="53">
        <f>tkj!$Q$38</f>
        <v>83</v>
      </c>
      <c r="H309" s="53">
        <f>tkj!$W$38</f>
        <v>83</v>
      </c>
      <c r="I309" s="53">
        <f>tkj!$AA$38</f>
        <v>81</v>
      </c>
      <c r="J309" s="53">
        <f>tkj!$AE$38</f>
        <v>84</v>
      </c>
      <c r="K309" s="54">
        <f>tkj!$AG$38</f>
        <v>80</v>
      </c>
      <c r="L309" s="55"/>
      <c r="M309" s="53">
        <f>tkj!$AM$38</f>
        <v>70</v>
      </c>
      <c r="N309" s="53">
        <f>tkj!$AS$38</f>
        <v>79</v>
      </c>
      <c r="O309" s="53">
        <f>tkj!$AY$38</f>
        <v>79</v>
      </c>
      <c r="P309" s="54">
        <f>tkj!$BA$38</f>
        <v>82</v>
      </c>
      <c r="Q309" s="54">
        <f>tkj!$BC$38</f>
        <v>78</v>
      </c>
      <c r="R309" s="55"/>
      <c r="S309" s="55"/>
      <c r="T309" s="55"/>
      <c r="U309" s="55"/>
      <c r="V309" s="56"/>
      <c r="X309" s="278">
        <v>38</v>
      </c>
    </row>
    <row r="310" spans="1:24" ht="15" thickBot="1">
      <c r="A310" s="268">
        <v>34</v>
      </c>
      <c r="B310" s="271"/>
      <c r="C310" s="274"/>
      <c r="D310" s="52" t="s">
        <v>295</v>
      </c>
      <c r="E310" s="53">
        <f>tkj!$F$38</f>
        <v>80</v>
      </c>
      <c r="F310" s="53">
        <f>tkj!$L$38</f>
        <v>83</v>
      </c>
      <c r="G310" s="53">
        <f>tkj!$R$38</f>
        <v>87</v>
      </c>
      <c r="H310" s="53">
        <f>tkj!$X$38</f>
        <v>85</v>
      </c>
      <c r="I310" s="53">
        <f>tkj!$AB$38</f>
        <v>88</v>
      </c>
      <c r="J310" s="53">
        <f>tkj!$AF$38</f>
        <v>81</v>
      </c>
      <c r="K310" s="54">
        <f>tkj!$AH$38</f>
        <v>79</v>
      </c>
      <c r="L310" s="55"/>
      <c r="M310" s="53">
        <f>tkj!$AN$38</f>
        <v>72</v>
      </c>
      <c r="N310" s="53">
        <f>tkj!$AT$38</f>
        <v>80</v>
      </c>
      <c r="O310" s="53">
        <f>tkj!$AZ$38</f>
        <v>88</v>
      </c>
      <c r="P310" s="54">
        <f>tkj!$BB$38</f>
        <v>85</v>
      </c>
      <c r="Q310" s="54">
        <f>tkj!$BD$38</f>
        <v>80</v>
      </c>
      <c r="R310" s="55"/>
      <c r="S310" s="55"/>
      <c r="T310" s="55"/>
      <c r="U310" s="55"/>
      <c r="V310" s="58"/>
      <c r="X310" s="278">
        <v>38</v>
      </c>
    </row>
    <row r="311" spans="1:24" ht="15" thickBot="1">
      <c r="A311" s="268">
        <v>34</v>
      </c>
      <c r="B311" s="271"/>
      <c r="C311" s="274"/>
      <c r="D311" s="52" t="s">
        <v>296</v>
      </c>
      <c r="E311" s="53">
        <f>tkj!$G$38</f>
        <v>88</v>
      </c>
      <c r="F311" s="53">
        <f>tkj!$M$38</f>
        <v>90</v>
      </c>
      <c r="G311" s="53">
        <f>tkj!$S$38</f>
        <v>81</v>
      </c>
      <c r="H311" s="53">
        <f>tkj!$Y$38</f>
        <v>80</v>
      </c>
      <c r="I311" s="53">
        <f>tkj!$AC$38</f>
        <v>82</v>
      </c>
      <c r="J311" s="59"/>
      <c r="K311" s="54">
        <f>tkj!$AI$38</f>
        <v>72</v>
      </c>
      <c r="L311" s="55"/>
      <c r="M311" s="53">
        <f>tkj!$AO$38</f>
        <v>73</v>
      </c>
      <c r="N311" s="53">
        <f>tkj!$AU$38</f>
        <v>83</v>
      </c>
      <c r="O311" s="59"/>
      <c r="P311" s="55"/>
      <c r="Q311" s="55"/>
      <c r="R311" s="54">
        <f>tkj!$BQ$38</f>
        <v>82.333333333333329</v>
      </c>
      <c r="S311" s="54">
        <f>tkj!$BU$38</f>
        <v>83</v>
      </c>
      <c r="T311" s="55"/>
      <c r="U311" s="54">
        <f>tkj!$BZ$38</f>
        <v>74</v>
      </c>
      <c r="V311" s="58"/>
      <c r="X311" s="278">
        <v>38</v>
      </c>
    </row>
    <row r="312" spans="1:24" ht="15" thickBot="1">
      <c r="A312" s="268">
        <v>34</v>
      </c>
      <c r="B312" s="271"/>
      <c r="C312" s="274"/>
      <c r="D312" s="62" t="s">
        <v>297</v>
      </c>
      <c r="E312" s="53">
        <f>tkj!$H$38</f>
        <v>83</v>
      </c>
      <c r="F312" s="53">
        <f>tkj!$N$38</f>
        <v>95</v>
      </c>
      <c r="G312" s="53">
        <f>tkj!$T$38</f>
        <v>83</v>
      </c>
      <c r="H312" s="53">
        <f>tkj!$Z$38</f>
        <v>85</v>
      </c>
      <c r="I312" s="53">
        <f>tkj!$AD$38</f>
        <v>84</v>
      </c>
      <c r="J312" s="59"/>
      <c r="K312" s="54">
        <f>tkj!$AJ$38</f>
        <v>82</v>
      </c>
      <c r="L312" s="55"/>
      <c r="M312" s="53">
        <f>tkj!$AP$38</f>
        <v>74</v>
      </c>
      <c r="N312" s="53">
        <f>tkj!$AV$38</f>
        <v>88</v>
      </c>
      <c r="O312" s="59"/>
      <c r="P312" s="55"/>
      <c r="Q312" s="55"/>
      <c r="R312" s="54">
        <f>tkj!$BR$38</f>
        <v>82.666666666666671</v>
      </c>
      <c r="S312" s="54">
        <f>tkj!$BV$38</f>
        <v>83</v>
      </c>
      <c r="T312" s="63"/>
      <c r="U312" s="54">
        <f>tkj!$CA$38</f>
        <v>85</v>
      </c>
      <c r="V312" s="58"/>
      <c r="X312" s="278">
        <v>38</v>
      </c>
    </row>
    <row r="313" spans="1:24">
      <c r="A313" s="268">
        <v>34</v>
      </c>
      <c r="B313" s="271"/>
      <c r="C313" s="274"/>
      <c r="D313" s="62" t="s">
        <v>298</v>
      </c>
      <c r="E313" s="53">
        <f>tkj!$I$38</f>
        <v>93</v>
      </c>
      <c r="F313" s="53">
        <f>tkj!$O$38</f>
        <v>95</v>
      </c>
      <c r="G313" s="53">
        <f>tkj!$U$38</f>
        <v>86</v>
      </c>
      <c r="H313" s="65"/>
      <c r="I313" s="65"/>
      <c r="J313" s="59"/>
      <c r="K313" s="59"/>
      <c r="L313" s="53">
        <f>tkj!$AK$38</f>
        <v>80</v>
      </c>
      <c r="M313" s="53">
        <f>tkj!$AQ$38</f>
        <v>80</v>
      </c>
      <c r="N313" s="53">
        <f>tkj!$AW$38</f>
        <v>83</v>
      </c>
      <c r="O313" s="59"/>
      <c r="P313" s="55"/>
      <c r="Q313" s="55"/>
      <c r="R313" s="54">
        <f>tkj!$BS$38</f>
        <v>85.333333333333329</v>
      </c>
      <c r="S313" s="54">
        <f>tkj!$BW$38</f>
        <v>88</v>
      </c>
      <c r="T313" s="54"/>
      <c r="U313" s="54">
        <f>tkj!$CB$38</f>
        <v>80</v>
      </c>
      <c r="V313" s="58"/>
      <c r="X313" s="278">
        <v>38</v>
      </c>
    </row>
    <row r="314" spans="1:24">
      <c r="A314" s="268">
        <v>34</v>
      </c>
      <c r="B314" s="271"/>
      <c r="C314" s="274"/>
      <c r="D314" s="66" t="s">
        <v>299</v>
      </c>
      <c r="E314" s="67">
        <f>AVERAGE(E309:E313)</f>
        <v>86.2</v>
      </c>
      <c r="F314" s="67">
        <f>AVERAGE(F309:F313)</f>
        <v>88.6</v>
      </c>
      <c r="G314" s="67">
        <f>AVERAGE(G309:G313)</f>
        <v>84</v>
      </c>
      <c r="H314" s="68"/>
      <c r="I314" s="68"/>
      <c r="J314" s="69"/>
      <c r="K314" s="69"/>
      <c r="L314" s="67">
        <f>AVERAGE(L309:L313)</f>
        <v>80</v>
      </c>
      <c r="M314" s="67">
        <f>AVERAGE(M309:M313)</f>
        <v>73.8</v>
      </c>
      <c r="N314" s="67">
        <f>AVERAGE(N309:N313)</f>
        <v>82.6</v>
      </c>
      <c r="O314" s="69"/>
      <c r="P314" s="63"/>
      <c r="Q314" s="63"/>
      <c r="R314" s="84">
        <f>AVERAGE(R311:R313)</f>
        <v>83.444444444444443</v>
      </c>
      <c r="S314" s="84">
        <f>AVERAGE(S311:S313)</f>
        <v>84.666666666666671</v>
      </c>
      <c r="T314" s="63"/>
      <c r="U314" s="84">
        <f>AVERAGE(U309:U313)</f>
        <v>79.666666666666671</v>
      </c>
      <c r="V314" s="58"/>
      <c r="X314" s="278">
        <v>38</v>
      </c>
    </row>
    <row r="315" spans="1:24">
      <c r="A315" s="268">
        <v>34</v>
      </c>
      <c r="B315" s="271"/>
      <c r="C315" s="274"/>
      <c r="D315" s="70" t="s">
        <v>300</v>
      </c>
      <c r="E315" s="71">
        <f>tkj!$J$38</f>
        <v>85</v>
      </c>
      <c r="F315" s="71">
        <f>tkj!$P$38</f>
        <v>85</v>
      </c>
      <c r="G315" s="71">
        <f>tkj!$V$38</f>
        <v>83</v>
      </c>
      <c r="H315" s="72"/>
      <c r="I315" s="72"/>
      <c r="J315" s="73"/>
      <c r="K315" s="73"/>
      <c r="L315" s="71">
        <f>tkj!$AL$38</f>
        <v>83</v>
      </c>
      <c r="M315" s="71">
        <f>tkj!$AR$38</f>
        <v>73</v>
      </c>
      <c r="N315" s="71">
        <f>tkj!$AX$38</f>
        <v>73</v>
      </c>
      <c r="O315" s="73"/>
      <c r="P315" s="74"/>
      <c r="Q315" s="74"/>
      <c r="R315" s="85">
        <f>tkj!$BT$38</f>
        <v>74</v>
      </c>
      <c r="S315" s="85">
        <f>tkj!$BX$38</f>
        <v>74</v>
      </c>
      <c r="T315" s="85">
        <f>tkj!$BY$38</f>
        <v>80</v>
      </c>
      <c r="U315" s="75">
        <f>tkj!$CC$38</f>
        <v>73</v>
      </c>
      <c r="V315" s="58"/>
      <c r="X315" s="278">
        <v>38</v>
      </c>
    </row>
    <row r="316" spans="1:24">
      <c r="A316" s="268">
        <v>34</v>
      </c>
      <c r="B316" s="271"/>
      <c r="C316" s="274"/>
      <c r="D316" s="76" t="s">
        <v>301</v>
      </c>
      <c r="E316" s="77">
        <f>tkj!$CD$38</f>
        <v>89</v>
      </c>
      <c r="F316" s="77">
        <f>tkj!$CE$38</f>
        <v>94</v>
      </c>
      <c r="G316" s="77">
        <f>tkj!$CF$38</f>
        <v>78</v>
      </c>
      <c r="H316" s="72"/>
      <c r="I316" s="72"/>
      <c r="J316" s="73"/>
      <c r="K316" s="73"/>
      <c r="L316" s="77">
        <f>tkj!$CG$38</f>
        <v>90</v>
      </c>
      <c r="M316" s="77">
        <f>tkj!$CH$38</f>
        <v>79</v>
      </c>
      <c r="N316" s="77">
        <f>tkj!$CI$38</f>
        <v>88</v>
      </c>
      <c r="O316" s="73"/>
      <c r="P316" s="74"/>
      <c r="Q316" s="74"/>
      <c r="R316" s="86">
        <f>tkj!$CL$38</f>
        <v>87</v>
      </c>
      <c r="S316" s="86">
        <f>tkj!$CK$38</f>
        <v>89</v>
      </c>
      <c r="T316" s="74"/>
      <c r="U316" s="86">
        <f>tkj!$CJ$38</f>
        <v>80</v>
      </c>
      <c r="V316" s="58"/>
      <c r="X316" s="278">
        <v>38</v>
      </c>
    </row>
    <row r="317" spans="1:24" ht="15" thickBot="1">
      <c r="A317" s="269">
        <v>34</v>
      </c>
      <c r="B317" s="272"/>
      <c r="C317" s="275"/>
      <c r="D317" s="78" t="s">
        <v>302</v>
      </c>
      <c r="E317" s="79">
        <f>(E314*4+E315*3+E316*3)/10</f>
        <v>86.679999999999993</v>
      </c>
      <c r="F317" s="79">
        <f t="shared" ref="F317:G317" si="65">(F314*4+F315*3+F316*3)/10</f>
        <v>89.14</v>
      </c>
      <c r="G317" s="79">
        <f t="shared" si="65"/>
        <v>81.900000000000006</v>
      </c>
      <c r="H317" s="79">
        <f>AVERAGE(H309:H312)</f>
        <v>83.25</v>
      </c>
      <c r="I317" s="79">
        <f>AVERAGE(I309:I312)</f>
        <v>83.75</v>
      </c>
      <c r="J317" s="79">
        <f>AVERAGE(J309:J310)</f>
        <v>82.5</v>
      </c>
      <c r="K317" s="79">
        <f>AVERAGE(K309:K312)</f>
        <v>78.25</v>
      </c>
      <c r="L317" s="79">
        <f>(L314*4+L315*3+L316*3)/10</f>
        <v>83.9</v>
      </c>
      <c r="M317" s="79">
        <f>(M314*4+M315*3+M316*3)/10</f>
        <v>75.12</v>
      </c>
      <c r="N317" s="79">
        <f>(N314*4+N315*3+N316*3)/10</f>
        <v>81.34</v>
      </c>
      <c r="O317" s="79">
        <f>AVERAGE(O309:O310)</f>
        <v>83.5</v>
      </c>
      <c r="P317" s="79">
        <f>AVERAGE(P309:P310)</f>
        <v>83.5</v>
      </c>
      <c r="Q317" s="79">
        <f>AVERAGE(Q309:Q310)</f>
        <v>79</v>
      </c>
      <c r="R317" s="79">
        <f>(R314*4+R315*3+R316*3)/10</f>
        <v>81.677777777777777</v>
      </c>
      <c r="S317" s="79">
        <f>(S314*4+S315*3+S316*3)/10</f>
        <v>82.76666666666668</v>
      </c>
      <c r="T317" s="79">
        <f>T315</f>
        <v>80</v>
      </c>
      <c r="U317" s="79">
        <f t="shared" ref="U317" si="66">(U314*4+U315*3+U316*3)/10</f>
        <v>77.76666666666668</v>
      </c>
      <c r="V317" s="80">
        <f>AVERAGE(E317:U317)</f>
        <v>82.002418300653588</v>
      </c>
      <c r="X317" s="278">
        <v>38</v>
      </c>
    </row>
    <row r="318" spans="1:24" ht="15.6" thickTop="1" thickBot="1">
      <c r="A318" s="268">
        <v>35</v>
      </c>
      <c r="B318" s="270" t="s">
        <v>346</v>
      </c>
      <c r="C318" s="273" t="s">
        <v>121</v>
      </c>
      <c r="D318" s="52" t="s">
        <v>294</v>
      </c>
      <c r="E318" s="53">
        <f>tkj!$E$39</f>
        <v>85</v>
      </c>
      <c r="F318" s="53">
        <f>tkj!$K$39</f>
        <v>86</v>
      </c>
      <c r="G318" s="53">
        <f>tkj!$Q$39</f>
        <v>80</v>
      </c>
      <c r="H318" s="53">
        <f>tkj!$W$39</f>
        <v>82</v>
      </c>
      <c r="I318" s="53">
        <f>tkj!$AA$39</f>
        <v>80</v>
      </c>
      <c r="J318" s="53">
        <f>tkj!$AE$39</f>
        <v>84</v>
      </c>
      <c r="K318" s="54">
        <f>tkj!$AG$39</f>
        <v>79</v>
      </c>
      <c r="L318" s="55"/>
      <c r="M318" s="53">
        <f>tkj!$AM$39</f>
        <v>76</v>
      </c>
      <c r="N318" s="53">
        <f>tkj!$AS$39</f>
        <v>71</v>
      </c>
      <c r="O318" s="53">
        <f>tkj!$AY$39</f>
        <v>87</v>
      </c>
      <c r="P318" s="54">
        <f>tkj!$BA$39</f>
        <v>85</v>
      </c>
      <c r="Q318" s="54">
        <f>tkj!$BC$39</f>
        <v>85</v>
      </c>
      <c r="R318" s="55"/>
      <c r="S318" s="55"/>
      <c r="T318" s="55"/>
      <c r="U318" s="55"/>
      <c r="V318" s="56"/>
      <c r="X318" s="278">
        <v>39</v>
      </c>
    </row>
    <row r="319" spans="1:24" ht="15" thickBot="1">
      <c r="A319" s="268">
        <v>35</v>
      </c>
      <c r="B319" s="271"/>
      <c r="C319" s="274"/>
      <c r="D319" s="52" t="s">
        <v>295</v>
      </c>
      <c r="E319" s="53">
        <f>tkj!$F$39</f>
        <v>84</v>
      </c>
      <c r="F319" s="53">
        <f>tkj!$L$39</f>
        <v>76</v>
      </c>
      <c r="G319" s="53">
        <f>tkj!$R$39</f>
        <v>89</v>
      </c>
      <c r="H319" s="53">
        <f>tkj!$X$39</f>
        <v>85</v>
      </c>
      <c r="I319" s="53">
        <f>tkj!$AB$39</f>
        <v>82</v>
      </c>
      <c r="J319" s="53">
        <f>tkj!$AF$39</f>
        <v>80</v>
      </c>
      <c r="K319" s="54">
        <f>tkj!$AH$39</f>
        <v>77</v>
      </c>
      <c r="L319" s="55"/>
      <c r="M319" s="53">
        <f>tkj!$AN$39</f>
        <v>78</v>
      </c>
      <c r="N319" s="53">
        <f>tkj!$AT$39</f>
        <v>83</v>
      </c>
      <c r="O319" s="53">
        <f>tkj!$AZ$39</f>
        <v>90</v>
      </c>
      <c r="P319" s="54">
        <f>tkj!$BB$39</f>
        <v>82</v>
      </c>
      <c r="Q319" s="54">
        <f>tkj!$BD$39</f>
        <v>80</v>
      </c>
      <c r="R319" s="55"/>
      <c r="S319" s="55"/>
      <c r="T319" s="55"/>
      <c r="U319" s="55"/>
      <c r="V319" s="58"/>
      <c r="X319" s="278">
        <v>39</v>
      </c>
    </row>
    <row r="320" spans="1:24" ht="15" thickBot="1">
      <c r="A320" s="268">
        <v>35</v>
      </c>
      <c r="B320" s="271"/>
      <c r="C320" s="274"/>
      <c r="D320" s="52" t="s">
        <v>296</v>
      </c>
      <c r="E320" s="53">
        <f>tkj!$G$39</f>
        <v>90</v>
      </c>
      <c r="F320" s="53">
        <f>tkj!$M$39</f>
        <v>88</v>
      </c>
      <c r="G320" s="53">
        <f>tkj!$S$39</f>
        <v>81</v>
      </c>
      <c r="H320" s="53">
        <f>tkj!$Y$39</f>
        <v>82</v>
      </c>
      <c r="I320" s="53">
        <f>tkj!$AC$39</f>
        <v>82</v>
      </c>
      <c r="J320" s="59"/>
      <c r="K320" s="54">
        <f>tkj!$AI$39</f>
        <v>72</v>
      </c>
      <c r="L320" s="55"/>
      <c r="M320" s="53">
        <f>tkj!$AO$39</f>
        <v>75</v>
      </c>
      <c r="N320" s="53">
        <f>tkj!$AU$39</f>
        <v>83</v>
      </c>
      <c r="O320" s="59"/>
      <c r="P320" s="55"/>
      <c r="Q320" s="55"/>
      <c r="R320" s="54">
        <f>tkj!$BQ$39</f>
        <v>81.666666666666671</v>
      </c>
      <c r="S320" s="54">
        <f>tkj!$BU$39</f>
        <v>89</v>
      </c>
      <c r="T320" s="55"/>
      <c r="U320" s="54">
        <f>tkj!$BZ$39</f>
        <v>74</v>
      </c>
      <c r="V320" s="58"/>
      <c r="X320" s="278">
        <v>39</v>
      </c>
    </row>
    <row r="321" spans="1:24" ht="15" thickBot="1">
      <c r="A321" s="268">
        <v>35</v>
      </c>
      <c r="B321" s="271"/>
      <c r="C321" s="274"/>
      <c r="D321" s="62" t="s">
        <v>297</v>
      </c>
      <c r="E321" s="53">
        <f>tkj!$H$39</f>
        <v>84</v>
      </c>
      <c r="F321" s="53">
        <f>tkj!$N$39</f>
        <v>88</v>
      </c>
      <c r="G321" s="53">
        <f>tkj!$T$39</f>
        <v>84</v>
      </c>
      <c r="H321" s="53">
        <f>tkj!$Z$39</f>
        <v>86</v>
      </c>
      <c r="I321" s="53">
        <f>tkj!$AD$39</f>
        <v>85</v>
      </c>
      <c r="J321" s="59"/>
      <c r="K321" s="54">
        <f>tkj!$AJ$39</f>
        <v>84</v>
      </c>
      <c r="L321" s="55"/>
      <c r="M321" s="53">
        <f>tkj!$AP$39</f>
        <v>76</v>
      </c>
      <c r="N321" s="53">
        <f>tkj!$AV$39</f>
        <v>85</v>
      </c>
      <c r="O321" s="59"/>
      <c r="P321" s="55"/>
      <c r="Q321" s="55"/>
      <c r="R321" s="54">
        <f>tkj!$BR$39</f>
        <v>83.666666666666671</v>
      </c>
      <c r="S321" s="54">
        <f>tkj!$BV$39</f>
        <v>89</v>
      </c>
      <c r="T321" s="63"/>
      <c r="U321" s="54">
        <f>tkj!$CA$39</f>
        <v>86</v>
      </c>
      <c r="V321" s="58"/>
      <c r="X321" s="278">
        <v>39</v>
      </c>
    </row>
    <row r="322" spans="1:24">
      <c r="A322" s="268">
        <v>35</v>
      </c>
      <c r="B322" s="271"/>
      <c r="C322" s="274"/>
      <c r="D322" s="62" t="s">
        <v>298</v>
      </c>
      <c r="E322" s="53">
        <f>tkj!$I$39</f>
        <v>90</v>
      </c>
      <c r="F322" s="53">
        <f>tkj!$O$39</f>
        <v>92</v>
      </c>
      <c r="G322" s="53">
        <f>tkj!$U$39</f>
        <v>73</v>
      </c>
      <c r="H322" s="65"/>
      <c r="I322" s="65"/>
      <c r="J322" s="59"/>
      <c r="K322" s="59"/>
      <c r="L322" s="53">
        <f>tkj!$AK$39</f>
        <v>80</v>
      </c>
      <c r="M322" s="53">
        <f>tkj!$AQ$39</f>
        <v>80</v>
      </c>
      <c r="N322" s="53">
        <f>tkj!$AW$39</f>
        <v>83</v>
      </c>
      <c r="O322" s="59"/>
      <c r="P322" s="55"/>
      <c r="Q322" s="55"/>
      <c r="R322" s="54">
        <f>tkj!$BS$39</f>
        <v>84.666666666666671</v>
      </c>
      <c r="S322" s="54">
        <f>tkj!$BW$39</f>
        <v>86</v>
      </c>
      <c r="T322" s="54"/>
      <c r="U322" s="54">
        <f>tkj!$CB$39</f>
        <v>80</v>
      </c>
      <c r="V322" s="58"/>
      <c r="X322" s="278">
        <v>39</v>
      </c>
    </row>
    <row r="323" spans="1:24">
      <c r="A323" s="268">
        <v>35</v>
      </c>
      <c r="B323" s="271"/>
      <c r="C323" s="274"/>
      <c r="D323" s="66" t="s">
        <v>299</v>
      </c>
      <c r="E323" s="67">
        <f>AVERAGE(E318:E322)</f>
        <v>86.6</v>
      </c>
      <c r="F323" s="67">
        <f>AVERAGE(F318:F322)</f>
        <v>86</v>
      </c>
      <c r="G323" s="67">
        <f>AVERAGE(G318:G322)</f>
        <v>81.400000000000006</v>
      </c>
      <c r="H323" s="68"/>
      <c r="I323" s="68"/>
      <c r="J323" s="69"/>
      <c r="K323" s="69"/>
      <c r="L323" s="67">
        <f>AVERAGE(L318:L322)</f>
        <v>80</v>
      </c>
      <c r="M323" s="67">
        <f>AVERAGE(M318:M322)</f>
        <v>77</v>
      </c>
      <c r="N323" s="67">
        <f>AVERAGE(N318:N322)</f>
        <v>81</v>
      </c>
      <c r="O323" s="69"/>
      <c r="P323" s="63"/>
      <c r="Q323" s="63"/>
      <c r="R323" s="84">
        <f>AVERAGE(R320:R322)</f>
        <v>83.333333333333329</v>
      </c>
      <c r="S323" s="84">
        <f>AVERAGE(S320:S322)</f>
        <v>88</v>
      </c>
      <c r="T323" s="63"/>
      <c r="U323" s="84">
        <f>AVERAGE(U318:U322)</f>
        <v>80</v>
      </c>
      <c r="V323" s="58"/>
      <c r="X323" s="278">
        <v>39</v>
      </c>
    </row>
    <row r="324" spans="1:24">
      <c r="A324" s="268">
        <v>35</v>
      </c>
      <c r="B324" s="271"/>
      <c r="C324" s="274"/>
      <c r="D324" s="70" t="s">
        <v>300</v>
      </c>
      <c r="E324" s="71">
        <f>tkj!$J$39</f>
        <v>74</v>
      </c>
      <c r="F324" s="71">
        <f>tkj!$P$39</f>
        <v>95</v>
      </c>
      <c r="G324" s="71">
        <f>tkj!$V$39</f>
        <v>89</v>
      </c>
      <c r="H324" s="72"/>
      <c r="I324" s="72"/>
      <c r="J324" s="73"/>
      <c r="K324" s="73"/>
      <c r="L324" s="71">
        <f>tkj!$AL$39</f>
        <v>89</v>
      </c>
      <c r="M324" s="71">
        <f>tkj!$AR$39</f>
        <v>85</v>
      </c>
      <c r="N324" s="71">
        <f>tkj!$AX$39</f>
        <v>85</v>
      </c>
      <c r="O324" s="73"/>
      <c r="P324" s="74"/>
      <c r="Q324" s="74"/>
      <c r="R324" s="85">
        <f>tkj!$BT$39</f>
        <v>90</v>
      </c>
      <c r="S324" s="85">
        <f>tkj!$BX$39</f>
        <v>90</v>
      </c>
      <c r="T324" s="85">
        <f>tkj!$BY$39</f>
        <v>87</v>
      </c>
      <c r="U324" s="75">
        <f>tkj!$CC$39</f>
        <v>85</v>
      </c>
      <c r="V324" s="58"/>
      <c r="X324" s="278">
        <v>39</v>
      </c>
    </row>
    <row r="325" spans="1:24">
      <c r="A325" s="268">
        <v>35</v>
      </c>
      <c r="B325" s="271"/>
      <c r="C325" s="274"/>
      <c r="D325" s="76" t="s">
        <v>301</v>
      </c>
      <c r="E325" s="77">
        <f>tkj!$CD$39</f>
        <v>86</v>
      </c>
      <c r="F325" s="77">
        <f>tkj!$CE$39</f>
        <v>86</v>
      </c>
      <c r="G325" s="77">
        <f>tkj!$CF$39</f>
        <v>78</v>
      </c>
      <c r="H325" s="72"/>
      <c r="I325" s="72"/>
      <c r="J325" s="73"/>
      <c r="K325" s="73"/>
      <c r="L325" s="77">
        <f>tkj!$CG$39</f>
        <v>92</v>
      </c>
      <c r="M325" s="77">
        <f>tkj!$CH$39</f>
        <v>80</v>
      </c>
      <c r="N325" s="77">
        <f>tkj!$CI$39</f>
        <v>83</v>
      </c>
      <c r="O325" s="73"/>
      <c r="P325" s="74"/>
      <c r="Q325" s="74"/>
      <c r="R325" s="86">
        <f>tkj!$CL$39</f>
        <v>85</v>
      </c>
      <c r="S325" s="86">
        <f>tkj!$CK$39</f>
        <v>88</v>
      </c>
      <c r="T325" s="74"/>
      <c r="U325" s="86">
        <f>tkj!$CJ$39</f>
        <v>82</v>
      </c>
      <c r="V325" s="58"/>
      <c r="X325" s="278">
        <v>39</v>
      </c>
    </row>
    <row r="326" spans="1:24" ht="15" thickBot="1">
      <c r="A326" s="269">
        <v>35</v>
      </c>
      <c r="B326" s="272"/>
      <c r="C326" s="275"/>
      <c r="D326" s="78" t="s">
        <v>302</v>
      </c>
      <c r="E326" s="79">
        <f>(E323*4+E324*3+E325*3)/10</f>
        <v>82.64</v>
      </c>
      <c r="F326" s="79">
        <f t="shared" ref="F326:G326" si="67">(F323*4+F324*3+F325*3)/10</f>
        <v>88.7</v>
      </c>
      <c r="G326" s="79">
        <f t="shared" si="67"/>
        <v>82.66</v>
      </c>
      <c r="H326" s="79">
        <f>AVERAGE(H318:H321)</f>
        <v>83.75</v>
      </c>
      <c r="I326" s="79">
        <f>AVERAGE(I318:I321)</f>
        <v>82.25</v>
      </c>
      <c r="J326" s="79">
        <f>AVERAGE(J318:J319)</f>
        <v>82</v>
      </c>
      <c r="K326" s="79">
        <f>AVERAGE(K318:K321)</f>
        <v>78</v>
      </c>
      <c r="L326" s="79">
        <f>(L323*4+L324*3+L325*3)/10</f>
        <v>86.3</v>
      </c>
      <c r="M326" s="79">
        <f>(M323*4+M324*3+M325*3)/10</f>
        <v>80.3</v>
      </c>
      <c r="N326" s="79">
        <f>(N323*4+N324*3+N325*3)/10</f>
        <v>82.8</v>
      </c>
      <c r="O326" s="79">
        <f>AVERAGE(O318:O319)</f>
        <v>88.5</v>
      </c>
      <c r="P326" s="79">
        <f>AVERAGE(P318:P319)</f>
        <v>83.5</v>
      </c>
      <c r="Q326" s="79">
        <f>AVERAGE(Q318:Q319)</f>
        <v>82.5</v>
      </c>
      <c r="R326" s="79">
        <f>(R323*4+R324*3+R325*3)/10</f>
        <v>85.833333333333329</v>
      </c>
      <c r="S326" s="79">
        <f>(S323*4+S324*3+S325*3)/10</f>
        <v>88.6</v>
      </c>
      <c r="T326" s="79">
        <f>T324</f>
        <v>87</v>
      </c>
      <c r="U326" s="79">
        <f t="shared" ref="U326" si="68">(U323*4+U324*3+U325*3)/10</f>
        <v>82.1</v>
      </c>
      <c r="V326" s="80">
        <f>AVERAGE(E326:U326)</f>
        <v>83.96666666666664</v>
      </c>
      <c r="X326" s="278">
        <v>39</v>
      </c>
    </row>
    <row r="327" spans="1:24" ht="18" customHeight="1" thickTop="1" thickBot="1">
      <c r="A327" s="268">
        <v>36</v>
      </c>
      <c r="B327" s="270" t="s">
        <v>347</v>
      </c>
      <c r="C327" s="273" t="s">
        <v>123</v>
      </c>
      <c r="D327" s="52" t="s">
        <v>294</v>
      </c>
      <c r="E327" s="53">
        <f>tkj!$E$40</f>
        <v>83</v>
      </c>
      <c r="F327" s="53">
        <f>tkj!$K$40</f>
        <v>80</v>
      </c>
      <c r="G327" s="53">
        <f>tkj!$Q$40</f>
        <v>80</v>
      </c>
      <c r="H327" s="53">
        <f>tkj!$W$40</f>
        <v>81</v>
      </c>
      <c r="I327" s="53">
        <f>tkj!$AA$40</f>
        <v>77</v>
      </c>
      <c r="J327" s="53">
        <f>tkj!$AE$40</f>
        <v>83</v>
      </c>
      <c r="K327" s="54">
        <f>tkj!$AG$40</f>
        <v>75</v>
      </c>
      <c r="L327" s="55"/>
      <c r="M327" s="53">
        <f>tkj!$AM$40</f>
        <v>71</v>
      </c>
      <c r="N327" s="53">
        <f>tkj!$AS$40</f>
        <v>80</v>
      </c>
      <c r="O327" s="53">
        <f>tkj!$AY$40</f>
        <v>76</v>
      </c>
      <c r="P327" s="54">
        <f>tkj!$BA$40</f>
        <v>71</v>
      </c>
      <c r="Q327" s="54">
        <f>tkj!$BC$40</f>
        <v>80</v>
      </c>
      <c r="R327" s="55"/>
      <c r="S327" s="55"/>
      <c r="T327" s="55"/>
      <c r="U327" s="55"/>
      <c r="V327" s="56"/>
      <c r="X327" s="278">
        <v>40</v>
      </c>
    </row>
    <row r="328" spans="1:24" ht="15" thickBot="1">
      <c r="A328" s="268">
        <v>36</v>
      </c>
      <c r="B328" s="271"/>
      <c r="C328" s="274"/>
      <c r="D328" s="52" t="s">
        <v>295</v>
      </c>
      <c r="E328" s="53">
        <f>tkj!$F$40</f>
        <v>81</v>
      </c>
      <c r="F328" s="53">
        <f>tkj!$L$40</f>
        <v>82</v>
      </c>
      <c r="G328" s="53">
        <f>tkj!$R$40</f>
        <v>87</v>
      </c>
      <c r="H328" s="53">
        <f>tkj!$X$40</f>
        <v>84</v>
      </c>
      <c r="I328" s="53">
        <f>tkj!$AB$40</f>
        <v>84</v>
      </c>
      <c r="J328" s="53">
        <f>tkj!$AF$40</f>
        <v>83</v>
      </c>
      <c r="K328" s="54">
        <f>tkj!$AH$40</f>
        <v>76</v>
      </c>
      <c r="L328" s="55"/>
      <c r="M328" s="53">
        <f>tkj!$AN$40</f>
        <v>73</v>
      </c>
      <c r="N328" s="53">
        <f>tkj!$AT$40</f>
        <v>85</v>
      </c>
      <c r="O328" s="53">
        <f>tkj!$AZ$40</f>
        <v>79</v>
      </c>
      <c r="P328" s="54">
        <f>tkj!$BB$40</f>
        <v>78</v>
      </c>
      <c r="Q328" s="54">
        <f>tkj!$BD$40</f>
        <v>80</v>
      </c>
      <c r="R328" s="55"/>
      <c r="S328" s="55"/>
      <c r="T328" s="55"/>
      <c r="U328" s="55"/>
      <c r="V328" s="58"/>
      <c r="X328" s="278">
        <v>40</v>
      </c>
    </row>
    <row r="329" spans="1:24" ht="15" thickBot="1">
      <c r="A329" s="268">
        <v>36</v>
      </c>
      <c r="B329" s="271"/>
      <c r="C329" s="274"/>
      <c r="D329" s="52" t="s">
        <v>296</v>
      </c>
      <c r="E329" s="53">
        <f>tkj!$G$40</f>
        <v>88</v>
      </c>
      <c r="F329" s="53">
        <f>tkj!$M$40</f>
        <v>77</v>
      </c>
      <c r="G329" s="53">
        <f>tkj!$S$40</f>
        <v>75</v>
      </c>
      <c r="H329" s="53">
        <f>tkj!$Y$40</f>
        <v>80</v>
      </c>
      <c r="I329" s="53">
        <f>tkj!$AC$40</f>
        <v>82</v>
      </c>
      <c r="J329" s="59"/>
      <c r="K329" s="54">
        <f>tkj!$AI$40</f>
        <v>75</v>
      </c>
      <c r="L329" s="55"/>
      <c r="M329" s="53">
        <f>tkj!$AO$40</f>
        <v>73</v>
      </c>
      <c r="N329" s="53">
        <f>tkj!$AU$40</f>
        <v>80</v>
      </c>
      <c r="O329" s="59"/>
      <c r="P329" s="55"/>
      <c r="Q329" s="55"/>
      <c r="R329" s="54">
        <f>tkj!$BQ$40</f>
        <v>80.666666666666671</v>
      </c>
      <c r="S329" s="54">
        <f>tkj!$BU$40</f>
        <v>81</v>
      </c>
      <c r="T329" s="55"/>
      <c r="U329" s="54">
        <f>tkj!$BZ$40</f>
        <v>73</v>
      </c>
      <c r="V329" s="58"/>
      <c r="X329" s="278">
        <v>40</v>
      </c>
    </row>
    <row r="330" spans="1:24" ht="15" thickBot="1">
      <c r="A330" s="268">
        <v>36</v>
      </c>
      <c r="B330" s="271"/>
      <c r="C330" s="274"/>
      <c r="D330" s="62" t="s">
        <v>297</v>
      </c>
      <c r="E330" s="53">
        <f>tkj!$H$40</f>
        <v>84</v>
      </c>
      <c r="F330" s="53">
        <f>tkj!$N$40</f>
        <v>83</v>
      </c>
      <c r="G330" s="53">
        <f>tkj!$T$40</f>
        <v>74</v>
      </c>
      <c r="H330" s="53">
        <f>tkj!$Z$40</f>
        <v>84</v>
      </c>
      <c r="I330" s="53">
        <f>tkj!$AD$40</f>
        <v>82</v>
      </c>
      <c r="J330" s="59"/>
      <c r="K330" s="54">
        <f>tkj!$AJ$40</f>
        <v>82</v>
      </c>
      <c r="L330" s="55"/>
      <c r="M330" s="53">
        <f>tkj!$AP$40</f>
        <v>74</v>
      </c>
      <c r="N330" s="53">
        <f>tkj!$AV$40</f>
        <v>83</v>
      </c>
      <c r="O330" s="59"/>
      <c r="P330" s="55"/>
      <c r="Q330" s="55"/>
      <c r="R330" s="54">
        <f>tkj!$BR$40</f>
        <v>75.333333333333329</v>
      </c>
      <c r="S330" s="54">
        <f>tkj!$BV$40</f>
        <v>81</v>
      </c>
      <c r="T330" s="63"/>
      <c r="U330" s="54">
        <f>tkj!$CA$40</f>
        <v>84</v>
      </c>
      <c r="V330" s="58"/>
      <c r="X330" s="278">
        <v>40</v>
      </c>
    </row>
    <row r="331" spans="1:24">
      <c r="A331" s="268">
        <v>36</v>
      </c>
      <c r="B331" s="271"/>
      <c r="C331" s="274"/>
      <c r="D331" s="62" t="s">
        <v>298</v>
      </c>
      <c r="E331" s="53">
        <f>tkj!$I$40</f>
        <v>90</v>
      </c>
      <c r="F331" s="53">
        <f>tkj!$O$40</f>
        <v>85</v>
      </c>
      <c r="G331" s="53">
        <f>tkj!$U$40</f>
        <v>72</v>
      </c>
      <c r="H331" s="65"/>
      <c r="I331" s="65"/>
      <c r="J331" s="59"/>
      <c r="K331" s="59"/>
      <c r="L331" s="53">
        <f>tkj!$AK$40</f>
        <v>80</v>
      </c>
      <c r="M331" s="53">
        <f>tkj!$AQ$40</f>
        <v>78</v>
      </c>
      <c r="N331" s="53">
        <f>tkj!$AW$40</f>
        <v>80</v>
      </c>
      <c r="O331" s="59"/>
      <c r="P331" s="55"/>
      <c r="Q331" s="55"/>
      <c r="R331" s="54">
        <f>tkj!$BS$40</f>
        <v>80.333333333333329</v>
      </c>
      <c r="S331" s="54">
        <f>tkj!$BW$40</f>
        <v>86</v>
      </c>
      <c r="T331" s="54"/>
      <c r="U331" s="54">
        <f>tkj!$CB$40</f>
        <v>73</v>
      </c>
      <c r="V331" s="58"/>
      <c r="X331" s="278">
        <v>40</v>
      </c>
    </row>
    <row r="332" spans="1:24">
      <c r="A332" s="268">
        <v>36</v>
      </c>
      <c r="B332" s="271"/>
      <c r="C332" s="274"/>
      <c r="D332" s="66" t="s">
        <v>299</v>
      </c>
      <c r="E332" s="67">
        <f>AVERAGE(E327:E331)</f>
        <v>85.2</v>
      </c>
      <c r="F332" s="67">
        <f>AVERAGE(F327:F331)</f>
        <v>81.400000000000006</v>
      </c>
      <c r="G332" s="67">
        <f>AVERAGE(G327:G331)</f>
        <v>77.599999999999994</v>
      </c>
      <c r="H332" s="68"/>
      <c r="I332" s="68"/>
      <c r="J332" s="69"/>
      <c r="K332" s="69"/>
      <c r="L332" s="67">
        <f>AVERAGE(L327:L331)</f>
        <v>80</v>
      </c>
      <c r="M332" s="67">
        <f>AVERAGE(M327:M331)</f>
        <v>73.8</v>
      </c>
      <c r="N332" s="67">
        <f>AVERAGE(N327:N331)</f>
        <v>81.599999999999994</v>
      </c>
      <c r="O332" s="69"/>
      <c r="P332" s="63"/>
      <c r="Q332" s="63"/>
      <c r="R332" s="84">
        <f>AVERAGE(R329:R331)</f>
        <v>78.777777777777771</v>
      </c>
      <c r="S332" s="84">
        <f>AVERAGE(S329:S331)</f>
        <v>82.666666666666671</v>
      </c>
      <c r="T332" s="63"/>
      <c r="U332" s="84">
        <f>AVERAGE(U327:U331)</f>
        <v>76.666666666666671</v>
      </c>
      <c r="V332" s="58"/>
      <c r="X332" s="278">
        <v>40</v>
      </c>
    </row>
    <row r="333" spans="1:24">
      <c r="A333" s="268">
        <v>36</v>
      </c>
      <c r="B333" s="271"/>
      <c r="C333" s="274"/>
      <c r="D333" s="70" t="s">
        <v>300</v>
      </c>
      <c r="E333" s="71">
        <f>tkj!$J$40</f>
        <v>85</v>
      </c>
      <c r="F333" s="71">
        <f>tkj!$P$40</f>
        <v>83</v>
      </c>
      <c r="G333" s="71">
        <f>tkj!$V$40</f>
        <v>83</v>
      </c>
      <c r="H333" s="72"/>
      <c r="I333" s="72"/>
      <c r="J333" s="73"/>
      <c r="K333" s="73"/>
      <c r="L333" s="71">
        <f>tkj!$AL$40</f>
        <v>83</v>
      </c>
      <c r="M333" s="71">
        <f>tkj!$AR$40</f>
        <v>80</v>
      </c>
      <c r="N333" s="71">
        <f>tkj!$AX$40</f>
        <v>80</v>
      </c>
      <c r="O333" s="73"/>
      <c r="P333" s="74"/>
      <c r="Q333" s="74"/>
      <c r="R333" s="85">
        <f>tkj!$BT$40</f>
        <v>83</v>
      </c>
      <c r="S333" s="85">
        <f>tkj!$BX$40</f>
        <v>83</v>
      </c>
      <c r="T333" s="85">
        <f>tkj!$BY$40</f>
        <v>83</v>
      </c>
      <c r="U333" s="75">
        <f>tkj!$CC$40</f>
        <v>80</v>
      </c>
      <c r="V333" s="58"/>
      <c r="X333" s="278">
        <v>40</v>
      </c>
    </row>
    <row r="334" spans="1:24">
      <c r="A334" s="268">
        <v>36</v>
      </c>
      <c r="B334" s="271"/>
      <c r="C334" s="274"/>
      <c r="D334" s="76" t="s">
        <v>301</v>
      </c>
      <c r="E334" s="77">
        <f>tkj!$CD$40</f>
        <v>81</v>
      </c>
      <c r="F334" s="77">
        <f>tkj!$CE$40</f>
        <v>80</v>
      </c>
      <c r="G334" s="77">
        <f>tkj!$CF$40</f>
        <v>78</v>
      </c>
      <c r="H334" s="72"/>
      <c r="I334" s="72"/>
      <c r="J334" s="73"/>
      <c r="K334" s="73"/>
      <c r="L334" s="77">
        <f>tkj!$CG$40</f>
        <v>85</v>
      </c>
      <c r="M334" s="77">
        <f>tkj!$CH$40</f>
        <v>78</v>
      </c>
      <c r="N334" s="77">
        <f>tkj!$CI$40</f>
        <v>80</v>
      </c>
      <c r="O334" s="73"/>
      <c r="P334" s="74"/>
      <c r="Q334" s="74"/>
      <c r="R334" s="86">
        <f>tkj!$CL$40</f>
        <v>77</v>
      </c>
      <c r="S334" s="86">
        <f>tkj!$CK$40</f>
        <v>84</v>
      </c>
      <c r="T334" s="74"/>
      <c r="U334" s="86">
        <f>tkj!$CJ$40</f>
        <v>80</v>
      </c>
      <c r="V334" s="58"/>
      <c r="X334" s="278">
        <v>40</v>
      </c>
    </row>
    <row r="335" spans="1:24" ht="15" thickBot="1">
      <c r="A335" s="269">
        <v>36</v>
      </c>
      <c r="B335" s="272"/>
      <c r="C335" s="275"/>
      <c r="D335" s="78" t="s">
        <v>302</v>
      </c>
      <c r="E335" s="79">
        <f>(E332*4+E333*3+E334*3)/10</f>
        <v>83.88</v>
      </c>
      <c r="F335" s="79">
        <f t="shared" ref="F335:G335" si="69">(F332*4+F333*3+F334*3)/10</f>
        <v>81.460000000000008</v>
      </c>
      <c r="G335" s="79">
        <f t="shared" si="69"/>
        <v>79.34</v>
      </c>
      <c r="H335" s="79">
        <f>AVERAGE(H327:H330)</f>
        <v>82.25</v>
      </c>
      <c r="I335" s="79">
        <f>AVERAGE(I327:I330)</f>
        <v>81.25</v>
      </c>
      <c r="J335" s="79">
        <f>AVERAGE(J327:J328)</f>
        <v>83</v>
      </c>
      <c r="K335" s="79">
        <f>AVERAGE(K327:K330)</f>
        <v>77</v>
      </c>
      <c r="L335" s="79">
        <f>(L332*4+L333*3+L334*3)/10</f>
        <v>82.4</v>
      </c>
      <c r="M335" s="79">
        <f>(M332*4+M333*3+M334*3)/10</f>
        <v>76.92</v>
      </c>
      <c r="N335" s="79">
        <f>(N332*4+N333*3+N334*3)/10</f>
        <v>80.64</v>
      </c>
      <c r="O335" s="79">
        <f>AVERAGE(O327:O328)</f>
        <v>77.5</v>
      </c>
      <c r="P335" s="79">
        <f>AVERAGE(P327:P328)</f>
        <v>74.5</v>
      </c>
      <c r="Q335" s="79">
        <f>AVERAGE(Q327:Q328)</f>
        <v>80</v>
      </c>
      <c r="R335" s="79">
        <f>(R332*4+R333*3+R334*3)/10</f>
        <v>79.511111111111106</v>
      </c>
      <c r="S335" s="79">
        <f>(S332*4+S333*3+S334*3)/10</f>
        <v>83.166666666666671</v>
      </c>
      <c r="T335" s="79">
        <f>T333</f>
        <v>83</v>
      </c>
      <c r="U335" s="79">
        <f t="shared" ref="U335" si="70">(U332*4+U333*3+U334*3)/10</f>
        <v>78.666666666666671</v>
      </c>
      <c r="V335" s="80">
        <f>AVERAGE(E335:U335)</f>
        <v>80.263790849673214</v>
      </c>
      <c r="X335" s="278">
        <v>40</v>
      </c>
    </row>
    <row r="336" spans="1:24" ht="15.6" thickTop="1" thickBot="1">
      <c r="A336" s="268">
        <v>37</v>
      </c>
      <c r="B336" s="270" t="s">
        <v>348</v>
      </c>
      <c r="C336" s="273" t="s">
        <v>125</v>
      </c>
      <c r="D336" s="52" t="s">
        <v>294</v>
      </c>
      <c r="E336" s="53">
        <f>tkj!$E$41</f>
        <v>92</v>
      </c>
      <c r="F336" s="53">
        <f>tkj!$K$41</f>
        <v>80</v>
      </c>
      <c r="G336" s="53">
        <f>tkj!$Q$41</f>
        <v>87</v>
      </c>
      <c r="H336" s="53">
        <f>tkj!$W$41</f>
        <v>81</v>
      </c>
      <c r="I336" s="53">
        <f>tkj!$AA$41</f>
        <v>82</v>
      </c>
      <c r="J336" s="53">
        <f>tkj!$AE$41</f>
        <v>82</v>
      </c>
      <c r="K336" s="54">
        <f>tkj!$AG$41</f>
        <v>93</v>
      </c>
      <c r="L336" s="55"/>
      <c r="M336" s="53">
        <f>tkj!$AM$41</f>
        <v>71</v>
      </c>
      <c r="N336" s="53">
        <f>tkj!$AS$41</f>
        <v>83</v>
      </c>
      <c r="O336" s="53">
        <f>tkj!$AY$41</f>
        <v>76</v>
      </c>
      <c r="P336" s="54">
        <f>tkj!$BA$41</f>
        <v>85</v>
      </c>
      <c r="Q336" s="54">
        <f>tkj!$BC$41</f>
        <v>83</v>
      </c>
      <c r="R336" s="55"/>
      <c r="S336" s="55"/>
      <c r="T336" s="55"/>
      <c r="U336" s="55"/>
      <c r="V336" s="56"/>
      <c r="X336" s="278">
        <v>41</v>
      </c>
    </row>
    <row r="337" spans="1:24" ht="15" thickBot="1">
      <c r="A337" s="268">
        <v>37</v>
      </c>
      <c r="B337" s="271"/>
      <c r="C337" s="274"/>
      <c r="D337" s="52" t="s">
        <v>295</v>
      </c>
      <c r="E337" s="53">
        <f>tkj!$F$41</f>
        <v>82</v>
      </c>
      <c r="F337" s="53">
        <f>tkj!$L$41</f>
        <v>81</v>
      </c>
      <c r="G337" s="53">
        <f>tkj!$R$41</f>
        <v>84</v>
      </c>
      <c r="H337" s="53">
        <f>tkj!$X$41</f>
        <v>84</v>
      </c>
      <c r="I337" s="53">
        <f>tkj!$AB$41</f>
        <v>85</v>
      </c>
      <c r="J337" s="53">
        <f>tkj!$AF$41</f>
        <v>90</v>
      </c>
      <c r="K337" s="54">
        <f>tkj!$AH$41</f>
        <v>80</v>
      </c>
      <c r="L337" s="55"/>
      <c r="M337" s="53">
        <f>tkj!$AN$41</f>
        <v>81</v>
      </c>
      <c r="N337" s="53">
        <f>tkj!$AT$41</f>
        <v>80</v>
      </c>
      <c r="O337" s="53">
        <f>tkj!$AZ$41</f>
        <v>84</v>
      </c>
      <c r="P337" s="54">
        <f>tkj!$BB$41</f>
        <v>90</v>
      </c>
      <c r="Q337" s="54">
        <f>tkj!$BD$41</f>
        <v>85</v>
      </c>
      <c r="R337" s="55"/>
      <c r="S337" s="55"/>
      <c r="T337" s="55"/>
      <c r="U337" s="55"/>
      <c r="V337" s="58"/>
      <c r="X337" s="278">
        <v>41</v>
      </c>
    </row>
    <row r="338" spans="1:24" ht="15" thickBot="1">
      <c r="A338" s="268">
        <v>37</v>
      </c>
      <c r="B338" s="271"/>
      <c r="C338" s="274"/>
      <c r="D338" s="52" t="s">
        <v>296</v>
      </c>
      <c r="E338" s="53">
        <f>tkj!$G$41</f>
        <v>88</v>
      </c>
      <c r="F338" s="53">
        <f>tkj!$M$41</f>
        <v>89</v>
      </c>
      <c r="G338" s="53">
        <f>tkj!$S$41</f>
        <v>95</v>
      </c>
      <c r="H338" s="53">
        <f>tkj!$Y$41</f>
        <v>80</v>
      </c>
      <c r="I338" s="53">
        <f>tkj!$AC$41</f>
        <v>78</v>
      </c>
      <c r="J338" s="59"/>
      <c r="K338" s="54">
        <f>tkj!$AI$41</f>
        <v>73</v>
      </c>
      <c r="L338" s="55"/>
      <c r="M338" s="53">
        <f>tkj!$AO$41</f>
        <v>75</v>
      </c>
      <c r="N338" s="53">
        <f>tkj!$AU$41</f>
        <v>82</v>
      </c>
      <c r="O338" s="59"/>
      <c r="P338" s="55"/>
      <c r="Q338" s="55"/>
      <c r="R338" s="54">
        <f>tkj!$BQ$41</f>
        <v>81</v>
      </c>
      <c r="S338" s="54">
        <f>tkj!$BU$41</f>
        <v>86</v>
      </c>
      <c r="T338" s="55"/>
      <c r="U338" s="54">
        <f>tkj!$BZ$41</f>
        <v>76</v>
      </c>
      <c r="V338" s="58"/>
      <c r="X338" s="278">
        <v>41</v>
      </c>
    </row>
    <row r="339" spans="1:24" ht="15" thickBot="1">
      <c r="A339" s="268">
        <v>37</v>
      </c>
      <c r="B339" s="271"/>
      <c r="C339" s="274"/>
      <c r="D339" s="62" t="s">
        <v>297</v>
      </c>
      <c r="E339" s="53">
        <f>tkj!$H$41</f>
        <v>84</v>
      </c>
      <c r="F339" s="53">
        <f>tkj!$N$41</f>
        <v>92</v>
      </c>
      <c r="G339" s="53">
        <f>tkj!$T$41</f>
        <v>91</v>
      </c>
      <c r="H339" s="53">
        <f>tkj!$Z$41</f>
        <v>84</v>
      </c>
      <c r="I339" s="53">
        <f>tkj!$AD$41</f>
        <v>81</v>
      </c>
      <c r="J339" s="59"/>
      <c r="K339" s="54">
        <f>tkj!$AJ$41</f>
        <v>84</v>
      </c>
      <c r="L339" s="55"/>
      <c r="M339" s="53">
        <f>tkj!$AP$41</f>
        <v>76</v>
      </c>
      <c r="N339" s="53">
        <f>tkj!$AV$41</f>
        <v>82</v>
      </c>
      <c r="O339" s="59"/>
      <c r="P339" s="55"/>
      <c r="Q339" s="55"/>
      <c r="R339" s="54">
        <f>tkj!$BR$41</f>
        <v>79.333333333333329</v>
      </c>
      <c r="S339" s="54">
        <f>tkj!$BV$41</f>
        <v>86</v>
      </c>
      <c r="T339" s="63"/>
      <c r="U339" s="54">
        <f>tkj!$CA$41</f>
        <v>85</v>
      </c>
      <c r="V339" s="58"/>
      <c r="X339" s="278">
        <v>41</v>
      </c>
    </row>
    <row r="340" spans="1:24">
      <c r="A340" s="268">
        <v>37</v>
      </c>
      <c r="B340" s="271"/>
      <c r="C340" s="274"/>
      <c r="D340" s="62" t="s">
        <v>298</v>
      </c>
      <c r="E340" s="53">
        <f>tkj!$I$41</f>
        <v>93</v>
      </c>
      <c r="F340" s="53">
        <f>tkj!$O$41</f>
        <v>92</v>
      </c>
      <c r="G340" s="53">
        <f>tkj!$U$41</f>
        <v>82</v>
      </c>
      <c r="H340" s="65"/>
      <c r="I340" s="65"/>
      <c r="J340" s="59"/>
      <c r="K340" s="59"/>
      <c r="L340" s="53">
        <f>tkj!$AK$41</f>
        <v>80</v>
      </c>
      <c r="M340" s="53">
        <f>tkj!$AQ$41</f>
        <v>82</v>
      </c>
      <c r="N340" s="53">
        <f>tkj!$AW$41</f>
        <v>82</v>
      </c>
      <c r="O340" s="59"/>
      <c r="P340" s="55"/>
      <c r="Q340" s="55"/>
      <c r="R340" s="54">
        <f>tkj!$BS$41</f>
        <v>84</v>
      </c>
      <c r="S340" s="54">
        <f>tkj!$BW$41</f>
        <v>86</v>
      </c>
      <c r="T340" s="54"/>
      <c r="U340" s="54">
        <f>tkj!$CB$41</f>
        <v>83</v>
      </c>
      <c r="V340" s="58"/>
      <c r="X340" s="278">
        <v>41</v>
      </c>
    </row>
    <row r="341" spans="1:24">
      <c r="A341" s="268">
        <v>37</v>
      </c>
      <c r="B341" s="271"/>
      <c r="C341" s="274"/>
      <c r="D341" s="66" t="s">
        <v>299</v>
      </c>
      <c r="E341" s="67">
        <f>AVERAGE(E336:E340)</f>
        <v>87.8</v>
      </c>
      <c r="F341" s="67">
        <f>AVERAGE(F336:F340)</f>
        <v>86.8</v>
      </c>
      <c r="G341" s="67">
        <f>AVERAGE(G336:G340)</f>
        <v>87.8</v>
      </c>
      <c r="H341" s="68"/>
      <c r="I341" s="68"/>
      <c r="J341" s="69"/>
      <c r="K341" s="69"/>
      <c r="L341" s="67">
        <f>AVERAGE(L336:L340)</f>
        <v>80</v>
      </c>
      <c r="M341" s="67">
        <f>AVERAGE(M336:M340)</f>
        <v>77</v>
      </c>
      <c r="N341" s="67">
        <f>AVERAGE(N336:N340)</f>
        <v>81.8</v>
      </c>
      <c r="O341" s="69"/>
      <c r="P341" s="63"/>
      <c r="Q341" s="63"/>
      <c r="R341" s="84">
        <f>AVERAGE(R338:R340)</f>
        <v>81.444444444444443</v>
      </c>
      <c r="S341" s="84">
        <f>AVERAGE(S338:S340)</f>
        <v>86</v>
      </c>
      <c r="T341" s="63"/>
      <c r="U341" s="84">
        <f>AVERAGE(U336:U340)</f>
        <v>81.333333333333329</v>
      </c>
      <c r="V341" s="58"/>
      <c r="X341" s="278">
        <v>41</v>
      </c>
    </row>
    <row r="342" spans="1:24">
      <c r="A342" s="268">
        <v>37</v>
      </c>
      <c r="B342" s="271"/>
      <c r="C342" s="274"/>
      <c r="D342" s="70" t="s">
        <v>300</v>
      </c>
      <c r="E342" s="71">
        <f>tkj!$J$41</f>
        <v>85</v>
      </c>
      <c r="F342" s="71">
        <f>tkj!$P$41</f>
        <v>85</v>
      </c>
      <c r="G342" s="71">
        <f>tkj!$V$41</f>
        <v>83</v>
      </c>
      <c r="H342" s="72"/>
      <c r="I342" s="72"/>
      <c r="J342" s="73"/>
      <c r="K342" s="73"/>
      <c r="L342" s="71">
        <f>tkj!$AL$41</f>
        <v>83</v>
      </c>
      <c r="M342" s="71">
        <f>tkj!$AR$41</f>
        <v>85</v>
      </c>
      <c r="N342" s="71">
        <f>tkj!$AX$41</f>
        <v>85</v>
      </c>
      <c r="O342" s="73"/>
      <c r="P342" s="74"/>
      <c r="Q342" s="74"/>
      <c r="R342" s="85">
        <f>tkj!$BT$41</f>
        <v>85</v>
      </c>
      <c r="S342" s="85">
        <f>tkj!$BX$41</f>
        <v>85</v>
      </c>
      <c r="T342" s="85">
        <f>tkj!$BY$41</f>
        <v>85</v>
      </c>
      <c r="U342" s="75">
        <f>tkj!$CC$41</f>
        <v>85</v>
      </c>
      <c r="V342" s="58"/>
      <c r="X342" s="278">
        <v>41</v>
      </c>
    </row>
    <row r="343" spans="1:24">
      <c r="A343" s="268">
        <v>37</v>
      </c>
      <c r="B343" s="271"/>
      <c r="C343" s="274"/>
      <c r="D343" s="76" t="s">
        <v>301</v>
      </c>
      <c r="E343" s="77">
        <f>tkj!$CD$41</f>
        <v>88</v>
      </c>
      <c r="F343" s="77">
        <f>tkj!$CE$41</f>
        <v>85</v>
      </c>
      <c r="G343" s="77">
        <f>tkj!$CF$41</f>
        <v>80</v>
      </c>
      <c r="H343" s="72"/>
      <c r="I343" s="72"/>
      <c r="J343" s="73"/>
      <c r="K343" s="73"/>
      <c r="L343" s="77">
        <f>tkj!$CG$41</f>
        <v>87</v>
      </c>
      <c r="M343" s="77">
        <f>tkj!$CH$41</f>
        <v>82</v>
      </c>
      <c r="N343" s="77">
        <f>tkj!$CI$41</f>
        <v>82</v>
      </c>
      <c r="O343" s="73"/>
      <c r="P343" s="74"/>
      <c r="Q343" s="74"/>
      <c r="R343" s="86">
        <f>tkj!$CL$41</f>
        <v>75</v>
      </c>
      <c r="S343" s="86">
        <f>tkj!$CK$41</f>
        <v>93</v>
      </c>
      <c r="T343" s="74"/>
      <c r="U343" s="86">
        <f>tkj!$CJ$41</f>
        <v>85</v>
      </c>
      <c r="V343" s="58"/>
      <c r="X343" s="278">
        <v>41</v>
      </c>
    </row>
    <row r="344" spans="1:24" ht="15" thickBot="1">
      <c r="A344" s="269">
        <v>37</v>
      </c>
      <c r="B344" s="272"/>
      <c r="C344" s="275"/>
      <c r="D344" s="78" t="s">
        <v>302</v>
      </c>
      <c r="E344" s="79">
        <f>(E341*4+E342*3+E343*3)/10</f>
        <v>87.02000000000001</v>
      </c>
      <c r="F344" s="79">
        <f t="shared" ref="F344:G344" si="71">(F341*4+F342*3+F343*3)/10</f>
        <v>85.72</v>
      </c>
      <c r="G344" s="79">
        <f t="shared" si="71"/>
        <v>84.02000000000001</v>
      </c>
      <c r="H344" s="79">
        <f>AVERAGE(H336:H339)</f>
        <v>82.25</v>
      </c>
      <c r="I344" s="79">
        <f>AVERAGE(I336:I339)</f>
        <v>81.5</v>
      </c>
      <c r="J344" s="79">
        <f>AVERAGE(J336:J337)</f>
        <v>86</v>
      </c>
      <c r="K344" s="79">
        <f>AVERAGE(K336:K339)</f>
        <v>82.5</v>
      </c>
      <c r="L344" s="79">
        <f>(L341*4+L342*3+L343*3)/10</f>
        <v>83</v>
      </c>
      <c r="M344" s="79">
        <f>(M341*4+M342*3+M343*3)/10</f>
        <v>80.900000000000006</v>
      </c>
      <c r="N344" s="79">
        <f>(N341*4+N342*3+N343*3)/10</f>
        <v>82.820000000000007</v>
      </c>
      <c r="O344" s="79">
        <f>AVERAGE(O336:O337)</f>
        <v>80</v>
      </c>
      <c r="P344" s="79">
        <f>AVERAGE(P336:P337)</f>
        <v>87.5</v>
      </c>
      <c r="Q344" s="79">
        <f>AVERAGE(Q336:Q337)</f>
        <v>84</v>
      </c>
      <c r="R344" s="79">
        <f>(R341*4+R342*3+R343*3)/10</f>
        <v>80.577777777777783</v>
      </c>
      <c r="S344" s="79">
        <f>(S341*4+S342*3+S343*3)/10</f>
        <v>87.8</v>
      </c>
      <c r="T344" s="79">
        <f>T342</f>
        <v>85</v>
      </c>
      <c r="U344" s="79">
        <f t="shared" ref="U344" si="72">(U341*4+U342*3+U343*3)/10</f>
        <v>83.533333333333331</v>
      </c>
      <c r="V344" s="80">
        <f>AVERAGE(E344:U344)</f>
        <v>83.773006535947715</v>
      </c>
      <c r="X344" s="278">
        <v>41</v>
      </c>
    </row>
    <row r="345" spans="1:24" ht="15.6" thickTop="1" thickBot="1">
      <c r="A345" s="268">
        <v>38</v>
      </c>
      <c r="B345" s="270" t="s">
        <v>349</v>
      </c>
      <c r="C345" s="273" t="s">
        <v>128</v>
      </c>
      <c r="D345" s="52" t="s">
        <v>294</v>
      </c>
      <c r="E345" s="53">
        <f>tkj!$E$42</f>
        <v>80</v>
      </c>
      <c r="F345" s="53">
        <f>tkj!$K$42</f>
        <v>80</v>
      </c>
      <c r="G345" s="53">
        <f>tkj!$Q$42</f>
        <v>80</v>
      </c>
      <c r="H345" s="53">
        <f>tkj!$W$42</f>
        <v>82</v>
      </c>
      <c r="I345" s="53">
        <f>tkj!$AA$42</f>
        <v>73</v>
      </c>
      <c r="J345" s="53">
        <f>tkj!$AE$42</f>
        <v>81</v>
      </c>
      <c r="K345" s="54">
        <f>tkj!$AG$42</f>
        <v>78</v>
      </c>
      <c r="L345" s="55"/>
      <c r="M345" s="53">
        <f>tkj!$AM$42</f>
        <v>71</v>
      </c>
      <c r="N345" s="53">
        <f>tkj!$AS$42</f>
        <v>76</v>
      </c>
      <c r="O345" s="53">
        <f>tkj!$AY$42</f>
        <v>89</v>
      </c>
      <c r="P345" s="54">
        <f>tkj!$BA$42</f>
        <v>79</v>
      </c>
      <c r="Q345" s="54">
        <f>tkj!$BC$42</f>
        <v>89</v>
      </c>
      <c r="R345" s="55"/>
      <c r="S345" s="55"/>
      <c r="T345" s="55"/>
      <c r="U345" s="55"/>
      <c r="V345" s="56"/>
      <c r="X345" s="278">
        <v>42</v>
      </c>
    </row>
    <row r="346" spans="1:24" ht="15" thickBot="1">
      <c r="A346" s="268">
        <v>38</v>
      </c>
      <c r="B346" s="271"/>
      <c r="C346" s="274"/>
      <c r="D346" s="52" t="s">
        <v>295</v>
      </c>
      <c r="E346" s="53">
        <f>tkj!$F$42</f>
        <v>84</v>
      </c>
      <c r="F346" s="53">
        <f>tkj!$L$42</f>
        <v>81</v>
      </c>
      <c r="G346" s="53">
        <f>tkj!$R$42</f>
        <v>83</v>
      </c>
      <c r="H346" s="53">
        <f>tkj!$X$42</f>
        <v>85</v>
      </c>
      <c r="I346" s="53">
        <f>tkj!$AB$42</f>
        <v>78</v>
      </c>
      <c r="J346" s="53">
        <f>tkj!$AF$42</f>
        <v>88</v>
      </c>
      <c r="K346" s="54">
        <f>tkj!$AH$42</f>
        <v>73</v>
      </c>
      <c r="L346" s="55"/>
      <c r="M346" s="53">
        <f>tkj!$AN$42</f>
        <v>72</v>
      </c>
      <c r="N346" s="53">
        <f>tkj!$AT$42</f>
        <v>79</v>
      </c>
      <c r="O346" s="53">
        <f>tkj!$AZ$42</f>
        <v>86</v>
      </c>
      <c r="P346" s="54">
        <f>tkj!$BB$42</f>
        <v>84</v>
      </c>
      <c r="Q346" s="54">
        <f>tkj!$BD$42</f>
        <v>85</v>
      </c>
      <c r="R346" s="55"/>
      <c r="S346" s="55"/>
      <c r="T346" s="55"/>
      <c r="U346" s="55"/>
      <c r="V346" s="58"/>
      <c r="X346" s="278">
        <v>42</v>
      </c>
    </row>
    <row r="347" spans="1:24" ht="15" thickBot="1">
      <c r="A347" s="268">
        <v>38</v>
      </c>
      <c r="B347" s="271"/>
      <c r="C347" s="274"/>
      <c r="D347" s="52" t="s">
        <v>296</v>
      </c>
      <c r="E347" s="53">
        <f>tkj!$G$42</f>
        <v>89</v>
      </c>
      <c r="F347" s="53">
        <f>tkj!$M$42</f>
        <v>83</v>
      </c>
      <c r="G347" s="53">
        <f>tkj!$S$42</f>
        <v>81</v>
      </c>
      <c r="H347" s="53">
        <f>tkj!$Y$42</f>
        <v>81</v>
      </c>
      <c r="I347" s="53">
        <f>tkj!$AC$42</f>
        <v>74</v>
      </c>
      <c r="J347" s="59"/>
      <c r="K347" s="54">
        <f>tkj!$AI$42</f>
        <v>70</v>
      </c>
      <c r="L347" s="55"/>
      <c r="M347" s="53">
        <f>tkj!$AO$42</f>
        <v>73</v>
      </c>
      <c r="N347" s="53">
        <f>tkj!$AU$42</f>
        <v>79</v>
      </c>
      <c r="O347" s="59"/>
      <c r="P347" s="55"/>
      <c r="Q347" s="55"/>
      <c r="R347" s="54">
        <f>tkj!$BQ$42</f>
        <v>77</v>
      </c>
      <c r="S347" s="54">
        <f>tkj!$BU$42</f>
        <v>85</v>
      </c>
      <c r="T347" s="55"/>
      <c r="U347" s="54">
        <f>tkj!$BZ$42</f>
        <v>78</v>
      </c>
      <c r="V347" s="58"/>
      <c r="X347" s="278">
        <v>42</v>
      </c>
    </row>
    <row r="348" spans="1:24" ht="15" thickBot="1">
      <c r="A348" s="268">
        <v>38</v>
      </c>
      <c r="B348" s="271"/>
      <c r="C348" s="274"/>
      <c r="D348" s="62" t="s">
        <v>297</v>
      </c>
      <c r="E348" s="53">
        <f>tkj!$H$42</f>
        <v>84</v>
      </c>
      <c r="F348" s="53">
        <f>tkj!$N$42</f>
        <v>88</v>
      </c>
      <c r="G348" s="53">
        <f>tkj!$T$42</f>
        <v>82</v>
      </c>
      <c r="H348" s="53">
        <f>tkj!$Z$42</f>
        <v>85</v>
      </c>
      <c r="I348" s="53">
        <f>tkj!$AD$42</f>
        <v>81</v>
      </c>
      <c r="J348" s="59"/>
      <c r="K348" s="54">
        <f>tkj!$AJ$42</f>
        <v>82</v>
      </c>
      <c r="L348" s="55"/>
      <c r="M348" s="53">
        <f>tkj!$AP$42</f>
        <v>74</v>
      </c>
      <c r="N348" s="53">
        <f>tkj!$AV$42</f>
        <v>80</v>
      </c>
      <c r="O348" s="59"/>
      <c r="P348" s="55"/>
      <c r="Q348" s="55"/>
      <c r="R348" s="54">
        <f>tkj!$BR$42</f>
        <v>80.333333333333329</v>
      </c>
      <c r="S348" s="54">
        <f>tkj!$BV$42</f>
        <v>85</v>
      </c>
      <c r="T348" s="63"/>
      <c r="U348" s="54">
        <f>tkj!$CA$42</f>
        <v>84</v>
      </c>
      <c r="V348" s="58"/>
      <c r="X348" s="278">
        <v>42</v>
      </c>
    </row>
    <row r="349" spans="1:24">
      <c r="A349" s="268">
        <v>38</v>
      </c>
      <c r="B349" s="271"/>
      <c r="C349" s="274"/>
      <c r="D349" s="62" t="s">
        <v>298</v>
      </c>
      <c r="E349" s="53">
        <f>tkj!$I$42</f>
        <v>91</v>
      </c>
      <c r="F349" s="53">
        <f>tkj!$O$42</f>
        <v>89</v>
      </c>
      <c r="G349" s="53">
        <f>tkj!$U$42</f>
        <v>80</v>
      </c>
      <c r="H349" s="65"/>
      <c r="I349" s="65"/>
      <c r="J349" s="59"/>
      <c r="K349" s="59"/>
      <c r="L349" s="53">
        <f>tkj!$AK$42</f>
        <v>80</v>
      </c>
      <c r="M349" s="53">
        <f>tkj!$AQ$42</f>
        <v>80</v>
      </c>
      <c r="N349" s="53">
        <f>tkj!$AW$42</f>
        <v>80</v>
      </c>
      <c r="O349" s="59"/>
      <c r="P349" s="55"/>
      <c r="Q349" s="55"/>
      <c r="R349" s="54">
        <f>tkj!$BS$42</f>
        <v>85</v>
      </c>
      <c r="S349" s="54">
        <f>tkj!$BW$42</f>
        <v>86</v>
      </c>
      <c r="T349" s="54"/>
      <c r="U349" s="54">
        <f>tkj!$CB$42</f>
        <v>80</v>
      </c>
      <c r="V349" s="58"/>
      <c r="X349" s="278">
        <v>42</v>
      </c>
    </row>
    <row r="350" spans="1:24">
      <c r="A350" s="268">
        <v>38</v>
      </c>
      <c r="B350" s="271"/>
      <c r="C350" s="274"/>
      <c r="D350" s="66" t="s">
        <v>299</v>
      </c>
      <c r="E350" s="67">
        <f>AVERAGE(E345:E349)</f>
        <v>85.6</v>
      </c>
      <c r="F350" s="67">
        <f>AVERAGE(F345:F349)</f>
        <v>84.2</v>
      </c>
      <c r="G350" s="67">
        <f>AVERAGE(G345:G349)</f>
        <v>81.2</v>
      </c>
      <c r="H350" s="68"/>
      <c r="I350" s="68"/>
      <c r="J350" s="69"/>
      <c r="K350" s="69"/>
      <c r="L350" s="67">
        <f>AVERAGE(L345:L349)</f>
        <v>80</v>
      </c>
      <c r="M350" s="67">
        <f>AVERAGE(M345:M349)</f>
        <v>74</v>
      </c>
      <c r="N350" s="67">
        <f>AVERAGE(N345:N349)</f>
        <v>78.8</v>
      </c>
      <c r="O350" s="69"/>
      <c r="P350" s="63"/>
      <c r="Q350" s="63"/>
      <c r="R350" s="84">
        <f>AVERAGE(R347:R349)</f>
        <v>80.777777777777771</v>
      </c>
      <c r="S350" s="84">
        <f>AVERAGE(S347:S349)</f>
        <v>85.333333333333329</v>
      </c>
      <c r="T350" s="63"/>
      <c r="U350" s="84">
        <f>AVERAGE(U345:U349)</f>
        <v>80.666666666666671</v>
      </c>
      <c r="V350" s="58"/>
      <c r="X350" s="278">
        <v>42</v>
      </c>
    </row>
    <row r="351" spans="1:24">
      <c r="A351" s="268">
        <v>38</v>
      </c>
      <c r="B351" s="271"/>
      <c r="C351" s="274"/>
      <c r="D351" s="70" t="s">
        <v>300</v>
      </c>
      <c r="E351" s="71">
        <f>tkj!$J$42</f>
        <v>95</v>
      </c>
      <c r="F351" s="71">
        <f>tkj!$P$42</f>
        <v>89</v>
      </c>
      <c r="G351" s="71">
        <f>tkj!$V$42</f>
        <v>88</v>
      </c>
      <c r="H351" s="72"/>
      <c r="I351" s="72"/>
      <c r="J351" s="73"/>
      <c r="K351" s="73"/>
      <c r="L351" s="71">
        <f>tkj!$AL$42</f>
        <v>88</v>
      </c>
      <c r="M351" s="71">
        <f>tkj!$AR$42</f>
        <v>88</v>
      </c>
      <c r="N351" s="71">
        <f>tkj!$AX$42</f>
        <v>88</v>
      </c>
      <c r="O351" s="73"/>
      <c r="P351" s="74"/>
      <c r="Q351" s="74"/>
      <c r="R351" s="85">
        <f>tkj!$BT$42</f>
        <v>89</v>
      </c>
      <c r="S351" s="85">
        <f>tkj!$BX$42</f>
        <v>89</v>
      </c>
      <c r="T351" s="85">
        <f>tkj!$BY$42</f>
        <v>90</v>
      </c>
      <c r="U351" s="75">
        <f>tkj!$CC$42</f>
        <v>88</v>
      </c>
      <c r="V351" s="58"/>
      <c r="X351" s="278">
        <v>42</v>
      </c>
    </row>
    <row r="352" spans="1:24">
      <c r="A352" s="268">
        <v>38</v>
      </c>
      <c r="B352" s="271"/>
      <c r="C352" s="274"/>
      <c r="D352" s="76" t="s">
        <v>301</v>
      </c>
      <c r="E352" s="77">
        <f>tkj!$CD$42</f>
        <v>85</v>
      </c>
      <c r="F352" s="77">
        <f>tkj!$CE$42</f>
        <v>80</v>
      </c>
      <c r="G352" s="77">
        <f>tkj!$CF$42</f>
        <v>82</v>
      </c>
      <c r="H352" s="72"/>
      <c r="I352" s="72"/>
      <c r="J352" s="73"/>
      <c r="K352" s="73"/>
      <c r="L352" s="77">
        <f>tkj!$CG$42</f>
        <v>90</v>
      </c>
      <c r="M352" s="77">
        <f>tkj!$CH$42</f>
        <v>78</v>
      </c>
      <c r="N352" s="77">
        <f>tkj!$CI$42</f>
        <v>80</v>
      </c>
      <c r="O352" s="73"/>
      <c r="P352" s="74"/>
      <c r="Q352" s="74"/>
      <c r="R352" s="86">
        <f>tkj!$CL$42</f>
        <v>90</v>
      </c>
      <c r="S352" s="86">
        <f>tkj!$CK$42</f>
        <v>93</v>
      </c>
      <c r="T352" s="74"/>
      <c r="U352" s="86">
        <f>tkj!$CJ$42</f>
        <v>82</v>
      </c>
      <c r="V352" s="58"/>
      <c r="X352" s="278">
        <v>42</v>
      </c>
    </row>
    <row r="353" spans="1:24" ht="15" thickBot="1">
      <c r="A353" s="269">
        <v>38</v>
      </c>
      <c r="B353" s="272"/>
      <c r="C353" s="275"/>
      <c r="D353" s="78" t="s">
        <v>302</v>
      </c>
      <c r="E353" s="79">
        <f>(E350*4+E351*3+E352*3)/10</f>
        <v>88.24</v>
      </c>
      <c r="F353" s="79">
        <f t="shared" ref="F353:G353" si="73">(F350*4+F351*3+F352*3)/10</f>
        <v>84.38</v>
      </c>
      <c r="G353" s="79">
        <f t="shared" si="73"/>
        <v>83.47999999999999</v>
      </c>
      <c r="H353" s="79">
        <f>AVERAGE(H345:H348)</f>
        <v>83.25</v>
      </c>
      <c r="I353" s="79">
        <f>AVERAGE(I345:I348)</f>
        <v>76.5</v>
      </c>
      <c r="J353" s="79">
        <f>AVERAGE(J345:J346)</f>
        <v>84.5</v>
      </c>
      <c r="K353" s="79">
        <f>AVERAGE(K345:K348)</f>
        <v>75.75</v>
      </c>
      <c r="L353" s="79">
        <f>(L350*4+L351*3+L352*3)/10</f>
        <v>85.4</v>
      </c>
      <c r="M353" s="79">
        <f>(M350*4+M351*3+M352*3)/10</f>
        <v>79.400000000000006</v>
      </c>
      <c r="N353" s="79">
        <f>(N350*4+N351*3+N352*3)/10</f>
        <v>81.92</v>
      </c>
      <c r="O353" s="79">
        <f>AVERAGE(O345:O346)</f>
        <v>87.5</v>
      </c>
      <c r="P353" s="79">
        <f>AVERAGE(P345:P346)</f>
        <v>81.5</v>
      </c>
      <c r="Q353" s="79">
        <f>AVERAGE(Q345:Q346)</f>
        <v>87</v>
      </c>
      <c r="R353" s="79">
        <f>(R350*4+R351*3+R352*3)/10</f>
        <v>86.011111111111106</v>
      </c>
      <c r="S353" s="79">
        <f>(S350*4+S351*3+S352*3)/10</f>
        <v>88.73333333333332</v>
      </c>
      <c r="T353" s="79">
        <f>T351</f>
        <v>90</v>
      </c>
      <c r="U353" s="79">
        <f t="shared" ref="U353" si="74">(U350*4+U351*3+U352*3)/10</f>
        <v>83.26666666666668</v>
      </c>
      <c r="V353" s="80">
        <f>AVERAGE(E353:U353)</f>
        <v>83.93124183006536</v>
      </c>
      <c r="X353" s="278">
        <v>42</v>
      </c>
    </row>
    <row r="354" spans="1:24" ht="15.6" thickTop="1" thickBot="1">
      <c r="A354" s="268">
        <v>39</v>
      </c>
      <c r="B354" s="270" t="s">
        <v>350</v>
      </c>
      <c r="C354" s="273" t="s">
        <v>130</v>
      </c>
      <c r="D354" s="52" t="s">
        <v>294</v>
      </c>
      <c r="E354" s="53">
        <f>tkj!$E$43</f>
        <v>92</v>
      </c>
      <c r="F354" s="53">
        <f>tkj!$K$43</f>
        <v>80</v>
      </c>
      <c r="G354" s="53">
        <f>tkj!$Q$43</f>
        <v>90</v>
      </c>
      <c r="H354" s="53">
        <f>tkj!$W$43</f>
        <v>81</v>
      </c>
      <c r="I354" s="53">
        <f>tkj!$AA$43</f>
        <v>78</v>
      </c>
      <c r="J354" s="53">
        <f>tkj!$AE$43</f>
        <v>83</v>
      </c>
      <c r="K354" s="54">
        <f>tkj!$AG$43</f>
        <v>87</v>
      </c>
      <c r="L354" s="55"/>
      <c r="M354" s="53">
        <f>tkj!$AM$43</f>
        <v>70</v>
      </c>
      <c r="N354" s="53">
        <f>tkj!$AS$43</f>
        <v>77</v>
      </c>
      <c r="O354" s="53">
        <f>tkj!$AY$43</f>
        <v>83</v>
      </c>
      <c r="P354" s="54">
        <f>tkj!$BA$43</f>
        <v>88</v>
      </c>
      <c r="Q354" s="54">
        <f>tkj!$BC$43</f>
        <v>81</v>
      </c>
      <c r="R354" s="55"/>
      <c r="S354" s="55"/>
      <c r="T354" s="55"/>
      <c r="U354" s="55"/>
      <c r="V354" s="56"/>
      <c r="X354" s="278">
        <v>43</v>
      </c>
    </row>
    <row r="355" spans="1:24" ht="15" thickBot="1">
      <c r="A355" s="268">
        <v>39</v>
      </c>
      <c r="B355" s="271"/>
      <c r="C355" s="274"/>
      <c r="D355" s="52" t="s">
        <v>295</v>
      </c>
      <c r="E355" s="53">
        <f>tkj!$F$43</f>
        <v>84</v>
      </c>
      <c r="F355" s="53">
        <f>tkj!$L$43</f>
        <v>89</v>
      </c>
      <c r="G355" s="53">
        <f>tkj!$R$43</f>
        <v>85</v>
      </c>
      <c r="H355" s="53">
        <f>tkj!$X$43</f>
        <v>84</v>
      </c>
      <c r="I355" s="53">
        <f>tkj!$AB$43</f>
        <v>86</v>
      </c>
      <c r="J355" s="53">
        <f>tkj!$AF$43</f>
        <v>85</v>
      </c>
      <c r="K355" s="54">
        <f>tkj!$AH$43</f>
        <v>82</v>
      </c>
      <c r="L355" s="55"/>
      <c r="M355" s="53">
        <f>tkj!$AN$43</f>
        <v>74</v>
      </c>
      <c r="N355" s="53">
        <f>tkj!$AT$43</f>
        <v>80</v>
      </c>
      <c r="O355" s="53">
        <f>tkj!$AZ$43</f>
        <v>85</v>
      </c>
      <c r="P355" s="54">
        <f>tkj!$BB$43</f>
        <v>91</v>
      </c>
      <c r="Q355" s="54">
        <f>tkj!$BD$43</f>
        <v>80</v>
      </c>
      <c r="R355" s="55"/>
      <c r="S355" s="55"/>
      <c r="T355" s="55"/>
      <c r="U355" s="55"/>
      <c r="V355" s="58"/>
      <c r="X355" s="278">
        <v>43</v>
      </c>
    </row>
    <row r="356" spans="1:24" ht="15" thickBot="1">
      <c r="A356" s="268">
        <v>39</v>
      </c>
      <c r="B356" s="271"/>
      <c r="C356" s="274"/>
      <c r="D356" s="52" t="s">
        <v>296</v>
      </c>
      <c r="E356" s="53">
        <f>tkj!$G$43</f>
        <v>88</v>
      </c>
      <c r="F356" s="53">
        <f>tkj!$M$43</f>
        <v>90</v>
      </c>
      <c r="G356" s="53">
        <f>tkj!$S$43</f>
        <v>83</v>
      </c>
      <c r="H356" s="53">
        <f>tkj!$Y$43</f>
        <v>80</v>
      </c>
      <c r="I356" s="53">
        <f>tkj!$AC$43</f>
        <v>78</v>
      </c>
      <c r="J356" s="59"/>
      <c r="K356" s="54">
        <f>tkj!$AI$43</f>
        <v>73</v>
      </c>
      <c r="L356" s="55"/>
      <c r="M356" s="53">
        <f>tkj!$AO$43</f>
        <v>74</v>
      </c>
      <c r="N356" s="53">
        <f>tkj!$AU$43</f>
        <v>80</v>
      </c>
      <c r="O356" s="59"/>
      <c r="P356" s="55"/>
      <c r="Q356" s="55"/>
      <c r="R356" s="54">
        <f>tkj!$BQ$43</f>
        <v>81.666666666666671</v>
      </c>
      <c r="S356" s="54">
        <f>tkj!$BU$43</f>
        <v>86</v>
      </c>
      <c r="T356" s="55"/>
      <c r="U356" s="54">
        <f>tkj!$BZ$43</f>
        <v>78</v>
      </c>
      <c r="V356" s="58"/>
      <c r="X356" s="278">
        <v>43</v>
      </c>
    </row>
    <row r="357" spans="1:24" ht="15" thickBot="1">
      <c r="A357" s="268">
        <v>39</v>
      </c>
      <c r="B357" s="271"/>
      <c r="C357" s="274"/>
      <c r="D357" s="62" t="s">
        <v>297</v>
      </c>
      <c r="E357" s="53">
        <f>tkj!$H$43</f>
        <v>83</v>
      </c>
      <c r="F357" s="53">
        <f>tkj!$N$43</f>
        <v>90</v>
      </c>
      <c r="G357" s="53">
        <f>tkj!$T$43</f>
        <v>85</v>
      </c>
      <c r="H357" s="53">
        <f>tkj!$Z$43</f>
        <v>84</v>
      </c>
      <c r="I357" s="53">
        <f>tkj!$AD$43</f>
        <v>81</v>
      </c>
      <c r="J357" s="59"/>
      <c r="K357" s="54">
        <f>tkj!$AJ$43</f>
        <v>84</v>
      </c>
      <c r="L357" s="55"/>
      <c r="M357" s="53">
        <f>tkj!$AP$43</f>
        <v>76</v>
      </c>
      <c r="N357" s="53">
        <f>tkj!$AV$43</f>
        <v>80</v>
      </c>
      <c r="O357" s="59"/>
      <c r="P357" s="55"/>
      <c r="Q357" s="55"/>
      <c r="R357" s="54">
        <f>tkj!$BR$43</f>
        <v>86</v>
      </c>
      <c r="S357" s="54">
        <f>tkj!$BV$43</f>
        <v>86</v>
      </c>
      <c r="T357" s="63"/>
      <c r="U357" s="54">
        <f>tkj!$CA$43</f>
        <v>85</v>
      </c>
      <c r="V357" s="58"/>
      <c r="X357" s="278">
        <v>43</v>
      </c>
    </row>
    <row r="358" spans="1:24">
      <c r="A358" s="268">
        <v>39</v>
      </c>
      <c r="B358" s="271"/>
      <c r="C358" s="274"/>
      <c r="D358" s="62" t="s">
        <v>298</v>
      </c>
      <c r="E358" s="53">
        <f>tkj!$I$43</f>
        <v>93</v>
      </c>
      <c r="F358" s="53">
        <f>tkj!$O$43</f>
        <v>90</v>
      </c>
      <c r="G358" s="53">
        <f>tkj!$U$43</f>
        <v>80</v>
      </c>
      <c r="H358" s="65"/>
      <c r="I358" s="65"/>
      <c r="J358" s="59"/>
      <c r="K358" s="59"/>
      <c r="L358" s="53">
        <f>tkj!$AK$43</f>
        <v>84</v>
      </c>
      <c r="M358" s="53">
        <f>tkj!$AQ$43</f>
        <v>81</v>
      </c>
      <c r="N358" s="53">
        <f>tkj!$AW$43</f>
        <v>80</v>
      </c>
      <c r="O358" s="59"/>
      <c r="P358" s="55"/>
      <c r="Q358" s="55"/>
      <c r="R358" s="54">
        <f>tkj!$BS$43</f>
        <v>84</v>
      </c>
      <c r="S358" s="54">
        <f>tkj!$BW$43</f>
        <v>90</v>
      </c>
      <c r="T358" s="54"/>
      <c r="U358" s="54">
        <f>tkj!$CB$43</f>
        <v>80</v>
      </c>
      <c r="V358" s="58"/>
      <c r="X358" s="278">
        <v>43</v>
      </c>
    </row>
    <row r="359" spans="1:24">
      <c r="A359" s="268">
        <v>39</v>
      </c>
      <c r="B359" s="271"/>
      <c r="C359" s="274"/>
      <c r="D359" s="66" t="s">
        <v>299</v>
      </c>
      <c r="E359" s="67">
        <f>AVERAGE(E354:E358)</f>
        <v>88</v>
      </c>
      <c r="F359" s="67">
        <f>AVERAGE(F354:F358)</f>
        <v>87.8</v>
      </c>
      <c r="G359" s="67">
        <f>AVERAGE(G354:G358)</f>
        <v>84.6</v>
      </c>
      <c r="H359" s="68"/>
      <c r="I359" s="68"/>
      <c r="J359" s="69"/>
      <c r="K359" s="69"/>
      <c r="L359" s="67">
        <f>AVERAGE(L354:L358)</f>
        <v>84</v>
      </c>
      <c r="M359" s="67">
        <f>AVERAGE(M354:M358)</f>
        <v>75</v>
      </c>
      <c r="N359" s="67">
        <f>AVERAGE(N354:N358)</f>
        <v>79.400000000000006</v>
      </c>
      <c r="O359" s="69"/>
      <c r="P359" s="63"/>
      <c r="Q359" s="63"/>
      <c r="R359" s="84">
        <f>AVERAGE(R356:R358)</f>
        <v>83.8888888888889</v>
      </c>
      <c r="S359" s="84">
        <f>AVERAGE(S356:S358)</f>
        <v>87.333333333333329</v>
      </c>
      <c r="T359" s="63"/>
      <c r="U359" s="84">
        <f>AVERAGE(U354:U358)</f>
        <v>81</v>
      </c>
      <c r="V359" s="58"/>
      <c r="X359" s="278">
        <v>43</v>
      </c>
    </row>
    <row r="360" spans="1:24">
      <c r="A360" s="268">
        <v>39</v>
      </c>
      <c r="B360" s="271"/>
      <c r="C360" s="274"/>
      <c r="D360" s="70" t="s">
        <v>300</v>
      </c>
      <c r="E360" s="71">
        <f>tkj!$J$43</f>
        <v>91</v>
      </c>
      <c r="F360" s="71">
        <f>tkj!$P$43</f>
        <v>90</v>
      </c>
      <c r="G360" s="71">
        <f>tkj!$V$43</f>
        <v>87</v>
      </c>
      <c r="H360" s="72"/>
      <c r="I360" s="72"/>
      <c r="J360" s="73"/>
      <c r="K360" s="73"/>
      <c r="L360" s="71">
        <f>tkj!$AL$43</f>
        <v>87</v>
      </c>
      <c r="M360" s="71">
        <f>tkj!$AR$43</f>
        <v>91</v>
      </c>
      <c r="N360" s="71">
        <f>tkj!$AX$43</f>
        <v>91</v>
      </c>
      <c r="O360" s="73"/>
      <c r="P360" s="74"/>
      <c r="Q360" s="74"/>
      <c r="R360" s="85">
        <f>tkj!$BT$43</f>
        <v>92</v>
      </c>
      <c r="S360" s="85">
        <f>tkj!$BX$43</f>
        <v>92</v>
      </c>
      <c r="T360" s="85">
        <f>tkj!$BY$43</f>
        <v>90</v>
      </c>
      <c r="U360" s="75">
        <f>tkj!$CC$43</f>
        <v>91</v>
      </c>
      <c r="V360" s="58"/>
      <c r="X360" s="278">
        <v>43</v>
      </c>
    </row>
    <row r="361" spans="1:24">
      <c r="A361" s="268">
        <v>39</v>
      </c>
      <c r="B361" s="271"/>
      <c r="C361" s="274"/>
      <c r="D361" s="76" t="s">
        <v>301</v>
      </c>
      <c r="E361" s="77">
        <f>tkj!$CD$43</f>
        <v>90</v>
      </c>
      <c r="F361" s="77">
        <f>tkj!$CE$43</f>
        <v>85</v>
      </c>
      <c r="G361" s="77">
        <f>tkj!$CF$43</f>
        <v>80</v>
      </c>
      <c r="H361" s="72"/>
      <c r="I361" s="72"/>
      <c r="J361" s="73"/>
      <c r="K361" s="73"/>
      <c r="L361" s="77">
        <f>tkj!$CG$43</f>
        <v>92</v>
      </c>
      <c r="M361" s="77">
        <f>tkj!$CH$43</f>
        <v>82</v>
      </c>
      <c r="N361" s="77">
        <f>tkj!$CI$43</f>
        <v>83</v>
      </c>
      <c r="O361" s="73"/>
      <c r="P361" s="74"/>
      <c r="Q361" s="74"/>
      <c r="R361" s="86">
        <f>tkj!$CL$43</f>
        <v>90</v>
      </c>
      <c r="S361" s="86">
        <f>tkj!$CK$43</f>
        <v>93</v>
      </c>
      <c r="T361" s="74"/>
      <c r="U361" s="86">
        <f>tkj!$CJ$43</f>
        <v>80</v>
      </c>
      <c r="V361" s="58"/>
      <c r="X361" s="278">
        <v>43</v>
      </c>
    </row>
    <row r="362" spans="1:24" ht="15" thickBot="1">
      <c r="A362" s="269">
        <v>39</v>
      </c>
      <c r="B362" s="272"/>
      <c r="C362" s="275"/>
      <c r="D362" s="78" t="s">
        <v>302</v>
      </c>
      <c r="E362" s="79">
        <f>(E359*4+E360*3+E361*3)/10</f>
        <v>89.5</v>
      </c>
      <c r="F362" s="79">
        <f t="shared" ref="F362:G362" si="75">(F359*4+F360*3+F361*3)/10</f>
        <v>87.62</v>
      </c>
      <c r="G362" s="79">
        <f t="shared" si="75"/>
        <v>83.94</v>
      </c>
      <c r="H362" s="79">
        <f>AVERAGE(H354:H357)</f>
        <v>82.25</v>
      </c>
      <c r="I362" s="79">
        <f>AVERAGE(I354:I357)</f>
        <v>80.75</v>
      </c>
      <c r="J362" s="79">
        <f>AVERAGE(J354:J355)</f>
        <v>84</v>
      </c>
      <c r="K362" s="79">
        <f>AVERAGE(K354:K357)</f>
        <v>81.5</v>
      </c>
      <c r="L362" s="79">
        <f>(L359*4+L360*3+L361*3)/10</f>
        <v>87.3</v>
      </c>
      <c r="M362" s="79">
        <f>(M359*4+M360*3+M361*3)/10</f>
        <v>81.900000000000006</v>
      </c>
      <c r="N362" s="79">
        <f>(N359*4+N360*3+N361*3)/10</f>
        <v>83.960000000000008</v>
      </c>
      <c r="O362" s="79">
        <f>AVERAGE(O354:O355)</f>
        <v>84</v>
      </c>
      <c r="P362" s="79">
        <f>AVERAGE(P354:P355)</f>
        <v>89.5</v>
      </c>
      <c r="Q362" s="79">
        <f>AVERAGE(Q354:Q355)</f>
        <v>80.5</v>
      </c>
      <c r="R362" s="79">
        <f>(R359*4+R360*3+R361*3)/10</f>
        <v>88.155555555555566</v>
      </c>
      <c r="S362" s="79">
        <f>(S359*4+S360*3+S361*3)/10</f>
        <v>90.433333333333323</v>
      </c>
      <c r="T362" s="79">
        <f>T360</f>
        <v>90</v>
      </c>
      <c r="U362" s="79">
        <f t="shared" ref="U362" si="76">(U359*4+U360*3+U361*3)/10</f>
        <v>83.7</v>
      </c>
      <c r="V362" s="80">
        <f>AVERAGE(E362:U362)</f>
        <v>85.235816993464042</v>
      </c>
      <c r="X362" s="278">
        <v>43</v>
      </c>
    </row>
    <row r="363" spans="1:24" ht="15.6" thickTop="1" thickBot="1">
      <c r="A363" s="268">
        <v>40</v>
      </c>
      <c r="B363" s="270" t="s">
        <v>351</v>
      </c>
      <c r="C363" s="273" t="s">
        <v>132</v>
      </c>
      <c r="D363" s="52" t="s">
        <v>294</v>
      </c>
      <c r="E363" s="53">
        <f>tkj!$E$44</f>
        <v>93</v>
      </c>
      <c r="F363" s="53">
        <f>tkj!$K$44</f>
        <v>81</v>
      </c>
      <c r="G363" s="53">
        <f>tkj!$Q$44</f>
        <v>90</v>
      </c>
      <c r="H363" s="53">
        <f>tkj!$W$44</f>
        <v>82</v>
      </c>
      <c r="I363" s="53">
        <f>tkj!$AA$44</f>
        <v>80</v>
      </c>
      <c r="J363" s="53">
        <f>tkj!$AE$44</f>
        <v>83</v>
      </c>
      <c r="K363" s="54">
        <f>tkj!$AG$44</f>
        <v>87</v>
      </c>
      <c r="L363" s="55"/>
      <c r="M363" s="53">
        <f>tkj!$AM$44</f>
        <v>74</v>
      </c>
      <c r="N363" s="53">
        <f>tkj!$AS$44</f>
        <v>78</v>
      </c>
      <c r="O363" s="53">
        <f>tkj!$AY$44</f>
        <v>89</v>
      </c>
      <c r="P363" s="54">
        <f>tkj!$BA$44</f>
        <v>81</v>
      </c>
      <c r="Q363" s="54">
        <f>tkj!$BC$44</f>
        <v>87</v>
      </c>
      <c r="R363" s="55"/>
      <c r="S363" s="55"/>
      <c r="T363" s="55"/>
      <c r="U363" s="55"/>
      <c r="V363" s="56"/>
      <c r="X363" s="278">
        <v>44</v>
      </c>
    </row>
    <row r="364" spans="1:24" ht="15" thickBot="1">
      <c r="A364" s="268">
        <v>40</v>
      </c>
      <c r="B364" s="271"/>
      <c r="C364" s="274"/>
      <c r="D364" s="52" t="s">
        <v>295</v>
      </c>
      <c r="E364" s="53">
        <f>tkj!$F$44</f>
        <v>90</v>
      </c>
      <c r="F364" s="53">
        <f>tkj!$L$44</f>
        <v>81</v>
      </c>
      <c r="G364" s="53">
        <f>tkj!$R$44</f>
        <v>85</v>
      </c>
      <c r="H364" s="53">
        <f>tkj!$X$44</f>
        <v>83</v>
      </c>
      <c r="I364" s="53">
        <f>tkj!$AB$44</f>
        <v>88</v>
      </c>
      <c r="J364" s="53">
        <f>tkj!$AF$44</f>
        <v>84</v>
      </c>
      <c r="K364" s="54">
        <f>tkj!$AH$44</f>
        <v>80</v>
      </c>
      <c r="L364" s="55"/>
      <c r="M364" s="53">
        <f>tkj!$AN$44</f>
        <v>74</v>
      </c>
      <c r="N364" s="53">
        <f>tkj!$AT$44</f>
        <v>80</v>
      </c>
      <c r="O364" s="53">
        <f>tkj!$AZ$44</f>
        <v>84</v>
      </c>
      <c r="P364" s="54">
        <f>tkj!$BB$44</f>
        <v>90</v>
      </c>
      <c r="Q364" s="54">
        <f>tkj!$BD$44</f>
        <v>76</v>
      </c>
      <c r="R364" s="55"/>
      <c r="S364" s="55"/>
      <c r="T364" s="55"/>
      <c r="U364" s="55"/>
      <c r="V364" s="58"/>
      <c r="X364" s="278">
        <v>44</v>
      </c>
    </row>
    <row r="365" spans="1:24" ht="15" thickBot="1">
      <c r="A365" s="268">
        <v>40</v>
      </c>
      <c r="B365" s="271"/>
      <c r="C365" s="274"/>
      <c r="D365" s="52" t="s">
        <v>296</v>
      </c>
      <c r="E365" s="53">
        <f>tkj!$G$44</f>
        <v>88</v>
      </c>
      <c r="F365" s="53">
        <f>tkj!$M$44</f>
        <v>93</v>
      </c>
      <c r="G365" s="53">
        <f>tkj!$S$44</f>
        <v>83</v>
      </c>
      <c r="H365" s="53">
        <f>tkj!$Y$44</f>
        <v>80</v>
      </c>
      <c r="I365" s="53">
        <f>tkj!$AC$44</f>
        <v>78</v>
      </c>
      <c r="J365" s="59"/>
      <c r="K365" s="54">
        <f>tkj!$AI$44</f>
        <v>75</v>
      </c>
      <c r="L365" s="55"/>
      <c r="M365" s="53">
        <f>tkj!$AO$44</f>
        <v>75</v>
      </c>
      <c r="N365" s="53">
        <f>tkj!$AU$44</f>
        <v>87</v>
      </c>
      <c r="O365" s="59"/>
      <c r="P365" s="55"/>
      <c r="Q365" s="55"/>
      <c r="R365" s="54">
        <f>tkj!$BQ$44</f>
        <v>83</v>
      </c>
      <c r="S365" s="54">
        <f>tkj!$BU$44</f>
        <v>86</v>
      </c>
      <c r="T365" s="55"/>
      <c r="U365" s="54">
        <f>tkj!$BZ$44</f>
        <v>71</v>
      </c>
      <c r="V365" s="58"/>
      <c r="X365" s="278">
        <v>44</v>
      </c>
    </row>
    <row r="366" spans="1:24" ht="15" thickBot="1">
      <c r="A366" s="268">
        <v>40</v>
      </c>
      <c r="B366" s="271"/>
      <c r="C366" s="274"/>
      <c r="D366" s="62" t="s">
        <v>297</v>
      </c>
      <c r="E366" s="53">
        <f>tkj!$H$44</f>
        <v>84</v>
      </c>
      <c r="F366" s="53">
        <f>tkj!$N$44</f>
        <v>94</v>
      </c>
      <c r="G366" s="53">
        <f>tkj!$T$44</f>
        <v>86</v>
      </c>
      <c r="H366" s="53">
        <f>tkj!$Z$44</f>
        <v>84</v>
      </c>
      <c r="I366" s="53">
        <f>tkj!$AD$44</f>
        <v>81</v>
      </c>
      <c r="J366" s="59"/>
      <c r="K366" s="54">
        <f>tkj!$AJ$44</f>
        <v>82</v>
      </c>
      <c r="L366" s="55"/>
      <c r="M366" s="53">
        <f>tkj!$AP$44</f>
        <v>76</v>
      </c>
      <c r="N366" s="53">
        <f>tkj!$AV$44</f>
        <v>84</v>
      </c>
      <c r="O366" s="59"/>
      <c r="P366" s="55"/>
      <c r="Q366" s="55"/>
      <c r="R366" s="54">
        <f>tkj!$BR$44</f>
        <v>81.333333333333329</v>
      </c>
      <c r="S366" s="54">
        <f>tkj!$BV$44</f>
        <v>86</v>
      </c>
      <c r="T366" s="63"/>
      <c r="U366" s="54">
        <f>tkj!$CA$44</f>
        <v>85</v>
      </c>
      <c r="V366" s="58"/>
      <c r="X366" s="278">
        <v>44</v>
      </c>
    </row>
    <row r="367" spans="1:24">
      <c r="A367" s="268">
        <v>40</v>
      </c>
      <c r="B367" s="271"/>
      <c r="C367" s="274"/>
      <c r="D367" s="62" t="s">
        <v>298</v>
      </c>
      <c r="E367" s="53">
        <f>tkj!$I$44</f>
        <v>94</v>
      </c>
      <c r="F367" s="53">
        <f>tkj!$O$44</f>
        <v>94</v>
      </c>
      <c r="G367" s="53">
        <f>tkj!$U$44</f>
        <v>80</v>
      </c>
      <c r="H367" s="65"/>
      <c r="I367" s="65"/>
      <c r="J367" s="59"/>
      <c r="K367" s="59"/>
      <c r="L367" s="53">
        <f>tkj!$AK$44</f>
        <v>85</v>
      </c>
      <c r="M367" s="53">
        <f>tkj!$AQ$44</f>
        <v>83</v>
      </c>
      <c r="N367" s="53">
        <f>tkj!$AW$44</f>
        <v>87</v>
      </c>
      <c r="O367" s="59"/>
      <c r="P367" s="55"/>
      <c r="Q367" s="55"/>
      <c r="R367" s="54">
        <f>tkj!$BS$44</f>
        <v>84</v>
      </c>
      <c r="S367" s="54">
        <f>tkj!$BW$44</f>
        <v>90</v>
      </c>
      <c r="T367" s="54"/>
      <c r="U367" s="54">
        <f>tkj!$CB$44</f>
        <v>80</v>
      </c>
      <c r="V367" s="58"/>
      <c r="X367" s="278">
        <v>44</v>
      </c>
    </row>
    <row r="368" spans="1:24">
      <c r="A368" s="268">
        <v>40</v>
      </c>
      <c r="B368" s="271"/>
      <c r="C368" s="274"/>
      <c r="D368" s="66" t="s">
        <v>299</v>
      </c>
      <c r="E368" s="67">
        <f>AVERAGE(E363:E367)</f>
        <v>89.8</v>
      </c>
      <c r="F368" s="67">
        <f>AVERAGE(F363:F367)</f>
        <v>88.6</v>
      </c>
      <c r="G368" s="67">
        <f>AVERAGE(G363:G367)</f>
        <v>84.8</v>
      </c>
      <c r="H368" s="68"/>
      <c r="I368" s="68"/>
      <c r="J368" s="69"/>
      <c r="K368" s="69"/>
      <c r="L368" s="67">
        <f>AVERAGE(L363:L367)</f>
        <v>85</v>
      </c>
      <c r="M368" s="67">
        <f>AVERAGE(M363:M367)</f>
        <v>76.400000000000006</v>
      </c>
      <c r="N368" s="67">
        <f>AVERAGE(N363:N367)</f>
        <v>83.2</v>
      </c>
      <c r="O368" s="69"/>
      <c r="P368" s="63"/>
      <c r="Q368" s="63"/>
      <c r="R368" s="84">
        <f>AVERAGE(R365:R367)</f>
        <v>82.777777777777771</v>
      </c>
      <c r="S368" s="84">
        <f>AVERAGE(S365:S367)</f>
        <v>87.333333333333329</v>
      </c>
      <c r="T368" s="63"/>
      <c r="U368" s="84">
        <f>AVERAGE(U363:U367)</f>
        <v>78.666666666666671</v>
      </c>
      <c r="V368" s="58"/>
      <c r="X368" s="278">
        <v>44</v>
      </c>
    </row>
    <row r="369" spans="1:24">
      <c r="A369" s="268">
        <v>40</v>
      </c>
      <c r="B369" s="271"/>
      <c r="C369" s="274"/>
      <c r="D369" s="70" t="s">
        <v>300</v>
      </c>
      <c r="E369" s="71">
        <f>tkj!$J$44</f>
        <v>91</v>
      </c>
      <c r="F369" s="71">
        <f>tkj!$P$44</f>
        <v>91</v>
      </c>
      <c r="G369" s="71">
        <f>tkj!$V$44</f>
        <v>87</v>
      </c>
      <c r="H369" s="72"/>
      <c r="I369" s="72"/>
      <c r="J369" s="73"/>
      <c r="K369" s="73"/>
      <c r="L369" s="71">
        <f>tkj!$AL$44</f>
        <v>87</v>
      </c>
      <c r="M369" s="71">
        <f>tkj!$AR$44</f>
        <v>90</v>
      </c>
      <c r="N369" s="71">
        <f>tkj!$AX$44</f>
        <v>90</v>
      </c>
      <c r="O369" s="73"/>
      <c r="P369" s="74"/>
      <c r="Q369" s="74"/>
      <c r="R369" s="85">
        <f>tkj!$BT$44</f>
        <v>92</v>
      </c>
      <c r="S369" s="85">
        <f>tkj!$BX$44</f>
        <v>92</v>
      </c>
      <c r="T369" s="85">
        <f>tkj!$BY$44</f>
        <v>90</v>
      </c>
      <c r="U369" s="75">
        <f>tkj!$CC$44</f>
        <v>90</v>
      </c>
      <c r="V369" s="58"/>
      <c r="X369" s="278">
        <v>44</v>
      </c>
    </row>
    <row r="370" spans="1:24">
      <c r="A370" s="268">
        <v>40</v>
      </c>
      <c r="B370" s="271"/>
      <c r="C370" s="274"/>
      <c r="D370" s="76" t="s">
        <v>301</v>
      </c>
      <c r="E370" s="77">
        <f>tkj!$CD$44</f>
        <v>92</v>
      </c>
      <c r="F370" s="77">
        <f>tkj!$CE$44</f>
        <v>80</v>
      </c>
      <c r="G370" s="77">
        <f>tkj!$CF$44</f>
        <v>80</v>
      </c>
      <c r="H370" s="72"/>
      <c r="I370" s="72"/>
      <c r="J370" s="73"/>
      <c r="K370" s="73"/>
      <c r="L370" s="77">
        <f>tkj!$CG$44</f>
        <v>85</v>
      </c>
      <c r="M370" s="77">
        <f>tkj!$CH$44</f>
        <v>83</v>
      </c>
      <c r="N370" s="77">
        <f>tkj!$CI$44</f>
        <v>87</v>
      </c>
      <c r="O370" s="73"/>
      <c r="P370" s="74"/>
      <c r="Q370" s="74"/>
      <c r="R370" s="86">
        <f>tkj!$CL$44</f>
        <v>87</v>
      </c>
      <c r="S370" s="86">
        <f>tkj!$CK$44</f>
        <v>93</v>
      </c>
      <c r="T370" s="74"/>
      <c r="U370" s="86">
        <f>tkj!$CJ$44</f>
        <v>80</v>
      </c>
      <c r="V370" s="58"/>
      <c r="X370" s="278">
        <v>44</v>
      </c>
    </row>
    <row r="371" spans="1:24" ht="15" thickBot="1">
      <c r="A371" s="269">
        <v>40</v>
      </c>
      <c r="B371" s="272"/>
      <c r="C371" s="275"/>
      <c r="D371" s="78" t="s">
        <v>302</v>
      </c>
      <c r="E371" s="79">
        <f>(E368*4+E369*3+E370*3)/10</f>
        <v>90.820000000000007</v>
      </c>
      <c r="F371" s="79">
        <f t="shared" ref="F371:G371" si="77">(F368*4+F369*3+F370*3)/10</f>
        <v>86.74</v>
      </c>
      <c r="G371" s="79">
        <f t="shared" si="77"/>
        <v>84.02000000000001</v>
      </c>
      <c r="H371" s="79">
        <f>AVERAGE(H363:H366)</f>
        <v>82.25</v>
      </c>
      <c r="I371" s="79">
        <f>AVERAGE(I363:I366)</f>
        <v>81.75</v>
      </c>
      <c r="J371" s="79">
        <f>AVERAGE(J363:J364)</f>
        <v>83.5</v>
      </c>
      <c r="K371" s="79">
        <f>AVERAGE(K363:K366)</f>
        <v>81</v>
      </c>
      <c r="L371" s="79">
        <f>(L368*4+L369*3+L370*3)/10</f>
        <v>85.6</v>
      </c>
      <c r="M371" s="79">
        <f>(M368*4+M369*3+M370*3)/10</f>
        <v>82.460000000000008</v>
      </c>
      <c r="N371" s="79">
        <f>(N368*4+N369*3+N370*3)/10</f>
        <v>86.38</v>
      </c>
      <c r="O371" s="79">
        <f>AVERAGE(O363:O364)</f>
        <v>86.5</v>
      </c>
      <c r="P371" s="79">
        <f>AVERAGE(P363:P364)</f>
        <v>85.5</v>
      </c>
      <c r="Q371" s="79">
        <f>AVERAGE(Q363:Q364)</f>
        <v>81.5</v>
      </c>
      <c r="R371" s="79">
        <f>(R368*4+R369*3+R370*3)/10</f>
        <v>86.811111111111103</v>
      </c>
      <c r="S371" s="79">
        <f>(S368*4+S369*3+S370*3)/10</f>
        <v>90.433333333333323</v>
      </c>
      <c r="T371" s="79">
        <f>T369</f>
        <v>90</v>
      </c>
      <c r="U371" s="79">
        <f t="shared" ref="U371" si="78">(U368*4+U369*3+U370*3)/10</f>
        <v>82.466666666666669</v>
      </c>
      <c r="V371" s="80">
        <f>AVERAGE(E371:U371)</f>
        <v>85.160653594771247</v>
      </c>
      <c r="X371" s="278">
        <v>44</v>
      </c>
    </row>
    <row r="372" spans="1:24" ht="18" customHeight="1" thickTop="1" thickBot="1">
      <c r="A372" s="268">
        <v>41</v>
      </c>
      <c r="B372" s="270" t="s">
        <v>352</v>
      </c>
      <c r="C372" s="273" t="s">
        <v>134</v>
      </c>
      <c r="D372" s="52" t="s">
        <v>294</v>
      </c>
      <c r="E372" s="53">
        <f>tkj!$E$45</f>
        <v>91</v>
      </c>
      <c r="F372" s="53">
        <f>tkj!$K$45</f>
        <v>79</v>
      </c>
      <c r="G372" s="53">
        <f>tkj!$Q$45</f>
        <v>82</v>
      </c>
      <c r="H372" s="53">
        <f>tkj!$W$45</f>
        <v>83</v>
      </c>
      <c r="I372" s="53">
        <f>tkj!$AA$45</f>
        <v>78</v>
      </c>
      <c r="J372" s="53">
        <f>tkj!$AE$45</f>
        <v>84</v>
      </c>
      <c r="K372" s="54">
        <f>tkj!$AG$45</f>
        <v>75</v>
      </c>
      <c r="L372" s="55"/>
      <c r="M372" s="53">
        <f>tkj!$AM$45</f>
        <v>76</v>
      </c>
      <c r="N372" s="53">
        <f>tkj!$AS$45</f>
        <v>82</v>
      </c>
      <c r="O372" s="53">
        <f>tkj!$AY$45</f>
        <v>89</v>
      </c>
      <c r="P372" s="54">
        <f>tkj!$BA$45</f>
        <v>74</v>
      </c>
      <c r="Q372" s="54">
        <f>tkj!$BC$45</f>
        <v>85</v>
      </c>
      <c r="R372" s="55"/>
      <c r="S372" s="55"/>
      <c r="T372" s="55"/>
      <c r="U372" s="55"/>
      <c r="V372" s="56"/>
      <c r="X372" s="278">
        <v>45</v>
      </c>
    </row>
    <row r="373" spans="1:24" ht="15" thickBot="1">
      <c r="A373" s="268">
        <v>41</v>
      </c>
      <c r="B373" s="271"/>
      <c r="C373" s="274"/>
      <c r="D373" s="52" t="s">
        <v>295</v>
      </c>
      <c r="E373" s="53">
        <f>tkj!$F$45</f>
        <v>95</v>
      </c>
      <c r="F373" s="53">
        <f>tkj!$L$45</f>
        <v>81</v>
      </c>
      <c r="G373" s="53">
        <f>tkj!$R$45</f>
        <v>82</v>
      </c>
      <c r="H373" s="53">
        <f>tkj!$X$45</f>
        <v>85</v>
      </c>
      <c r="I373" s="53">
        <f>tkj!$AB$45</f>
        <v>80</v>
      </c>
      <c r="J373" s="53">
        <f>tkj!$AF$45</f>
        <v>90</v>
      </c>
      <c r="K373" s="54">
        <f>tkj!$AH$45</f>
        <v>74</v>
      </c>
      <c r="L373" s="55"/>
      <c r="M373" s="53">
        <f>tkj!$AN$45</f>
        <v>79</v>
      </c>
      <c r="N373" s="53">
        <f>tkj!$AT$45</f>
        <v>80</v>
      </c>
      <c r="O373" s="53">
        <f>tkj!$AZ$45</f>
        <v>77</v>
      </c>
      <c r="P373" s="54">
        <f>tkj!$BB$45</f>
        <v>87</v>
      </c>
      <c r="Q373" s="54">
        <f>tkj!$BD$45</f>
        <v>80</v>
      </c>
      <c r="R373" s="55"/>
      <c r="S373" s="55"/>
      <c r="T373" s="55"/>
      <c r="U373" s="55"/>
      <c r="V373" s="58"/>
      <c r="X373" s="278">
        <v>45</v>
      </c>
    </row>
    <row r="374" spans="1:24" ht="15" thickBot="1">
      <c r="A374" s="268">
        <v>41</v>
      </c>
      <c r="B374" s="271"/>
      <c r="C374" s="274"/>
      <c r="D374" s="52" t="s">
        <v>296</v>
      </c>
      <c r="E374" s="53">
        <f>tkj!$G$45</f>
        <v>92</v>
      </c>
      <c r="F374" s="53">
        <f>tkj!$M$45</f>
        <v>84</v>
      </c>
      <c r="G374" s="53">
        <f>tkj!$S$45</f>
        <v>80</v>
      </c>
      <c r="H374" s="53">
        <f>tkj!$Y$45</f>
        <v>81</v>
      </c>
      <c r="I374" s="53">
        <f>tkj!$AC$45</f>
        <v>85</v>
      </c>
      <c r="J374" s="59"/>
      <c r="K374" s="54">
        <f>tkj!$AI$45</f>
        <v>73</v>
      </c>
      <c r="L374" s="55"/>
      <c r="M374" s="53">
        <f>tkj!$AO$45</f>
        <v>76</v>
      </c>
      <c r="N374" s="53">
        <f>tkj!$AU$45</f>
        <v>82</v>
      </c>
      <c r="O374" s="59"/>
      <c r="P374" s="55"/>
      <c r="Q374" s="55"/>
      <c r="R374" s="54">
        <f>tkj!$BQ$45</f>
        <v>81.333333333333329</v>
      </c>
      <c r="S374" s="54">
        <f>tkj!$BU$45</f>
        <v>86</v>
      </c>
      <c r="T374" s="55"/>
      <c r="U374" s="54">
        <f>tkj!$BZ$45</f>
        <v>81</v>
      </c>
      <c r="V374" s="58"/>
      <c r="X374" s="278">
        <v>45</v>
      </c>
    </row>
    <row r="375" spans="1:24" ht="15" thickBot="1">
      <c r="A375" s="268">
        <v>41</v>
      </c>
      <c r="B375" s="271"/>
      <c r="C375" s="274"/>
      <c r="D375" s="62" t="s">
        <v>297</v>
      </c>
      <c r="E375" s="53">
        <f>tkj!$H$45</f>
        <v>87</v>
      </c>
      <c r="F375" s="53">
        <f>tkj!$N$45</f>
        <v>91</v>
      </c>
      <c r="G375" s="53">
        <f>tkj!$T$45</f>
        <v>84</v>
      </c>
      <c r="H375" s="53">
        <f>tkj!$Z$45</f>
        <v>85</v>
      </c>
      <c r="I375" s="53">
        <f>tkj!$AD$45</f>
        <v>87</v>
      </c>
      <c r="J375" s="59"/>
      <c r="K375" s="54">
        <f>tkj!$AJ$45</f>
        <v>83</v>
      </c>
      <c r="L375" s="55"/>
      <c r="M375" s="53">
        <f>tkj!$AP$45</f>
        <v>77</v>
      </c>
      <c r="N375" s="53">
        <f>tkj!$AV$45</f>
        <v>88</v>
      </c>
      <c r="O375" s="59"/>
      <c r="P375" s="55"/>
      <c r="Q375" s="55"/>
      <c r="R375" s="54">
        <f>tkj!$BR$45</f>
        <v>81.333333333333329</v>
      </c>
      <c r="S375" s="54">
        <f>tkj!$BV$45</f>
        <v>86</v>
      </c>
      <c r="T375" s="63"/>
      <c r="U375" s="54">
        <f>tkj!$CA$45</f>
        <v>88</v>
      </c>
      <c r="V375" s="58"/>
      <c r="X375" s="278">
        <v>45</v>
      </c>
    </row>
    <row r="376" spans="1:24">
      <c r="A376" s="268">
        <v>41</v>
      </c>
      <c r="B376" s="271"/>
      <c r="C376" s="274"/>
      <c r="D376" s="62" t="s">
        <v>298</v>
      </c>
      <c r="E376" s="53">
        <f>tkj!$I$45</f>
        <v>92</v>
      </c>
      <c r="F376" s="53">
        <f>tkj!$O$45</f>
        <v>95</v>
      </c>
      <c r="G376" s="53">
        <f>tkj!$U$45</f>
        <v>89</v>
      </c>
      <c r="H376" s="65"/>
      <c r="I376" s="65"/>
      <c r="J376" s="59"/>
      <c r="K376" s="59"/>
      <c r="L376" s="53">
        <f>tkj!$AK$45</f>
        <v>80</v>
      </c>
      <c r="M376" s="53">
        <f>tkj!$AQ$45</f>
        <v>80</v>
      </c>
      <c r="N376" s="53">
        <f>tkj!$AW$45</f>
        <v>82</v>
      </c>
      <c r="O376" s="59"/>
      <c r="P376" s="55"/>
      <c r="Q376" s="55"/>
      <c r="R376" s="54">
        <f>tkj!$BS$45</f>
        <v>85</v>
      </c>
      <c r="S376" s="54">
        <f>tkj!$BW$45</f>
        <v>89</v>
      </c>
      <c r="T376" s="54"/>
      <c r="U376" s="54">
        <f>tkj!$CB$45</f>
        <v>80</v>
      </c>
      <c r="V376" s="58"/>
      <c r="X376" s="278">
        <v>45</v>
      </c>
    </row>
    <row r="377" spans="1:24">
      <c r="A377" s="268">
        <v>41</v>
      </c>
      <c r="B377" s="271"/>
      <c r="C377" s="274"/>
      <c r="D377" s="66" t="s">
        <v>299</v>
      </c>
      <c r="E377" s="67">
        <f>AVERAGE(E372:E376)</f>
        <v>91.4</v>
      </c>
      <c r="F377" s="67">
        <f>AVERAGE(F372:F376)</f>
        <v>86</v>
      </c>
      <c r="G377" s="67">
        <f>AVERAGE(G372:G376)</f>
        <v>83.4</v>
      </c>
      <c r="H377" s="68"/>
      <c r="I377" s="68"/>
      <c r="J377" s="69"/>
      <c r="K377" s="69"/>
      <c r="L377" s="67">
        <f>AVERAGE(L372:L376)</f>
        <v>80</v>
      </c>
      <c r="M377" s="67">
        <f>AVERAGE(M372:M376)</f>
        <v>77.599999999999994</v>
      </c>
      <c r="N377" s="67">
        <f>AVERAGE(N372:N376)</f>
        <v>82.8</v>
      </c>
      <c r="O377" s="69"/>
      <c r="P377" s="63"/>
      <c r="Q377" s="63"/>
      <c r="R377" s="84">
        <f>AVERAGE(R374:R376)</f>
        <v>82.555555555555557</v>
      </c>
      <c r="S377" s="84">
        <f>AVERAGE(S374:S376)</f>
        <v>87</v>
      </c>
      <c r="T377" s="63"/>
      <c r="U377" s="84">
        <f>AVERAGE(U372:U376)</f>
        <v>83</v>
      </c>
      <c r="V377" s="58"/>
      <c r="X377" s="278">
        <v>45</v>
      </c>
    </row>
    <row r="378" spans="1:24">
      <c r="A378" s="268">
        <v>41</v>
      </c>
      <c r="B378" s="271"/>
      <c r="C378" s="274"/>
      <c r="D378" s="70" t="s">
        <v>300</v>
      </c>
      <c r="E378" s="71">
        <f>tkj!$J$45</f>
        <v>94</v>
      </c>
      <c r="F378" s="71">
        <f>tkj!$P$45</f>
        <v>90</v>
      </c>
      <c r="G378" s="71">
        <f>tkj!$V$45</f>
        <v>89</v>
      </c>
      <c r="H378" s="72"/>
      <c r="I378" s="72"/>
      <c r="J378" s="73"/>
      <c r="K378" s="73"/>
      <c r="L378" s="71">
        <f>tkj!$AL$45</f>
        <v>89</v>
      </c>
      <c r="M378" s="71">
        <f>tkj!$AR$45</f>
        <v>80</v>
      </c>
      <c r="N378" s="71">
        <f>tkj!$AX$45</f>
        <v>80</v>
      </c>
      <c r="O378" s="73"/>
      <c r="P378" s="74"/>
      <c r="Q378" s="74"/>
      <c r="R378" s="85">
        <f>tkj!$BT$45</f>
        <v>85</v>
      </c>
      <c r="S378" s="85">
        <f>tkj!$BX$45</f>
        <v>85</v>
      </c>
      <c r="T378" s="85">
        <f>tkj!$BY$45</f>
        <v>88</v>
      </c>
      <c r="U378" s="75">
        <f>tkj!$CC$45</f>
        <v>80</v>
      </c>
      <c r="V378" s="58"/>
      <c r="X378" s="278">
        <v>45</v>
      </c>
    </row>
    <row r="379" spans="1:24">
      <c r="A379" s="268">
        <v>41</v>
      </c>
      <c r="B379" s="271"/>
      <c r="C379" s="274"/>
      <c r="D379" s="76" t="s">
        <v>301</v>
      </c>
      <c r="E379" s="77">
        <f>tkj!$CD$45</f>
        <v>91</v>
      </c>
      <c r="F379" s="77">
        <f>tkj!$CE$45</f>
        <v>88</v>
      </c>
      <c r="G379" s="77">
        <f>tkj!$CF$45</f>
        <v>84</v>
      </c>
      <c r="H379" s="72"/>
      <c r="I379" s="72"/>
      <c r="J379" s="73"/>
      <c r="K379" s="73"/>
      <c r="L379" s="77">
        <f>tkj!$CG$45</f>
        <v>95</v>
      </c>
      <c r="M379" s="77">
        <f>tkj!$CH$45</f>
        <v>81</v>
      </c>
      <c r="N379" s="77">
        <f>tkj!$CI$45</f>
        <v>86</v>
      </c>
      <c r="O379" s="73"/>
      <c r="P379" s="74"/>
      <c r="Q379" s="74"/>
      <c r="R379" s="86">
        <f>tkj!$CL$45</f>
        <v>95</v>
      </c>
      <c r="S379" s="86">
        <f>tkj!$CK$45</f>
        <v>93</v>
      </c>
      <c r="T379" s="74"/>
      <c r="U379" s="86">
        <f>tkj!$CJ$45</f>
        <v>82</v>
      </c>
      <c r="V379" s="58"/>
      <c r="X379" s="278">
        <v>45</v>
      </c>
    </row>
    <row r="380" spans="1:24" ht="15" thickBot="1">
      <c r="A380" s="269">
        <v>41</v>
      </c>
      <c r="B380" s="272"/>
      <c r="C380" s="275"/>
      <c r="D380" s="78" t="s">
        <v>302</v>
      </c>
      <c r="E380" s="79">
        <f>(E377*4+E378*3+E379*3)/10</f>
        <v>92.06</v>
      </c>
      <c r="F380" s="79">
        <f t="shared" ref="F380:G380" si="79">(F377*4+F378*3+F379*3)/10</f>
        <v>87.8</v>
      </c>
      <c r="G380" s="79">
        <f t="shared" si="79"/>
        <v>85.26</v>
      </c>
      <c r="H380" s="79">
        <f>AVERAGE(H372:H375)</f>
        <v>83.5</v>
      </c>
      <c r="I380" s="79">
        <f>AVERAGE(I372:I375)</f>
        <v>82.5</v>
      </c>
      <c r="J380" s="79">
        <f>AVERAGE(J372:J373)</f>
        <v>87</v>
      </c>
      <c r="K380" s="79">
        <f>AVERAGE(K372:K375)</f>
        <v>76.25</v>
      </c>
      <c r="L380" s="79">
        <f>(L377*4+L378*3+L379*3)/10</f>
        <v>87.2</v>
      </c>
      <c r="M380" s="79">
        <f>(M377*4+M378*3+M379*3)/10</f>
        <v>79.34</v>
      </c>
      <c r="N380" s="79">
        <f>(N377*4+N378*3+N379*3)/10</f>
        <v>82.92</v>
      </c>
      <c r="O380" s="79">
        <f>AVERAGE(O372:O373)</f>
        <v>83</v>
      </c>
      <c r="P380" s="79">
        <f>AVERAGE(P372:P373)</f>
        <v>80.5</v>
      </c>
      <c r="Q380" s="79">
        <f>AVERAGE(Q372:Q373)</f>
        <v>82.5</v>
      </c>
      <c r="R380" s="79">
        <f>(R377*4+R378*3+R379*3)/10</f>
        <v>87.022222222222211</v>
      </c>
      <c r="S380" s="79">
        <f>(S377*4+S378*3+S379*3)/10</f>
        <v>88.2</v>
      </c>
      <c r="T380" s="79">
        <f>T378</f>
        <v>88</v>
      </c>
      <c r="U380" s="79">
        <f t="shared" ref="U380" si="80">(U377*4+U378*3+U379*3)/10</f>
        <v>81.8</v>
      </c>
      <c r="V380" s="80">
        <f>AVERAGE(E380:U380)</f>
        <v>84.40307189542483</v>
      </c>
      <c r="X380" s="278">
        <v>45</v>
      </c>
    </row>
    <row r="381" spans="1:24" ht="15.6" thickTop="1" thickBot="1">
      <c r="A381" s="268">
        <v>42</v>
      </c>
      <c r="B381" s="270" t="s">
        <v>353</v>
      </c>
      <c r="C381" s="273" t="s">
        <v>136</v>
      </c>
      <c r="D381" s="52" t="s">
        <v>294</v>
      </c>
      <c r="E381" s="53">
        <f>tkj!$E$46</f>
        <v>85</v>
      </c>
      <c r="F381" s="53">
        <f>tkj!$K$46</f>
        <v>84</v>
      </c>
      <c r="G381" s="53">
        <f>tkj!$Q$46</f>
        <v>93</v>
      </c>
      <c r="H381" s="53">
        <f>tkj!$W$46</f>
        <v>81</v>
      </c>
      <c r="I381" s="53">
        <f>tkj!$AA$46</f>
        <v>80</v>
      </c>
      <c r="J381" s="53">
        <f>tkj!$AE$46</f>
        <v>83</v>
      </c>
      <c r="K381" s="54">
        <f>tkj!$AG$46</f>
        <v>90</v>
      </c>
      <c r="L381" s="55"/>
      <c r="M381" s="53">
        <f>tkj!$AM$46</f>
        <v>90</v>
      </c>
      <c r="N381" s="53">
        <f>tkj!$AS$46</f>
        <v>81</v>
      </c>
      <c r="O381" s="53">
        <f>tkj!$AY$46</f>
        <v>92</v>
      </c>
      <c r="P381" s="54">
        <f>tkj!$BA$46</f>
        <v>92</v>
      </c>
      <c r="Q381" s="54">
        <f>tkj!$BC$46</f>
        <v>95</v>
      </c>
      <c r="R381" s="55"/>
      <c r="S381" s="55"/>
      <c r="T381" s="55"/>
      <c r="U381" s="55"/>
      <c r="V381" s="56"/>
      <c r="X381" s="278">
        <v>46</v>
      </c>
    </row>
    <row r="382" spans="1:24" ht="15" thickBot="1">
      <c r="A382" s="268">
        <v>42</v>
      </c>
      <c r="B382" s="271"/>
      <c r="C382" s="274"/>
      <c r="D382" s="52" t="s">
        <v>295</v>
      </c>
      <c r="E382" s="53">
        <f>tkj!$F$46</f>
        <v>90</v>
      </c>
      <c r="F382" s="53">
        <f>tkj!$L$46</f>
        <v>87</v>
      </c>
      <c r="G382" s="53">
        <f>tkj!$R$46</f>
        <v>91</v>
      </c>
      <c r="H382" s="53">
        <f>tkj!$X$46</f>
        <v>84</v>
      </c>
      <c r="I382" s="53">
        <f>tkj!$AB$46</f>
        <v>90</v>
      </c>
      <c r="J382" s="53">
        <f>tkj!$AF$46</f>
        <v>85</v>
      </c>
      <c r="K382" s="54">
        <f>tkj!$AH$46</f>
        <v>83</v>
      </c>
      <c r="L382" s="55"/>
      <c r="M382" s="53">
        <f>tkj!$AN$46</f>
        <v>89</v>
      </c>
      <c r="N382" s="53">
        <f>tkj!$AT$46</f>
        <v>88</v>
      </c>
      <c r="O382" s="53">
        <f>tkj!$AZ$46</f>
        <v>95</v>
      </c>
      <c r="P382" s="54">
        <f>tkj!$BB$46</f>
        <v>90</v>
      </c>
      <c r="Q382" s="54">
        <f>tkj!$BD$46</f>
        <v>86</v>
      </c>
      <c r="R382" s="55"/>
      <c r="S382" s="55"/>
      <c r="T382" s="55"/>
      <c r="U382" s="55"/>
      <c r="V382" s="58"/>
      <c r="X382" s="278">
        <v>46</v>
      </c>
    </row>
    <row r="383" spans="1:24" ht="15" thickBot="1">
      <c r="A383" s="268">
        <v>42</v>
      </c>
      <c r="B383" s="271"/>
      <c r="C383" s="274"/>
      <c r="D383" s="52" t="s">
        <v>296</v>
      </c>
      <c r="E383" s="53">
        <f>tkj!$G$46</f>
        <v>89</v>
      </c>
      <c r="F383" s="53">
        <f>tkj!$M$46</f>
        <v>87</v>
      </c>
      <c r="G383" s="53">
        <f>tkj!$S$46</f>
        <v>88</v>
      </c>
      <c r="H383" s="53">
        <f>tkj!$Y$46</f>
        <v>80</v>
      </c>
      <c r="I383" s="53">
        <f>tkj!$AC$46</f>
        <v>78</v>
      </c>
      <c r="J383" s="59"/>
      <c r="K383" s="54">
        <f>tkj!$AI$46</f>
        <v>78</v>
      </c>
      <c r="L383" s="55"/>
      <c r="M383" s="53">
        <f>tkj!$AO$46</f>
        <v>95</v>
      </c>
      <c r="N383" s="53">
        <f>tkj!$AU$46</f>
        <v>82</v>
      </c>
      <c r="O383" s="59"/>
      <c r="P383" s="55"/>
      <c r="Q383" s="55"/>
      <c r="R383" s="54">
        <f>tkj!$BQ$46</f>
        <v>84.333333333333329</v>
      </c>
      <c r="S383" s="54">
        <f>tkj!$BU$46</f>
        <v>86</v>
      </c>
      <c r="T383" s="55"/>
      <c r="U383" s="54">
        <f>tkj!$BZ$46</f>
        <v>81</v>
      </c>
      <c r="V383" s="58"/>
      <c r="X383" s="278">
        <v>46</v>
      </c>
    </row>
    <row r="384" spans="1:24" ht="15" thickBot="1">
      <c r="A384" s="268">
        <v>42</v>
      </c>
      <c r="B384" s="271"/>
      <c r="C384" s="274"/>
      <c r="D384" s="62" t="s">
        <v>297</v>
      </c>
      <c r="E384" s="53">
        <f>tkj!$H$46</f>
        <v>88</v>
      </c>
      <c r="F384" s="53">
        <f>tkj!$N$46</f>
        <v>88</v>
      </c>
      <c r="G384" s="53">
        <f>tkj!$T$46</f>
        <v>88</v>
      </c>
      <c r="H384" s="53">
        <f>tkj!$Z$46</f>
        <v>84</v>
      </c>
      <c r="I384" s="53">
        <f>tkj!$AD$46</f>
        <v>80</v>
      </c>
      <c r="J384" s="59"/>
      <c r="K384" s="54">
        <f>tkj!$AJ$46</f>
        <v>84</v>
      </c>
      <c r="L384" s="55"/>
      <c r="M384" s="53">
        <f>tkj!$AP$46</f>
        <v>95</v>
      </c>
      <c r="N384" s="53">
        <f>tkj!$AV$46</f>
        <v>86</v>
      </c>
      <c r="O384" s="59"/>
      <c r="P384" s="55"/>
      <c r="Q384" s="55"/>
      <c r="R384" s="54">
        <f>tkj!$BR$46</f>
        <v>88</v>
      </c>
      <c r="S384" s="54">
        <f>tkj!$BV$46</f>
        <v>86</v>
      </c>
      <c r="T384" s="63"/>
      <c r="U384" s="54">
        <f>tkj!$CA$46</f>
        <v>88</v>
      </c>
      <c r="V384" s="58"/>
      <c r="X384" s="278">
        <v>46</v>
      </c>
    </row>
    <row r="385" spans="1:24">
      <c r="A385" s="268">
        <v>42</v>
      </c>
      <c r="B385" s="271"/>
      <c r="C385" s="274"/>
      <c r="D385" s="62" t="s">
        <v>298</v>
      </c>
      <c r="E385" s="53">
        <f>tkj!$I$46</f>
        <v>94</v>
      </c>
      <c r="F385" s="53">
        <f>tkj!$O$46</f>
        <v>89</v>
      </c>
      <c r="G385" s="53">
        <f>tkj!$U$46</f>
        <v>87</v>
      </c>
      <c r="H385" s="65"/>
      <c r="I385" s="65"/>
      <c r="J385" s="59"/>
      <c r="K385" s="59"/>
      <c r="L385" s="53">
        <f>tkj!$AK$46</f>
        <v>88</v>
      </c>
      <c r="M385" s="53">
        <f>tkj!$AQ$46</f>
        <v>90</v>
      </c>
      <c r="N385" s="53">
        <f>tkj!$AW$46</f>
        <v>82</v>
      </c>
      <c r="O385" s="59"/>
      <c r="P385" s="55"/>
      <c r="Q385" s="55"/>
      <c r="R385" s="54">
        <f>tkj!$BS$46</f>
        <v>89</v>
      </c>
      <c r="S385" s="54">
        <f>tkj!$BW$46</f>
        <v>90</v>
      </c>
      <c r="T385" s="54"/>
      <c r="U385" s="54">
        <f>tkj!$CB$46</f>
        <v>80</v>
      </c>
      <c r="V385" s="58"/>
      <c r="X385" s="278">
        <v>46</v>
      </c>
    </row>
    <row r="386" spans="1:24">
      <c r="A386" s="268">
        <v>42</v>
      </c>
      <c r="B386" s="271"/>
      <c r="C386" s="274"/>
      <c r="D386" s="66" t="s">
        <v>299</v>
      </c>
      <c r="E386" s="67">
        <f>AVERAGE(E381:E385)</f>
        <v>89.2</v>
      </c>
      <c r="F386" s="67">
        <f>AVERAGE(F381:F385)</f>
        <v>87</v>
      </c>
      <c r="G386" s="67">
        <f>AVERAGE(G381:G385)</f>
        <v>89.4</v>
      </c>
      <c r="H386" s="68"/>
      <c r="I386" s="68"/>
      <c r="J386" s="69"/>
      <c r="K386" s="69"/>
      <c r="L386" s="67">
        <f>AVERAGE(L381:L385)</f>
        <v>88</v>
      </c>
      <c r="M386" s="67">
        <f>AVERAGE(M381:M385)</f>
        <v>91.8</v>
      </c>
      <c r="N386" s="67">
        <f>AVERAGE(N381:N385)</f>
        <v>83.8</v>
      </c>
      <c r="O386" s="69"/>
      <c r="P386" s="63"/>
      <c r="Q386" s="63"/>
      <c r="R386" s="84">
        <f>AVERAGE(R383:R385)</f>
        <v>87.1111111111111</v>
      </c>
      <c r="S386" s="84">
        <f>AVERAGE(S383:S385)</f>
        <v>87.333333333333329</v>
      </c>
      <c r="T386" s="63"/>
      <c r="U386" s="84">
        <f>AVERAGE(U381:U385)</f>
        <v>83</v>
      </c>
      <c r="V386" s="58"/>
      <c r="X386" s="278">
        <v>46</v>
      </c>
    </row>
    <row r="387" spans="1:24">
      <c r="A387" s="268">
        <v>42</v>
      </c>
      <c r="B387" s="271"/>
      <c r="C387" s="274"/>
      <c r="D387" s="70" t="s">
        <v>300</v>
      </c>
      <c r="E387" s="71">
        <f>tkj!$J$46</f>
        <v>93</v>
      </c>
      <c r="F387" s="71">
        <f>tkj!$P$46</f>
        <v>91</v>
      </c>
      <c r="G387" s="71">
        <f>tkj!$V$46</f>
        <v>87</v>
      </c>
      <c r="H387" s="72"/>
      <c r="I387" s="72"/>
      <c r="J387" s="73"/>
      <c r="K387" s="73"/>
      <c r="L387" s="71">
        <f>tkj!$AL$46</f>
        <v>87</v>
      </c>
      <c r="M387" s="71">
        <f>tkj!$AR$46</f>
        <v>90</v>
      </c>
      <c r="N387" s="71">
        <f>tkj!$AX$46</f>
        <v>90</v>
      </c>
      <c r="O387" s="73"/>
      <c r="P387" s="74"/>
      <c r="Q387" s="74"/>
      <c r="R387" s="85">
        <f>tkj!$BT$46</f>
        <v>90</v>
      </c>
      <c r="S387" s="85">
        <f>tkj!$BX$46</f>
        <v>90</v>
      </c>
      <c r="T387" s="85">
        <f>tkj!$BY$46</f>
        <v>90</v>
      </c>
      <c r="U387" s="75">
        <f>tkj!$CC$46</f>
        <v>90</v>
      </c>
      <c r="V387" s="58"/>
      <c r="X387" s="278">
        <v>46</v>
      </c>
    </row>
    <row r="388" spans="1:24">
      <c r="A388" s="268">
        <v>42</v>
      </c>
      <c r="B388" s="271"/>
      <c r="C388" s="274"/>
      <c r="D388" s="76" t="s">
        <v>301</v>
      </c>
      <c r="E388" s="77">
        <f>tkj!$CD$46</f>
        <v>93</v>
      </c>
      <c r="F388" s="77">
        <f>tkj!$CE$46</f>
        <v>95</v>
      </c>
      <c r="G388" s="77">
        <f>tkj!$CF$46</f>
        <v>80</v>
      </c>
      <c r="H388" s="72"/>
      <c r="I388" s="72"/>
      <c r="J388" s="73"/>
      <c r="K388" s="73"/>
      <c r="L388" s="77">
        <f>tkj!$CG$46</f>
        <v>82</v>
      </c>
      <c r="M388" s="77">
        <f>tkj!$CH$46</f>
        <v>92</v>
      </c>
      <c r="N388" s="77">
        <f>tkj!$CI$46</f>
        <v>88</v>
      </c>
      <c r="O388" s="73"/>
      <c r="P388" s="74"/>
      <c r="Q388" s="74"/>
      <c r="R388" s="86">
        <f>tkj!$CL$46</f>
        <v>95</v>
      </c>
      <c r="S388" s="86">
        <f>tkj!$CK$46</f>
        <v>93</v>
      </c>
      <c r="T388" s="74"/>
      <c r="U388" s="86">
        <f>tkj!$CJ$46</f>
        <v>92</v>
      </c>
      <c r="V388" s="58"/>
      <c r="X388" s="278">
        <v>46</v>
      </c>
    </row>
    <row r="389" spans="1:24" ht="15" thickBot="1">
      <c r="A389" s="269">
        <v>42</v>
      </c>
      <c r="B389" s="272"/>
      <c r="C389" s="275"/>
      <c r="D389" s="78" t="s">
        <v>302</v>
      </c>
      <c r="E389" s="79">
        <f>(E386*4+E387*3+E388*3)/10</f>
        <v>91.47999999999999</v>
      </c>
      <c r="F389" s="79">
        <f t="shared" ref="F389:G389" si="81">(F386*4+F387*3+F388*3)/10</f>
        <v>90.6</v>
      </c>
      <c r="G389" s="79">
        <f t="shared" si="81"/>
        <v>85.86</v>
      </c>
      <c r="H389" s="79">
        <f>AVERAGE(H381:H384)</f>
        <v>82.25</v>
      </c>
      <c r="I389" s="79">
        <f>AVERAGE(I381:I384)</f>
        <v>82</v>
      </c>
      <c r="J389" s="79">
        <f>AVERAGE(J381:J382)</f>
        <v>84</v>
      </c>
      <c r="K389" s="79">
        <f>AVERAGE(K381:K384)</f>
        <v>83.75</v>
      </c>
      <c r="L389" s="79">
        <f>(L386*4+L387*3+L388*3)/10</f>
        <v>85.9</v>
      </c>
      <c r="M389" s="79">
        <f>(M386*4+M387*3+M388*3)/10</f>
        <v>91.320000000000007</v>
      </c>
      <c r="N389" s="79">
        <f>(N386*4+N387*3+N388*3)/10</f>
        <v>86.92</v>
      </c>
      <c r="O389" s="79">
        <f>AVERAGE(O381:O382)</f>
        <v>93.5</v>
      </c>
      <c r="P389" s="79">
        <f>AVERAGE(P381:P382)</f>
        <v>91</v>
      </c>
      <c r="Q389" s="79">
        <f>AVERAGE(Q381:Q382)</f>
        <v>90.5</v>
      </c>
      <c r="R389" s="79">
        <f>(R386*4+R387*3+R388*3)/10</f>
        <v>90.344444444444434</v>
      </c>
      <c r="S389" s="79">
        <f>(S386*4+S387*3+S388*3)/10</f>
        <v>89.833333333333329</v>
      </c>
      <c r="T389" s="79">
        <f>T387</f>
        <v>90</v>
      </c>
      <c r="U389" s="79">
        <f t="shared" ref="U389" si="82">(U386*4+U387*3+U388*3)/10</f>
        <v>87.8</v>
      </c>
      <c r="V389" s="80">
        <f>AVERAGE(E389:U389)</f>
        <v>88.062222222222204</v>
      </c>
      <c r="X389" s="278">
        <v>46</v>
      </c>
    </row>
    <row r="390" spans="1:24" ht="15.6" thickTop="1" thickBot="1">
      <c r="A390" s="268">
        <v>43</v>
      </c>
      <c r="B390" s="270" t="s">
        <v>354</v>
      </c>
      <c r="C390" s="273" t="s">
        <v>138</v>
      </c>
      <c r="D390" s="52" t="s">
        <v>294</v>
      </c>
      <c r="E390" s="53">
        <f>tkj!$E$47</f>
        <v>85</v>
      </c>
      <c r="F390" s="53">
        <f>tkj!$K$47</f>
        <v>81</v>
      </c>
      <c r="G390" s="53">
        <f>tkj!$Q$47</f>
        <v>81</v>
      </c>
      <c r="H390" s="53">
        <f>tkj!$W$47</f>
        <v>82</v>
      </c>
      <c r="I390" s="53">
        <f>tkj!$AA$47</f>
        <v>80</v>
      </c>
      <c r="J390" s="53">
        <f>tkj!$AE$47</f>
        <v>84</v>
      </c>
      <c r="K390" s="54">
        <f>tkj!$AG$47</f>
        <v>75</v>
      </c>
      <c r="L390" s="55"/>
      <c r="M390" s="53">
        <f>tkj!$AM$47</f>
        <v>78</v>
      </c>
      <c r="N390" s="53">
        <f>tkj!$AS$47</f>
        <v>76</v>
      </c>
      <c r="O390" s="53">
        <f>tkj!$AY$47</f>
        <v>89</v>
      </c>
      <c r="P390" s="54">
        <f>tkj!$BA$47</f>
        <v>83</v>
      </c>
      <c r="Q390" s="54">
        <f>tkj!$BC$47</f>
        <v>83</v>
      </c>
      <c r="R390" s="55"/>
      <c r="S390" s="55"/>
      <c r="T390" s="55"/>
      <c r="U390" s="55"/>
      <c r="V390" s="56"/>
      <c r="X390" s="278">
        <v>47</v>
      </c>
    </row>
    <row r="391" spans="1:24" ht="15" thickBot="1">
      <c r="A391" s="268">
        <v>43</v>
      </c>
      <c r="B391" s="271"/>
      <c r="C391" s="274"/>
      <c r="D391" s="52" t="s">
        <v>295</v>
      </c>
      <c r="E391" s="53">
        <f>tkj!$F$47</f>
        <v>85</v>
      </c>
      <c r="F391" s="53">
        <f>tkj!$L$47</f>
        <v>83</v>
      </c>
      <c r="G391" s="53">
        <f>tkj!$R$47</f>
        <v>83</v>
      </c>
      <c r="H391" s="53">
        <f>tkj!$X$47</f>
        <v>84</v>
      </c>
      <c r="I391" s="53">
        <f>tkj!$AB$47</f>
        <v>78</v>
      </c>
      <c r="J391" s="53">
        <f>tkj!$AF$47</f>
        <v>83</v>
      </c>
      <c r="K391" s="54">
        <f>tkj!$AH$47</f>
        <v>78</v>
      </c>
      <c r="L391" s="55"/>
      <c r="M391" s="53">
        <f>tkj!$AN$47</f>
        <v>79</v>
      </c>
      <c r="N391" s="53">
        <f>tkj!$AT$47</f>
        <v>78</v>
      </c>
      <c r="O391" s="53">
        <f>tkj!$AZ$47</f>
        <v>84</v>
      </c>
      <c r="P391" s="54">
        <f>tkj!$BB$47</f>
        <v>84</v>
      </c>
      <c r="Q391" s="54">
        <f>tkj!$BD$47</f>
        <v>88</v>
      </c>
      <c r="R391" s="55"/>
      <c r="S391" s="55"/>
      <c r="T391" s="55"/>
      <c r="U391" s="55"/>
      <c r="V391" s="58"/>
      <c r="X391" s="278">
        <v>47</v>
      </c>
    </row>
    <row r="392" spans="1:24" ht="15" thickBot="1">
      <c r="A392" s="268">
        <v>43</v>
      </c>
      <c r="B392" s="271"/>
      <c r="C392" s="274"/>
      <c r="D392" s="52" t="s">
        <v>296</v>
      </c>
      <c r="E392" s="53">
        <f>tkj!$G$47</f>
        <v>89</v>
      </c>
      <c r="F392" s="53">
        <f>tkj!$M$47</f>
        <v>87</v>
      </c>
      <c r="G392" s="53">
        <f>tkj!$S$47</f>
        <v>75</v>
      </c>
      <c r="H392" s="53">
        <f>tkj!$Y$47</f>
        <v>81</v>
      </c>
      <c r="I392" s="53">
        <f>tkj!$AC$47</f>
        <v>74</v>
      </c>
      <c r="J392" s="59"/>
      <c r="K392" s="54">
        <f>tkj!$AI$47</f>
        <v>72</v>
      </c>
      <c r="L392" s="55"/>
      <c r="M392" s="53">
        <f>tkj!$AO$47</f>
        <v>74</v>
      </c>
      <c r="N392" s="53">
        <f>tkj!$AU$47</f>
        <v>82</v>
      </c>
      <c r="O392" s="59"/>
      <c r="P392" s="55"/>
      <c r="Q392" s="55"/>
      <c r="R392" s="54">
        <f>tkj!$BQ$47</f>
        <v>79.333333333333329</v>
      </c>
      <c r="S392" s="54">
        <f>tkj!$BU$47</f>
        <v>85</v>
      </c>
      <c r="T392" s="55"/>
      <c r="U392" s="54">
        <f>tkj!$BZ$47</f>
        <v>83</v>
      </c>
      <c r="V392" s="58"/>
      <c r="X392" s="278">
        <v>47</v>
      </c>
    </row>
    <row r="393" spans="1:24" ht="15" thickBot="1">
      <c r="A393" s="268">
        <v>43</v>
      </c>
      <c r="B393" s="271"/>
      <c r="C393" s="274"/>
      <c r="D393" s="62" t="s">
        <v>297</v>
      </c>
      <c r="E393" s="53">
        <f>tkj!$H$47</f>
        <v>85</v>
      </c>
      <c r="F393" s="53">
        <f>tkj!$N$47</f>
        <v>90</v>
      </c>
      <c r="G393" s="53">
        <f>tkj!$T$47</f>
        <v>81</v>
      </c>
      <c r="H393" s="53">
        <f>tkj!$Z$47</f>
        <v>86</v>
      </c>
      <c r="I393" s="53">
        <f>tkj!$AD$47</f>
        <v>80</v>
      </c>
      <c r="J393" s="59"/>
      <c r="K393" s="54">
        <f>tkj!$AJ$47</f>
        <v>84</v>
      </c>
      <c r="L393" s="55"/>
      <c r="M393" s="53">
        <f>tkj!$AP$47</f>
        <v>75</v>
      </c>
      <c r="N393" s="53">
        <f>tkj!$AV$47</f>
        <v>80</v>
      </c>
      <c r="O393" s="59"/>
      <c r="P393" s="55"/>
      <c r="Q393" s="55"/>
      <c r="R393" s="54">
        <f>tkj!$BR$47</f>
        <v>79.333333333333329</v>
      </c>
      <c r="S393" s="54">
        <f>tkj!$BV$47</f>
        <v>85</v>
      </c>
      <c r="T393" s="63"/>
      <c r="U393" s="54">
        <f>tkj!$CA$47</f>
        <v>90</v>
      </c>
      <c r="V393" s="58"/>
      <c r="X393" s="278">
        <v>47</v>
      </c>
    </row>
    <row r="394" spans="1:24">
      <c r="A394" s="268">
        <v>43</v>
      </c>
      <c r="B394" s="271"/>
      <c r="C394" s="274"/>
      <c r="D394" s="62" t="s">
        <v>298</v>
      </c>
      <c r="E394" s="53">
        <f>tkj!$I$47</f>
        <v>88</v>
      </c>
      <c r="F394" s="53">
        <f>tkj!$O$47</f>
        <v>90</v>
      </c>
      <c r="G394" s="53">
        <f>tkj!$U$47</f>
        <v>83</v>
      </c>
      <c r="H394" s="65"/>
      <c r="I394" s="65"/>
      <c r="J394" s="59"/>
      <c r="K394" s="59"/>
      <c r="L394" s="53">
        <f>tkj!$AK$47</f>
        <v>80</v>
      </c>
      <c r="M394" s="53">
        <f>tkj!$AQ$47</f>
        <v>80</v>
      </c>
      <c r="N394" s="53">
        <f>tkj!$AW$47</f>
        <v>82</v>
      </c>
      <c r="O394" s="59"/>
      <c r="P394" s="55"/>
      <c r="Q394" s="55"/>
      <c r="R394" s="54">
        <f>tkj!$BS$47</f>
        <v>85</v>
      </c>
      <c r="S394" s="54">
        <f>tkj!$BW$47</f>
        <v>86</v>
      </c>
      <c r="T394" s="54"/>
      <c r="U394" s="54">
        <f>tkj!$CB$47</f>
        <v>80</v>
      </c>
      <c r="V394" s="58"/>
      <c r="X394" s="278">
        <v>47</v>
      </c>
    </row>
    <row r="395" spans="1:24">
      <c r="A395" s="268">
        <v>43</v>
      </c>
      <c r="B395" s="271"/>
      <c r="C395" s="274"/>
      <c r="D395" s="66" t="s">
        <v>299</v>
      </c>
      <c r="E395" s="67">
        <f>AVERAGE(E390:E394)</f>
        <v>86.4</v>
      </c>
      <c r="F395" s="67">
        <f>AVERAGE(F390:F394)</f>
        <v>86.2</v>
      </c>
      <c r="G395" s="67">
        <f>AVERAGE(G390:G394)</f>
        <v>80.599999999999994</v>
      </c>
      <c r="H395" s="68"/>
      <c r="I395" s="68"/>
      <c r="J395" s="69"/>
      <c r="K395" s="69"/>
      <c r="L395" s="67">
        <f>AVERAGE(L390:L394)</f>
        <v>80</v>
      </c>
      <c r="M395" s="67">
        <f>AVERAGE(M390:M394)</f>
        <v>77.2</v>
      </c>
      <c r="N395" s="67">
        <f>AVERAGE(N390:N394)</f>
        <v>79.599999999999994</v>
      </c>
      <c r="O395" s="69"/>
      <c r="P395" s="63"/>
      <c r="Q395" s="63"/>
      <c r="R395" s="84">
        <f>AVERAGE(R392:R394)</f>
        <v>81.222222222222214</v>
      </c>
      <c r="S395" s="84">
        <f>AVERAGE(S392:S394)</f>
        <v>85.333333333333329</v>
      </c>
      <c r="T395" s="63"/>
      <c r="U395" s="84">
        <f>AVERAGE(U390:U394)</f>
        <v>84.333333333333329</v>
      </c>
      <c r="V395" s="58"/>
      <c r="X395" s="278">
        <v>47</v>
      </c>
    </row>
    <row r="396" spans="1:24">
      <c r="A396" s="268">
        <v>43</v>
      </c>
      <c r="B396" s="271"/>
      <c r="C396" s="274"/>
      <c r="D396" s="70" t="s">
        <v>300</v>
      </c>
      <c r="E396" s="71">
        <f>tkj!$J$47</f>
        <v>78</v>
      </c>
      <c r="F396" s="71">
        <f>tkj!$P$47</f>
        <v>78</v>
      </c>
      <c r="G396" s="71">
        <f>tkj!$V$47</f>
        <v>79</v>
      </c>
      <c r="H396" s="72"/>
      <c r="I396" s="72"/>
      <c r="J396" s="73"/>
      <c r="K396" s="73"/>
      <c r="L396" s="71">
        <f>tkj!$AL$47</f>
        <v>79</v>
      </c>
      <c r="M396" s="71">
        <f>tkj!$AR$47</f>
        <v>79</v>
      </c>
      <c r="N396" s="71">
        <f>tkj!$AX$47</f>
        <v>79</v>
      </c>
      <c r="O396" s="73"/>
      <c r="P396" s="74"/>
      <c r="Q396" s="74"/>
      <c r="R396" s="85">
        <f>tkj!$BT$47</f>
        <v>77</v>
      </c>
      <c r="S396" s="85">
        <f>tkj!$BX$47</f>
        <v>77</v>
      </c>
      <c r="T396" s="85">
        <f>tkj!$BY$47</f>
        <v>78</v>
      </c>
      <c r="U396" s="75">
        <f>tkj!$CC$47</f>
        <v>79</v>
      </c>
      <c r="V396" s="58"/>
      <c r="X396" s="278">
        <v>47</v>
      </c>
    </row>
    <row r="397" spans="1:24">
      <c r="A397" s="268">
        <v>43</v>
      </c>
      <c r="B397" s="271"/>
      <c r="C397" s="274"/>
      <c r="D397" s="76" t="s">
        <v>301</v>
      </c>
      <c r="E397" s="77">
        <f>tkj!$CD$47</f>
        <v>83</v>
      </c>
      <c r="F397" s="77">
        <f>tkj!$CE$47</f>
        <v>88</v>
      </c>
      <c r="G397" s="77">
        <f>tkj!$CF$47</f>
        <v>84</v>
      </c>
      <c r="H397" s="72"/>
      <c r="I397" s="72"/>
      <c r="J397" s="73"/>
      <c r="K397" s="73"/>
      <c r="L397" s="77">
        <f>tkj!$CG$47</f>
        <v>82</v>
      </c>
      <c r="M397" s="77">
        <f>tkj!$CH$47</f>
        <v>79</v>
      </c>
      <c r="N397" s="77">
        <f>tkj!$CI$47</f>
        <v>84</v>
      </c>
      <c r="O397" s="73"/>
      <c r="P397" s="74"/>
      <c r="Q397" s="74"/>
      <c r="R397" s="86">
        <f>tkj!$CL$47</f>
        <v>95</v>
      </c>
      <c r="S397" s="86">
        <f>tkj!$CK$47</f>
        <v>79</v>
      </c>
      <c r="T397" s="74"/>
      <c r="U397" s="86">
        <f>tkj!$CJ$47</f>
        <v>85</v>
      </c>
      <c r="V397" s="58"/>
      <c r="X397" s="278">
        <v>47</v>
      </c>
    </row>
    <row r="398" spans="1:24" ht="15" thickBot="1">
      <c r="A398" s="269">
        <v>43</v>
      </c>
      <c r="B398" s="272"/>
      <c r="C398" s="275"/>
      <c r="D398" s="78" t="s">
        <v>302</v>
      </c>
      <c r="E398" s="79">
        <f>(E395*4+E396*3+E397*3)/10</f>
        <v>82.86</v>
      </c>
      <c r="F398" s="79">
        <f t="shared" ref="F398:G398" si="83">(F395*4+F396*3+F397*3)/10</f>
        <v>84.28</v>
      </c>
      <c r="G398" s="79">
        <f t="shared" si="83"/>
        <v>81.14</v>
      </c>
      <c r="H398" s="79">
        <f>AVERAGE(H390:H393)</f>
        <v>83.25</v>
      </c>
      <c r="I398" s="79">
        <f>AVERAGE(I390:I393)</f>
        <v>78</v>
      </c>
      <c r="J398" s="79">
        <f>AVERAGE(J390:J391)</f>
        <v>83.5</v>
      </c>
      <c r="K398" s="79">
        <f>AVERAGE(K390:K393)</f>
        <v>77.25</v>
      </c>
      <c r="L398" s="79">
        <f>(L395*4+L396*3+L397*3)/10</f>
        <v>80.3</v>
      </c>
      <c r="M398" s="79">
        <f>(M395*4+M396*3+M397*3)/10</f>
        <v>78.28</v>
      </c>
      <c r="N398" s="79">
        <f>(N395*4+N396*3+N397*3)/10</f>
        <v>80.739999999999995</v>
      </c>
      <c r="O398" s="79">
        <f>AVERAGE(O390:O391)</f>
        <v>86.5</v>
      </c>
      <c r="P398" s="79">
        <f>AVERAGE(P390:P391)</f>
        <v>83.5</v>
      </c>
      <c r="Q398" s="79">
        <f>AVERAGE(Q390:Q391)</f>
        <v>85.5</v>
      </c>
      <c r="R398" s="79">
        <f>(R395*4+R396*3+R397*3)/10</f>
        <v>84.088888888888889</v>
      </c>
      <c r="S398" s="79">
        <f>(S395*4+S396*3+S397*3)/10</f>
        <v>80.933333333333323</v>
      </c>
      <c r="T398" s="79">
        <f>T396</f>
        <v>78</v>
      </c>
      <c r="U398" s="79">
        <f t="shared" ref="U398" si="84">(U395*4+U396*3+U397*3)/10</f>
        <v>82.933333333333323</v>
      </c>
      <c r="V398" s="80">
        <f>AVERAGE(E398:U398)</f>
        <v>81.826797385620921</v>
      </c>
      <c r="X398" s="278">
        <v>47</v>
      </c>
    </row>
    <row r="399" spans="1:24" ht="15.6" thickTop="1" thickBot="1">
      <c r="A399" s="268">
        <v>44</v>
      </c>
      <c r="B399" s="270" t="s">
        <v>355</v>
      </c>
      <c r="C399" s="273" t="s">
        <v>140</v>
      </c>
      <c r="D399" s="52" t="s">
        <v>294</v>
      </c>
      <c r="E399" s="53">
        <f>tkj!$E$48</f>
        <v>90</v>
      </c>
      <c r="F399" s="53">
        <f>tkj!$K$48</f>
        <v>82</v>
      </c>
      <c r="G399" s="53">
        <f>tkj!$Q$48</f>
        <v>95</v>
      </c>
      <c r="H399" s="53">
        <f>tkj!$W$48</f>
        <v>81</v>
      </c>
      <c r="I399" s="53">
        <f>tkj!$AA$48</f>
        <v>76</v>
      </c>
      <c r="J399" s="53">
        <f>tkj!$AE$48</f>
        <v>82</v>
      </c>
      <c r="K399" s="54">
        <f>tkj!$AG$48</f>
        <v>80</v>
      </c>
      <c r="L399" s="55"/>
      <c r="M399" s="53">
        <f>tkj!$AM$48</f>
        <v>85</v>
      </c>
      <c r="N399" s="53">
        <f>tkj!$AS$48</f>
        <v>78</v>
      </c>
      <c r="O399" s="53">
        <f>tkj!$AY$48</f>
        <v>89</v>
      </c>
      <c r="P399" s="54">
        <f>tkj!$BA$48</f>
        <v>85</v>
      </c>
      <c r="Q399" s="54">
        <f>tkj!$BC$48</f>
        <v>83</v>
      </c>
      <c r="R399" s="55"/>
      <c r="S399" s="55"/>
      <c r="T399" s="55"/>
      <c r="U399" s="55"/>
      <c r="V399" s="56"/>
      <c r="X399" s="278">
        <v>48</v>
      </c>
    </row>
    <row r="400" spans="1:24" ht="15" thickBot="1">
      <c r="A400" s="268">
        <v>44</v>
      </c>
      <c r="B400" s="271"/>
      <c r="C400" s="274"/>
      <c r="D400" s="52" t="s">
        <v>295</v>
      </c>
      <c r="E400" s="53">
        <f>tkj!$F$48</f>
        <v>80</v>
      </c>
      <c r="F400" s="53">
        <f>tkj!$L$48</f>
        <v>80</v>
      </c>
      <c r="G400" s="53">
        <f>tkj!$R$48</f>
        <v>82</v>
      </c>
      <c r="H400" s="53">
        <f>tkj!$X$48</f>
        <v>85</v>
      </c>
      <c r="I400" s="53">
        <f>tkj!$AB$48</f>
        <v>80</v>
      </c>
      <c r="J400" s="53">
        <f>tkj!$AF$48</f>
        <v>82</v>
      </c>
      <c r="K400" s="54">
        <f>tkj!$AH$48</f>
        <v>76</v>
      </c>
      <c r="L400" s="55"/>
      <c r="M400" s="53">
        <f>tkj!$AN$48</f>
        <v>74</v>
      </c>
      <c r="N400" s="53">
        <f>tkj!$AT$48</f>
        <v>79</v>
      </c>
      <c r="O400" s="53">
        <f>tkj!$AZ$48</f>
        <v>90</v>
      </c>
      <c r="P400" s="54">
        <f>tkj!$BB$48</f>
        <v>86</v>
      </c>
      <c r="Q400" s="54">
        <f>tkj!$BD$48</f>
        <v>80</v>
      </c>
      <c r="R400" s="55"/>
      <c r="S400" s="55"/>
      <c r="T400" s="55"/>
      <c r="U400" s="55"/>
      <c r="V400" s="58"/>
      <c r="X400" s="278">
        <v>48</v>
      </c>
    </row>
    <row r="401" spans="1:24" ht="15" thickBot="1">
      <c r="A401" s="268">
        <v>44</v>
      </c>
      <c r="B401" s="271"/>
      <c r="C401" s="274"/>
      <c r="D401" s="52" t="s">
        <v>296</v>
      </c>
      <c r="E401" s="53">
        <f>tkj!$G$48</f>
        <v>92</v>
      </c>
      <c r="F401" s="53">
        <f>tkj!$M$48</f>
        <v>83</v>
      </c>
      <c r="G401" s="53">
        <f>tkj!$S$48</f>
        <v>84</v>
      </c>
      <c r="H401" s="53">
        <f>tkj!$Y$48</f>
        <v>80</v>
      </c>
      <c r="I401" s="53">
        <f>tkj!$AC$48</f>
        <v>85</v>
      </c>
      <c r="J401" s="59"/>
      <c r="K401" s="54">
        <f>tkj!$AI$48</f>
        <v>76</v>
      </c>
      <c r="L401" s="55"/>
      <c r="M401" s="53">
        <f>tkj!$AO$48</f>
        <v>84</v>
      </c>
      <c r="N401" s="53">
        <f>tkj!$AU$48</f>
        <v>83</v>
      </c>
      <c r="O401" s="59"/>
      <c r="P401" s="55"/>
      <c r="Q401" s="55"/>
      <c r="R401" s="54">
        <f>tkj!$BQ$48</f>
        <v>85.666666666666671</v>
      </c>
      <c r="S401" s="54">
        <f>tkj!$BU$48</f>
        <v>85</v>
      </c>
      <c r="T401" s="55"/>
      <c r="U401" s="54">
        <f>tkj!$BZ$48</f>
        <v>77</v>
      </c>
      <c r="V401" s="58"/>
      <c r="X401" s="278">
        <v>48</v>
      </c>
    </row>
    <row r="402" spans="1:24" ht="15" thickBot="1">
      <c r="A402" s="268">
        <v>44</v>
      </c>
      <c r="B402" s="271"/>
      <c r="C402" s="274"/>
      <c r="D402" s="62" t="s">
        <v>297</v>
      </c>
      <c r="E402" s="53">
        <f>tkj!$H$48</f>
        <v>88</v>
      </c>
      <c r="F402" s="53">
        <f>tkj!$N$48</f>
        <v>93</v>
      </c>
      <c r="G402" s="53">
        <f>tkj!$T$48</f>
        <v>84</v>
      </c>
      <c r="H402" s="53">
        <f>tkj!$Z$48</f>
        <v>84</v>
      </c>
      <c r="I402" s="53">
        <f>tkj!$AD$48</f>
        <v>86</v>
      </c>
      <c r="J402" s="59"/>
      <c r="K402" s="54">
        <f>tkj!$AJ$48</f>
        <v>84</v>
      </c>
      <c r="L402" s="55"/>
      <c r="M402" s="53">
        <f>tkj!$AP$48</f>
        <v>85</v>
      </c>
      <c r="N402" s="53">
        <f>tkj!$AV$48</f>
        <v>83</v>
      </c>
      <c r="O402" s="59"/>
      <c r="P402" s="55"/>
      <c r="Q402" s="55"/>
      <c r="R402" s="54">
        <f>tkj!$BR$48</f>
        <v>88.666666666666671</v>
      </c>
      <c r="S402" s="54">
        <f>tkj!$BV$48</f>
        <v>85</v>
      </c>
      <c r="T402" s="63"/>
      <c r="U402" s="54">
        <f>tkj!$CA$48</f>
        <v>91</v>
      </c>
      <c r="V402" s="58"/>
      <c r="X402" s="278">
        <v>48</v>
      </c>
    </row>
    <row r="403" spans="1:24">
      <c r="A403" s="268">
        <v>44</v>
      </c>
      <c r="B403" s="271"/>
      <c r="C403" s="274"/>
      <c r="D403" s="62" t="s">
        <v>298</v>
      </c>
      <c r="E403" s="53">
        <f>tkj!$I$48</f>
        <v>89</v>
      </c>
      <c r="F403" s="53">
        <f>tkj!$O$48</f>
        <v>95</v>
      </c>
      <c r="G403" s="53">
        <f>tkj!$U$48</f>
        <v>80</v>
      </c>
      <c r="H403" s="65"/>
      <c r="I403" s="65"/>
      <c r="J403" s="59"/>
      <c r="K403" s="59"/>
      <c r="L403" s="53">
        <f>tkj!$AK$48</f>
        <v>88</v>
      </c>
      <c r="M403" s="53">
        <f>tkj!$AQ$48</f>
        <v>87</v>
      </c>
      <c r="N403" s="53">
        <f>tkj!$AW$48</f>
        <v>83</v>
      </c>
      <c r="O403" s="59"/>
      <c r="P403" s="55"/>
      <c r="Q403" s="55"/>
      <c r="R403" s="54">
        <f>tkj!$BS$48</f>
        <v>87</v>
      </c>
      <c r="S403" s="54">
        <f>tkj!$BW$48</f>
        <v>90</v>
      </c>
      <c r="T403" s="54"/>
      <c r="U403" s="54">
        <f>tkj!$CB$48</f>
        <v>90</v>
      </c>
      <c r="V403" s="58"/>
      <c r="X403" s="278">
        <v>48</v>
      </c>
    </row>
    <row r="404" spans="1:24">
      <c r="A404" s="268">
        <v>44</v>
      </c>
      <c r="B404" s="271"/>
      <c r="C404" s="274"/>
      <c r="D404" s="66" t="s">
        <v>299</v>
      </c>
      <c r="E404" s="67">
        <f>AVERAGE(E399:E403)</f>
        <v>87.8</v>
      </c>
      <c r="F404" s="67">
        <f>AVERAGE(F399:F403)</f>
        <v>86.6</v>
      </c>
      <c r="G404" s="67">
        <f>AVERAGE(G399:G403)</f>
        <v>85</v>
      </c>
      <c r="H404" s="68"/>
      <c r="I404" s="68"/>
      <c r="J404" s="69"/>
      <c r="K404" s="69"/>
      <c r="L404" s="67">
        <f>AVERAGE(L399:L403)</f>
        <v>88</v>
      </c>
      <c r="M404" s="67">
        <f>AVERAGE(M399:M403)</f>
        <v>83</v>
      </c>
      <c r="N404" s="67">
        <f>AVERAGE(N399:N403)</f>
        <v>81.2</v>
      </c>
      <c r="O404" s="69"/>
      <c r="P404" s="63"/>
      <c r="Q404" s="63"/>
      <c r="R404" s="84">
        <f>AVERAGE(R401:R403)</f>
        <v>87.111111111111128</v>
      </c>
      <c r="S404" s="84">
        <f>AVERAGE(S401:S403)</f>
        <v>86.666666666666671</v>
      </c>
      <c r="T404" s="63"/>
      <c r="U404" s="84">
        <f>AVERAGE(U399:U403)</f>
        <v>86</v>
      </c>
      <c r="V404" s="58"/>
      <c r="X404" s="278">
        <v>48</v>
      </c>
    </row>
    <row r="405" spans="1:24">
      <c r="A405" s="268">
        <v>44</v>
      </c>
      <c r="B405" s="271"/>
      <c r="C405" s="274"/>
      <c r="D405" s="70" t="s">
        <v>300</v>
      </c>
      <c r="E405" s="71">
        <f>tkj!$J$48</f>
        <v>95</v>
      </c>
      <c r="F405" s="71">
        <f>tkj!$P$48</f>
        <v>95</v>
      </c>
      <c r="G405" s="71">
        <f>tkj!$V$48</f>
        <v>90</v>
      </c>
      <c r="H405" s="72"/>
      <c r="I405" s="72"/>
      <c r="J405" s="73"/>
      <c r="K405" s="73"/>
      <c r="L405" s="71">
        <f>tkj!$AL$48</f>
        <v>90</v>
      </c>
      <c r="M405" s="71">
        <f>tkj!$AR$48</f>
        <v>90</v>
      </c>
      <c r="N405" s="71">
        <f>tkj!$AX$48</f>
        <v>90</v>
      </c>
      <c r="O405" s="73"/>
      <c r="P405" s="74"/>
      <c r="Q405" s="74"/>
      <c r="R405" s="85">
        <f>tkj!$BT$48</f>
        <v>93</v>
      </c>
      <c r="S405" s="85">
        <f>tkj!$BX$48</f>
        <v>93</v>
      </c>
      <c r="T405" s="85">
        <f>tkj!$BY$48</f>
        <v>93</v>
      </c>
      <c r="U405" s="75">
        <f>tkj!$CC$48</f>
        <v>90</v>
      </c>
      <c r="V405" s="58"/>
      <c r="X405" s="278">
        <v>48</v>
      </c>
    </row>
    <row r="406" spans="1:24">
      <c r="A406" s="268">
        <v>44</v>
      </c>
      <c r="B406" s="271"/>
      <c r="C406" s="274"/>
      <c r="D406" s="76" t="s">
        <v>301</v>
      </c>
      <c r="E406" s="77">
        <f>tkj!$CD$48</f>
        <v>93</v>
      </c>
      <c r="F406" s="77">
        <f>tkj!$CE$48</f>
        <v>90</v>
      </c>
      <c r="G406" s="77">
        <f>tkj!$CF$48</f>
        <v>88</v>
      </c>
      <c r="H406" s="72"/>
      <c r="I406" s="72"/>
      <c r="J406" s="73"/>
      <c r="K406" s="73"/>
      <c r="L406" s="77">
        <f>tkj!$CG$48</f>
        <v>77</v>
      </c>
      <c r="M406" s="77">
        <f>tkj!$CH$48</f>
        <v>87</v>
      </c>
      <c r="N406" s="77">
        <f>tkj!$CI$48</f>
        <v>85</v>
      </c>
      <c r="O406" s="73"/>
      <c r="P406" s="74"/>
      <c r="Q406" s="74"/>
      <c r="R406" s="86">
        <f>tkj!$CL$48</f>
        <v>77</v>
      </c>
      <c r="S406" s="86">
        <f>tkj!$CK$48</f>
        <v>93</v>
      </c>
      <c r="T406" s="74"/>
      <c r="U406" s="86">
        <f>tkj!$CJ$48</f>
        <v>90</v>
      </c>
      <c r="V406" s="58"/>
      <c r="X406" s="278">
        <v>48</v>
      </c>
    </row>
    <row r="407" spans="1:24" ht="15" thickBot="1">
      <c r="A407" s="269">
        <v>44</v>
      </c>
      <c r="B407" s="272"/>
      <c r="C407" s="275"/>
      <c r="D407" s="78" t="s">
        <v>302</v>
      </c>
      <c r="E407" s="79">
        <f>(E404*4+E405*3+E406*3)/10</f>
        <v>91.52000000000001</v>
      </c>
      <c r="F407" s="79">
        <f t="shared" ref="F407:G407" si="85">(F404*4+F405*3+F406*3)/10</f>
        <v>90.14</v>
      </c>
      <c r="G407" s="79">
        <f t="shared" si="85"/>
        <v>87.4</v>
      </c>
      <c r="H407" s="79">
        <f>AVERAGE(H399:H402)</f>
        <v>82.5</v>
      </c>
      <c r="I407" s="79">
        <f>AVERAGE(I399:I402)</f>
        <v>81.75</v>
      </c>
      <c r="J407" s="79">
        <f>AVERAGE(J399:J400)</f>
        <v>82</v>
      </c>
      <c r="K407" s="79">
        <f>AVERAGE(K399:K402)</f>
        <v>79</v>
      </c>
      <c r="L407" s="79">
        <f>(L404*4+L405*3+L406*3)/10</f>
        <v>85.3</v>
      </c>
      <c r="M407" s="79">
        <f>(M404*4+M405*3+M406*3)/10</f>
        <v>86.3</v>
      </c>
      <c r="N407" s="79">
        <f>(N404*4+N405*3+N406*3)/10</f>
        <v>84.97999999999999</v>
      </c>
      <c r="O407" s="79">
        <f>AVERAGE(O399:O400)</f>
        <v>89.5</v>
      </c>
      <c r="P407" s="79">
        <f>AVERAGE(P399:P400)</f>
        <v>85.5</v>
      </c>
      <c r="Q407" s="79">
        <f>AVERAGE(Q399:Q400)</f>
        <v>81.5</v>
      </c>
      <c r="R407" s="79">
        <f>(R404*4+R405*3+R406*3)/10</f>
        <v>85.844444444444463</v>
      </c>
      <c r="S407" s="79">
        <f>(S404*4+S405*3+S406*3)/10</f>
        <v>90.466666666666669</v>
      </c>
      <c r="T407" s="79">
        <f>T405</f>
        <v>93</v>
      </c>
      <c r="U407" s="79">
        <f t="shared" ref="U407" si="86">(U404*4+U405*3+U406*3)/10</f>
        <v>88.4</v>
      </c>
      <c r="V407" s="80">
        <f>AVERAGE(E407:U407)</f>
        <v>86.182418300653595</v>
      </c>
      <c r="X407" s="278">
        <v>48</v>
      </c>
    </row>
    <row r="408" spans="1:24" ht="15.6" thickTop="1" thickBot="1">
      <c r="A408" s="268">
        <v>45</v>
      </c>
      <c r="B408" s="270" t="s">
        <v>356</v>
      </c>
      <c r="C408" s="273" t="s">
        <v>142</v>
      </c>
      <c r="D408" s="52" t="s">
        <v>294</v>
      </c>
      <c r="E408" s="53">
        <f>tkj!$E$49</f>
        <v>78</v>
      </c>
      <c r="F408" s="53">
        <f>tkj!$K$49</f>
        <v>78</v>
      </c>
      <c r="G408" s="53">
        <f>tkj!$Q$49</f>
        <v>80</v>
      </c>
      <c r="H408" s="53">
        <f>tkj!$W$49</f>
        <v>81</v>
      </c>
      <c r="I408" s="53">
        <f>tkj!$AA$49</f>
        <v>80</v>
      </c>
      <c r="J408" s="53">
        <f>tkj!$AE$49</f>
        <v>78</v>
      </c>
      <c r="K408" s="54">
        <f>tkj!$AG$49</f>
        <v>80</v>
      </c>
      <c r="L408" s="55"/>
      <c r="M408" s="53">
        <f>tkj!$AM$49</f>
        <v>70</v>
      </c>
      <c r="N408" s="53">
        <f>tkj!$AS$49</f>
        <v>74</v>
      </c>
      <c r="O408" s="53">
        <f>tkj!$AY$49</f>
        <v>72</v>
      </c>
      <c r="P408" s="54">
        <f>tkj!$BA$49</f>
        <v>74</v>
      </c>
      <c r="Q408" s="54">
        <f>tkj!$BC$49</f>
        <v>81</v>
      </c>
      <c r="R408" s="55"/>
      <c r="S408" s="55"/>
      <c r="T408" s="55"/>
      <c r="U408" s="55"/>
      <c r="V408" s="56"/>
      <c r="X408" s="278">
        <v>49</v>
      </c>
    </row>
    <row r="409" spans="1:24" ht="15" thickBot="1">
      <c r="A409" s="268">
        <v>45</v>
      </c>
      <c r="B409" s="271"/>
      <c r="C409" s="274"/>
      <c r="D409" s="52" t="s">
        <v>295</v>
      </c>
      <c r="E409" s="53">
        <f>tkj!$F$49</f>
        <v>81</v>
      </c>
      <c r="F409" s="53">
        <f>tkj!$L$49</f>
        <v>80</v>
      </c>
      <c r="G409" s="53">
        <f>tkj!$R$49</f>
        <v>70</v>
      </c>
      <c r="H409" s="53">
        <f>tkj!$X$49</f>
        <v>82</v>
      </c>
      <c r="I409" s="53">
        <f>tkj!$AB$49</f>
        <v>79</v>
      </c>
      <c r="J409" s="53">
        <f>tkj!$AF$49</f>
        <v>79</v>
      </c>
      <c r="K409" s="54">
        <f>tkj!$AH$49</f>
        <v>71</v>
      </c>
      <c r="L409" s="55"/>
      <c r="M409" s="53">
        <f>tkj!$AN$49</f>
        <v>70</v>
      </c>
      <c r="N409" s="53">
        <f>tkj!$AT$49</f>
        <v>73</v>
      </c>
      <c r="O409" s="53">
        <f>tkj!$AZ$49</f>
        <v>92</v>
      </c>
      <c r="P409" s="54">
        <f>tkj!$BB$49</f>
        <v>78</v>
      </c>
      <c r="Q409" s="54">
        <f>tkj!$BD$49</f>
        <v>75</v>
      </c>
      <c r="R409" s="55"/>
      <c r="S409" s="55"/>
      <c r="T409" s="55"/>
      <c r="U409" s="55"/>
      <c r="V409" s="58"/>
      <c r="X409" s="278">
        <v>49</v>
      </c>
    </row>
    <row r="410" spans="1:24" ht="15" thickBot="1">
      <c r="A410" s="268">
        <v>45</v>
      </c>
      <c r="B410" s="271"/>
      <c r="C410" s="274"/>
      <c r="D410" s="52" t="s">
        <v>296</v>
      </c>
      <c r="E410" s="53">
        <f>tkj!$G$49</f>
        <v>88</v>
      </c>
      <c r="F410" s="53">
        <f>tkj!$M$49</f>
        <v>94</v>
      </c>
      <c r="G410" s="53">
        <f>tkj!$S$49</f>
        <v>80</v>
      </c>
      <c r="H410" s="53">
        <f>tkj!$Y$49</f>
        <v>82</v>
      </c>
      <c r="I410" s="53">
        <f>tkj!$AC$49</f>
        <v>85</v>
      </c>
      <c r="J410" s="59"/>
      <c r="K410" s="54">
        <f>tkj!$AI$49</f>
        <v>77</v>
      </c>
      <c r="L410" s="55"/>
      <c r="M410" s="53">
        <f>tkj!$AO$49</f>
        <v>81</v>
      </c>
      <c r="N410" s="53">
        <f>tkj!$AU$49</f>
        <v>82</v>
      </c>
      <c r="O410" s="59"/>
      <c r="P410" s="55"/>
      <c r="Q410" s="55"/>
      <c r="R410" s="54">
        <f>tkj!$BQ$49</f>
        <v>81.666666666666671</v>
      </c>
      <c r="S410" s="54">
        <f>tkj!$BU$49</f>
        <v>85</v>
      </c>
      <c r="T410" s="55"/>
      <c r="U410" s="54">
        <f>tkj!$BZ$49</f>
        <v>75</v>
      </c>
      <c r="V410" s="58"/>
      <c r="X410" s="278">
        <v>49</v>
      </c>
    </row>
    <row r="411" spans="1:24" ht="15" thickBot="1">
      <c r="A411" s="268">
        <v>45</v>
      </c>
      <c r="B411" s="271"/>
      <c r="C411" s="274"/>
      <c r="D411" s="62" t="s">
        <v>297</v>
      </c>
      <c r="E411" s="53">
        <f>tkj!$H$49</f>
        <v>87</v>
      </c>
      <c r="F411" s="53">
        <f>tkj!$N$49</f>
        <v>83</v>
      </c>
      <c r="G411" s="53">
        <f>tkj!$T$49</f>
        <v>82</v>
      </c>
      <c r="H411" s="53">
        <f>tkj!$Z$49</f>
        <v>86</v>
      </c>
      <c r="I411" s="53">
        <f>tkj!$AD$49</f>
        <v>85</v>
      </c>
      <c r="J411" s="59"/>
      <c r="K411" s="54">
        <f>tkj!$AJ$49</f>
        <v>83</v>
      </c>
      <c r="L411" s="55"/>
      <c r="M411" s="53">
        <f>tkj!$AP$49</f>
        <v>81</v>
      </c>
      <c r="N411" s="53">
        <f>tkj!$AV$49</f>
        <v>82</v>
      </c>
      <c r="O411" s="59"/>
      <c r="P411" s="55"/>
      <c r="Q411" s="55"/>
      <c r="R411" s="54">
        <f>tkj!$BR$49</f>
        <v>76</v>
      </c>
      <c r="S411" s="54">
        <f>tkj!$BV$49</f>
        <v>85</v>
      </c>
      <c r="T411" s="63"/>
      <c r="U411" s="54">
        <f>tkj!$CA$49</f>
        <v>84</v>
      </c>
      <c r="V411" s="58"/>
      <c r="X411" s="278">
        <v>49</v>
      </c>
    </row>
    <row r="412" spans="1:24">
      <c r="A412" s="268">
        <v>45</v>
      </c>
      <c r="B412" s="271"/>
      <c r="C412" s="274"/>
      <c r="D412" s="62" t="s">
        <v>298</v>
      </c>
      <c r="E412" s="53">
        <f>tkj!$I$49</f>
        <v>89</v>
      </c>
      <c r="F412" s="53">
        <f>tkj!$O$49</f>
        <v>84</v>
      </c>
      <c r="G412" s="53">
        <f>tkj!$U$49</f>
        <v>80</v>
      </c>
      <c r="H412" s="65"/>
      <c r="I412" s="65"/>
      <c r="J412" s="59"/>
      <c r="K412" s="59"/>
      <c r="L412" s="53">
        <f>tkj!$AK$49</f>
        <v>82</v>
      </c>
      <c r="M412" s="53">
        <f>tkj!$AQ$49</f>
        <v>80</v>
      </c>
      <c r="N412" s="53">
        <f>tkj!$AW$49</f>
        <v>82</v>
      </c>
      <c r="O412" s="59"/>
      <c r="P412" s="55"/>
      <c r="Q412" s="55"/>
      <c r="R412" s="54">
        <f>tkj!$BS$49</f>
        <v>81</v>
      </c>
      <c r="S412" s="54">
        <f>tkj!$BW$49</f>
        <v>89</v>
      </c>
      <c r="T412" s="54"/>
      <c r="U412" s="54">
        <f>tkj!$CB$49</f>
        <v>80</v>
      </c>
      <c r="V412" s="58"/>
      <c r="X412" s="278">
        <v>49</v>
      </c>
    </row>
    <row r="413" spans="1:24">
      <c r="A413" s="268">
        <v>45</v>
      </c>
      <c r="B413" s="271"/>
      <c r="C413" s="274"/>
      <c r="D413" s="66" t="s">
        <v>299</v>
      </c>
      <c r="E413" s="67">
        <f>AVERAGE(E408:E412)</f>
        <v>84.6</v>
      </c>
      <c r="F413" s="67">
        <f>AVERAGE(F408:F412)</f>
        <v>83.8</v>
      </c>
      <c r="G413" s="67">
        <f>AVERAGE(G408:G412)</f>
        <v>78.400000000000006</v>
      </c>
      <c r="H413" s="68"/>
      <c r="I413" s="68"/>
      <c r="J413" s="69"/>
      <c r="K413" s="69"/>
      <c r="L413" s="67">
        <f>AVERAGE(L408:L412)</f>
        <v>82</v>
      </c>
      <c r="M413" s="67">
        <f>AVERAGE(M408:M412)</f>
        <v>76.400000000000006</v>
      </c>
      <c r="N413" s="67">
        <f>AVERAGE(N408:N412)</f>
        <v>78.599999999999994</v>
      </c>
      <c r="O413" s="69"/>
      <c r="P413" s="63"/>
      <c r="Q413" s="63"/>
      <c r="R413" s="84">
        <f>AVERAGE(R410:R412)</f>
        <v>79.555555555555557</v>
      </c>
      <c r="S413" s="84">
        <f>AVERAGE(S410:S412)</f>
        <v>86.333333333333329</v>
      </c>
      <c r="T413" s="63"/>
      <c r="U413" s="84">
        <f>AVERAGE(U408:U412)</f>
        <v>79.666666666666671</v>
      </c>
      <c r="V413" s="58"/>
      <c r="X413" s="278">
        <v>49</v>
      </c>
    </row>
    <row r="414" spans="1:24">
      <c r="A414" s="268">
        <v>45</v>
      </c>
      <c r="B414" s="271"/>
      <c r="C414" s="274"/>
      <c r="D414" s="70" t="s">
        <v>300</v>
      </c>
      <c r="E414" s="71">
        <f>tkj!$J$49</f>
        <v>84</v>
      </c>
      <c r="F414" s="71">
        <f>tkj!$P$49</f>
        <v>87</v>
      </c>
      <c r="G414" s="71">
        <f>tkj!$V$49</f>
        <v>83</v>
      </c>
      <c r="H414" s="72"/>
      <c r="I414" s="72"/>
      <c r="J414" s="73"/>
      <c r="K414" s="73"/>
      <c r="L414" s="71">
        <f>tkj!$AL$49</f>
        <v>83</v>
      </c>
      <c r="M414" s="71">
        <f>tkj!$AR$49</f>
        <v>86</v>
      </c>
      <c r="N414" s="71">
        <f>tkj!$AX$49</f>
        <v>86</v>
      </c>
      <c r="O414" s="73"/>
      <c r="P414" s="74"/>
      <c r="Q414" s="74"/>
      <c r="R414" s="85">
        <f>tkj!$BT$49</f>
        <v>86</v>
      </c>
      <c r="S414" s="85">
        <f>tkj!$BX$49</f>
        <v>86</v>
      </c>
      <c r="T414" s="85">
        <f>tkj!$BY$49</f>
        <v>85</v>
      </c>
      <c r="U414" s="75">
        <f>tkj!$CC$49</f>
        <v>86</v>
      </c>
      <c r="V414" s="58"/>
      <c r="X414" s="278">
        <v>49</v>
      </c>
    </row>
    <row r="415" spans="1:24">
      <c r="A415" s="268">
        <v>45</v>
      </c>
      <c r="B415" s="271"/>
      <c r="C415" s="274"/>
      <c r="D415" s="76" t="s">
        <v>301</v>
      </c>
      <c r="E415" s="77">
        <f>tkj!$CD$49</f>
        <v>87</v>
      </c>
      <c r="F415" s="77">
        <f>tkj!$CE$49</f>
        <v>90</v>
      </c>
      <c r="G415" s="77">
        <f>tkj!$CF$49</f>
        <v>80</v>
      </c>
      <c r="H415" s="72"/>
      <c r="I415" s="72"/>
      <c r="J415" s="73"/>
      <c r="K415" s="73"/>
      <c r="L415" s="77">
        <f>tkj!$CG$49</f>
        <v>70</v>
      </c>
      <c r="M415" s="77">
        <f>tkj!$CH$49</f>
        <v>80</v>
      </c>
      <c r="N415" s="77">
        <f>tkj!$CI$49</f>
        <v>82</v>
      </c>
      <c r="O415" s="73"/>
      <c r="P415" s="74"/>
      <c r="Q415" s="74"/>
      <c r="R415" s="86">
        <f>tkj!$CL$49</f>
        <v>87</v>
      </c>
      <c r="S415" s="86">
        <f>tkj!$CK$49</f>
        <v>93</v>
      </c>
      <c r="T415" s="74"/>
      <c r="U415" s="86">
        <f>tkj!$CJ$49</f>
        <v>80</v>
      </c>
      <c r="V415" s="58"/>
      <c r="X415" s="278">
        <v>49</v>
      </c>
    </row>
    <row r="416" spans="1:24" ht="15" thickBot="1">
      <c r="A416" s="269">
        <v>45</v>
      </c>
      <c r="B416" s="272"/>
      <c r="C416" s="275"/>
      <c r="D416" s="78" t="s">
        <v>302</v>
      </c>
      <c r="E416" s="79">
        <f>(E413*4+E414*3+E415*3)/10</f>
        <v>85.14</v>
      </c>
      <c r="F416" s="79">
        <f t="shared" ref="F416:G416" si="87">(F413*4+F414*3+F415*3)/10</f>
        <v>86.62</v>
      </c>
      <c r="G416" s="79">
        <f t="shared" si="87"/>
        <v>80.260000000000005</v>
      </c>
      <c r="H416" s="79">
        <f>AVERAGE(H408:H411)</f>
        <v>82.75</v>
      </c>
      <c r="I416" s="79">
        <f>AVERAGE(I408:I411)</f>
        <v>82.25</v>
      </c>
      <c r="J416" s="79">
        <f>AVERAGE(J408:J409)</f>
        <v>78.5</v>
      </c>
      <c r="K416" s="79">
        <f>AVERAGE(K408:K411)</f>
        <v>77.75</v>
      </c>
      <c r="L416" s="79">
        <f>(L413*4+L414*3+L415*3)/10</f>
        <v>78.7</v>
      </c>
      <c r="M416" s="79">
        <f>(M413*4+M414*3+M415*3)/10</f>
        <v>80.36</v>
      </c>
      <c r="N416" s="79">
        <f>(N413*4+N414*3+N415*3)/10</f>
        <v>81.84</v>
      </c>
      <c r="O416" s="79">
        <f>AVERAGE(O408:O409)</f>
        <v>82</v>
      </c>
      <c r="P416" s="79">
        <f>AVERAGE(P408:P409)</f>
        <v>76</v>
      </c>
      <c r="Q416" s="79">
        <f>AVERAGE(Q408:Q409)</f>
        <v>78</v>
      </c>
      <c r="R416" s="79">
        <f>(R413*4+R414*3+R415*3)/10</f>
        <v>83.722222222222214</v>
      </c>
      <c r="S416" s="79">
        <f>(S413*4+S414*3+S415*3)/10</f>
        <v>88.23333333333332</v>
      </c>
      <c r="T416" s="79">
        <f>T414</f>
        <v>85</v>
      </c>
      <c r="U416" s="79">
        <f t="shared" ref="U416" si="88">(U413*4+U414*3+U415*3)/10</f>
        <v>81.666666666666671</v>
      </c>
      <c r="V416" s="80">
        <f>AVERAGE(E416:U416)</f>
        <v>81.693660130718968</v>
      </c>
      <c r="X416" s="278">
        <v>49</v>
      </c>
    </row>
    <row r="417" spans="1:24" ht="18" customHeight="1" thickTop="1" thickBot="1">
      <c r="A417" s="268">
        <v>46</v>
      </c>
      <c r="B417" s="270" t="s">
        <v>357</v>
      </c>
      <c r="C417" s="273" t="s">
        <v>144</v>
      </c>
      <c r="D417" s="52" t="s">
        <v>294</v>
      </c>
      <c r="E417" s="53">
        <f>tkj!$E$50</f>
        <v>78</v>
      </c>
      <c r="F417" s="53">
        <f>tkj!$K$50</f>
        <v>78</v>
      </c>
      <c r="G417" s="53">
        <f>tkj!$Q$50</f>
        <v>80</v>
      </c>
      <c r="H417" s="53">
        <f>tkj!$W$50</f>
        <v>81</v>
      </c>
      <c r="I417" s="53">
        <f>tkj!$AA$50</f>
        <v>80</v>
      </c>
      <c r="J417" s="53">
        <f>tkj!$AE$50</f>
        <v>78</v>
      </c>
      <c r="K417" s="54">
        <f>tkj!$AG$50</f>
        <v>80</v>
      </c>
      <c r="L417" s="55"/>
      <c r="M417" s="53">
        <f>tkj!$AM$50</f>
        <v>70</v>
      </c>
      <c r="N417" s="53">
        <f>tkj!$AS$50</f>
        <v>74</v>
      </c>
      <c r="O417" s="53">
        <f>tkj!$AY$50</f>
        <v>72</v>
      </c>
      <c r="P417" s="54">
        <f>tkj!$BA$50</f>
        <v>74</v>
      </c>
      <c r="Q417" s="54">
        <f>tkj!$BC$50</f>
        <v>81</v>
      </c>
      <c r="R417" s="55"/>
      <c r="S417" s="55"/>
      <c r="T417" s="55"/>
      <c r="U417" s="55"/>
      <c r="V417" s="56"/>
      <c r="X417" s="278">
        <v>50</v>
      </c>
    </row>
    <row r="418" spans="1:24" ht="15" thickBot="1">
      <c r="A418" s="268">
        <v>46</v>
      </c>
      <c r="B418" s="271"/>
      <c r="C418" s="274"/>
      <c r="D418" s="52" t="s">
        <v>295</v>
      </c>
      <c r="E418" s="53">
        <f>tkj!$F$50</f>
        <v>81</v>
      </c>
      <c r="F418" s="53">
        <f>tkj!$L$50</f>
        <v>80</v>
      </c>
      <c r="G418" s="53">
        <f>tkj!$R$50</f>
        <v>70</v>
      </c>
      <c r="H418" s="53">
        <f>tkj!$X$50</f>
        <v>83</v>
      </c>
      <c r="I418" s="53">
        <f>tkj!$AB$50</f>
        <v>79</v>
      </c>
      <c r="J418" s="53">
        <f>tkj!$AF$50</f>
        <v>79</v>
      </c>
      <c r="K418" s="54">
        <f>tkj!$AH$50</f>
        <v>71</v>
      </c>
      <c r="L418" s="55"/>
      <c r="M418" s="53">
        <f>tkj!$AN$50</f>
        <v>70</v>
      </c>
      <c r="N418" s="53">
        <f>tkj!$AT$50</f>
        <v>73</v>
      </c>
      <c r="O418" s="53">
        <f>tkj!$AZ$50</f>
        <v>92</v>
      </c>
      <c r="P418" s="54">
        <f>tkj!$BB$50</f>
        <v>78</v>
      </c>
      <c r="Q418" s="54">
        <f>tkj!$BD$50</f>
        <v>75</v>
      </c>
      <c r="R418" s="55"/>
      <c r="S418" s="55"/>
      <c r="T418" s="55"/>
      <c r="U418" s="55"/>
      <c r="V418" s="58"/>
      <c r="X418" s="278">
        <v>50</v>
      </c>
    </row>
    <row r="419" spans="1:24" ht="15" thickBot="1">
      <c r="A419" s="268">
        <v>46</v>
      </c>
      <c r="B419" s="271"/>
      <c r="C419" s="274"/>
      <c r="D419" s="52" t="s">
        <v>296</v>
      </c>
      <c r="E419" s="53">
        <f>tkj!$G$50</f>
        <v>85</v>
      </c>
      <c r="F419" s="53">
        <f>tkj!$M$50</f>
        <v>71</v>
      </c>
      <c r="G419" s="53">
        <f>tkj!$S$50</f>
        <v>76</v>
      </c>
      <c r="H419" s="53">
        <f>tkj!$Y$50</f>
        <v>79</v>
      </c>
      <c r="I419" s="53">
        <f>tkj!$AC$50</f>
        <v>70</v>
      </c>
      <c r="J419" s="59"/>
      <c r="K419" s="54">
        <f>tkj!$AI$50</f>
        <v>73</v>
      </c>
      <c r="L419" s="55"/>
      <c r="M419" s="53">
        <f>tkj!$AO$50</f>
        <v>71</v>
      </c>
      <c r="N419" s="53">
        <f>tkj!$AU$50</f>
        <v>75</v>
      </c>
      <c r="O419" s="59"/>
      <c r="P419" s="55"/>
      <c r="Q419" s="55"/>
      <c r="R419" s="54">
        <f>tkj!$BQ$50</f>
        <v>75.666666666666671</v>
      </c>
      <c r="S419" s="54">
        <f>tkj!$BU$50</f>
        <v>80</v>
      </c>
      <c r="T419" s="55"/>
      <c r="U419" s="54">
        <f>tkj!$BZ$50</f>
        <v>76</v>
      </c>
      <c r="V419" s="58"/>
      <c r="X419" s="278">
        <v>50</v>
      </c>
    </row>
    <row r="420" spans="1:24" ht="15" thickBot="1">
      <c r="A420" s="268">
        <v>46</v>
      </c>
      <c r="B420" s="271"/>
      <c r="C420" s="274"/>
      <c r="D420" s="62" t="s">
        <v>297</v>
      </c>
      <c r="E420" s="53">
        <f>tkj!$H$50</f>
        <v>81</v>
      </c>
      <c r="F420" s="53">
        <f>tkj!$N$50</f>
        <v>78</v>
      </c>
      <c r="G420" s="53">
        <f>tkj!$T$50</f>
        <v>79</v>
      </c>
      <c r="H420" s="53">
        <f>tkj!$Z$50</f>
        <v>81</v>
      </c>
      <c r="I420" s="53">
        <f>tkj!$AD$50</f>
        <v>75</v>
      </c>
      <c r="J420" s="59"/>
      <c r="K420" s="54">
        <f>tkj!$AJ$50</f>
        <v>82</v>
      </c>
      <c r="L420" s="55"/>
      <c r="M420" s="53">
        <f>tkj!$AP$50</f>
        <v>72</v>
      </c>
      <c r="N420" s="53">
        <f>tkj!$AV$50</f>
        <v>75</v>
      </c>
      <c r="O420" s="59"/>
      <c r="P420" s="55"/>
      <c r="Q420" s="55"/>
      <c r="R420" s="54">
        <f>tkj!$BR$50</f>
        <v>71.666666666666671</v>
      </c>
      <c r="S420" s="54">
        <f>tkj!$BV$50</f>
        <v>80</v>
      </c>
      <c r="T420" s="63"/>
      <c r="U420" s="54">
        <f>tkj!$CA$50</f>
        <v>79</v>
      </c>
      <c r="V420" s="58"/>
      <c r="X420" s="278">
        <v>50</v>
      </c>
    </row>
    <row r="421" spans="1:24">
      <c r="A421" s="268">
        <v>46</v>
      </c>
      <c r="B421" s="271"/>
      <c r="C421" s="274"/>
      <c r="D421" s="62" t="s">
        <v>298</v>
      </c>
      <c r="E421" s="53">
        <f>tkj!$I$50</f>
        <v>84</v>
      </c>
      <c r="F421" s="53">
        <f>tkj!$O$50</f>
        <v>79</v>
      </c>
      <c r="G421" s="53">
        <f>tkj!$U$50</f>
        <v>80</v>
      </c>
      <c r="H421" s="65"/>
      <c r="I421" s="65"/>
      <c r="J421" s="59"/>
      <c r="K421" s="59"/>
      <c r="L421" s="53">
        <f>tkj!$AK$50</f>
        <v>80</v>
      </c>
      <c r="M421" s="53">
        <f>tkj!$AQ$50</f>
        <v>80</v>
      </c>
      <c r="N421" s="53">
        <f>tkj!$AW$50</f>
        <v>80</v>
      </c>
      <c r="O421" s="59"/>
      <c r="P421" s="55"/>
      <c r="Q421" s="55"/>
      <c r="R421" s="54">
        <f>tkj!$BS$50</f>
        <v>83</v>
      </c>
      <c r="S421" s="54">
        <f>tkj!$BW$50</f>
        <v>86</v>
      </c>
      <c r="T421" s="54"/>
      <c r="U421" s="54">
        <f>tkj!$CB$50</f>
        <v>80</v>
      </c>
      <c r="V421" s="58"/>
      <c r="X421" s="278">
        <v>50</v>
      </c>
    </row>
    <row r="422" spans="1:24">
      <c r="A422" s="268">
        <v>46</v>
      </c>
      <c r="B422" s="271"/>
      <c r="C422" s="274"/>
      <c r="D422" s="66" t="s">
        <v>299</v>
      </c>
      <c r="E422" s="67">
        <f>AVERAGE(E417:E421)</f>
        <v>81.8</v>
      </c>
      <c r="F422" s="67">
        <f>AVERAGE(F417:F421)</f>
        <v>77.2</v>
      </c>
      <c r="G422" s="67">
        <f>AVERAGE(G417:G421)</f>
        <v>77</v>
      </c>
      <c r="H422" s="68"/>
      <c r="I422" s="68"/>
      <c r="J422" s="69"/>
      <c r="K422" s="69"/>
      <c r="L422" s="67">
        <f>AVERAGE(L417:L421)</f>
        <v>80</v>
      </c>
      <c r="M422" s="67">
        <f>AVERAGE(M417:M421)</f>
        <v>72.599999999999994</v>
      </c>
      <c r="N422" s="67">
        <f>AVERAGE(N417:N421)</f>
        <v>75.400000000000006</v>
      </c>
      <c r="O422" s="69"/>
      <c r="P422" s="63"/>
      <c r="Q422" s="63"/>
      <c r="R422" s="84">
        <f>AVERAGE(R419:R421)</f>
        <v>76.777777777777786</v>
      </c>
      <c r="S422" s="84">
        <f>AVERAGE(S419:S421)</f>
        <v>82</v>
      </c>
      <c r="T422" s="63"/>
      <c r="U422" s="84">
        <f>AVERAGE(U417:U421)</f>
        <v>78.333333333333329</v>
      </c>
      <c r="V422" s="58"/>
      <c r="X422" s="278">
        <v>50</v>
      </c>
    </row>
    <row r="423" spans="1:24">
      <c r="A423" s="268">
        <v>46</v>
      </c>
      <c r="B423" s="271"/>
      <c r="C423" s="274"/>
      <c r="D423" s="70" t="s">
        <v>300</v>
      </c>
      <c r="E423" s="71">
        <f>tkj!$J$50</f>
        <v>78</v>
      </c>
      <c r="F423" s="71">
        <f>tkj!$P$50</f>
        <v>77</v>
      </c>
      <c r="G423" s="71">
        <f>tkj!$V$50</f>
        <v>77</v>
      </c>
      <c r="H423" s="72"/>
      <c r="I423" s="72"/>
      <c r="J423" s="73"/>
      <c r="K423" s="73"/>
      <c r="L423" s="71">
        <f>tkj!$AL$50</f>
        <v>77</v>
      </c>
      <c r="M423" s="71">
        <f>tkj!$AR$50</f>
        <v>76</v>
      </c>
      <c r="N423" s="71">
        <f>tkj!$AX$50</f>
        <v>76</v>
      </c>
      <c r="O423" s="73"/>
      <c r="P423" s="74"/>
      <c r="Q423" s="74"/>
      <c r="R423" s="85">
        <f>tkj!$BT$50</f>
        <v>81</v>
      </c>
      <c r="S423" s="85">
        <f>tkj!$BX$50</f>
        <v>81</v>
      </c>
      <c r="T423" s="85">
        <f>tkj!$BY$50</f>
        <v>78</v>
      </c>
      <c r="U423" s="75">
        <f>tkj!$CC$50</f>
        <v>76</v>
      </c>
      <c r="V423" s="58"/>
      <c r="X423" s="278">
        <v>50</v>
      </c>
    </row>
    <row r="424" spans="1:24">
      <c r="A424" s="268">
        <v>46</v>
      </c>
      <c r="B424" s="271"/>
      <c r="C424" s="274"/>
      <c r="D424" s="76" t="s">
        <v>301</v>
      </c>
      <c r="E424" s="77">
        <f>tkj!$CD$50</f>
        <v>81</v>
      </c>
      <c r="F424" s="77">
        <f>tkj!$CE$50</f>
        <v>80</v>
      </c>
      <c r="G424" s="77">
        <f>tkj!$CF$50</f>
        <v>78</v>
      </c>
      <c r="H424" s="72"/>
      <c r="I424" s="72"/>
      <c r="J424" s="73"/>
      <c r="K424" s="73"/>
      <c r="L424" s="77">
        <f>tkj!$CG$50</f>
        <v>70</v>
      </c>
      <c r="M424" s="77">
        <f>tkj!$CH$50</f>
        <v>76</v>
      </c>
      <c r="N424" s="77">
        <f>tkj!$CI$50</f>
        <v>80</v>
      </c>
      <c r="O424" s="73"/>
      <c r="P424" s="74"/>
      <c r="Q424" s="74"/>
      <c r="R424" s="86">
        <f>tkj!$CL$50</f>
        <v>82</v>
      </c>
      <c r="S424" s="86">
        <f>tkj!$CK$50</f>
        <v>79</v>
      </c>
      <c r="T424" s="74"/>
      <c r="U424" s="86">
        <f>tkj!$CJ$50</f>
        <v>80</v>
      </c>
      <c r="V424" s="58"/>
      <c r="X424" s="278">
        <v>50</v>
      </c>
    </row>
    <row r="425" spans="1:24" ht="15" thickBot="1">
      <c r="A425" s="269">
        <v>46</v>
      </c>
      <c r="B425" s="272"/>
      <c r="C425" s="275"/>
      <c r="D425" s="78" t="s">
        <v>302</v>
      </c>
      <c r="E425" s="79">
        <f>(E422*4+E423*3+E424*3)/10</f>
        <v>80.42</v>
      </c>
      <c r="F425" s="79">
        <f t="shared" ref="F425:G425" si="89">(F422*4+F423*3+F424*3)/10</f>
        <v>77.97999999999999</v>
      </c>
      <c r="G425" s="79">
        <f t="shared" si="89"/>
        <v>77.3</v>
      </c>
      <c r="H425" s="79">
        <f>AVERAGE(H417:H420)</f>
        <v>81</v>
      </c>
      <c r="I425" s="79">
        <f>AVERAGE(I417:I420)</f>
        <v>76</v>
      </c>
      <c r="J425" s="79">
        <f>AVERAGE(J417:J418)</f>
        <v>78.5</v>
      </c>
      <c r="K425" s="79">
        <f>AVERAGE(K417:K420)</f>
        <v>76.5</v>
      </c>
      <c r="L425" s="79">
        <f>(L422*4+L423*3+L424*3)/10</f>
        <v>76.099999999999994</v>
      </c>
      <c r="M425" s="79">
        <f>(M422*4+M423*3+M424*3)/10</f>
        <v>74.64</v>
      </c>
      <c r="N425" s="79">
        <f>(N422*4+N423*3+N424*3)/10</f>
        <v>76.960000000000008</v>
      </c>
      <c r="O425" s="79">
        <f>AVERAGE(O417:O418)</f>
        <v>82</v>
      </c>
      <c r="P425" s="79">
        <f>AVERAGE(P417:P418)</f>
        <v>76</v>
      </c>
      <c r="Q425" s="79">
        <f>AVERAGE(Q417:Q418)</f>
        <v>78</v>
      </c>
      <c r="R425" s="79">
        <f>(R422*4+R423*3+R424*3)/10</f>
        <v>79.611111111111114</v>
      </c>
      <c r="S425" s="79">
        <f>(S422*4+S423*3+S424*3)/10</f>
        <v>80.8</v>
      </c>
      <c r="T425" s="79">
        <f>T423</f>
        <v>78</v>
      </c>
      <c r="U425" s="79">
        <f t="shared" ref="U425" si="90">(U422*4+U423*3+U424*3)/10</f>
        <v>78.133333333333326</v>
      </c>
      <c r="V425" s="80">
        <f>AVERAGE(E425:U425)</f>
        <v>78.114379084967311</v>
      </c>
      <c r="X425" s="278">
        <v>50</v>
      </c>
    </row>
    <row r="426" spans="1:24" ht="15.6" thickTop="1" thickBot="1">
      <c r="A426" s="268">
        <v>47</v>
      </c>
      <c r="B426" s="270" t="s">
        <v>358</v>
      </c>
      <c r="C426" s="273" t="s">
        <v>146</v>
      </c>
      <c r="D426" s="52" t="s">
        <v>294</v>
      </c>
      <c r="E426" s="53">
        <f>tkj!$E$51</f>
        <v>80</v>
      </c>
      <c r="F426" s="53">
        <f>tkj!$K$51</f>
        <v>78</v>
      </c>
      <c r="G426" s="53">
        <f>tkj!$Q$51</f>
        <v>80</v>
      </c>
      <c r="H426" s="53">
        <f>tkj!$W$51</f>
        <v>83</v>
      </c>
      <c r="I426" s="53">
        <f>tkj!$AA$51</f>
        <v>77</v>
      </c>
      <c r="J426" s="53">
        <f>tkj!$AE$51</f>
        <v>79</v>
      </c>
      <c r="K426" s="54">
        <f>tkj!$AG$51</f>
        <v>77</v>
      </c>
      <c r="L426" s="55"/>
      <c r="M426" s="53">
        <f>tkj!$AM$51</f>
        <v>70</v>
      </c>
      <c r="N426" s="53">
        <f>tkj!$AS$51</f>
        <v>76</v>
      </c>
      <c r="O426" s="53">
        <f>tkj!$AY$51</f>
        <v>76</v>
      </c>
      <c r="P426" s="54">
        <f>tkj!$BA$51</f>
        <v>74</v>
      </c>
      <c r="Q426" s="54">
        <f>tkj!$BC$51</f>
        <v>81</v>
      </c>
      <c r="R426" s="55"/>
      <c r="S426" s="55"/>
      <c r="T426" s="55"/>
      <c r="U426" s="55"/>
      <c r="V426" s="56"/>
      <c r="X426" s="278">
        <v>51</v>
      </c>
    </row>
    <row r="427" spans="1:24" ht="15" thickBot="1">
      <c r="A427" s="268">
        <v>47</v>
      </c>
      <c r="B427" s="271"/>
      <c r="C427" s="274"/>
      <c r="D427" s="52" t="s">
        <v>295</v>
      </c>
      <c r="E427" s="53">
        <f>tkj!$F$51</f>
        <v>82</v>
      </c>
      <c r="F427" s="53">
        <f>tkj!$L$51</f>
        <v>84</v>
      </c>
      <c r="G427" s="53">
        <f>tkj!$R$51</f>
        <v>85</v>
      </c>
      <c r="H427" s="53">
        <f>tkj!$X$51</f>
        <v>85</v>
      </c>
      <c r="I427" s="53">
        <f>tkj!$AB$51</f>
        <v>81</v>
      </c>
      <c r="J427" s="53">
        <f>tkj!$AF$51</f>
        <v>81</v>
      </c>
      <c r="K427" s="54">
        <f>tkj!$AH$51</f>
        <v>73</v>
      </c>
      <c r="L427" s="55"/>
      <c r="M427" s="53">
        <f>tkj!$AN$51</f>
        <v>73</v>
      </c>
      <c r="N427" s="53">
        <f>tkj!$AT$51</f>
        <v>75</v>
      </c>
      <c r="O427" s="53">
        <f>tkj!$AZ$51</f>
        <v>77</v>
      </c>
      <c r="P427" s="54">
        <f>tkj!$BB$51</f>
        <v>78</v>
      </c>
      <c r="Q427" s="54">
        <f>tkj!$BD$51</f>
        <v>85</v>
      </c>
      <c r="R427" s="55"/>
      <c r="S427" s="55"/>
      <c r="T427" s="55"/>
      <c r="U427" s="55"/>
      <c r="V427" s="58"/>
      <c r="X427" s="278">
        <v>51</v>
      </c>
    </row>
    <row r="428" spans="1:24" ht="15" thickBot="1">
      <c r="A428" s="268">
        <v>47</v>
      </c>
      <c r="B428" s="271"/>
      <c r="C428" s="274"/>
      <c r="D428" s="52" t="s">
        <v>296</v>
      </c>
      <c r="E428" s="53">
        <f>tkj!$G$51</f>
        <v>87</v>
      </c>
      <c r="F428" s="53">
        <f>tkj!$M$51</f>
        <v>90</v>
      </c>
      <c r="G428" s="53">
        <f>tkj!$S$51</f>
        <v>77</v>
      </c>
      <c r="H428" s="53">
        <f>tkj!$Y$51</f>
        <v>82</v>
      </c>
      <c r="I428" s="53">
        <f>tkj!$AC$51</f>
        <v>79</v>
      </c>
      <c r="J428" s="59"/>
      <c r="K428" s="54">
        <f>tkj!$AI$51</f>
        <v>71</v>
      </c>
      <c r="L428" s="55"/>
      <c r="M428" s="53">
        <f>tkj!$AO$51</f>
        <v>73</v>
      </c>
      <c r="N428" s="53">
        <f>tkj!$AU$51</f>
        <v>75</v>
      </c>
      <c r="O428" s="59"/>
      <c r="P428" s="55"/>
      <c r="Q428" s="55"/>
      <c r="R428" s="54">
        <f>tkj!$BQ$51</f>
        <v>78.333333333333329</v>
      </c>
      <c r="S428" s="54">
        <f>tkj!$BU$51</f>
        <v>86</v>
      </c>
      <c r="T428" s="55"/>
      <c r="U428" s="54">
        <f>tkj!$BZ$51</f>
        <v>72</v>
      </c>
      <c r="V428" s="58"/>
      <c r="X428" s="278">
        <v>51</v>
      </c>
    </row>
    <row r="429" spans="1:24" ht="15" thickBot="1">
      <c r="A429" s="268">
        <v>47</v>
      </c>
      <c r="B429" s="271"/>
      <c r="C429" s="274"/>
      <c r="D429" s="62" t="s">
        <v>297</v>
      </c>
      <c r="E429" s="53">
        <f>tkj!$H$51</f>
        <v>83</v>
      </c>
      <c r="F429" s="53">
        <f>tkj!$N$51</f>
        <v>88</v>
      </c>
      <c r="G429" s="53">
        <f>tkj!$T$51</f>
        <v>80</v>
      </c>
      <c r="H429" s="53">
        <f>tkj!$Z$51</f>
        <v>85</v>
      </c>
      <c r="I429" s="53">
        <f>tkj!$AD$51</f>
        <v>80</v>
      </c>
      <c r="J429" s="59"/>
      <c r="K429" s="54">
        <f>tkj!$AJ$51</f>
        <v>83</v>
      </c>
      <c r="L429" s="55"/>
      <c r="M429" s="53">
        <f>tkj!$AP$51</f>
        <v>74</v>
      </c>
      <c r="N429" s="53">
        <f>tkj!$AV$51</f>
        <v>78</v>
      </c>
      <c r="O429" s="59"/>
      <c r="P429" s="55"/>
      <c r="Q429" s="55"/>
      <c r="R429" s="54">
        <f>tkj!$BR$51</f>
        <v>73</v>
      </c>
      <c r="S429" s="54">
        <f>tkj!$BV$51</f>
        <v>86</v>
      </c>
      <c r="T429" s="63"/>
      <c r="U429" s="54">
        <f>tkj!$CA$51</f>
        <v>84</v>
      </c>
      <c r="V429" s="58"/>
      <c r="X429" s="278">
        <v>51</v>
      </c>
    </row>
    <row r="430" spans="1:24">
      <c r="A430" s="268">
        <v>47</v>
      </c>
      <c r="B430" s="271"/>
      <c r="C430" s="274"/>
      <c r="D430" s="62" t="s">
        <v>298</v>
      </c>
      <c r="E430" s="53">
        <f>tkj!$I$51</f>
        <v>85</v>
      </c>
      <c r="F430" s="53">
        <f>tkj!$O$51</f>
        <v>89</v>
      </c>
      <c r="G430" s="53">
        <f>tkj!$U$51</f>
        <v>88</v>
      </c>
      <c r="H430" s="65"/>
      <c r="I430" s="65"/>
      <c r="J430" s="59"/>
      <c r="K430" s="59"/>
      <c r="L430" s="53">
        <f>tkj!$AK$51</f>
        <v>80</v>
      </c>
      <c r="M430" s="53">
        <f>tkj!$AQ$51</f>
        <v>80</v>
      </c>
      <c r="N430" s="53">
        <f>tkj!$AW$51</f>
        <v>80</v>
      </c>
      <c r="O430" s="59"/>
      <c r="P430" s="55"/>
      <c r="Q430" s="55"/>
      <c r="R430" s="54">
        <f>tkj!$BS$51</f>
        <v>83.333333333333329</v>
      </c>
      <c r="S430" s="54">
        <f>tkj!$BW$51</f>
        <v>86</v>
      </c>
      <c r="T430" s="54"/>
      <c r="U430" s="54">
        <f>tkj!$CB$51</f>
        <v>80</v>
      </c>
      <c r="V430" s="58"/>
      <c r="X430" s="278">
        <v>51</v>
      </c>
    </row>
    <row r="431" spans="1:24">
      <c r="A431" s="268">
        <v>47</v>
      </c>
      <c r="B431" s="271"/>
      <c r="C431" s="274"/>
      <c r="D431" s="66" t="s">
        <v>299</v>
      </c>
      <c r="E431" s="67">
        <f>AVERAGE(E426:E430)</f>
        <v>83.4</v>
      </c>
      <c r="F431" s="67">
        <f>AVERAGE(F426:F430)</f>
        <v>85.8</v>
      </c>
      <c r="G431" s="67">
        <f>AVERAGE(G426:G430)</f>
        <v>82</v>
      </c>
      <c r="H431" s="68"/>
      <c r="I431" s="68"/>
      <c r="J431" s="69"/>
      <c r="K431" s="69"/>
      <c r="L431" s="67">
        <f>AVERAGE(L426:L430)</f>
        <v>80</v>
      </c>
      <c r="M431" s="67">
        <f>AVERAGE(M426:M430)</f>
        <v>74</v>
      </c>
      <c r="N431" s="67">
        <f>AVERAGE(N426:N430)</f>
        <v>76.8</v>
      </c>
      <c r="O431" s="69"/>
      <c r="P431" s="63"/>
      <c r="Q431" s="63"/>
      <c r="R431" s="84">
        <f>AVERAGE(R428:R430)</f>
        <v>78.222222222222214</v>
      </c>
      <c r="S431" s="84">
        <f>AVERAGE(S428:S430)</f>
        <v>86</v>
      </c>
      <c r="T431" s="63"/>
      <c r="U431" s="84">
        <f>AVERAGE(U426:U430)</f>
        <v>78.666666666666671</v>
      </c>
      <c r="V431" s="58"/>
      <c r="X431" s="278">
        <v>51</v>
      </c>
    </row>
    <row r="432" spans="1:24">
      <c r="A432" s="268">
        <v>47</v>
      </c>
      <c r="B432" s="271"/>
      <c r="C432" s="274"/>
      <c r="D432" s="70" t="s">
        <v>300</v>
      </c>
      <c r="E432" s="71">
        <f>tkj!$J$5</f>
        <v>91</v>
      </c>
      <c r="F432" s="71">
        <f>tkj!$P$5</f>
        <v>91</v>
      </c>
      <c r="G432" s="71">
        <f>tkj!$V$5</f>
        <v>87</v>
      </c>
      <c r="H432" s="72"/>
      <c r="I432" s="72"/>
      <c r="J432" s="73"/>
      <c r="K432" s="73"/>
      <c r="L432" s="71">
        <f>tkj!$AL$5</f>
        <v>87</v>
      </c>
      <c r="M432" s="71">
        <f>tkj!$AR$5</f>
        <v>90</v>
      </c>
      <c r="N432" s="71">
        <f>tkj!$AX$5</f>
        <v>90</v>
      </c>
      <c r="O432" s="73"/>
      <c r="P432" s="74"/>
      <c r="Q432" s="74"/>
      <c r="R432" s="85">
        <f>tkj!$BT$5</f>
        <v>94</v>
      </c>
      <c r="S432" s="85">
        <f>tkj!$BX$5</f>
        <v>94</v>
      </c>
      <c r="T432" s="85">
        <f>tkj!$BY$5</f>
        <v>91</v>
      </c>
      <c r="U432" s="75">
        <f>tkj!$CC$5</f>
        <v>90</v>
      </c>
      <c r="V432" s="58"/>
      <c r="X432" s="278">
        <v>51</v>
      </c>
    </row>
    <row r="433" spans="1:24">
      <c r="A433" s="268">
        <v>47</v>
      </c>
      <c r="B433" s="271"/>
      <c r="C433" s="274"/>
      <c r="D433" s="76" t="s">
        <v>301</v>
      </c>
      <c r="E433" s="77">
        <f>tkj!$CD$5</f>
        <v>88</v>
      </c>
      <c r="F433" s="77">
        <f>tkj!$CE$5</f>
        <v>82</v>
      </c>
      <c r="G433" s="77">
        <f>tkj!$CF$5</f>
        <v>87</v>
      </c>
      <c r="H433" s="72"/>
      <c r="I433" s="72"/>
      <c r="J433" s="73"/>
      <c r="K433" s="73"/>
      <c r="L433" s="77">
        <f>tkj!$CG$5</f>
        <v>84</v>
      </c>
      <c r="M433" s="77">
        <f>tkj!$CH$5</f>
        <v>81</v>
      </c>
      <c r="N433" s="77">
        <f>tkj!$CI$5</f>
        <v>82</v>
      </c>
      <c r="O433" s="73"/>
      <c r="P433" s="74"/>
      <c r="Q433" s="74"/>
      <c r="R433" s="86">
        <f>tkj!$CL$5</f>
        <v>95</v>
      </c>
      <c r="S433" s="86">
        <f>tkj!$CK$5</f>
        <v>85</v>
      </c>
      <c r="T433" s="74"/>
      <c r="U433" s="86">
        <f>tkj!$CJ$5</f>
        <v>80</v>
      </c>
      <c r="V433" s="58"/>
      <c r="X433" s="278">
        <v>51</v>
      </c>
    </row>
    <row r="434" spans="1:24" ht="15" thickBot="1">
      <c r="A434" s="269">
        <v>47</v>
      </c>
      <c r="B434" s="272"/>
      <c r="C434" s="275"/>
      <c r="D434" s="78" t="s">
        <v>302</v>
      </c>
      <c r="E434" s="79">
        <f>(E431*4+E432*3+E433*3)/10</f>
        <v>87.06</v>
      </c>
      <c r="F434" s="79">
        <f t="shared" ref="F434:G434" si="91">(F431*4+F432*3+F433*3)/10</f>
        <v>86.22</v>
      </c>
      <c r="G434" s="79">
        <f t="shared" si="91"/>
        <v>85</v>
      </c>
      <c r="H434" s="79">
        <f>AVERAGE(H426:H429)</f>
        <v>83.75</v>
      </c>
      <c r="I434" s="79">
        <f>AVERAGE(I426:I429)</f>
        <v>79.25</v>
      </c>
      <c r="J434" s="79">
        <f>AVERAGE(J426:J427)</f>
        <v>80</v>
      </c>
      <c r="K434" s="79">
        <f>AVERAGE(K426:K429)</f>
        <v>76</v>
      </c>
      <c r="L434" s="79">
        <f>(L431*4+L432*3+L433*3)/10</f>
        <v>83.3</v>
      </c>
      <c r="M434" s="79">
        <f>(M431*4+M432*3+M433*3)/10</f>
        <v>80.900000000000006</v>
      </c>
      <c r="N434" s="79">
        <f>(N431*4+N432*3+N433*3)/10</f>
        <v>82.320000000000007</v>
      </c>
      <c r="O434" s="79">
        <f>AVERAGE(O426:O427)</f>
        <v>76.5</v>
      </c>
      <c r="P434" s="79">
        <f>AVERAGE(P426:P427)</f>
        <v>76</v>
      </c>
      <c r="Q434" s="79">
        <f>AVERAGE(Q426:Q427)</f>
        <v>83</v>
      </c>
      <c r="R434" s="79">
        <f>(R431*4+R432*3+R433*3)/10</f>
        <v>87.988888888888894</v>
      </c>
      <c r="S434" s="79">
        <f>(S431*4+S432*3+S433*3)/10</f>
        <v>88.1</v>
      </c>
      <c r="T434" s="79">
        <f>T432</f>
        <v>91</v>
      </c>
      <c r="U434" s="79">
        <f t="shared" ref="U434" si="92">(U431*4+U432*3+U433*3)/10</f>
        <v>82.466666666666669</v>
      </c>
      <c r="V434" s="80">
        <f>AVERAGE(E434:U434)</f>
        <v>82.873856209150318</v>
      </c>
      <c r="X434" s="278">
        <v>51</v>
      </c>
    </row>
    <row r="435" spans="1:24" ht="15.6" thickTop="1" thickBot="1">
      <c r="A435" s="268">
        <v>48</v>
      </c>
      <c r="B435" s="270" t="s">
        <v>359</v>
      </c>
      <c r="C435" s="273" t="s">
        <v>148</v>
      </c>
      <c r="D435" s="52" t="s">
        <v>294</v>
      </c>
      <c r="E435" s="53">
        <f>tkj!$E$52</f>
        <v>89</v>
      </c>
      <c r="F435" s="53">
        <f>tkj!$K$52</f>
        <v>79</v>
      </c>
      <c r="G435" s="53">
        <f>tkj!$Q$52</f>
        <v>80</v>
      </c>
      <c r="H435" s="53">
        <f>tkj!$W$52</f>
        <v>83</v>
      </c>
      <c r="I435" s="53">
        <f>tkj!$AA$52</f>
        <v>73</v>
      </c>
      <c r="J435" s="53">
        <f>tkj!$AE$52</f>
        <v>84</v>
      </c>
      <c r="K435" s="54">
        <f>tkj!$AG$52</f>
        <v>75</v>
      </c>
      <c r="L435" s="55"/>
      <c r="M435" s="53">
        <f>tkj!$AM$52</f>
        <v>74</v>
      </c>
      <c r="N435" s="53">
        <f>tkj!$AS$52</f>
        <v>77</v>
      </c>
      <c r="O435" s="53">
        <f>tkj!$AY$52</f>
        <v>89</v>
      </c>
      <c r="P435" s="54">
        <f>tkj!$BA$52</f>
        <v>81</v>
      </c>
      <c r="Q435" s="54">
        <f>tkj!$BC$52</f>
        <v>83</v>
      </c>
      <c r="R435" s="55"/>
      <c r="S435" s="55"/>
      <c r="T435" s="55"/>
      <c r="U435" s="55"/>
      <c r="V435" s="56"/>
      <c r="X435" s="278">
        <v>52</v>
      </c>
    </row>
    <row r="436" spans="1:24" ht="15" thickBot="1">
      <c r="A436" s="268">
        <v>48</v>
      </c>
      <c r="B436" s="271"/>
      <c r="C436" s="274"/>
      <c r="D436" s="52" t="s">
        <v>295</v>
      </c>
      <c r="E436" s="53">
        <f>tkj!$F$52</f>
        <v>90</v>
      </c>
      <c r="F436" s="53">
        <f>tkj!$L$52</f>
        <v>80</v>
      </c>
      <c r="G436" s="53">
        <f>tkj!$R$52</f>
        <v>70</v>
      </c>
      <c r="H436" s="53">
        <f>tkj!$X$52</f>
        <v>86</v>
      </c>
      <c r="I436" s="53">
        <f>tkj!$AB$52</f>
        <v>81</v>
      </c>
      <c r="J436" s="53">
        <f>tkj!$AF$52</f>
        <v>92</v>
      </c>
      <c r="K436" s="54">
        <f>tkj!$AH$52</f>
        <v>76</v>
      </c>
      <c r="L436" s="55"/>
      <c r="M436" s="53">
        <f>tkj!$AN$52</f>
        <v>79</v>
      </c>
      <c r="N436" s="53">
        <f>tkj!$AT$52</f>
        <v>80</v>
      </c>
      <c r="O436" s="53">
        <f>tkj!$AZ$52</f>
        <v>85</v>
      </c>
      <c r="P436" s="54">
        <f>tkj!$BB$52</f>
        <v>82</v>
      </c>
      <c r="Q436" s="54">
        <f>tkj!$BD$52</f>
        <v>85</v>
      </c>
      <c r="R436" s="55"/>
      <c r="S436" s="55"/>
      <c r="T436" s="55"/>
      <c r="U436" s="55"/>
      <c r="V436" s="58"/>
      <c r="X436" s="278">
        <v>52</v>
      </c>
    </row>
    <row r="437" spans="1:24" ht="15" thickBot="1">
      <c r="A437" s="268">
        <v>48</v>
      </c>
      <c r="B437" s="271"/>
      <c r="C437" s="274"/>
      <c r="D437" s="52" t="s">
        <v>296</v>
      </c>
      <c r="E437" s="53">
        <f>tkj!$G$52</f>
        <v>92</v>
      </c>
      <c r="F437" s="53">
        <f>tkj!$M$52</f>
        <v>83</v>
      </c>
      <c r="G437" s="53">
        <f>tkj!$S$52</f>
        <v>81</v>
      </c>
      <c r="H437" s="53">
        <f>tkj!$Y$52</f>
        <v>83</v>
      </c>
      <c r="I437" s="53">
        <f>tkj!$AC$52</f>
        <v>82</v>
      </c>
      <c r="J437" s="59"/>
      <c r="K437" s="54">
        <f>tkj!$AI$52</f>
        <v>72</v>
      </c>
      <c r="L437" s="55"/>
      <c r="M437" s="53">
        <f>tkj!$AO$52</f>
        <v>77</v>
      </c>
      <c r="N437" s="53">
        <f>tkj!$AU$52</f>
        <v>80</v>
      </c>
      <c r="O437" s="59"/>
      <c r="P437" s="55"/>
      <c r="Q437" s="55"/>
      <c r="R437" s="54">
        <f>tkj!$BQ$52</f>
        <v>80.666666666666671</v>
      </c>
      <c r="S437" s="54">
        <f>tkj!$BU$52</f>
        <v>85</v>
      </c>
      <c r="T437" s="55"/>
      <c r="U437" s="54">
        <f>tkj!$BZ$52</f>
        <v>78</v>
      </c>
      <c r="V437" s="58"/>
      <c r="X437" s="278">
        <v>52</v>
      </c>
    </row>
    <row r="438" spans="1:24" ht="15" thickBot="1">
      <c r="A438" s="268">
        <v>48</v>
      </c>
      <c r="B438" s="271"/>
      <c r="C438" s="274"/>
      <c r="D438" s="62" t="s">
        <v>297</v>
      </c>
      <c r="E438" s="53">
        <f>tkj!$H$52</f>
        <v>88</v>
      </c>
      <c r="F438" s="53">
        <f>tkj!$N$52</f>
        <v>86</v>
      </c>
      <c r="G438" s="53">
        <f>tkj!$T$52</f>
        <v>84</v>
      </c>
      <c r="H438" s="53">
        <f>tkj!$Z$52</f>
        <v>86</v>
      </c>
      <c r="I438" s="53">
        <f>tkj!$AD$52</f>
        <v>82</v>
      </c>
      <c r="J438" s="59"/>
      <c r="K438" s="54">
        <f>tkj!$AJ$52</f>
        <v>84</v>
      </c>
      <c r="L438" s="55"/>
      <c r="M438" s="53">
        <f>tkj!$AP$52</f>
        <v>79</v>
      </c>
      <c r="N438" s="53">
        <f>tkj!$AV$52</f>
        <v>80</v>
      </c>
      <c r="O438" s="59"/>
      <c r="P438" s="55"/>
      <c r="Q438" s="55"/>
      <c r="R438" s="54">
        <f>tkj!$BR$52</f>
        <v>79</v>
      </c>
      <c r="S438" s="54">
        <f>tkj!$BV$52</f>
        <v>85</v>
      </c>
      <c r="T438" s="63"/>
      <c r="U438" s="54">
        <f>tkj!$CA$52</f>
        <v>88</v>
      </c>
      <c r="V438" s="58"/>
      <c r="X438" s="278">
        <v>52</v>
      </c>
    </row>
    <row r="439" spans="1:24">
      <c r="A439" s="268">
        <v>48</v>
      </c>
      <c r="B439" s="271"/>
      <c r="C439" s="274"/>
      <c r="D439" s="62" t="s">
        <v>298</v>
      </c>
      <c r="E439" s="53">
        <f>tkj!$I$52</f>
        <v>92</v>
      </c>
      <c r="F439" s="53">
        <f>tkj!$O$52</f>
        <v>90</v>
      </c>
      <c r="G439" s="53">
        <f>tkj!$U$52</f>
        <v>85</v>
      </c>
      <c r="H439" s="65"/>
      <c r="I439" s="65"/>
      <c r="J439" s="59"/>
      <c r="K439" s="59"/>
      <c r="L439" s="53">
        <f>tkj!$AK$52</f>
        <v>82</v>
      </c>
      <c r="M439" s="53">
        <f>tkj!$AQ$52</f>
        <v>81</v>
      </c>
      <c r="N439" s="53">
        <f>tkj!$AW$52</f>
        <v>80</v>
      </c>
      <c r="O439" s="59"/>
      <c r="P439" s="55"/>
      <c r="Q439" s="55"/>
      <c r="R439" s="54">
        <f>tkj!$BS$52</f>
        <v>86.666666666666671</v>
      </c>
      <c r="S439" s="54">
        <f>tkj!$BW$52</f>
        <v>90</v>
      </c>
      <c r="T439" s="54"/>
      <c r="U439" s="54">
        <f>tkj!$CB$52</f>
        <v>80</v>
      </c>
      <c r="V439" s="58"/>
      <c r="X439" s="278">
        <v>52</v>
      </c>
    </row>
    <row r="440" spans="1:24">
      <c r="A440" s="268">
        <v>48</v>
      </c>
      <c r="B440" s="271"/>
      <c r="C440" s="274"/>
      <c r="D440" s="66" t="s">
        <v>299</v>
      </c>
      <c r="E440" s="67">
        <f>AVERAGE(E435:E439)</f>
        <v>90.2</v>
      </c>
      <c r="F440" s="67">
        <f>AVERAGE(F435:F439)</f>
        <v>83.6</v>
      </c>
      <c r="G440" s="67">
        <f>AVERAGE(G435:G439)</f>
        <v>80</v>
      </c>
      <c r="H440" s="68"/>
      <c r="I440" s="68"/>
      <c r="J440" s="69"/>
      <c r="K440" s="69"/>
      <c r="L440" s="67">
        <f>AVERAGE(L435:L439)</f>
        <v>82</v>
      </c>
      <c r="M440" s="67">
        <f>AVERAGE(M435:M439)</f>
        <v>78</v>
      </c>
      <c r="N440" s="67">
        <f>AVERAGE(N435:N439)</f>
        <v>79.400000000000006</v>
      </c>
      <c r="O440" s="69"/>
      <c r="P440" s="63"/>
      <c r="Q440" s="63"/>
      <c r="R440" s="84">
        <f>AVERAGE(R437:R439)</f>
        <v>82.111111111111128</v>
      </c>
      <c r="S440" s="84">
        <f>AVERAGE(S437:S439)</f>
        <v>86.666666666666671</v>
      </c>
      <c r="T440" s="63"/>
      <c r="U440" s="84">
        <f>AVERAGE(U435:U439)</f>
        <v>82</v>
      </c>
      <c r="V440" s="58"/>
      <c r="X440" s="278">
        <v>52</v>
      </c>
    </row>
    <row r="441" spans="1:24">
      <c r="A441" s="268">
        <v>48</v>
      </c>
      <c r="B441" s="271"/>
      <c r="C441" s="274"/>
      <c r="D441" s="70" t="s">
        <v>300</v>
      </c>
      <c r="E441" s="71">
        <f>tkj!$J$52</f>
        <v>90</v>
      </c>
      <c r="F441" s="71">
        <f>tkj!$P$52</f>
        <v>90</v>
      </c>
      <c r="G441" s="71">
        <f>tkj!$V$52</f>
        <v>86</v>
      </c>
      <c r="H441" s="72"/>
      <c r="I441" s="72"/>
      <c r="J441" s="73"/>
      <c r="K441" s="73"/>
      <c r="L441" s="71">
        <f>tkj!$AL$52</f>
        <v>86</v>
      </c>
      <c r="M441" s="71">
        <f>tkj!$AR$52</f>
        <v>89</v>
      </c>
      <c r="N441" s="71">
        <f>tkj!$AX$52</f>
        <v>89</v>
      </c>
      <c r="O441" s="73"/>
      <c r="P441" s="74"/>
      <c r="Q441" s="74"/>
      <c r="R441" s="85">
        <f>tkj!$BT$52</f>
        <v>89</v>
      </c>
      <c r="S441" s="85">
        <f>tkj!$BX$52</f>
        <v>89</v>
      </c>
      <c r="T441" s="85">
        <f>tkj!$BY$52</f>
        <v>89</v>
      </c>
      <c r="U441" s="75">
        <f>tkj!$CC$52</f>
        <v>89</v>
      </c>
      <c r="V441" s="58"/>
      <c r="X441" s="278">
        <v>52</v>
      </c>
    </row>
    <row r="442" spans="1:24">
      <c r="A442" s="268">
        <v>48</v>
      </c>
      <c r="B442" s="271"/>
      <c r="C442" s="274"/>
      <c r="D442" s="76" t="s">
        <v>301</v>
      </c>
      <c r="E442" s="77">
        <f>tkj!$CD$52</f>
        <v>93</v>
      </c>
      <c r="F442" s="77">
        <f>tkj!$CE$52</f>
        <v>88</v>
      </c>
      <c r="G442" s="77">
        <f>tkj!$CF$52</f>
        <v>82</v>
      </c>
      <c r="H442" s="72"/>
      <c r="I442" s="72"/>
      <c r="J442" s="73"/>
      <c r="K442" s="73"/>
      <c r="L442" s="77">
        <f>tkj!$CG$52</f>
        <v>95</v>
      </c>
      <c r="M442" s="77">
        <f>tkj!$CH$52</f>
        <v>82</v>
      </c>
      <c r="N442" s="77">
        <f>tkj!$CI$52</f>
        <v>83</v>
      </c>
      <c r="O442" s="73"/>
      <c r="P442" s="74"/>
      <c r="Q442" s="74"/>
      <c r="R442" s="86">
        <f>tkj!$CL$52</f>
        <v>92</v>
      </c>
      <c r="S442" s="86">
        <f>tkj!$CK$52</f>
        <v>93</v>
      </c>
      <c r="T442" s="74"/>
      <c r="U442" s="86">
        <f>tkj!$CJ$52</f>
        <v>92</v>
      </c>
      <c r="V442" s="58"/>
      <c r="X442" s="278">
        <v>52</v>
      </c>
    </row>
    <row r="443" spans="1:24" ht="15" thickBot="1">
      <c r="A443" s="269">
        <v>48</v>
      </c>
      <c r="B443" s="272"/>
      <c r="C443" s="275"/>
      <c r="D443" s="78" t="s">
        <v>302</v>
      </c>
      <c r="E443" s="79">
        <f>(E440*4+E441*3+E442*3)/10</f>
        <v>90.97999999999999</v>
      </c>
      <c r="F443" s="79">
        <f t="shared" ref="F443:G443" si="93">(F440*4+F441*3+F442*3)/10</f>
        <v>86.84</v>
      </c>
      <c r="G443" s="79">
        <f t="shared" si="93"/>
        <v>82.4</v>
      </c>
      <c r="H443" s="79">
        <f>AVERAGE(H435:H438)</f>
        <v>84.5</v>
      </c>
      <c r="I443" s="79">
        <f>AVERAGE(I435:I438)</f>
        <v>79.5</v>
      </c>
      <c r="J443" s="79">
        <f>AVERAGE(J435:J436)</f>
        <v>88</v>
      </c>
      <c r="K443" s="79">
        <f>AVERAGE(K435:K438)</f>
        <v>76.75</v>
      </c>
      <c r="L443" s="79">
        <f>(L440*4+L441*3+L442*3)/10</f>
        <v>87.1</v>
      </c>
      <c r="M443" s="79">
        <f>(M440*4+M441*3+M442*3)/10</f>
        <v>82.5</v>
      </c>
      <c r="N443" s="79">
        <f>(N440*4+N441*3+N442*3)/10</f>
        <v>83.36</v>
      </c>
      <c r="O443" s="79">
        <f>AVERAGE(O435:O436)</f>
        <v>87</v>
      </c>
      <c r="P443" s="79">
        <f>AVERAGE(P435:P436)</f>
        <v>81.5</v>
      </c>
      <c r="Q443" s="79">
        <f>AVERAGE(Q435:Q436)</f>
        <v>84</v>
      </c>
      <c r="R443" s="79">
        <f>(R440*4+R441*3+R442*3)/10</f>
        <v>87.14444444444446</v>
      </c>
      <c r="S443" s="79">
        <f>(S440*4+S441*3+S442*3)/10</f>
        <v>89.26666666666668</v>
      </c>
      <c r="T443" s="79">
        <f>T441</f>
        <v>89</v>
      </c>
      <c r="U443" s="79">
        <f t="shared" ref="U443" si="94">(U440*4+U441*3+U442*3)/10</f>
        <v>87.1</v>
      </c>
      <c r="V443" s="80">
        <f>AVERAGE(E443:U443)</f>
        <v>85.114183006535939</v>
      </c>
      <c r="X443" s="278">
        <v>52</v>
      </c>
    </row>
    <row r="444" spans="1:24" ht="15.6" thickTop="1" thickBot="1">
      <c r="A444" s="268">
        <v>49</v>
      </c>
      <c r="B444" s="270" t="s">
        <v>360</v>
      </c>
      <c r="C444" s="273" t="s">
        <v>150</v>
      </c>
      <c r="D444" s="52" t="s">
        <v>294</v>
      </c>
      <c r="E444" s="53">
        <f>tkj!$E$53</f>
        <v>98</v>
      </c>
      <c r="F444" s="53">
        <f>tkj!$K$53</f>
        <v>83</v>
      </c>
      <c r="G444" s="53">
        <f>tkj!$Q$53</f>
        <v>81</v>
      </c>
      <c r="H444" s="53">
        <f>tkj!$W$53</f>
        <v>82</v>
      </c>
      <c r="I444" s="53">
        <f>tkj!$AA$53</f>
        <v>74</v>
      </c>
      <c r="J444" s="53">
        <f>tkj!$AE$53</f>
        <v>81</v>
      </c>
      <c r="K444" s="54">
        <f>tkj!$AG$53</f>
        <v>76</v>
      </c>
      <c r="L444" s="55"/>
      <c r="M444" s="53">
        <f>tkj!$AM$53</f>
        <v>75</v>
      </c>
      <c r="N444" s="53">
        <f>tkj!$AS$53</f>
        <v>80</v>
      </c>
      <c r="O444" s="53">
        <f>tkj!$AY$53</f>
        <v>89</v>
      </c>
      <c r="P444" s="54">
        <f>tkj!$BA$53</f>
        <v>83</v>
      </c>
      <c r="Q444" s="54">
        <f>tkj!$BC$53</f>
        <v>83</v>
      </c>
      <c r="R444" s="55"/>
      <c r="S444" s="55"/>
      <c r="T444" s="55"/>
      <c r="U444" s="55"/>
      <c r="V444" s="56"/>
      <c r="X444" s="278">
        <v>53</v>
      </c>
    </row>
    <row r="445" spans="1:24" ht="15" thickBot="1">
      <c r="A445" s="268">
        <v>49</v>
      </c>
      <c r="B445" s="271"/>
      <c r="C445" s="274"/>
      <c r="D445" s="52" t="s">
        <v>295</v>
      </c>
      <c r="E445" s="53">
        <f>tkj!$F$53</f>
        <v>94</v>
      </c>
      <c r="F445" s="53">
        <f>tkj!$L$53</f>
        <v>83</v>
      </c>
      <c r="G445" s="53">
        <f>tkj!$R$53</f>
        <v>85</v>
      </c>
      <c r="H445" s="53">
        <f>tkj!$X$53</f>
        <v>85</v>
      </c>
      <c r="I445" s="53">
        <f>tkj!$AB$53</f>
        <v>82</v>
      </c>
      <c r="J445" s="53">
        <f>tkj!$AF$53</f>
        <v>90</v>
      </c>
      <c r="K445" s="54">
        <f>tkj!$AH$53</f>
        <v>80</v>
      </c>
      <c r="L445" s="55"/>
      <c r="M445" s="53">
        <f>tkj!$AN$53</f>
        <v>79</v>
      </c>
      <c r="N445" s="53">
        <f>tkj!$AT$53</f>
        <v>79</v>
      </c>
      <c r="O445" s="53">
        <f>tkj!$AZ$53</f>
        <v>87</v>
      </c>
      <c r="P445" s="54">
        <f>tkj!$BB$53</f>
        <v>90</v>
      </c>
      <c r="Q445" s="54">
        <f>tkj!$BD$53</f>
        <v>80</v>
      </c>
      <c r="R445" s="55"/>
      <c r="S445" s="55"/>
      <c r="T445" s="55"/>
      <c r="U445" s="55"/>
      <c r="V445" s="58"/>
      <c r="X445" s="278">
        <v>53</v>
      </c>
    </row>
    <row r="446" spans="1:24" ht="15" thickBot="1">
      <c r="A446" s="268">
        <v>49</v>
      </c>
      <c r="B446" s="271"/>
      <c r="C446" s="274"/>
      <c r="D446" s="52" t="s">
        <v>296</v>
      </c>
      <c r="E446" s="53">
        <f>tkj!$G$53</f>
        <v>90</v>
      </c>
      <c r="F446" s="53">
        <f>tkj!$M$53</f>
        <v>90</v>
      </c>
      <c r="G446" s="53">
        <f>tkj!$S$53</f>
        <v>88</v>
      </c>
      <c r="H446" s="53">
        <f>tkj!$Y$53</f>
        <v>82</v>
      </c>
      <c r="I446" s="53">
        <f>tkj!$AC$53</f>
        <v>85</v>
      </c>
      <c r="J446" s="59"/>
      <c r="K446" s="54">
        <f>tkj!$AI$53</f>
        <v>77</v>
      </c>
      <c r="L446" s="55"/>
      <c r="M446" s="53">
        <f>tkj!$AO$53</f>
        <v>81</v>
      </c>
      <c r="N446" s="53">
        <f>tkj!$AU$53</f>
        <v>83</v>
      </c>
      <c r="O446" s="59"/>
      <c r="P446" s="55"/>
      <c r="Q446" s="55"/>
      <c r="R446" s="54">
        <f>tkj!$BQ$53</f>
        <v>83.666666666666671</v>
      </c>
      <c r="S446" s="54">
        <f>tkj!$BU$53</f>
        <v>86</v>
      </c>
      <c r="T446" s="55"/>
      <c r="U446" s="54">
        <f>tkj!$BZ$53</f>
        <v>76</v>
      </c>
      <c r="V446" s="58"/>
      <c r="X446" s="278">
        <v>53</v>
      </c>
    </row>
    <row r="447" spans="1:24" ht="15" thickBot="1">
      <c r="A447" s="268">
        <v>49</v>
      </c>
      <c r="B447" s="271"/>
      <c r="C447" s="274"/>
      <c r="D447" s="62" t="s">
        <v>297</v>
      </c>
      <c r="E447" s="53">
        <f>tkj!$H$53</f>
        <v>88</v>
      </c>
      <c r="F447" s="53">
        <f>tkj!$N$53</f>
        <v>91</v>
      </c>
      <c r="G447" s="53">
        <f>tkj!$T$53</f>
        <v>89</v>
      </c>
      <c r="H447" s="53">
        <f>tkj!$Z$53</f>
        <v>86</v>
      </c>
      <c r="I447" s="53">
        <f>tkj!$AD$53</f>
        <v>87</v>
      </c>
      <c r="J447" s="59"/>
      <c r="K447" s="54">
        <f>tkj!$AJ$53</f>
        <v>84</v>
      </c>
      <c r="L447" s="55"/>
      <c r="M447" s="53">
        <f>tkj!$AP$53</f>
        <v>83</v>
      </c>
      <c r="N447" s="53">
        <f>tkj!$AV$53</f>
        <v>85</v>
      </c>
      <c r="O447" s="59"/>
      <c r="P447" s="55"/>
      <c r="Q447" s="55"/>
      <c r="R447" s="54">
        <f>tkj!$BR$53</f>
        <v>88</v>
      </c>
      <c r="S447" s="54">
        <f>tkj!$BV$53</f>
        <v>86</v>
      </c>
      <c r="T447" s="63"/>
      <c r="U447" s="54">
        <f>tkj!$CA$53</f>
        <v>91</v>
      </c>
      <c r="V447" s="58"/>
      <c r="X447" s="278">
        <v>53</v>
      </c>
    </row>
    <row r="448" spans="1:24">
      <c r="A448" s="268">
        <v>49</v>
      </c>
      <c r="B448" s="271"/>
      <c r="C448" s="274"/>
      <c r="D448" s="62" t="s">
        <v>298</v>
      </c>
      <c r="E448" s="53">
        <f>tkj!$I$53</f>
        <v>89</v>
      </c>
      <c r="F448" s="53">
        <f>tkj!$O$53</f>
        <v>94</v>
      </c>
      <c r="G448" s="53">
        <f>tkj!$U$53</f>
        <v>86</v>
      </c>
      <c r="H448" s="65"/>
      <c r="I448" s="65"/>
      <c r="J448" s="59"/>
      <c r="K448" s="59"/>
      <c r="L448" s="53">
        <f>tkj!$AK$53</f>
        <v>82</v>
      </c>
      <c r="M448" s="53">
        <f>tkj!$AQ$53</f>
        <v>82</v>
      </c>
      <c r="N448" s="53">
        <f>tkj!$AW$53</f>
        <v>83</v>
      </c>
      <c r="O448" s="59"/>
      <c r="P448" s="55"/>
      <c r="Q448" s="55"/>
      <c r="R448" s="54">
        <f>tkj!$BS$53</f>
        <v>84.333333333333329</v>
      </c>
      <c r="S448" s="54">
        <f>tkj!$BW$53</f>
        <v>90</v>
      </c>
      <c r="T448" s="54"/>
      <c r="U448" s="54">
        <f>tkj!$CB$53</f>
        <v>80</v>
      </c>
      <c r="V448" s="58"/>
      <c r="X448" s="278">
        <v>53</v>
      </c>
    </row>
    <row r="449" spans="1:24">
      <c r="A449" s="268">
        <v>49</v>
      </c>
      <c r="B449" s="271"/>
      <c r="C449" s="274"/>
      <c r="D449" s="66" t="s">
        <v>299</v>
      </c>
      <c r="E449" s="67">
        <f>AVERAGE(E444:E448)</f>
        <v>91.8</v>
      </c>
      <c r="F449" s="67">
        <f>AVERAGE(F444:F448)</f>
        <v>88.2</v>
      </c>
      <c r="G449" s="67">
        <f>AVERAGE(G444:G448)</f>
        <v>85.8</v>
      </c>
      <c r="H449" s="68"/>
      <c r="I449" s="68"/>
      <c r="J449" s="69"/>
      <c r="K449" s="69"/>
      <c r="L449" s="67">
        <f>AVERAGE(L444:L448)</f>
        <v>82</v>
      </c>
      <c r="M449" s="67">
        <f>AVERAGE(M444:M448)</f>
        <v>80</v>
      </c>
      <c r="N449" s="67">
        <f>AVERAGE(N444:N448)</f>
        <v>82</v>
      </c>
      <c r="O449" s="69"/>
      <c r="P449" s="63"/>
      <c r="Q449" s="63"/>
      <c r="R449" s="84">
        <f>AVERAGE(R446:R448)</f>
        <v>85.333333333333329</v>
      </c>
      <c r="S449" s="84">
        <f>AVERAGE(S446:S448)</f>
        <v>87.333333333333329</v>
      </c>
      <c r="T449" s="63"/>
      <c r="U449" s="84">
        <f>AVERAGE(U444:U448)</f>
        <v>82.333333333333329</v>
      </c>
      <c r="V449" s="58"/>
      <c r="X449" s="278">
        <v>53</v>
      </c>
    </row>
    <row r="450" spans="1:24">
      <c r="A450" s="268">
        <v>49</v>
      </c>
      <c r="B450" s="271"/>
      <c r="C450" s="274"/>
      <c r="D450" s="70" t="s">
        <v>300</v>
      </c>
      <c r="E450" s="71">
        <f>tkj!$J$53</f>
        <v>80</v>
      </c>
      <c r="F450" s="71">
        <f>tkj!$P$53</f>
        <v>95</v>
      </c>
      <c r="G450" s="71">
        <f>tkj!$V$53</f>
        <v>87</v>
      </c>
      <c r="H450" s="72"/>
      <c r="I450" s="72"/>
      <c r="J450" s="73"/>
      <c r="K450" s="73"/>
      <c r="L450" s="71">
        <f>tkj!$AL$53</f>
        <v>87</v>
      </c>
      <c r="M450" s="71">
        <f>tkj!$AR$53</f>
        <v>95</v>
      </c>
      <c r="N450" s="71">
        <f>tkj!$AX$53</f>
        <v>95</v>
      </c>
      <c r="O450" s="73"/>
      <c r="P450" s="74"/>
      <c r="Q450" s="74"/>
      <c r="R450" s="85">
        <f>tkj!$BT$53</f>
        <v>95</v>
      </c>
      <c r="S450" s="85">
        <f>tkj!$BX$53</f>
        <v>95</v>
      </c>
      <c r="T450" s="85">
        <f>tkj!$BY$53</f>
        <v>90</v>
      </c>
      <c r="U450" s="75">
        <f>tkj!$CC$53</f>
        <v>95</v>
      </c>
      <c r="V450" s="58"/>
      <c r="X450" s="278">
        <v>53</v>
      </c>
    </row>
    <row r="451" spans="1:24">
      <c r="A451" s="268">
        <v>49</v>
      </c>
      <c r="B451" s="271"/>
      <c r="C451" s="274"/>
      <c r="D451" s="76" t="s">
        <v>301</v>
      </c>
      <c r="E451" s="77">
        <f>tkj!$CD$53</f>
        <v>89</v>
      </c>
      <c r="F451" s="77">
        <f>tkj!$CE$53</f>
        <v>88</v>
      </c>
      <c r="G451" s="77">
        <f>tkj!$CF$53</f>
        <v>88</v>
      </c>
      <c r="H451" s="72"/>
      <c r="I451" s="72"/>
      <c r="J451" s="73"/>
      <c r="K451" s="73"/>
      <c r="L451" s="77">
        <f>tkj!$CG$53</f>
        <v>95</v>
      </c>
      <c r="M451" s="77">
        <f>tkj!$CH$53</f>
        <v>84</v>
      </c>
      <c r="N451" s="77">
        <f>tkj!$CI$53</f>
        <v>86</v>
      </c>
      <c r="O451" s="73"/>
      <c r="P451" s="74"/>
      <c r="Q451" s="74"/>
      <c r="R451" s="86">
        <f>tkj!$CL$53</f>
        <v>90</v>
      </c>
      <c r="S451" s="86">
        <f>tkj!$CK$53</f>
        <v>93</v>
      </c>
      <c r="T451" s="74"/>
      <c r="U451" s="86">
        <f>tkj!$CJ$53</f>
        <v>90</v>
      </c>
      <c r="V451" s="58"/>
      <c r="X451" s="278">
        <v>53</v>
      </c>
    </row>
    <row r="452" spans="1:24" ht="15" thickBot="1">
      <c r="A452" s="269">
        <v>49</v>
      </c>
      <c r="B452" s="272"/>
      <c r="C452" s="275"/>
      <c r="D452" s="78" t="s">
        <v>302</v>
      </c>
      <c r="E452" s="79">
        <f>(E449*4+E450*3+E451*3)/10</f>
        <v>87.42</v>
      </c>
      <c r="F452" s="79">
        <f t="shared" ref="F452:G452" si="95">(F449*4+F450*3+F451*3)/10</f>
        <v>90.179999999999993</v>
      </c>
      <c r="G452" s="79">
        <f t="shared" si="95"/>
        <v>86.820000000000007</v>
      </c>
      <c r="H452" s="79">
        <f>AVERAGE(H444:H447)</f>
        <v>83.75</v>
      </c>
      <c r="I452" s="79">
        <f>AVERAGE(I444:I447)</f>
        <v>82</v>
      </c>
      <c r="J452" s="79">
        <f>AVERAGE(J444:J445)</f>
        <v>85.5</v>
      </c>
      <c r="K452" s="79">
        <f>AVERAGE(K444:K447)</f>
        <v>79.25</v>
      </c>
      <c r="L452" s="79">
        <f>(L449*4+L450*3+L451*3)/10</f>
        <v>87.4</v>
      </c>
      <c r="M452" s="79">
        <f>(M449*4+M450*3+M451*3)/10</f>
        <v>85.7</v>
      </c>
      <c r="N452" s="79">
        <f>(N449*4+N450*3+N451*3)/10</f>
        <v>87.1</v>
      </c>
      <c r="O452" s="79">
        <f>AVERAGE(O444:O445)</f>
        <v>88</v>
      </c>
      <c r="P452" s="79">
        <f>AVERAGE(P444:P445)</f>
        <v>86.5</v>
      </c>
      <c r="Q452" s="79">
        <f>AVERAGE(Q444:Q445)</f>
        <v>81.5</v>
      </c>
      <c r="R452" s="79">
        <f>(R449*4+R450*3+R451*3)/10</f>
        <v>89.633333333333326</v>
      </c>
      <c r="S452" s="79">
        <f>(S449*4+S450*3+S451*3)/10</f>
        <v>91.333333333333329</v>
      </c>
      <c r="T452" s="79">
        <f>T450</f>
        <v>90</v>
      </c>
      <c r="U452" s="79">
        <f t="shared" ref="U452" si="96">(U449*4+U450*3+U451*3)/10</f>
        <v>88.433333333333323</v>
      </c>
      <c r="V452" s="80">
        <f>AVERAGE(E452:U452)</f>
        <v>86.501176470588248</v>
      </c>
      <c r="X452" s="278">
        <v>53</v>
      </c>
    </row>
    <row r="453" spans="1:24" ht="15.6" thickTop="1" thickBot="1">
      <c r="A453" s="268">
        <v>50</v>
      </c>
      <c r="B453" s="270" t="s">
        <v>361</v>
      </c>
      <c r="C453" s="273" t="s">
        <v>152</v>
      </c>
      <c r="D453" s="52" t="s">
        <v>294</v>
      </c>
      <c r="E453" s="53">
        <f>tkj!$E$54</f>
        <v>84</v>
      </c>
      <c r="F453" s="53">
        <f>tkj!$K$54</f>
        <v>78</v>
      </c>
      <c r="G453" s="53">
        <f>tkj!$Q$54</f>
        <v>80</v>
      </c>
      <c r="H453" s="53">
        <f>tkj!$W$54</f>
        <v>83</v>
      </c>
      <c r="I453" s="53">
        <f>tkj!$AA$54</f>
        <v>77</v>
      </c>
      <c r="J453" s="53">
        <f>tkj!$AE$54</f>
        <v>80</v>
      </c>
      <c r="K453" s="54">
        <f>tkj!$AG$54</f>
        <v>80</v>
      </c>
      <c r="L453" s="55"/>
      <c r="M453" s="53">
        <f>tkj!$AM$54</f>
        <v>74</v>
      </c>
      <c r="N453" s="53">
        <f>tkj!$AS$54</f>
        <v>78</v>
      </c>
      <c r="O453" s="53">
        <f>tkj!$AY$54</f>
        <v>80</v>
      </c>
      <c r="P453" s="54">
        <f>tkj!$BA$54</f>
        <v>81</v>
      </c>
      <c r="Q453" s="54">
        <f>tkj!$BC$54</f>
        <v>78</v>
      </c>
      <c r="R453" s="55"/>
      <c r="S453" s="55"/>
      <c r="T453" s="55"/>
      <c r="U453" s="55"/>
      <c r="V453" s="56"/>
      <c r="X453" s="278">
        <v>54</v>
      </c>
    </row>
    <row r="454" spans="1:24" ht="15" thickBot="1">
      <c r="A454" s="268">
        <v>50</v>
      </c>
      <c r="B454" s="271"/>
      <c r="C454" s="274"/>
      <c r="D454" s="52" t="s">
        <v>295</v>
      </c>
      <c r="E454" s="53">
        <f>tkj!$F$54</f>
        <v>84</v>
      </c>
      <c r="F454" s="53">
        <f>tkj!$L$54</f>
        <v>79</v>
      </c>
      <c r="G454" s="53">
        <f>tkj!$R$54</f>
        <v>84</v>
      </c>
      <c r="H454" s="53">
        <f>tkj!$X$54</f>
        <v>84</v>
      </c>
      <c r="I454" s="53">
        <f>tkj!$AB$54</f>
        <v>82</v>
      </c>
      <c r="J454" s="53">
        <f>tkj!$AF$54</f>
        <v>86</v>
      </c>
      <c r="K454" s="54">
        <f>tkj!$AH$54</f>
        <v>77</v>
      </c>
      <c r="L454" s="55"/>
      <c r="M454" s="53">
        <f>tkj!$AN$54</f>
        <v>75</v>
      </c>
      <c r="N454" s="53">
        <f>tkj!$AT$54</f>
        <v>78</v>
      </c>
      <c r="O454" s="53">
        <f>tkj!$AZ$54</f>
        <v>87</v>
      </c>
      <c r="P454" s="54">
        <f>tkj!$BB$54</f>
        <v>82</v>
      </c>
      <c r="Q454" s="54">
        <f>tkj!$BD$54</f>
        <v>80</v>
      </c>
      <c r="R454" s="55"/>
      <c r="S454" s="55"/>
      <c r="T454" s="55"/>
      <c r="U454" s="55"/>
      <c r="V454" s="58"/>
      <c r="X454" s="278">
        <v>54</v>
      </c>
    </row>
    <row r="455" spans="1:24" ht="15" thickBot="1">
      <c r="A455" s="268">
        <v>50</v>
      </c>
      <c r="B455" s="271"/>
      <c r="C455" s="274"/>
      <c r="D455" s="52" t="s">
        <v>296</v>
      </c>
      <c r="E455" s="53">
        <f>tkj!$G$54</f>
        <v>87</v>
      </c>
      <c r="F455" s="53">
        <f>tkj!$M$54</f>
        <v>87</v>
      </c>
      <c r="G455" s="53">
        <f>tkj!$S$54</f>
        <v>87</v>
      </c>
      <c r="H455" s="53">
        <f>tkj!$Y$54</f>
        <v>82</v>
      </c>
      <c r="I455" s="53">
        <f>tkj!$AC$54</f>
        <v>83</v>
      </c>
      <c r="J455" s="59"/>
      <c r="K455" s="54">
        <f>tkj!$AI$54</f>
        <v>74</v>
      </c>
      <c r="L455" s="55"/>
      <c r="M455" s="53">
        <f>tkj!$AO$54</f>
        <v>74</v>
      </c>
      <c r="N455" s="53">
        <f>tkj!$AU$54</f>
        <v>80</v>
      </c>
      <c r="O455" s="59"/>
      <c r="P455" s="55"/>
      <c r="Q455" s="55"/>
      <c r="R455" s="54">
        <f>tkj!$BQ$54</f>
        <v>79.666666666666671</v>
      </c>
      <c r="S455" s="54">
        <f>tkj!$BU$54</f>
        <v>86</v>
      </c>
      <c r="T455" s="55"/>
      <c r="U455" s="54">
        <f>tkj!$BZ$54</f>
        <v>85</v>
      </c>
      <c r="V455" s="58"/>
      <c r="X455" s="278">
        <v>54</v>
      </c>
    </row>
    <row r="456" spans="1:24" ht="15" thickBot="1">
      <c r="A456" s="268">
        <v>50</v>
      </c>
      <c r="B456" s="271"/>
      <c r="C456" s="274"/>
      <c r="D456" s="62" t="s">
        <v>297</v>
      </c>
      <c r="E456" s="53">
        <f>tkj!$H$54</f>
        <v>83</v>
      </c>
      <c r="F456" s="53">
        <f>tkj!$N$54</f>
        <v>89</v>
      </c>
      <c r="G456" s="53">
        <f>tkj!$T$54</f>
        <v>86</v>
      </c>
      <c r="H456" s="53">
        <f>tkj!$Z$54</f>
        <v>85</v>
      </c>
      <c r="I456" s="53">
        <f>tkj!$AD$54</f>
        <v>85</v>
      </c>
      <c r="J456" s="59"/>
      <c r="K456" s="54">
        <f>tkj!$AJ$54</f>
        <v>81</v>
      </c>
      <c r="L456" s="55"/>
      <c r="M456" s="53">
        <f>tkj!$AP$54</f>
        <v>75</v>
      </c>
      <c r="N456" s="53">
        <f>tkj!$AV$54</f>
        <v>84</v>
      </c>
      <c r="O456" s="59"/>
      <c r="P456" s="55"/>
      <c r="Q456" s="55"/>
      <c r="R456" s="54">
        <f>tkj!$BR$54</f>
        <v>72</v>
      </c>
      <c r="S456" s="54">
        <f>tkj!$BV$54</f>
        <v>86</v>
      </c>
      <c r="T456" s="63"/>
      <c r="U456" s="54">
        <f>tkj!$CA$54</f>
        <v>85</v>
      </c>
      <c r="V456" s="58"/>
      <c r="X456" s="278">
        <v>54</v>
      </c>
    </row>
    <row r="457" spans="1:24">
      <c r="A457" s="268">
        <v>50</v>
      </c>
      <c r="B457" s="271"/>
      <c r="C457" s="274"/>
      <c r="D457" s="62" t="s">
        <v>298</v>
      </c>
      <c r="E457" s="53">
        <f>tkj!$I$54</f>
        <v>87</v>
      </c>
      <c r="F457" s="53">
        <f>tkj!$O$54</f>
        <v>91</v>
      </c>
      <c r="G457" s="53">
        <f>tkj!$U$54</f>
        <v>80</v>
      </c>
      <c r="H457" s="65"/>
      <c r="I457" s="65"/>
      <c r="J457" s="59"/>
      <c r="K457" s="59"/>
      <c r="L457" s="53">
        <f>tkj!$AK$54</f>
        <v>81</v>
      </c>
      <c r="M457" s="53">
        <f>tkj!$AQ$54</f>
        <v>80</v>
      </c>
      <c r="N457" s="53">
        <f>tkj!$AW$54</f>
        <v>80</v>
      </c>
      <c r="O457" s="59"/>
      <c r="P457" s="55"/>
      <c r="Q457" s="55"/>
      <c r="R457" s="54">
        <f>tkj!$BS$54</f>
        <v>83.666666666666671</v>
      </c>
      <c r="S457" s="54">
        <f>tkj!$BW$54</f>
        <v>86</v>
      </c>
      <c r="T457" s="54"/>
      <c r="U457" s="54">
        <f>tkj!$CB$54</f>
        <v>80</v>
      </c>
      <c r="V457" s="58"/>
      <c r="X457" s="278">
        <v>54</v>
      </c>
    </row>
    <row r="458" spans="1:24">
      <c r="A458" s="268">
        <v>50</v>
      </c>
      <c r="B458" s="271"/>
      <c r="C458" s="274"/>
      <c r="D458" s="66" t="s">
        <v>299</v>
      </c>
      <c r="E458" s="67">
        <f>AVERAGE(E453:E457)</f>
        <v>85</v>
      </c>
      <c r="F458" s="67">
        <f>AVERAGE(F453:F457)</f>
        <v>84.8</v>
      </c>
      <c r="G458" s="67">
        <f>AVERAGE(G453:G457)</f>
        <v>83.4</v>
      </c>
      <c r="H458" s="68"/>
      <c r="I458" s="68"/>
      <c r="J458" s="69"/>
      <c r="K458" s="69"/>
      <c r="L458" s="67">
        <f>AVERAGE(L453:L457)</f>
        <v>81</v>
      </c>
      <c r="M458" s="67">
        <f>AVERAGE(M453:M457)</f>
        <v>75.599999999999994</v>
      </c>
      <c r="N458" s="67">
        <f>AVERAGE(N453:N457)</f>
        <v>80</v>
      </c>
      <c r="O458" s="69"/>
      <c r="P458" s="63"/>
      <c r="Q458" s="63"/>
      <c r="R458" s="84">
        <f>AVERAGE(R455:R457)</f>
        <v>78.444444444444457</v>
      </c>
      <c r="S458" s="84">
        <f>AVERAGE(S455:S457)</f>
        <v>86</v>
      </c>
      <c r="T458" s="63"/>
      <c r="U458" s="84">
        <f>AVERAGE(U453:U457)</f>
        <v>83.333333333333329</v>
      </c>
      <c r="V458" s="58"/>
      <c r="X458" s="278">
        <v>54</v>
      </c>
    </row>
    <row r="459" spans="1:24">
      <c r="A459" s="268">
        <v>50</v>
      </c>
      <c r="B459" s="271"/>
      <c r="C459" s="274"/>
      <c r="D459" s="70" t="s">
        <v>300</v>
      </c>
      <c r="E459" s="71">
        <f>tkj!$J$54</f>
        <v>80</v>
      </c>
      <c r="F459" s="71">
        <f>tkj!$P$54</f>
        <v>80</v>
      </c>
      <c r="G459" s="71">
        <f>tkj!$V$54</f>
        <v>79</v>
      </c>
      <c r="H459" s="72"/>
      <c r="I459" s="72"/>
      <c r="J459" s="73"/>
      <c r="K459" s="73"/>
      <c r="L459" s="71">
        <f>tkj!$AL$54</f>
        <v>79</v>
      </c>
      <c r="M459" s="71">
        <f>tkj!$AR$54</f>
        <v>82</v>
      </c>
      <c r="N459" s="71">
        <f>tkj!$AX$54</f>
        <v>82</v>
      </c>
      <c r="O459" s="73"/>
      <c r="P459" s="74"/>
      <c r="Q459" s="74"/>
      <c r="R459" s="85">
        <f>tkj!$BT$54</f>
        <v>83</v>
      </c>
      <c r="S459" s="85">
        <f>tkj!$BX$54</f>
        <v>83</v>
      </c>
      <c r="T459" s="85">
        <f>tkj!$BY$54</f>
        <v>81</v>
      </c>
      <c r="U459" s="75">
        <f>tkj!$CC$54</f>
        <v>82</v>
      </c>
      <c r="V459" s="58"/>
      <c r="X459" s="278">
        <v>54</v>
      </c>
    </row>
    <row r="460" spans="1:24">
      <c r="A460" s="268">
        <v>50</v>
      </c>
      <c r="B460" s="271"/>
      <c r="C460" s="274"/>
      <c r="D460" s="76" t="s">
        <v>301</v>
      </c>
      <c r="E460" s="77">
        <f>tkj!$CD$54</f>
        <v>81</v>
      </c>
      <c r="F460" s="77">
        <f>tkj!$CE$54</f>
        <v>90</v>
      </c>
      <c r="G460" s="77">
        <f>tkj!$CF$54</f>
        <v>85</v>
      </c>
      <c r="H460" s="72"/>
      <c r="I460" s="72"/>
      <c r="J460" s="73"/>
      <c r="K460" s="73"/>
      <c r="L460" s="77">
        <f>tkj!$CG$54</f>
        <v>87</v>
      </c>
      <c r="M460" s="77">
        <f>tkj!$CH$54</f>
        <v>80</v>
      </c>
      <c r="N460" s="77">
        <f>tkj!$CI$54</f>
        <v>84</v>
      </c>
      <c r="O460" s="73"/>
      <c r="P460" s="74"/>
      <c r="Q460" s="74"/>
      <c r="R460" s="86">
        <f>tkj!$CL$54</f>
        <v>85</v>
      </c>
      <c r="S460" s="86">
        <f>tkj!$CK$54</f>
        <v>93</v>
      </c>
      <c r="T460" s="74"/>
      <c r="U460" s="86">
        <f>tkj!$CJ$54</f>
        <v>80</v>
      </c>
      <c r="V460" s="58"/>
      <c r="X460" s="278">
        <v>54</v>
      </c>
    </row>
    <row r="461" spans="1:24" ht="15" thickBot="1">
      <c r="A461" s="269">
        <v>50</v>
      </c>
      <c r="B461" s="272"/>
      <c r="C461" s="275"/>
      <c r="D461" s="78" t="s">
        <v>302</v>
      </c>
      <c r="E461" s="79">
        <f>(E458*4+E459*3+E460*3)/10</f>
        <v>82.3</v>
      </c>
      <c r="F461" s="79">
        <f t="shared" ref="F461:G461" si="97">(F458*4+F459*3+F460*3)/10</f>
        <v>84.92</v>
      </c>
      <c r="G461" s="79">
        <f t="shared" si="97"/>
        <v>82.56</v>
      </c>
      <c r="H461" s="79">
        <f>AVERAGE(H453:H456)</f>
        <v>83.5</v>
      </c>
      <c r="I461" s="79">
        <f>AVERAGE(I453:I456)</f>
        <v>81.75</v>
      </c>
      <c r="J461" s="79">
        <f>AVERAGE(J453:J454)</f>
        <v>83</v>
      </c>
      <c r="K461" s="79">
        <f>AVERAGE(K453:K456)</f>
        <v>78</v>
      </c>
      <c r="L461" s="79">
        <f>(L458*4+L459*3+L460*3)/10</f>
        <v>82.2</v>
      </c>
      <c r="M461" s="79">
        <f>(M458*4+M459*3+M460*3)/10</f>
        <v>78.84</v>
      </c>
      <c r="N461" s="79">
        <f>(N458*4+N459*3+N460*3)/10</f>
        <v>81.8</v>
      </c>
      <c r="O461" s="79">
        <f>AVERAGE(O453:O454)</f>
        <v>83.5</v>
      </c>
      <c r="P461" s="79">
        <f>AVERAGE(P453:P454)</f>
        <v>81.5</v>
      </c>
      <c r="Q461" s="79">
        <f>AVERAGE(Q453:Q454)</f>
        <v>79</v>
      </c>
      <c r="R461" s="79">
        <f>(R458*4+R459*3+R460*3)/10</f>
        <v>81.777777777777786</v>
      </c>
      <c r="S461" s="79">
        <f>(S458*4+S459*3+S460*3)/10</f>
        <v>87.2</v>
      </c>
      <c r="T461" s="79">
        <f>T459</f>
        <v>81</v>
      </c>
      <c r="U461" s="79">
        <f t="shared" ref="U461" si="98">(U458*4+U459*3+U460*3)/10</f>
        <v>81.933333333333323</v>
      </c>
      <c r="V461" s="80">
        <f>AVERAGE(E461:U461)</f>
        <v>82.045947712418297</v>
      </c>
      <c r="X461" s="278">
        <v>54</v>
      </c>
    </row>
    <row r="462" spans="1:24" ht="18" customHeight="1" thickTop="1" thickBot="1">
      <c r="A462" s="268">
        <v>51</v>
      </c>
      <c r="B462" s="270" t="s">
        <v>362</v>
      </c>
      <c r="C462" s="273" t="s">
        <v>154</v>
      </c>
      <c r="D462" s="52" t="s">
        <v>294</v>
      </c>
      <c r="E462" s="53">
        <f>tkj!$E$55</f>
        <v>92</v>
      </c>
      <c r="F462" s="53">
        <f>tkj!$K$55</f>
        <v>82</v>
      </c>
      <c r="G462" s="53">
        <f>tkj!$Q$55</f>
        <v>89</v>
      </c>
      <c r="H462" s="53">
        <f>tkj!$W$55</f>
        <v>82</v>
      </c>
      <c r="I462" s="53">
        <f>tkj!$AA$55</f>
        <v>80</v>
      </c>
      <c r="J462" s="53">
        <f>tkj!$AE$55</f>
        <v>83</v>
      </c>
      <c r="K462" s="54">
        <f>tkj!$AG$55</f>
        <v>75</v>
      </c>
      <c r="L462" s="55"/>
      <c r="M462" s="53">
        <f>tkj!$AM$55</f>
        <v>80</v>
      </c>
      <c r="N462" s="53">
        <f>tkj!$AS$55</f>
        <v>77</v>
      </c>
      <c r="O462" s="53">
        <f>tkj!$AY$55</f>
        <v>87</v>
      </c>
      <c r="P462" s="54">
        <f>tkj!$BA$55</f>
        <v>80</v>
      </c>
      <c r="Q462" s="54">
        <f>tkj!$BC$55</f>
        <v>90</v>
      </c>
      <c r="R462" s="55"/>
      <c r="S462" s="55"/>
      <c r="T462" s="55"/>
      <c r="U462" s="55"/>
      <c r="V462" s="56"/>
      <c r="X462" s="288">
        <v>55</v>
      </c>
    </row>
    <row r="463" spans="1:24" ht="15" thickBot="1">
      <c r="A463" s="268">
        <v>51</v>
      </c>
      <c r="B463" s="271"/>
      <c r="C463" s="274"/>
      <c r="D463" s="52" t="s">
        <v>295</v>
      </c>
      <c r="E463" s="53">
        <f>tkj!$F$55</f>
        <v>81</v>
      </c>
      <c r="F463" s="53">
        <f>tkj!$L$55</f>
        <v>83</v>
      </c>
      <c r="G463" s="53">
        <f>tkj!$R$55</f>
        <v>84</v>
      </c>
      <c r="H463" s="53">
        <f>tkj!$X$55</f>
        <v>83</v>
      </c>
      <c r="I463" s="53">
        <f>tkj!$AB$55</f>
        <v>82</v>
      </c>
      <c r="J463" s="53">
        <f>tkj!$AF$55</f>
        <v>85</v>
      </c>
      <c r="K463" s="54">
        <f>tkj!$AH$55</f>
        <v>80</v>
      </c>
      <c r="L463" s="55"/>
      <c r="M463" s="53">
        <f>tkj!$AN$55</f>
        <v>81</v>
      </c>
      <c r="N463" s="53">
        <f>tkj!$AT$55</f>
        <v>80</v>
      </c>
      <c r="O463" s="53">
        <f>tkj!$AZ$55</f>
        <v>82</v>
      </c>
      <c r="P463" s="54">
        <f>tkj!$BB$55</f>
        <v>90</v>
      </c>
      <c r="Q463" s="54">
        <f>tkj!$BD$55</f>
        <v>77</v>
      </c>
      <c r="R463" s="55"/>
      <c r="S463" s="55"/>
      <c r="T463" s="55"/>
      <c r="U463" s="55"/>
      <c r="V463" s="58"/>
      <c r="X463" s="288">
        <v>55</v>
      </c>
    </row>
    <row r="464" spans="1:24" ht="15" thickBot="1">
      <c r="A464" s="268">
        <v>51</v>
      </c>
      <c r="B464" s="271"/>
      <c r="C464" s="274"/>
      <c r="D464" s="52" t="s">
        <v>296</v>
      </c>
      <c r="E464" s="53">
        <f>tkj!$G$55</f>
        <v>90</v>
      </c>
      <c r="F464" s="53">
        <f>tkj!$M$55</f>
        <v>87</v>
      </c>
      <c r="G464" s="53">
        <f>tkj!$S$55</f>
        <v>81</v>
      </c>
      <c r="H464" s="53">
        <f>tkj!$Y$55</f>
        <v>80</v>
      </c>
      <c r="I464" s="53">
        <f>tkj!$AC$55</f>
        <v>83</v>
      </c>
      <c r="J464" s="59"/>
      <c r="K464" s="54">
        <f>tkj!$AI$55</f>
        <v>78</v>
      </c>
      <c r="L464" s="55"/>
      <c r="M464" s="53">
        <f>tkj!$AO$55</f>
        <v>73</v>
      </c>
      <c r="N464" s="53">
        <f>tkj!$AU$55</f>
        <v>82</v>
      </c>
      <c r="O464" s="59"/>
      <c r="P464" s="55"/>
      <c r="Q464" s="55"/>
      <c r="R464" s="54">
        <f>tkj!$BQ$55</f>
        <v>81.333333333333329</v>
      </c>
      <c r="S464" s="54">
        <f>tkj!$BU$55</f>
        <v>85</v>
      </c>
      <c r="T464" s="55"/>
      <c r="U464" s="54">
        <f>tkj!$BZ$55</f>
        <v>73</v>
      </c>
      <c r="V464" s="58"/>
      <c r="X464" s="288">
        <v>55</v>
      </c>
    </row>
    <row r="465" spans="1:24" ht="15" thickBot="1">
      <c r="A465" s="268">
        <v>51</v>
      </c>
      <c r="B465" s="271"/>
      <c r="C465" s="274"/>
      <c r="D465" s="62" t="s">
        <v>297</v>
      </c>
      <c r="E465" s="53">
        <f>tkj!$H$55</f>
        <v>87</v>
      </c>
      <c r="F465" s="53">
        <f>tkj!$N$55</f>
        <v>88</v>
      </c>
      <c r="G465" s="53">
        <f>tkj!$T$55</f>
        <v>85</v>
      </c>
      <c r="H465" s="53">
        <f>tkj!$Z$55</f>
        <v>84</v>
      </c>
      <c r="I465" s="53">
        <f>tkj!$AD$55</f>
        <v>84</v>
      </c>
      <c r="J465" s="59"/>
      <c r="K465" s="54">
        <f>tkj!$AJ$55</f>
        <v>84</v>
      </c>
      <c r="L465" s="55"/>
      <c r="M465" s="53">
        <f>tkj!$AP$55</f>
        <v>74</v>
      </c>
      <c r="N465" s="53">
        <f>tkj!$AV$55</f>
        <v>82</v>
      </c>
      <c r="O465" s="59"/>
      <c r="P465" s="55"/>
      <c r="Q465" s="55"/>
      <c r="R465" s="54">
        <f>tkj!$BR$55</f>
        <v>84.333333333333329</v>
      </c>
      <c r="S465" s="54">
        <f>tkj!$BV$55</f>
        <v>85</v>
      </c>
      <c r="T465" s="63"/>
      <c r="U465" s="54">
        <f>tkj!$CA$55</f>
        <v>90</v>
      </c>
      <c r="V465" s="58"/>
      <c r="X465" s="288">
        <v>55</v>
      </c>
    </row>
    <row r="466" spans="1:24">
      <c r="A466" s="268">
        <v>51</v>
      </c>
      <c r="B466" s="271"/>
      <c r="C466" s="274"/>
      <c r="D466" s="62" t="s">
        <v>298</v>
      </c>
      <c r="E466" s="53">
        <f>tkj!$I$55</f>
        <v>91</v>
      </c>
      <c r="F466" s="53">
        <f>tkj!$O$55</f>
        <v>90</v>
      </c>
      <c r="G466" s="53">
        <f>tkj!$U$55</f>
        <v>84</v>
      </c>
      <c r="H466" s="65"/>
      <c r="I466" s="65"/>
      <c r="J466" s="59"/>
      <c r="K466" s="59"/>
      <c r="L466" s="53">
        <f>tkj!$AK$55</f>
        <v>84</v>
      </c>
      <c r="M466" s="53">
        <f>tkj!$AQ$55</f>
        <v>83</v>
      </c>
      <c r="N466" s="53">
        <f>tkj!$AW$55</f>
        <v>82</v>
      </c>
      <c r="O466" s="59"/>
      <c r="P466" s="55"/>
      <c r="Q466" s="55"/>
      <c r="R466" s="54">
        <f>tkj!$BS$55</f>
        <v>85</v>
      </c>
      <c r="S466" s="54">
        <f>tkj!$BW$55</f>
        <v>90</v>
      </c>
      <c r="T466" s="54"/>
      <c r="U466" s="54">
        <f>tkj!$CB$55</f>
        <v>83</v>
      </c>
      <c r="V466" s="58"/>
      <c r="X466" s="288">
        <v>55</v>
      </c>
    </row>
    <row r="467" spans="1:24">
      <c r="A467" s="268">
        <v>51</v>
      </c>
      <c r="B467" s="271"/>
      <c r="C467" s="274"/>
      <c r="D467" s="66" t="s">
        <v>299</v>
      </c>
      <c r="E467" s="67">
        <f>AVERAGE(E462:E466)</f>
        <v>88.2</v>
      </c>
      <c r="F467" s="67">
        <f>AVERAGE(F462:F466)</f>
        <v>86</v>
      </c>
      <c r="G467" s="67">
        <f>AVERAGE(G462:G466)</f>
        <v>84.6</v>
      </c>
      <c r="H467" s="68"/>
      <c r="I467" s="68"/>
      <c r="J467" s="69"/>
      <c r="K467" s="69"/>
      <c r="L467" s="67">
        <f>AVERAGE(L462:L466)</f>
        <v>84</v>
      </c>
      <c r="M467" s="67">
        <f>AVERAGE(M462:M466)</f>
        <v>78.2</v>
      </c>
      <c r="N467" s="67">
        <f>AVERAGE(N462:N466)</f>
        <v>80.599999999999994</v>
      </c>
      <c r="O467" s="69"/>
      <c r="P467" s="63"/>
      <c r="Q467" s="63"/>
      <c r="R467" s="84">
        <f>AVERAGE(R464:R466)</f>
        <v>83.555555555555557</v>
      </c>
      <c r="S467" s="84">
        <f>AVERAGE(S464:S466)</f>
        <v>86.666666666666671</v>
      </c>
      <c r="T467" s="63"/>
      <c r="U467" s="84">
        <f>AVERAGE(U462:U466)</f>
        <v>82</v>
      </c>
      <c r="V467" s="58"/>
      <c r="X467" s="288">
        <v>55</v>
      </c>
    </row>
    <row r="468" spans="1:24">
      <c r="A468" s="268">
        <v>51</v>
      </c>
      <c r="B468" s="271"/>
      <c r="C468" s="274"/>
      <c r="D468" s="70" t="s">
        <v>300</v>
      </c>
      <c r="E468" s="71">
        <f>tkj!$J$55</f>
        <v>90</v>
      </c>
      <c r="F468" s="71">
        <f>tkj!$P$55</f>
        <v>88</v>
      </c>
      <c r="G468" s="71">
        <f>tkj!$V$55</f>
        <v>88</v>
      </c>
      <c r="H468" s="72"/>
      <c r="I468" s="72"/>
      <c r="J468" s="73"/>
      <c r="K468" s="73"/>
      <c r="L468" s="71">
        <f>tkj!$AL$55</f>
        <v>88</v>
      </c>
      <c r="M468" s="71">
        <f>tkj!$AR$55</f>
        <v>88</v>
      </c>
      <c r="N468" s="71">
        <f>tkj!$AX$55</f>
        <v>88</v>
      </c>
      <c r="O468" s="73"/>
      <c r="P468" s="74"/>
      <c r="Q468" s="74"/>
      <c r="R468" s="85">
        <f>tkj!$BT$55</f>
        <v>93</v>
      </c>
      <c r="S468" s="85">
        <f>tkj!$BX$55</f>
        <v>93</v>
      </c>
      <c r="T468" s="85">
        <f>tkj!$BY$55</f>
        <v>89</v>
      </c>
      <c r="U468" s="75">
        <f>tkj!$CC$55</f>
        <v>88</v>
      </c>
      <c r="V468" s="58"/>
      <c r="X468" s="288">
        <v>55</v>
      </c>
    </row>
    <row r="469" spans="1:24">
      <c r="A469" s="268">
        <v>51</v>
      </c>
      <c r="B469" s="271"/>
      <c r="C469" s="274"/>
      <c r="D469" s="76" t="s">
        <v>301</v>
      </c>
      <c r="E469" s="77">
        <f>tkj!$CD$55</f>
        <v>88</v>
      </c>
      <c r="F469" s="77">
        <f>tkj!$CE$55</f>
        <v>85</v>
      </c>
      <c r="G469" s="77">
        <f>tkj!$CF$55</f>
        <v>85</v>
      </c>
      <c r="H469" s="72"/>
      <c r="I469" s="72"/>
      <c r="J469" s="73"/>
      <c r="K469" s="73"/>
      <c r="L469" s="77">
        <f>tkj!$CG$55</f>
        <v>90</v>
      </c>
      <c r="M469" s="77">
        <f>tkj!$CH$55</f>
        <v>84</v>
      </c>
      <c r="N469" s="77">
        <f>tkj!$CI$55</f>
        <v>82</v>
      </c>
      <c r="O469" s="73"/>
      <c r="P469" s="74"/>
      <c r="Q469" s="74"/>
      <c r="R469" s="86">
        <f>tkj!$CL$55</f>
        <v>87</v>
      </c>
      <c r="S469" s="86">
        <f>tkj!$CK$55</f>
        <v>93</v>
      </c>
      <c r="T469" s="74"/>
      <c r="U469" s="86">
        <f>tkj!$CJ$55</f>
        <v>80</v>
      </c>
      <c r="V469" s="58"/>
      <c r="X469" s="288">
        <v>55</v>
      </c>
    </row>
    <row r="470" spans="1:24" ht="15" thickBot="1">
      <c r="A470" s="269">
        <v>51</v>
      </c>
      <c r="B470" s="272"/>
      <c r="C470" s="275"/>
      <c r="D470" s="78" t="s">
        <v>302</v>
      </c>
      <c r="E470" s="79">
        <f>(E467*4+E468*3+E469*3)/10</f>
        <v>88.679999999999993</v>
      </c>
      <c r="F470" s="79">
        <f t="shared" ref="F470:G470" si="99">(F467*4+F468*3+F469*3)/10</f>
        <v>86.3</v>
      </c>
      <c r="G470" s="79">
        <f t="shared" si="99"/>
        <v>85.74</v>
      </c>
      <c r="H470" s="79">
        <f>AVERAGE(H462:H465)</f>
        <v>82.25</v>
      </c>
      <c r="I470" s="79">
        <f>AVERAGE(I462:I465)</f>
        <v>82.25</v>
      </c>
      <c r="J470" s="79">
        <f>AVERAGE(J462:J463)</f>
        <v>84</v>
      </c>
      <c r="K470" s="79">
        <f>AVERAGE(K462:K465)</f>
        <v>79.25</v>
      </c>
      <c r="L470" s="79">
        <f>(L467*4+L468*3+L469*3)/10</f>
        <v>87</v>
      </c>
      <c r="M470" s="79">
        <f>(M467*4+M468*3+M469*3)/10</f>
        <v>82.88</v>
      </c>
      <c r="N470" s="79">
        <f>(N467*4+N468*3+N469*3)/10</f>
        <v>83.24</v>
      </c>
      <c r="O470" s="79">
        <f>AVERAGE(O462:O463)</f>
        <v>84.5</v>
      </c>
      <c r="P470" s="79">
        <f>AVERAGE(P462:P463)</f>
        <v>85</v>
      </c>
      <c r="Q470" s="79">
        <f>AVERAGE(Q462:Q463)</f>
        <v>83.5</v>
      </c>
      <c r="R470" s="79">
        <f>(R467*4+R468*3+R469*3)/10</f>
        <v>87.422222222222217</v>
      </c>
      <c r="S470" s="79">
        <f>(S467*4+S468*3+S469*3)/10</f>
        <v>90.466666666666669</v>
      </c>
      <c r="T470" s="79">
        <f>T468</f>
        <v>89</v>
      </c>
      <c r="U470" s="79">
        <f t="shared" ref="U470" si="100">(U467*4+U468*3+U469*3)/10</f>
        <v>83.2</v>
      </c>
      <c r="V470" s="80">
        <f>AVERAGE(E470:U470)</f>
        <v>84.981111111111119</v>
      </c>
      <c r="X470" s="288">
        <v>55</v>
      </c>
    </row>
    <row r="471" spans="1:24" ht="15.6" thickTop="1" thickBot="1">
      <c r="A471" s="268">
        <v>52</v>
      </c>
      <c r="B471" s="270" t="s">
        <v>363</v>
      </c>
      <c r="C471" s="273" t="s">
        <v>156</v>
      </c>
      <c r="D471" s="52" t="s">
        <v>294</v>
      </c>
      <c r="E471" s="53">
        <f>tkj!$E$56</f>
        <v>93</v>
      </c>
      <c r="F471" s="53">
        <f>tkj!$K$56</f>
        <v>79</v>
      </c>
      <c r="G471" s="53">
        <f>tkj!$Q$56</f>
        <v>94</v>
      </c>
      <c r="H471" s="53">
        <f>tkj!$W$56</f>
        <v>82</v>
      </c>
      <c r="I471" s="53">
        <f>tkj!$AA$56</f>
        <v>78</v>
      </c>
      <c r="J471" s="53">
        <f>tkj!$AE$56</f>
        <v>83</v>
      </c>
      <c r="K471" s="54">
        <f>tkj!$AG$56</f>
        <v>79</v>
      </c>
      <c r="L471" s="55"/>
      <c r="M471" s="53">
        <f>tkj!$AM$56</f>
        <v>71</v>
      </c>
      <c r="N471" s="53">
        <f>tkj!$AS$56</f>
        <v>78</v>
      </c>
      <c r="O471" s="53">
        <f>tkj!$AY$56</f>
        <v>80</v>
      </c>
      <c r="P471" s="54">
        <f>tkj!$BA$56</f>
        <v>72</v>
      </c>
      <c r="Q471" s="54">
        <f>tkj!$BC$56</f>
        <v>82</v>
      </c>
      <c r="R471" s="55"/>
      <c r="S471" s="55"/>
      <c r="T471" s="55"/>
      <c r="U471" s="55"/>
      <c r="V471" s="56"/>
      <c r="X471" s="278">
        <v>56</v>
      </c>
    </row>
    <row r="472" spans="1:24" ht="15" thickBot="1">
      <c r="A472" s="268">
        <v>52</v>
      </c>
      <c r="B472" s="271"/>
      <c r="C472" s="274"/>
      <c r="D472" s="52" t="s">
        <v>295</v>
      </c>
      <c r="E472" s="53">
        <f>tkj!$F$56</f>
        <v>82</v>
      </c>
      <c r="F472" s="53">
        <f>tkj!$L$56</f>
        <v>84</v>
      </c>
      <c r="G472" s="53">
        <f>tkj!$R$56</f>
        <v>83</v>
      </c>
      <c r="H472" s="53">
        <f>tkj!$X$56</f>
        <v>85</v>
      </c>
      <c r="I472" s="53">
        <f>tkj!$AB$56</f>
        <v>82</v>
      </c>
      <c r="J472" s="53">
        <f>tkj!$AF$56</f>
        <v>82</v>
      </c>
      <c r="K472" s="54">
        <f>tkj!$AH$56</f>
        <v>78</v>
      </c>
      <c r="L472" s="55"/>
      <c r="M472" s="53">
        <f>tkj!$AN$56</f>
        <v>71</v>
      </c>
      <c r="N472" s="53">
        <f>tkj!$AT$56</f>
        <v>79</v>
      </c>
      <c r="O472" s="53">
        <f>tkj!$AZ$56</f>
        <v>84</v>
      </c>
      <c r="P472" s="54">
        <f>tkj!$BB$56</f>
        <v>78</v>
      </c>
      <c r="Q472" s="54">
        <f>tkj!$BD$56</f>
        <v>80</v>
      </c>
      <c r="R472" s="55"/>
      <c r="S472" s="55"/>
      <c r="T472" s="55"/>
      <c r="U472" s="55"/>
      <c r="V472" s="58"/>
      <c r="X472" s="278">
        <v>56</v>
      </c>
    </row>
    <row r="473" spans="1:24" ht="15" thickBot="1">
      <c r="A473" s="268">
        <v>52</v>
      </c>
      <c r="B473" s="271"/>
      <c r="C473" s="274"/>
      <c r="D473" s="52" t="s">
        <v>296</v>
      </c>
      <c r="E473" s="53">
        <f>tkj!$G$56</f>
        <v>87</v>
      </c>
      <c r="F473" s="53">
        <f>tkj!$M$56</f>
        <v>91</v>
      </c>
      <c r="G473" s="53">
        <f>tkj!$S$56</f>
        <v>80</v>
      </c>
      <c r="H473" s="53">
        <f>tkj!$Y$56</f>
        <v>80</v>
      </c>
      <c r="I473" s="53">
        <f>tkj!$AC$56</f>
        <v>72</v>
      </c>
      <c r="J473" s="59"/>
      <c r="K473" s="54">
        <f>tkj!$AI$56</f>
        <v>72</v>
      </c>
      <c r="L473" s="55"/>
      <c r="M473" s="53">
        <f>tkj!$AO$56</f>
        <v>74</v>
      </c>
      <c r="N473" s="53">
        <f>tkj!$AU$56</f>
        <v>82</v>
      </c>
      <c r="O473" s="59"/>
      <c r="P473" s="55"/>
      <c r="Q473" s="55"/>
      <c r="R473" s="54">
        <f>tkj!$BQ$56</f>
        <v>81.666666666666671</v>
      </c>
      <c r="S473" s="54">
        <f>tkj!$BU$56</f>
        <v>85</v>
      </c>
      <c r="T473" s="55"/>
      <c r="U473" s="54">
        <f>tkj!$BZ$56</f>
        <v>74</v>
      </c>
      <c r="V473" s="58"/>
      <c r="X473" s="278">
        <v>56</v>
      </c>
    </row>
    <row r="474" spans="1:24" ht="15" thickBot="1">
      <c r="A474" s="268">
        <v>52</v>
      </c>
      <c r="B474" s="271"/>
      <c r="C474" s="274"/>
      <c r="D474" s="62" t="s">
        <v>297</v>
      </c>
      <c r="E474" s="53">
        <f>tkj!$H$56</f>
        <v>84</v>
      </c>
      <c r="F474" s="53">
        <f>tkj!$N$56</f>
        <v>85</v>
      </c>
      <c r="G474" s="53">
        <f>tkj!$T$56</f>
        <v>80</v>
      </c>
      <c r="H474" s="53">
        <f>tkj!$Z$56</f>
        <v>84</v>
      </c>
      <c r="I474" s="53">
        <f>tkj!$AD$56</f>
        <v>79</v>
      </c>
      <c r="J474" s="59"/>
      <c r="K474" s="54">
        <f>tkj!$AJ$56</f>
        <v>82</v>
      </c>
      <c r="L474" s="55"/>
      <c r="M474" s="53">
        <f>tkj!$AP$56</f>
        <v>75</v>
      </c>
      <c r="N474" s="53">
        <f>tkj!$AV$56</f>
        <v>83</v>
      </c>
      <c r="O474" s="59"/>
      <c r="P474" s="55"/>
      <c r="Q474" s="55"/>
      <c r="R474" s="54">
        <f>tkj!$BR$56</f>
        <v>78.333333333333329</v>
      </c>
      <c r="S474" s="54">
        <f>tkj!$BV$56</f>
        <v>85</v>
      </c>
      <c r="T474" s="63"/>
      <c r="U474" s="54">
        <f>tkj!$CA$56</f>
        <v>82</v>
      </c>
      <c r="V474" s="58"/>
      <c r="X474" s="278">
        <v>56</v>
      </c>
    </row>
    <row r="475" spans="1:24">
      <c r="A475" s="268">
        <v>52</v>
      </c>
      <c r="B475" s="271"/>
      <c r="C475" s="274"/>
      <c r="D475" s="62" t="s">
        <v>298</v>
      </c>
      <c r="E475" s="53">
        <f>tkj!$I$56</f>
        <v>86</v>
      </c>
      <c r="F475" s="53">
        <f>tkj!$O$56</f>
        <v>85</v>
      </c>
      <c r="G475" s="53">
        <f>tkj!$U$56</f>
        <v>80</v>
      </c>
      <c r="H475" s="65"/>
      <c r="I475" s="65"/>
      <c r="J475" s="59"/>
      <c r="K475" s="59"/>
      <c r="L475" s="53">
        <f>tkj!$AK$56</f>
        <v>80</v>
      </c>
      <c r="M475" s="53">
        <f>tkj!$AQ$56</f>
        <v>80</v>
      </c>
      <c r="N475" s="53">
        <f>tkj!$AW$56</f>
        <v>82</v>
      </c>
      <c r="O475" s="59"/>
      <c r="P475" s="55"/>
      <c r="Q475" s="55"/>
      <c r="R475" s="54">
        <f>tkj!$BS$56</f>
        <v>84</v>
      </c>
      <c r="S475" s="54">
        <f>tkj!$BW$56</f>
        <v>86</v>
      </c>
      <c r="T475" s="54"/>
      <c r="U475" s="54">
        <f>tkj!$CB$56</f>
        <v>80</v>
      </c>
      <c r="V475" s="58"/>
      <c r="X475" s="278">
        <v>56</v>
      </c>
    </row>
    <row r="476" spans="1:24">
      <c r="A476" s="268">
        <v>52</v>
      </c>
      <c r="B476" s="271"/>
      <c r="C476" s="274"/>
      <c r="D476" s="66" t="s">
        <v>299</v>
      </c>
      <c r="E476" s="67">
        <f>AVERAGE(E471:E475)</f>
        <v>86.4</v>
      </c>
      <c r="F476" s="67">
        <f>AVERAGE(F471:F475)</f>
        <v>84.8</v>
      </c>
      <c r="G476" s="67">
        <f>AVERAGE(G471:G475)</f>
        <v>83.4</v>
      </c>
      <c r="H476" s="68"/>
      <c r="I476" s="68"/>
      <c r="J476" s="69"/>
      <c r="K476" s="69"/>
      <c r="L476" s="67">
        <f>AVERAGE(L471:L475)</f>
        <v>80</v>
      </c>
      <c r="M476" s="67">
        <f>AVERAGE(M471:M475)</f>
        <v>74.2</v>
      </c>
      <c r="N476" s="67">
        <f>AVERAGE(N471:N475)</f>
        <v>80.8</v>
      </c>
      <c r="O476" s="69"/>
      <c r="P476" s="63"/>
      <c r="Q476" s="63"/>
      <c r="R476" s="84">
        <f>AVERAGE(R473:R475)</f>
        <v>81.333333333333329</v>
      </c>
      <c r="S476" s="84">
        <f>AVERAGE(S473:S475)</f>
        <v>85.333333333333329</v>
      </c>
      <c r="T476" s="63"/>
      <c r="U476" s="84">
        <f>AVERAGE(U471:U475)</f>
        <v>78.666666666666671</v>
      </c>
      <c r="V476" s="58"/>
      <c r="X476" s="278">
        <v>56</v>
      </c>
    </row>
    <row r="477" spans="1:24">
      <c r="A477" s="268">
        <v>52</v>
      </c>
      <c r="B477" s="271"/>
      <c r="C477" s="274"/>
      <c r="D477" s="70" t="s">
        <v>300</v>
      </c>
      <c r="E477" s="71">
        <f>tkj!$J$56</f>
        <v>90</v>
      </c>
      <c r="F477" s="71">
        <f>tkj!$P$56</f>
        <v>83</v>
      </c>
      <c r="G477" s="71">
        <f>tkj!$V$56</f>
        <v>84</v>
      </c>
      <c r="H477" s="72"/>
      <c r="I477" s="72"/>
      <c r="J477" s="73"/>
      <c r="K477" s="73"/>
      <c r="L477" s="71">
        <f>tkj!$AL$56</f>
        <v>84</v>
      </c>
      <c r="M477" s="71">
        <f>tkj!$AR$56</f>
        <v>80</v>
      </c>
      <c r="N477" s="71">
        <f>tkj!$AX$56</f>
        <v>80</v>
      </c>
      <c r="O477" s="73"/>
      <c r="P477" s="74"/>
      <c r="Q477" s="74"/>
      <c r="R477" s="85">
        <f>tkj!$BT$56</f>
        <v>83</v>
      </c>
      <c r="S477" s="85">
        <f>tkj!$BX$56</f>
        <v>83</v>
      </c>
      <c r="T477" s="85">
        <f>tkj!$BY$56</f>
        <v>84</v>
      </c>
      <c r="U477" s="75">
        <f>tkj!$CC$56</f>
        <v>80</v>
      </c>
      <c r="V477" s="58"/>
      <c r="X477" s="278">
        <v>56</v>
      </c>
    </row>
    <row r="478" spans="1:24">
      <c r="A478" s="268">
        <v>52</v>
      </c>
      <c r="B478" s="271"/>
      <c r="C478" s="274"/>
      <c r="D478" s="76" t="s">
        <v>301</v>
      </c>
      <c r="E478" s="77">
        <f>tkj!$CD$56</f>
        <v>87</v>
      </c>
      <c r="F478" s="77">
        <f>tkj!$CE$56</f>
        <v>80</v>
      </c>
      <c r="G478" s="77">
        <f>tkj!$CF$56</f>
        <v>75</v>
      </c>
      <c r="H478" s="72"/>
      <c r="I478" s="72"/>
      <c r="J478" s="73"/>
      <c r="K478" s="73"/>
      <c r="L478" s="77">
        <f>tkj!$CG$56</f>
        <v>70</v>
      </c>
      <c r="M478" s="77">
        <f>tkj!$CH$56</f>
        <v>80</v>
      </c>
      <c r="N478" s="77">
        <f>tkj!$CI$56</f>
        <v>82</v>
      </c>
      <c r="O478" s="73"/>
      <c r="P478" s="74"/>
      <c r="Q478" s="74"/>
      <c r="R478" s="86">
        <f>tkj!$CL$56</f>
        <v>92</v>
      </c>
      <c r="S478" s="86">
        <f>tkj!$CK$56</f>
        <v>93</v>
      </c>
      <c r="T478" s="74"/>
      <c r="U478" s="86">
        <f>tkj!$CJ$56</f>
        <v>80</v>
      </c>
      <c r="V478" s="58"/>
      <c r="X478" s="278">
        <v>56</v>
      </c>
    </row>
    <row r="479" spans="1:24" ht="15" thickBot="1">
      <c r="A479" s="269">
        <v>52</v>
      </c>
      <c r="B479" s="272"/>
      <c r="C479" s="275"/>
      <c r="D479" s="78" t="s">
        <v>302</v>
      </c>
      <c r="E479" s="79">
        <f>(E476*4+E477*3+E478*3)/10</f>
        <v>87.66</v>
      </c>
      <c r="F479" s="79">
        <f t="shared" ref="F479:G479" si="101">(F476*4+F477*3+F478*3)/10</f>
        <v>82.820000000000007</v>
      </c>
      <c r="G479" s="79">
        <f t="shared" si="101"/>
        <v>81.06</v>
      </c>
      <c r="H479" s="79">
        <f>AVERAGE(H471:H474)</f>
        <v>82.75</v>
      </c>
      <c r="I479" s="79">
        <f>AVERAGE(I471:I474)</f>
        <v>77.75</v>
      </c>
      <c r="J479" s="79">
        <f>AVERAGE(J471:J472)</f>
        <v>82.5</v>
      </c>
      <c r="K479" s="79">
        <f>AVERAGE(K471:K474)</f>
        <v>77.75</v>
      </c>
      <c r="L479" s="79">
        <f>(L476*4+L477*3+L478*3)/10</f>
        <v>78.2</v>
      </c>
      <c r="M479" s="79">
        <f>(M476*4+M477*3+M478*3)/10</f>
        <v>77.679999999999993</v>
      </c>
      <c r="N479" s="79">
        <f>(N476*4+N477*3+N478*3)/10</f>
        <v>80.92</v>
      </c>
      <c r="O479" s="79">
        <f>AVERAGE(O471:O472)</f>
        <v>82</v>
      </c>
      <c r="P479" s="79">
        <f>AVERAGE(P471:P472)</f>
        <v>75</v>
      </c>
      <c r="Q479" s="79">
        <f>AVERAGE(Q471:Q472)</f>
        <v>81</v>
      </c>
      <c r="R479" s="79">
        <f>(R476*4+R477*3+R478*3)/10</f>
        <v>85.033333333333331</v>
      </c>
      <c r="S479" s="79">
        <f>(S476*4+S477*3+S478*3)/10</f>
        <v>86.933333333333323</v>
      </c>
      <c r="T479" s="79">
        <f>T477</f>
        <v>84</v>
      </c>
      <c r="U479" s="79">
        <f t="shared" ref="U479" si="102">(U476*4+U477*3+U478*3)/10</f>
        <v>79.466666666666669</v>
      </c>
      <c r="V479" s="80">
        <f>AVERAGE(E479:U479)</f>
        <v>81.324901960784317</v>
      </c>
      <c r="X479" s="278">
        <v>56</v>
      </c>
    </row>
    <row r="480" spans="1:24" ht="15.6" thickTop="1" thickBot="1">
      <c r="A480" s="268">
        <v>53</v>
      </c>
      <c r="B480" s="270" t="s">
        <v>364</v>
      </c>
      <c r="C480" s="273" t="s">
        <v>158</v>
      </c>
      <c r="D480" s="52" t="s">
        <v>294</v>
      </c>
      <c r="E480" s="53">
        <f>tkj!$E$57</f>
        <v>90</v>
      </c>
      <c r="F480" s="53">
        <f>tkj!$K$57</f>
        <v>78</v>
      </c>
      <c r="G480" s="53">
        <f>tkj!$Q$57</f>
        <v>90</v>
      </c>
      <c r="H480" s="53">
        <f>tkj!$W$57</f>
        <v>82</v>
      </c>
      <c r="I480" s="53">
        <f>tkj!$AA$57</f>
        <v>76</v>
      </c>
      <c r="J480" s="53">
        <f>tkj!$AE$57</f>
        <v>81</v>
      </c>
      <c r="K480" s="54">
        <f>tkj!$AG$57</f>
        <v>76</v>
      </c>
      <c r="L480" s="55"/>
      <c r="M480" s="53">
        <f>tkj!$AM$57</f>
        <v>71</v>
      </c>
      <c r="N480" s="53">
        <f>tkj!$AS$57</f>
        <v>85</v>
      </c>
      <c r="O480" s="53">
        <f>tkj!$AY$57</f>
        <v>87</v>
      </c>
      <c r="P480" s="54">
        <f>tkj!$BA$57</f>
        <v>81</v>
      </c>
      <c r="Q480" s="54">
        <f>tkj!$BC$57</f>
        <v>86</v>
      </c>
      <c r="R480" s="55"/>
      <c r="S480" s="55"/>
      <c r="T480" s="55"/>
      <c r="U480" s="55"/>
      <c r="V480" s="56"/>
      <c r="X480" s="278">
        <v>57</v>
      </c>
    </row>
    <row r="481" spans="1:24" ht="15" thickBot="1">
      <c r="A481" s="268">
        <v>53</v>
      </c>
      <c r="B481" s="271"/>
      <c r="C481" s="274"/>
      <c r="D481" s="52" t="s">
        <v>295</v>
      </c>
      <c r="E481" s="53">
        <f>tkj!$F$57</f>
        <v>90</v>
      </c>
      <c r="F481" s="53">
        <f>tkj!$L$57</f>
        <v>85</v>
      </c>
      <c r="G481" s="53">
        <f>tkj!$R$57</f>
        <v>85</v>
      </c>
      <c r="H481" s="53">
        <f>tkj!$X$57</f>
        <v>84</v>
      </c>
      <c r="I481" s="53">
        <f>tkj!$AB$57</f>
        <v>83</v>
      </c>
      <c r="J481" s="53">
        <f>tkj!$AF$57</f>
        <v>90</v>
      </c>
      <c r="K481" s="54">
        <f>tkj!$AH$57</f>
        <v>83</v>
      </c>
      <c r="L481" s="55"/>
      <c r="M481" s="53">
        <f>tkj!$AN$57</f>
        <v>72</v>
      </c>
      <c r="N481" s="53">
        <f>tkj!$AT$57</f>
        <v>82</v>
      </c>
      <c r="O481" s="53">
        <f>tkj!$AZ$57</f>
        <v>93</v>
      </c>
      <c r="P481" s="54">
        <f>tkj!$BB$57</f>
        <v>87</v>
      </c>
      <c r="Q481" s="54">
        <f>tkj!$BD$57</f>
        <v>83</v>
      </c>
      <c r="R481" s="55"/>
      <c r="S481" s="55"/>
      <c r="T481" s="55"/>
      <c r="U481" s="55"/>
      <c r="V481" s="58"/>
      <c r="X481" s="278">
        <v>57</v>
      </c>
    </row>
    <row r="482" spans="1:24" ht="15" thickBot="1">
      <c r="A482" s="268">
        <v>53</v>
      </c>
      <c r="B482" s="271"/>
      <c r="C482" s="274"/>
      <c r="D482" s="52" t="s">
        <v>296</v>
      </c>
      <c r="E482" s="53">
        <f>tkj!$G$57</f>
        <v>88</v>
      </c>
      <c r="F482" s="53">
        <f>tkj!$M$57</f>
        <v>95</v>
      </c>
      <c r="G482" s="53">
        <f>tkj!$S$57</f>
        <v>85</v>
      </c>
      <c r="H482" s="53">
        <f>tkj!$Y$57</f>
        <v>81</v>
      </c>
      <c r="I482" s="53">
        <f>tkj!$AC$57</f>
        <v>79</v>
      </c>
      <c r="J482" s="59"/>
      <c r="K482" s="54">
        <f>tkj!$AI$57</f>
        <v>73</v>
      </c>
      <c r="L482" s="55"/>
      <c r="M482" s="53">
        <f>tkj!$AO$57</f>
        <v>73</v>
      </c>
      <c r="N482" s="53">
        <f>tkj!$AU$57</f>
        <v>83</v>
      </c>
      <c r="O482" s="59"/>
      <c r="P482" s="55"/>
      <c r="Q482" s="55"/>
      <c r="R482" s="54">
        <f>tkj!$BQ$57</f>
        <v>79.666666666666671</v>
      </c>
      <c r="S482" s="54">
        <f>tkj!$BU$57</f>
        <v>86</v>
      </c>
      <c r="T482" s="55"/>
      <c r="U482" s="54">
        <f>tkj!$BZ$57</f>
        <v>74</v>
      </c>
      <c r="V482" s="58"/>
      <c r="X482" s="278">
        <v>57</v>
      </c>
    </row>
    <row r="483" spans="1:24" ht="15" thickBot="1">
      <c r="A483" s="268">
        <v>53</v>
      </c>
      <c r="B483" s="271"/>
      <c r="C483" s="274"/>
      <c r="D483" s="62" t="s">
        <v>297</v>
      </c>
      <c r="E483" s="53">
        <f>tkj!$H$57</f>
        <v>82</v>
      </c>
      <c r="F483" s="53">
        <f>tkj!$N$57</f>
        <v>95</v>
      </c>
      <c r="G483" s="53">
        <f>tkj!$T$57</f>
        <v>82</v>
      </c>
      <c r="H483" s="53">
        <f>tkj!$Z$57</f>
        <v>86</v>
      </c>
      <c r="I483" s="53">
        <f>tkj!$AD$57</f>
        <v>80</v>
      </c>
      <c r="J483" s="59"/>
      <c r="K483" s="54">
        <f>tkj!$AJ$57</f>
        <v>82</v>
      </c>
      <c r="L483" s="55"/>
      <c r="M483" s="53">
        <f>tkj!$AP$57</f>
        <v>74</v>
      </c>
      <c r="N483" s="53">
        <f>tkj!$AV$57</f>
        <v>85</v>
      </c>
      <c r="O483" s="59"/>
      <c r="P483" s="55"/>
      <c r="Q483" s="55"/>
      <c r="R483" s="54">
        <f>tkj!$BR$57</f>
        <v>79.333333333333329</v>
      </c>
      <c r="S483" s="54">
        <f>tkj!$BV$57</f>
        <v>86</v>
      </c>
      <c r="T483" s="63"/>
      <c r="U483" s="54">
        <f>tkj!$CA$57</f>
        <v>87</v>
      </c>
      <c r="V483" s="58"/>
      <c r="X483" s="278">
        <v>57</v>
      </c>
    </row>
    <row r="484" spans="1:24">
      <c r="A484" s="268">
        <v>53</v>
      </c>
      <c r="B484" s="271"/>
      <c r="C484" s="274"/>
      <c r="D484" s="62" t="s">
        <v>298</v>
      </c>
      <c r="E484" s="53">
        <f>tkj!$I$57</f>
        <v>90</v>
      </c>
      <c r="F484" s="53">
        <f>tkj!$O$57</f>
        <v>95</v>
      </c>
      <c r="G484" s="53">
        <f>tkj!$U$57</f>
        <v>81</v>
      </c>
      <c r="H484" s="65"/>
      <c r="I484" s="65"/>
      <c r="J484" s="59"/>
      <c r="K484" s="59"/>
      <c r="L484" s="53">
        <f>tkj!$AK$57</f>
        <v>82</v>
      </c>
      <c r="M484" s="53">
        <f>tkj!$AQ$57</f>
        <v>82</v>
      </c>
      <c r="N484" s="53">
        <f>tkj!$AW$57</f>
        <v>83</v>
      </c>
      <c r="O484" s="59"/>
      <c r="P484" s="55"/>
      <c r="Q484" s="55"/>
      <c r="R484" s="54">
        <f>tkj!$BS$57</f>
        <v>82.666666666666671</v>
      </c>
      <c r="S484" s="54">
        <f>tkj!$BW$57</f>
        <v>88</v>
      </c>
      <c r="T484" s="54"/>
      <c r="U484" s="54">
        <f>tkj!$CB$57</f>
        <v>80</v>
      </c>
      <c r="V484" s="58"/>
      <c r="X484" s="278">
        <v>57</v>
      </c>
    </row>
    <row r="485" spans="1:24">
      <c r="A485" s="268">
        <v>53</v>
      </c>
      <c r="B485" s="271"/>
      <c r="C485" s="274"/>
      <c r="D485" s="66" t="s">
        <v>299</v>
      </c>
      <c r="E485" s="67">
        <f>AVERAGE(E480:E484)</f>
        <v>88</v>
      </c>
      <c r="F485" s="67">
        <f>AVERAGE(F480:F484)</f>
        <v>89.6</v>
      </c>
      <c r="G485" s="67">
        <f>AVERAGE(G480:G484)</f>
        <v>84.6</v>
      </c>
      <c r="H485" s="68"/>
      <c r="I485" s="68"/>
      <c r="J485" s="69"/>
      <c r="K485" s="69"/>
      <c r="L485" s="67">
        <f>AVERAGE(L480:L484)</f>
        <v>82</v>
      </c>
      <c r="M485" s="67">
        <f>AVERAGE(M480:M484)</f>
        <v>74.400000000000006</v>
      </c>
      <c r="N485" s="67">
        <f>AVERAGE(N480:N484)</f>
        <v>83.6</v>
      </c>
      <c r="O485" s="69"/>
      <c r="P485" s="63"/>
      <c r="Q485" s="63"/>
      <c r="R485" s="84">
        <f>AVERAGE(R482:R484)</f>
        <v>80.555555555555557</v>
      </c>
      <c r="S485" s="84">
        <f>AVERAGE(S482:S484)</f>
        <v>86.666666666666671</v>
      </c>
      <c r="T485" s="63"/>
      <c r="U485" s="84">
        <f>AVERAGE(U480:U484)</f>
        <v>80.333333333333329</v>
      </c>
      <c r="V485" s="58"/>
      <c r="X485" s="278">
        <v>57</v>
      </c>
    </row>
    <row r="486" spans="1:24">
      <c r="A486" s="268">
        <v>53</v>
      </c>
      <c r="B486" s="271"/>
      <c r="C486" s="274"/>
      <c r="D486" s="70" t="s">
        <v>300</v>
      </c>
      <c r="E486" s="71">
        <f>tkj!$J$57</f>
        <v>90</v>
      </c>
      <c r="F486" s="71">
        <f>tkj!$P$57</f>
        <v>79</v>
      </c>
      <c r="G486" s="71">
        <f>tkj!$V$57</f>
        <v>82</v>
      </c>
      <c r="H486" s="72"/>
      <c r="I486" s="72"/>
      <c r="J486" s="73"/>
      <c r="K486" s="73"/>
      <c r="L486" s="71">
        <f>tkj!$AL$57</f>
        <v>82</v>
      </c>
      <c r="M486" s="71">
        <f>tkj!$AR$57</f>
        <v>81</v>
      </c>
      <c r="N486" s="71">
        <f>tkj!$AX$57</f>
        <v>81</v>
      </c>
      <c r="O486" s="73"/>
      <c r="P486" s="74"/>
      <c r="Q486" s="74"/>
      <c r="R486" s="85">
        <f>tkj!$BT$57</f>
        <v>81</v>
      </c>
      <c r="S486" s="85">
        <f>tkj!$BX$57</f>
        <v>81</v>
      </c>
      <c r="T486" s="85">
        <f>tkj!$BY$57</f>
        <v>83</v>
      </c>
      <c r="U486" s="75">
        <f>tkj!$CC$57</f>
        <v>81</v>
      </c>
      <c r="V486" s="58"/>
      <c r="X486" s="278">
        <v>57</v>
      </c>
    </row>
    <row r="487" spans="1:24">
      <c r="A487" s="268">
        <v>53</v>
      </c>
      <c r="B487" s="271"/>
      <c r="C487" s="274"/>
      <c r="D487" s="76" t="s">
        <v>301</v>
      </c>
      <c r="E487" s="77">
        <f>tkj!$CD$57</f>
        <v>83</v>
      </c>
      <c r="F487" s="77">
        <f>tkj!$CE$57</f>
        <v>92</v>
      </c>
      <c r="G487" s="77">
        <f>tkj!$CF$57</f>
        <v>80</v>
      </c>
      <c r="H487" s="72"/>
      <c r="I487" s="72"/>
      <c r="J487" s="73"/>
      <c r="K487" s="73"/>
      <c r="L487" s="77">
        <f>tkj!$CG$57</f>
        <v>70</v>
      </c>
      <c r="M487" s="77">
        <f>tkj!$CH$57</f>
        <v>82</v>
      </c>
      <c r="N487" s="77">
        <f>tkj!$CI$57</f>
        <v>83</v>
      </c>
      <c r="O487" s="73"/>
      <c r="P487" s="74"/>
      <c r="Q487" s="74"/>
      <c r="R487" s="86">
        <f>tkj!$CL$57</f>
        <v>97</v>
      </c>
      <c r="S487" s="86">
        <f>tkj!$CK$57</f>
        <v>93</v>
      </c>
      <c r="T487" s="74"/>
      <c r="U487" s="86">
        <f>tkj!$CJ$57</f>
        <v>80</v>
      </c>
      <c r="V487" s="58"/>
      <c r="X487" s="278">
        <v>57</v>
      </c>
    </row>
    <row r="488" spans="1:24" ht="15" thickBot="1">
      <c r="A488" s="269">
        <v>53</v>
      </c>
      <c r="B488" s="272"/>
      <c r="C488" s="275"/>
      <c r="D488" s="78" t="s">
        <v>302</v>
      </c>
      <c r="E488" s="79">
        <f>(E485*4+E486*3+E487*3)/10</f>
        <v>87.1</v>
      </c>
      <c r="F488" s="79">
        <f t="shared" ref="F488:G488" si="103">(F485*4+F486*3+F487*3)/10</f>
        <v>87.14</v>
      </c>
      <c r="G488" s="79">
        <f t="shared" si="103"/>
        <v>82.44</v>
      </c>
      <c r="H488" s="79">
        <f>AVERAGE(H480:H483)</f>
        <v>83.25</v>
      </c>
      <c r="I488" s="79">
        <f>AVERAGE(I480:I483)</f>
        <v>79.5</v>
      </c>
      <c r="J488" s="79">
        <f>AVERAGE(J480:J481)</f>
        <v>85.5</v>
      </c>
      <c r="K488" s="79">
        <f>AVERAGE(K480:K483)</f>
        <v>78.5</v>
      </c>
      <c r="L488" s="79">
        <f>(L485*4+L486*3+L487*3)/10</f>
        <v>78.400000000000006</v>
      </c>
      <c r="M488" s="79">
        <f>(M485*4+M486*3+M487*3)/10</f>
        <v>78.66</v>
      </c>
      <c r="N488" s="79">
        <f>(N485*4+N486*3+N487*3)/10</f>
        <v>82.64</v>
      </c>
      <c r="O488" s="79">
        <f>AVERAGE(O480:O481)</f>
        <v>90</v>
      </c>
      <c r="P488" s="79">
        <f>AVERAGE(P480:P481)</f>
        <v>84</v>
      </c>
      <c r="Q488" s="79">
        <f>AVERAGE(Q480:Q481)</f>
        <v>84.5</v>
      </c>
      <c r="R488" s="79">
        <f>(R485*4+R486*3+R487*3)/10</f>
        <v>85.62222222222222</v>
      </c>
      <c r="S488" s="79">
        <f>(S485*4+S486*3+S487*3)/10</f>
        <v>86.866666666666674</v>
      </c>
      <c r="T488" s="79">
        <f>T486</f>
        <v>83</v>
      </c>
      <c r="U488" s="79">
        <f t="shared" ref="U488" si="104">(U485*4+U486*3+U487*3)/10</f>
        <v>80.433333333333323</v>
      </c>
      <c r="V488" s="80">
        <f>AVERAGE(E488:U488)</f>
        <v>83.385424836601331</v>
      </c>
      <c r="X488" s="278">
        <v>57</v>
      </c>
    </row>
    <row r="489" spans="1:24" ht="15.6" thickTop="1" thickBot="1">
      <c r="A489" s="268">
        <v>54</v>
      </c>
      <c r="B489" s="270" t="s">
        <v>365</v>
      </c>
      <c r="C489" s="273" t="s">
        <v>160</v>
      </c>
      <c r="D489" s="52" t="s">
        <v>294</v>
      </c>
      <c r="E489" s="53">
        <f>tkj!$E$58</f>
        <v>94</v>
      </c>
      <c r="F489" s="53">
        <f>tkj!$K$58</f>
        <v>77</v>
      </c>
      <c r="G489" s="53">
        <f>tkj!$Q$58</f>
        <v>79</v>
      </c>
      <c r="H489" s="53">
        <f>tkj!$W$58</f>
        <v>82</v>
      </c>
      <c r="I489" s="53">
        <f>tkj!$AA$58</f>
        <v>89</v>
      </c>
      <c r="J489" s="53">
        <f>tkj!$AE$58</f>
        <v>82</v>
      </c>
      <c r="K489" s="54">
        <f>tkj!$AG$58</f>
        <v>77</v>
      </c>
      <c r="L489" s="55"/>
      <c r="M489" s="53">
        <f>tkj!$AM$58</f>
        <v>72</v>
      </c>
      <c r="N489" s="53">
        <f>tkj!$AS$58</f>
        <v>86</v>
      </c>
      <c r="O489" s="53">
        <f>tkj!$AY$58</f>
        <v>72</v>
      </c>
      <c r="P489" s="54">
        <f>tkj!$BA$58</f>
        <v>86</v>
      </c>
      <c r="Q489" s="54">
        <f>tkj!$BC$58</f>
        <v>87</v>
      </c>
      <c r="R489" s="55"/>
      <c r="S489" s="55"/>
      <c r="T489" s="55"/>
      <c r="U489" s="55"/>
      <c r="V489" s="56"/>
      <c r="X489" s="278">
        <v>58</v>
      </c>
    </row>
    <row r="490" spans="1:24" ht="15" thickBot="1">
      <c r="A490" s="268">
        <v>54</v>
      </c>
      <c r="B490" s="271"/>
      <c r="C490" s="274"/>
      <c r="D490" s="52" t="s">
        <v>295</v>
      </c>
      <c r="E490" s="53">
        <f>tkj!$F$58</f>
        <v>84</v>
      </c>
      <c r="F490" s="53">
        <f>tkj!$L$58</f>
        <v>86</v>
      </c>
      <c r="G490" s="53">
        <f>tkj!$R$58</f>
        <v>86</v>
      </c>
      <c r="H490" s="53">
        <f>tkj!$X$58</f>
        <v>85</v>
      </c>
      <c r="I490" s="53">
        <f>tkj!$AB$58</f>
        <v>86</v>
      </c>
      <c r="J490" s="53">
        <f>tkj!$AF$58</f>
        <v>81</v>
      </c>
      <c r="K490" s="54">
        <f>tkj!$AH$58</f>
        <v>84</v>
      </c>
      <c r="L490" s="55"/>
      <c r="M490" s="53">
        <f>tkj!$AN$58</f>
        <v>73</v>
      </c>
      <c r="N490" s="53">
        <f>tkj!$AT$58</f>
        <v>80</v>
      </c>
      <c r="O490" s="53">
        <f>tkj!$AZ$58</f>
        <v>97</v>
      </c>
      <c r="P490" s="54">
        <f>tkj!$BB$58</f>
        <v>86</v>
      </c>
      <c r="Q490" s="54">
        <f>tkj!$BD$58</f>
        <v>83</v>
      </c>
      <c r="R490" s="55"/>
      <c r="S490" s="55"/>
      <c r="T490" s="55"/>
      <c r="U490" s="55"/>
      <c r="V490" s="58"/>
      <c r="X490" s="278">
        <v>58</v>
      </c>
    </row>
    <row r="491" spans="1:24" ht="15" thickBot="1">
      <c r="A491" s="268">
        <v>54</v>
      </c>
      <c r="B491" s="271"/>
      <c r="C491" s="274"/>
      <c r="D491" s="52" t="s">
        <v>296</v>
      </c>
      <c r="E491" s="53">
        <f>tkj!$G$58</f>
        <v>88</v>
      </c>
      <c r="F491" s="53">
        <f>tkj!$M$58</f>
        <v>95</v>
      </c>
      <c r="G491" s="53">
        <f>tkj!$S$58</f>
        <v>95</v>
      </c>
      <c r="H491" s="53">
        <f>tkj!$Y$58</f>
        <v>80</v>
      </c>
      <c r="I491" s="53">
        <f>tkj!$AC$58</f>
        <v>72</v>
      </c>
      <c r="J491" s="59"/>
      <c r="K491" s="54">
        <f>tkj!$AI$58</f>
        <v>82</v>
      </c>
      <c r="L491" s="55"/>
      <c r="M491" s="53">
        <f>tkj!$AO$58</f>
        <v>84</v>
      </c>
      <c r="N491" s="53">
        <f>tkj!$AU$58</f>
        <v>88</v>
      </c>
      <c r="O491" s="59"/>
      <c r="P491" s="55"/>
      <c r="Q491" s="55"/>
      <c r="R491" s="54">
        <f>tkj!$BQ$58</f>
        <v>83.666666666666671</v>
      </c>
      <c r="S491" s="54">
        <f>tkj!$BU$58</f>
        <v>86</v>
      </c>
      <c r="T491" s="55"/>
      <c r="U491" s="54">
        <f>tkj!$BZ$58</f>
        <v>86</v>
      </c>
      <c r="V491" s="58"/>
      <c r="X491" s="278">
        <v>58</v>
      </c>
    </row>
    <row r="492" spans="1:24" ht="15" thickBot="1">
      <c r="A492" s="268">
        <v>54</v>
      </c>
      <c r="B492" s="271"/>
      <c r="C492" s="274"/>
      <c r="D492" s="62" t="s">
        <v>297</v>
      </c>
      <c r="E492" s="53">
        <f>tkj!$H$58</f>
        <v>84</v>
      </c>
      <c r="F492" s="53">
        <f>tkj!$N$58</f>
        <v>95</v>
      </c>
      <c r="G492" s="53">
        <f>tkj!$T$58</f>
        <v>86</v>
      </c>
      <c r="H492" s="53">
        <f>tkj!$Z$58</f>
        <v>84</v>
      </c>
      <c r="I492" s="53">
        <f>tkj!$AD$58</f>
        <v>79</v>
      </c>
      <c r="J492" s="59"/>
      <c r="K492" s="54">
        <f>tkj!$AJ$58</f>
        <v>84</v>
      </c>
      <c r="L492" s="55"/>
      <c r="M492" s="53">
        <f>tkj!$AP$58</f>
        <v>85</v>
      </c>
      <c r="N492" s="53">
        <f>tkj!$AV$58</f>
        <v>85</v>
      </c>
      <c r="O492" s="59"/>
      <c r="P492" s="55"/>
      <c r="Q492" s="55"/>
      <c r="R492" s="54">
        <f>tkj!$BR$58</f>
        <v>84.333333333333329</v>
      </c>
      <c r="S492" s="54">
        <f>tkj!$BV$58</f>
        <v>86</v>
      </c>
      <c r="T492" s="63"/>
      <c r="U492" s="54">
        <f>tkj!$CA$58</f>
        <v>86</v>
      </c>
      <c r="V492" s="58"/>
      <c r="X492" s="278">
        <v>58</v>
      </c>
    </row>
    <row r="493" spans="1:24">
      <c r="A493" s="268">
        <v>54</v>
      </c>
      <c r="B493" s="271"/>
      <c r="C493" s="274"/>
      <c r="D493" s="62" t="s">
        <v>298</v>
      </c>
      <c r="E493" s="53">
        <f>tkj!$I$58</f>
        <v>88</v>
      </c>
      <c r="F493" s="53">
        <f>tkj!$O$58</f>
        <v>95</v>
      </c>
      <c r="G493" s="53">
        <f>tkj!$U$58</f>
        <v>82</v>
      </c>
      <c r="H493" s="65"/>
      <c r="I493" s="65"/>
      <c r="J493" s="59"/>
      <c r="K493" s="59"/>
      <c r="L493" s="53">
        <f>tkj!$AK$58</f>
        <v>88</v>
      </c>
      <c r="M493" s="53">
        <f>tkj!$AQ$58</f>
        <v>86</v>
      </c>
      <c r="N493" s="53">
        <f>tkj!$AW$58</f>
        <v>88</v>
      </c>
      <c r="O493" s="59"/>
      <c r="P493" s="55"/>
      <c r="Q493" s="55"/>
      <c r="R493" s="54">
        <f>tkj!$BS$58</f>
        <v>84</v>
      </c>
      <c r="S493" s="54">
        <f>tkj!$BW$58</f>
        <v>90</v>
      </c>
      <c r="T493" s="54"/>
      <c r="U493" s="54">
        <f>tkj!$CB$58</f>
        <v>80</v>
      </c>
      <c r="V493" s="58"/>
      <c r="X493" s="278">
        <v>58</v>
      </c>
    </row>
    <row r="494" spans="1:24">
      <c r="A494" s="268">
        <v>54</v>
      </c>
      <c r="B494" s="271"/>
      <c r="C494" s="274"/>
      <c r="D494" s="66" t="s">
        <v>299</v>
      </c>
      <c r="E494" s="67">
        <f>AVERAGE(E489:E493)</f>
        <v>87.6</v>
      </c>
      <c r="F494" s="67">
        <f>AVERAGE(F489:F493)</f>
        <v>89.6</v>
      </c>
      <c r="G494" s="67">
        <f>AVERAGE(G489:G493)</f>
        <v>85.6</v>
      </c>
      <c r="H494" s="68"/>
      <c r="I494" s="68"/>
      <c r="J494" s="69"/>
      <c r="K494" s="69"/>
      <c r="L494" s="67">
        <f>AVERAGE(L489:L493)</f>
        <v>88</v>
      </c>
      <c r="M494" s="67">
        <f>AVERAGE(M489:M493)</f>
        <v>80</v>
      </c>
      <c r="N494" s="67">
        <f>AVERAGE(N489:N493)</f>
        <v>85.4</v>
      </c>
      <c r="O494" s="69"/>
      <c r="P494" s="63"/>
      <c r="Q494" s="63"/>
      <c r="R494" s="84">
        <f>AVERAGE(R491:R493)</f>
        <v>84</v>
      </c>
      <c r="S494" s="84">
        <f>AVERAGE(S491:S493)</f>
        <v>87.333333333333329</v>
      </c>
      <c r="T494" s="63"/>
      <c r="U494" s="84">
        <f>AVERAGE(U489:U493)</f>
        <v>84</v>
      </c>
      <c r="V494" s="58"/>
      <c r="X494" s="278">
        <v>58</v>
      </c>
    </row>
    <row r="495" spans="1:24">
      <c r="A495" s="268">
        <v>54</v>
      </c>
      <c r="B495" s="271"/>
      <c r="C495" s="274"/>
      <c r="D495" s="70" t="s">
        <v>300</v>
      </c>
      <c r="E495" s="71">
        <f>tkj!$J$58</f>
        <v>83</v>
      </c>
      <c r="F495" s="71">
        <f>tkj!$P$58</f>
        <v>84</v>
      </c>
      <c r="G495" s="71">
        <f>tkj!$V$58</f>
        <v>84</v>
      </c>
      <c r="H495" s="72"/>
      <c r="I495" s="72"/>
      <c r="J495" s="73"/>
      <c r="K495" s="73"/>
      <c r="L495" s="71">
        <f>tkj!$AL$58</f>
        <v>84</v>
      </c>
      <c r="M495" s="71">
        <f>tkj!$AR$58</f>
        <v>82</v>
      </c>
      <c r="N495" s="71">
        <f>tkj!$AX$58</f>
        <v>82</v>
      </c>
      <c r="O495" s="73"/>
      <c r="P495" s="74"/>
      <c r="Q495" s="74"/>
      <c r="R495" s="85">
        <f>tkj!$BT$58</f>
        <v>78</v>
      </c>
      <c r="S495" s="85">
        <f>tkj!$BX$58</f>
        <v>78</v>
      </c>
      <c r="T495" s="85">
        <f>tkj!$BY$58</f>
        <v>82</v>
      </c>
      <c r="U495" s="75">
        <f>tkj!$CC$58</f>
        <v>82</v>
      </c>
      <c r="V495" s="58"/>
      <c r="X495" s="278">
        <v>58</v>
      </c>
    </row>
    <row r="496" spans="1:24">
      <c r="A496" s="268">
        <v>54</v>
      </c>
      <c r="B496" s="271"/>
      <c r="C496" s="274"/>
      <c r="D496" s="76" t="s">
        <v>301</v>
      </c>
      <c r="E496" s="77">
        <f>tkj!$CD$58</f>
        <v>92</v>
      </c>
      <c r="F496" s="77">
        <f>tkj!$CE$58</f>
        <v>88</v>
      </c>
      <c r="G496" s="77">
        <f>tkj!$CF$58</f>
        <v>88</v>
      </c>
      <c r="H496" s="72"/>
      <c r="I496" s="72"/>
      <c r="J496" s="73"/>
      <c r="K496" s="73"/>
      <c r="L496" s="77">
        <f>tkj!$CG$58</f>
        <v>86</v>
      </c>
      <c r="M496" s="77">
        <f>tkj!$CH$58</f>
        <v>85</v>
      </c>
      <c r="N496" s="77">
        <f>tkj!$CI$58</f>
        <v>85</v>
      </c>
      <c r="O496" s="73"/>
      <c r="P496" s="74"/>
      <c r="Q496" s="74"/>
      <c r="R496" s="86">
        <f>tkj!$CL$58</f>
        <v>92</v>
      </c>
      <c r="S496" s="86">
        <f>tkj!$CK$58</f>
        <v>95</v>
      </c>
      <c r="T496" s="74"/>
      <c r="U496" s="86">
        <f>tkj!$CJ$58</f>
        <v>80</v>
      </c>
      <c r="V496" s="58"/>
      <c r="X496" s="278">
        <v>58</v>
      </c>
    </row>
    <row r="497" spans="1:24" ht="15" thickBot="1">
      <c r="A497" s="269">
        <v>54</v>
      </c>
      <c r="B497" s="272"/>
      <c r="C497" s="275"/>
      <c r="D497" s="78" t="s">
        <v>302</v>
      </c>
      <c r="E497" s="79">
        <f>(E494*4+E495*3+E496*3)/10</f>
        <v>87.539999999999992</v>
      </c>
      <c r="F497" s="79">
        <f t="shared" ref="F497:G497" si="105">(F494*4+F495*3+F496*3)/10</f>
        <v>87.44</v>
      </c>
      <c r="G497" s="79">
        <f t="shared" si="105"/>
        <v>85.84</v>
      </c>
      <c r="H497" s="79">
        <f>AVERAGE(H489:H492)</f>
        <v>82.75</v>
      </c>
      <c r="I497" s="79">
        <f>AVERAGE(I489:I492)</f>
        <v>81.5</v>
      </c>
      <c r="J497" s="79">
        <f>AVERAGE(J489:J490)</f>
        <v>81.5</v>
      </c>
      <c r="K497" s="79">
        <f>AVERAGE(K489:K492)</f>
        <v>81.75</v>
      </c>
      <c r="L497" s="79">
        <f>(L494*4+L495*3+L496*3)/10</f>
        <v>86.2</v>
      </c>
      <c r="M497" s="79">
        <f>(M494*4+M495*3+M496*3)/10</f>
        <v>82.1</v>
      </c>
      <c r="N497" s="79">
        <f>(N494*4+N495*3+N496*3)/10</f>
        <v>84.26</v>
      </c>
      <c r="O497" s="79">
        <f>AVERAGE(O489:O490)</f>
        <v>84.5</v>
      </c>
      <c r="P497" s="79">
        <f>AVERAGE(P489:P490)</f>
        <v>86</v>
      </c>
      <c r="Q497" s="79">
        <f>AVERAGE(Q489:Q490)</f>
        <v>85</v>
      </c>
      <c r="R497" s="79">
        <f>(R494*4+R495*3+R496*3)/10</f>
        <v>84.6</v>
      </c>
      <c r="S497" s="79">
        <f>(S494*4+S495*3+S496*3)/10</f>
        <v>86.833333333333329</v>
      </c>
      <c r="T497" s="79">
        <f>T495</f>
        <v>82</v>
      </c>
      <c r="U497" s="79">
        <f t="shared" ref="U497" si="106">(U494*4+U495*3+U496*3)/10</f>
        <v>82.2</v>
      </c>
      <c r="V497" s="80">
        <f>AVERAGE(E497:U497)</f>
        <v>84.236078431372547</v>
      </c>
      <c r="X497" s="278">
        <v>58</v>
      </c>
    </row>
    <row r="498" spans="1:24" ht="15.6" thickTop="1" thickBot="1">
      <c r="A498" s="268">
        <v>55</v>
      </c>
      <c r="B498" s="270" t="s">
        <v>366</v>
      </c>
      <c r="C498" s="273" t="s">
        <v>162</v>
      </c>
      <c r="D498" s="52" t="s">
        <v>294</v>
      </c>
      <c r="E498" s="53">
        <f>tkj!$E$59</f>
        <v>81</v>
      </c>
      <c r="F498" s="53">
        <f>tkj!$K$59</f>
        <v>80</v>
      </c>
      <c r="G498" s="53">
        <f>tkj!$Q$59</f>
        <v>80</v>
      </c>
      <c r="H498" s="53">
        <f>tkj!$W$59</f>
        <v>83</v>
      </c>
      <c r="I498" s="53">
        <f>tkj!$AA$59</f>
        <v>74</v>
      </c>
      <c r="J498" s="53">
        <f>tkj!$AE$59</f>
        <v>82</v>
      </c>
      <c r="K498" s="54">
        <f>tkj!$AG$59</f>
        <v>84</v>
      </c>
      <c r="L498" s="55"/>
      <c r="M498" s="53">
        <f>tkj!$AM$59</f>
        <v>70</v>
      </c>
      <c r="N498" s="53">
        <f>tkj!$AS$59</f>
        <v>82</v>
      </c>
      <c r="O498" s="53">
        <f>tkj!$AY$59</f>
        <v>76</v>
      </c>
      <c r="P498" s="54">
        <f>tkj!$BA$59</f>
        <v>72</v>
      </c>
      <c r="Q498" s="54">
        <f>tkj!$BC$59</f>
        <v>83</v>
      </c>
      <c r="R498" s="55"/>
      <c r="S498" s="55"/>
      <c r="T498" s="55"/>
      <c r="U498" s="55"/>
      <c r="V498" s="56"/>
      <c r="X498" s="278">
        <v>59</v>
      </c>
    </row>
    <row r="499" spans="1:24" ht="15" thickBot="1">
      <c r="A499" s="268">
        <v>55</v>
      </c>
      <c r="B499" s="271"/>
      <c r="C499" s="274"/>
      <c r="D499" s="52" t="s">
        <v>295</v>
      </c>
      <c r="E499" s="53">
        <f>tkj!$F$59</f>
        <v>93</v>
      </c>
      <c r="F499" s="53">
        <f>tkj!$L$59</f>
        <v>86</v>
      </c>
      <c r="G499" s="53">
        <f>tkj!$R$59</f>
        <v>78</v>
      </c>
      <c r="H499" s="53">
        <f>tkj!$X$59</f>
        <v>84</v>
      </c>
      <c r="I499" s="53">
        <f>tkj!$AB$59</f>
        <v>82</v>
      </c>
      <c r="J499" s="53">
        <f>tkj!$AF$59</f>
        <v>83</v>
      </c>
      <c r="K499" s="54">
        <f>tkj!$AH$59</f>
        <v>78</v>
      </c>
      <c r="L499" s="55"/>
      <c r="M499" s="53">
        <f>tkj!$AN$59</f>
        <v>71</v>
      </c>
      <c r="N499" s="53">
        <f>tkj!$AT$59</f>
        <v>78</v>
      </c>
      <c r="O499" s="53">
        <f>tkj!$AZ$59</f>
        <v>87</v>
      </c>
      <c r="P499" s="54">
        <f>tkj!$BB$59</f>
        <v>88</v>
      </c>
      <c r="Q499" s="54">
        <f>tkj!$BD$59</f>
        <v>80</v>
      </c>
      <c r="R499" s="55"/>
      <c r="S499" s="55"/>
      <c r="T499" s="55"/>
      <c r="U499" s="55"/>
      <c r="V499" s="58"/>
      <c r="X499" s="278">
        <v>59</v>
      </c>
    </row>
    <row r="500" spans="1:24" ht="15" thickBot="1">
      <c r="A500" s="268">
        <v>55</v>
      </c>
      <c r="B500" s="271"/>
      <c r="C500" s="274"/>
      <c r="D500" s="52" t="s">
        <v>296</v>
      </c>
      <c r="E500" s="53">
        <f>tkj!$G$59</f>
        <v>87</v>
      </c>
      <c r="F500" s="53">
        <f>tkj!$M$59</f>
        <v>95</v>
      </c>
      <c r="G500" s="53">
        <f>tkj!$S$59</f>
        <v>85</v>
      </c>
      <c r="H500" s="53">
        <f>tkj!$Y$59</f>
        <v>80</v>
      </c>
      <c r="I500" s="53">
        <f>tkj!$AC$59</f>
        <v>79</v>
      </c>
      <c r="J500" s="59"/>
      <c r="K500" s="54">
        <f>tkj!$AI$59</f>
        <v>74</v>
      </c>
      <c r="L500" s="55"/>
      <c r="M500" s="53">
        <f>tkj!$AO$59</f>
        <v>73</v>
      </c>
      <c r="N500" s="53">
        <f>tkj!$AU$59</f>
        <v>83</v>
      </c>
      <c r="O500" s="59"/>
      <c r="P500" s="55"/>
      <c r="Q500" s="55"/>
      <c r="R500" s="54">
        <f>tkj!$BQ$59</f>
        <v>80.333333333333329</v>
      </c>
      <c r="S500" s="54">
        <f>tkj!$BU$59</f>
        <v>85</v>
      </c>
      <c r="T500" s="55"/>
      <c r="U500" s="54">
        <f>tkj!$BZ$59</f>
        <v>74</v>
      </c>
      <c r="V500" s="58"/>
      <c r="X500" s="278">
        <v>59</v>
      </c>
    </row>
    <row r="501" spans="1:24" ht="15" thickBot="1">
      <c r="A501" s="268">
        <v>55</v>
      </c>
      <c r="B501" s="271"/>
      <c r="C501" s="274"/>
      <c r="D501" s="62" t="s">
        <v>297</v>
      </c>
      <c r="E501" s="53">
        <f>tkj!$H$59</f>
        <v>82</v>
      </c>
      <c r="F501" s="53">
        <f>tkj!$N$59</f>
        <v>90</v>
      </c>
      <c r="G501" s="53">
        <f>tkj!$T$59</f>
        <v>89</v>
      </c>
      <c r="H501" s="53">
        <f>tkj!$Z$59</f>
        <v>84</v>
      </c>
      <c r="I501" s="53">
        <f>tkj!$AD$59</f>
        <v>80</v>
      </c>
      <c r="J501" s="59"/>
      <c r="K501" s="54">
        <f>tkj!$AJ$59</f>
        <v>83</v>
      </c>
      <c r="L501" s="55"/>
      <c r="M501" s="53">
        <f>tkj!$AP$59</f>
        <v>74</v>
      </c>
      <c r="N501" s="53">
        <f>tkj!$AV$59</f>
        <v>83</v>
      </c>
      <c r="O501" s="59"/>
      <c r="P501" s="55"/>
      <c r="Q501" s="55"/>
      <c r="R501" s="54">
        <f>tkj!$BR$59</f>
        <v>81</v>
      </c>
      <c r="S501" s="54">
        <f>tkj!$BV$59</f>
        <v>85</v>
      </c>
      <c r="T501" s="63"/>
      <c r="U501" s="54">
        <f>tkj!$CA$59</f>
        <v>84</v>
      </c>
      <c r="V501" s="58"/>
      <c r="X501" s="278">
        <v>59</v>
      </c>
    </row>
    <row r="502" spans="1:24">
      <c r="A502" s="268">
        <v>55</v>
      </c>
      <c r="B502" s="271"/>
      <c r="C502" s="274"/>
      <c r="D502" s="62" t="s">
        <v>298</v>
      </c>
      <c r="E502" s="53">
        <f>tkj!$I$59</f>
        <v>88</v>
      </c>
      <c r="F502" s="53">
        <f>tkj!$O$59</f>
        <v>91</v>
      </c>
      <c r="G502" s="53">
        <f>tkj!$U$59</f>
        <v>80</v>
      </c>
      <c r="H502" s="65"/>
      <c r="I502" s="65"/>
      <c r="J502" s="59"/>
      <c r="K502" s="59"/>
      <c r="L502" s="53">
        <f>tkj!$AK$59</f>
        <v>80</v>
      </c>
      <c r="M502" s="53">
        <f>tkj!$AQ$59</f>
        <v>80</v>
      </c>
      <c r="N502" s="53">
        <f>tkj!$AW$59</f>
        <v>83</v>
      </c>
      <c r="O502" s="59"/>
      <c r="P502" s="55"/>
      <c r="Q502" s="55"/>
      <c r="R502" s="54">
        <f>tkj!$BS$59</f>
        <v>84.666666666666671</v>
      </c>
      <c r="S502" s="54">
        <f>tkj!$BW$59</f>
        <v>89</v>
      </c>
      <c r="T502" s="54"/>
      <c r="U502" s="54">
        <f>tkj!$CB$59</f>
        <v>80</v>
      </c>
      <c r="V502" s="58"/>
      <c r="X502" s="278">
        <v>59</v>
      </c>
    </row>
    <row r="503" spans="1:24">
      <c r="A503" s="268">
        <v>55</v>
      </c>
      <c r="B503" s="271"/>
      <c r="C503" s="274"/>
      <c r="D503" s="66" t="s">
        <v>299</v>
      </c>
      <c r="E503" s="67">
        <f>AVERAGE(E498:E502)</f>
        <v>86.2</v>
      </c>
      <c r="F503" s="67">
        <f>AVERAGE(F498:F502)</f>
        <v>88.4</v>
      </c>
      <c r="G503" s="67">
        <f>AVERAGE(G498:G502)</f>
        <v>82.4</v>
      </c>
      <c r="H503" s="68"/>
      <c r="I503" s="68"/>
      <c r="J503" s="69"/>
      <c r="K503" s="69"/>
      <c r="L503" s="67">
        <f>AVERAGE(L498:L502)</f>
        <v>80</v>
      </c>
      <c r="M503" s="67">
        <f>AVERAGE(M498:M502)</f>
        <v>73.599999999999994</v>
      </c>
      <c r="N503" s="67">
        <f>AVERAGE(N498:N502)</f>
        <v>81.8</v>
      </c>
      <c r="O503" s="69"/>
      <c r="P503" s="63"/>
      <c r="Q503" s="63"/>
      <c r="R503" s="84">
        <f>AVERAGE(R500:R502)</f>
        <v>82</v>
      </c>
      <c r="S503" s="84">
        <f>AVERAGE(S500:S502)</f>
        <v>86.333333333333329</v>
      </c>
      <c r="T503" s="63"/>
      <c r="U503" s="84">
        <f>AVERAGE(U498:U502)</f>
        <v>79.333333333333329</v>
      </c>
      <c r="V503" s="58"/>
      <c r="X503" s="278">
        <v>59</v>
      </c>
    </row>
    <row r="504" spans="1:24">
      <c r="A504" s="268">
        <v>55</v>
      </c>
      <c r="B504" s="271"/>
      <c r="C504" s="274"/>
      <c r="D504" s="70" t="s">
        <v>300</v>
      </c>
      <c r="E504" s="71">
        <f>tkj!$J$59</f>
        <v>79</v>
      </c>
      <c r="F504" s="71">
        <f>tkj!$P$59</f>
        <v>81</v>
      </c>
      <c r="G504" s="71">
        <f>tkj!$V$59</f>
        <v>80</v>
      </c>
      <c r="H504" s="72"/>
      <c r="I504" s="72"/>
      <c r="J504" s="73"/>
      <c r="K504" s="73"/>
      <c r="L504" s="71">
        <f>tkj!$AL$59</f>
        <v>80</v>
      </c>
      <c r="M504" s="71">
        <f>tkj!$AR$59</f>
        <v>80</v>
      </c>
      <c r="N504" s="71">
        <f>tkj!$AX$59</f>
        <v>80</v>
      </c>
      <c r="O504" s="73"/>
      <c r="P504" s="74"/>
      <c r="Q504" s="74"/>
      <c r="R504" s="85">
        <f>tkj!$BT$59</f>
        <v>84</v>
      </c>
      <c r="S504" s="85">
        <f>tkj!$BX$59</f>
        <v>84</v>
      </c>
      <c r="T504" s="85">
        <f>tkj!$BY$59</f>
        <v>81</v>
      </c>
      <c r="U504" s="75">
        <f>tkj!$CC$59</f>
        <v>80</v>
      </c>
      <c r="V504" s="58"/>
      <c r="X504" s="278">
        <v>59</v>
      </c>
    </row>
    <row r="505" spans="1:24">
      <c r="A505" s="268">
        <v>55</v>
      </c>
      <c r="B505" s="271"/>
      <c r="C505" s="274"/>
      <c r="D505" s="76" t="s">
        <v>301</v>
      </c>
      <c r="E505" s="77">
        <f>tkj!$CD$59</f>
        <v>81</v>
      </c>
      <c r="F505" s="77">
        <f>tkj!$CE$59</f>
        <v>88</v>
      </c>
      <c r="G505" s="77">
        <f>tkj!$CF$59</f>
        <v>80</v>
      </c>
      <c r="H505" s="72"/>
      <c r="I505" s="72"/>
      <c r="J505" s="73"/>
      <c r="K505" s="73"/>
      <c r="L505" s="77">
        <f>tkj!$CG$59</f>
        <v>85</v>
      </c>
      <c r="M505" s="77">
        <f>tkj!$CH$59</f>
        <v>79</v>
      </c>
      <c r="N505" s="77">
        <f>tkj!$CI$59</f>
        <v>83</v>
      </c>
      <c r="O505" s="73"/>
      <c r="P505" s="74"/>
      <c r="Q505" s="74"/>
      <c r="R505" s="86">
        <f>tkj!$CL$59</f>
        <v>77</v>
      </c>
      <c r="S505" s="86">
        <f>tkj!$CK$59</f>
        <v>93</v>
      </c>
      <c r="T505" s="74"/>
      <c r="U505" s="86">
        <f>tkj!$CJ$59</f>
        <v>80</v>
      </c>
      <c r="V505" s="58"/>
      <c r="X505" s="278">
        <v>59</v>
      </c>
    </row>
    <row r="506" spans="1:24" ht="15" thickBot="1">
      <c r="A506" s="269">
        <v>55</v>
      </c>
      <c r="B506" s="272"/>
      <c r="C506" s="275"/>
      <c r="D506" s="78" t="s">
        <v>302</v>
      </c>
      <c r="E506" s="79">
        <f>(E503*4+E504*3+E505*3)/10</f>
        <v>82.47999999999999</v>
      </c>
      <c r="F506" s="79">
        <f t="shared" ref="F506:G506" si="107">(F503*4+F504*3+F505*3)/10</f>
        <v>86.06</v>
      </c>
      <c r="G506" s="79">
        <f t="shared" si="107"/>
        <v>80.960000000000008</v>
      </c>
      <c r="H506" s="79">
        <f>AVERAGE(H498:H501)</f>
        <v>82.75</v>
      </c>
      <c r="I506" s="79">
        <f>AVERAGE(I498:I501)</f>
        <v>78.75</v>
      </c>
      <c r="J506" s="79">
        <f>AVERAGE(J498:J499)</f>
        <v>82.5</v>
      </c>
      <c r="K506" s="79">
        <f>AVERAGE(K498:K501)</f>
        <v>79.75</v>
      </c>
      <c r="L506" s="79">
        <f>(L503*4+L504*3+L505*3)/10</f>
        <v>81.5</v>
      </c>
      <c r="M506" s="79">
        <f>(M503*4+M504*3+M505*3)/10</f>
        <v>77.14</v>
      </c>
      <c r="N506" s="79">
        <f>(N503*4+N504*3+N505*3)/10</f>
        <v>81.62</v>
      </c>
      <c r="O506" s="79">
        <f>AVERAGE(O498:O499)</f>
        <v>81.5</v>
      </c>
      <c r="P506" s="79">
        <f>AVERAGE(P498:P499)</f>
        <v>80</v>
      </c>
      <c r="Q506" s="79">
        <f>AVERAGE(Q498:Q499)</f>
        <v>81.5</v>
      </c>
      <c r="R506" s="79">
        <f>(R503*4+R504*3+R505*3)/10</f>
        <v>81.099999999999994</v>
      </c>
      <c r="S506" s="79">
        <f>(S503*4+S504*3+S505*3)/10</f>
        <v>87.633333333333326</v>
      </c>
      <c r="T506" s="79">
        <f>T504</f>
        <v>81</v>
      </c>
      <c r="U506" s="79">
        <f t="shared" ref="U506" si="108">(U503*4+U504*3+U505*3)/10</f>
        <v>79.73333333333332</v>
      </c>
      <c r="V506" s="80">
        <f>AVERAGE(E506:U506)</f>
        <v>81.528039215686277</v>
      </c>
      <c r="X506" s="278">
        <v>59</v>
      </c>
    </row>
    <row r="507" spans="1:24" ht="18" customHeight="1" thickTop="1" thickBot="1">
      <c r="A507" s="268">
        <v>56</v>
      </c>
      <c r="B507" s="270" t="s">
        <v>367</v>
      </c>
      <c r="C507" s="273" t="s">
        <v>164</v>
      </c>
      <c r="D507" s="52" t="s">
        <v>294</v>
      </c>
      <c r="E507" s="53">
        <f>tkj!$E$60</f>
        <v>90</v>
      </c>
      <c r="F507" s="53">
        <f>tkj!$K$60</f>
        <v>80</v>
      </c>
      <c r="G507" s="53">
        <f>tkj!$Q$60</f>
        <v>96</v>
      </c>
      <c r="H507" s="53">
        <f>tkj!$W$60</f>
        <v>83</v>
      </c>
      <c r="I507" s="53">
        <f>tkj!$AA$60</f>
        <v>79</v>
      </c>
      <c r="J507" s="53">
        <f>tkj!$AE$60</f>
        <v>84</v>
      </c>
      <c r="K507" s="54">
        <f>tkj!$AG$60</f>
        <v>78</v>
      </c>
      <c r="L507" s="55"/>
      <c r="M507" s="53">
        <f>tkj!$AM$60</f>
        <v>74</v>
      </c>
      <c r="N507" s="53">
        <f>tkj!$AS$60</f>
        <v>78</v>
      </c>
      <c r="O507" s="53">
        <f>tkj!$AY$60</f>
        <v>89</v>
      </c>
      <c r="P507" s="54">
        <f>tkj!$BA$60</f>
        <v>84</v>
      </c>
      <c r="Q507" s="54">
        <f>tkj!$BC$60</f>
        <v>85</v>
      </c>
      <c r="R507" s="55"/>
      <c r="S507" s="55"/>
      <c r="T507" s="55"/>
      <c r="U507" s="55"/>
      <c r="V507" s="56"/>
      <c r="X507" s="278">
        <v>60</v>
      </c>
    </row>
    <row r="508" spans="1:24" ht="15" thickBot="1">
      <c r="A508" s="268">
        <v>56</v>
      </c>
      <c r="B508" s="271"/>
      <c r="C508" s="274"/>
      <c r="D508" s="52" t="s">
        <v>295</v>
      </c>
      <c r="E508" s="53">
        <f>tkj!$F$60</f>
        <v>91</v>
      </c>
      <c r="F508" s="53">
        <f>tkj!$L$60</f>
        <v>87</v>
      </c>
      <c r="G508" s="53">
        <f>tkj!$R$60</f>
        <v>83</v>
      </c>
      <c r="H508" s="53">
        <f>tkj!$X$60</f>
        <v>84</v>
      </c>
      <c r="I508" s="53">
        <f>tkj!$AB$60</f>
        <v>83</v>
      </c>
      <c r="J508" s="53">
        <f>tkj!$AF$60</f>
        <v>85</v>
      </c>
      <c r="K508" s="54">
        <f>tkj!$AH$60</f>
        <v>80</v>
      </c>
      <c r="L508" s="55"/>
      <c r="M508" s="53">
        <f>tkj!$AN$60</f>
        <v>79</v>
      </c>
      <c r="N508" s="53">
        <f>tkj!$AT$60</f>
        <v>78</v>
      </c>
      <c r="O508" s="53">
        <f>tkj!$AZ$60</f>
        <v>91</v>
      </c>
      <c r="P508" s="54">
        <f>tkj!$BB$60</f>
        <v>86</v>
      </c>
      <c r="Q508" s="54">
        <f>tkj!$BD$60</f>
        <v>83</v>
      </c>
      <c r="R508" s="55"/>
      <c r="S508" s="55"/>
      <c r="T508" s="55"/>
      <c r="U508" s="55"/>
      <c r="V508" s="58"/>
      <c r="X508" s="278">
        <v>60</v>
      </c>
    </row>
    <row r="509" spans="1:24" ht="15" thickBot="1">
      <c r="A509" s="268">
        <v>56</v>
      </c>
      <c r="B509" s="271"/>
      <c r="C509" s="274"/>
      <c r="D509" s="52" t="s">
        <v>296</v>
      </c>
      <c r="E509" s="53">
        <f>tkj!$G$60</f>
        <v>89</v>
      </c>
      <c r="F509" s="53">
        <f>tkj!$M$60</f>
        <v>88</v>
      </c>
      <c r="G509" s="53">
        <f>tkj!$S$60</f>
        <v>80</v>
      </c>
      <c r="H509" s="53">
        <f>tkj!$Y$60</f>
        <v>81</v>
      </c>
      <c r="I509" s="53">
        <f>tkj!$AC$60</f>
        <v>85</v>
      </c>
      <c r="J509" s="59"/>
      <c r="K509" s="54">
        <f>tkj!$AI$60</f>
        <v>77</v>
      </c>
      <c r="L509" s="55"/>
      <c r="M509" s="53">
        <f>tkj!$AO$60</f>
        <v>83</v>
      </c>
      <c r="N509" s="53">
        <f>tkj!$AU$60</f>
        <v>82</v>
      </c>
      <c r="O509" s="59"/>
      <c r="P509" s="55"/>
      <c r="Q509" s="55"/>
      <c r="R509" s="54">
        <f>tkj!$BQ$60</f>
        <v>80</v>
      </c>
      <c r="S509" s="54">
        <f>tkj!$BU$60</f>
        <v>86</v>
      </c>
      <c r="T509" s="55"/>
      <c r="U509" s="54">
        <f>tkj!$BZ$60</f>
        <v>73</v>
      </c>
      <c r="V509" s="58"/>
      <c r="X509" s="278">
        <v>60</v>
      </c>
    </row>
    <row r="510" spans="1:24" ht="15" thickBot="1">
      <c r="A510" s="268">
        <v>56</v>
      </c>
      <c r="B510" s="271"/>
      <c r="C510" s="274"/>
      <c r="D510" s="62" t="s">
        <v>297</v>
      </c>
      <c r="E510" s="53">
        <f>tkj!$H$60</f>
        <v>84</v>
      </c>
      <c r="F510" s="53">
        <f>tkj!$N$60</f>
        <v>92</v>
      </c>
      <c r="G510" s="53">
        <f>tkj!$T$60</f>
        <v>82</v>
      </c>
      <c r="H510" s="53">
        <f>tkj!$Z$60</f>
        <v>85</v>
      </c>
      <c r="I510" s="53">
        <f>tkj!$AD$60</f>
        <v>85</v>
      </c>
      <c r="J510" s="59"/>
      <c r="K510" s="54">
        <f>tkj!$AJ$60</f>
        <v>83</v>
      </c>
      <c r="L510" s="55"/>
      <c r="M510" s="53">
        <f>tkj!$AP$60</f>
        <v>84</v>
      </c>
      <c r="N510" s="53">
        <f>tkj!$AV$60</f>
        <v>85</v>
      </c>
      <c r="O510" s="59"/>
      <c r="P510" s="55"/>
      <c r="Q510" s="55"/>
      <c r="R510" s="54">
        <f>tkj!$BR$60</f>
        <v>81</v>
      </c>
      <c r="S510" s="54">
        <f>tkj!$BV$60</f>
        <v>86</v>
      </c>
      <c r="T510" s="63"/>
      <c r="U510" s="54">
        <f>tkj!$CA$60</f>
        <v>87</v>
      </c>
      <c r="V510" s="58"/>
      <c r="X510" s="278">
        <v>60</v>
      </c>
    </row>
    <row r="511" spans="1:24">
      <c r="A511" s="268">
        <v>56</v>
      </c>
      <c r="B511" s="271"/>
      <c r="C511" s="274"/>
      <c r="D511" s="62" t="s">
        <v>298</v>
      </c>
      <c r="E511" s="53">
        <f>tkj!$I$60</f>
        <v>85</v>
      </c>
      <c r="F511" s="53">
        <f>tkj!$O$60</f>
        <v>92</v>
      </c>
      <c r="G511" s="53">
        <f>tkj!$U$60</f>
        <v>80</v>
      </c>
      <c r="H511" s="65"/>
      <c r="I511" s="65"/>
      <c r="J511" s="59"/>
      <c r="K511" s="59"/>
      <c r="L511" s="53">
        <f>tkj!$AK$60</f>
        <v>82</v>
      </c>
      <c r="M511" s="53">
        <f>tkj!$AQ$60</f>
        <v>81</v>
      </c>
      <c r="N511" s="53">
        <f>tkj!$AW$60</f>
        <v>82</v>
      </c>
      <c r="O511" s="59"/>
      <c r="P511" s="55"/>
      <c r="Q511" s="55"/>
      <c r="R511" s="54">
        <f>tkj!$BS$60</f>
        <v>81.666666666666671</v>
      </c>
      <c r="S511" s="54">
        <f>tkj!$BW$60</f>
        <v>86</v>
      </c>
      <c r="T511" s="54"/>
      <c r="U511" s="54">
        <f>tkj!$CB$60</f>
        <v>80</v>
      </c>
      <c r="V511" s="58"/>
      <c r="X511" s="278">
        <v>60</v>
      </c>
    </row>
    <row r="512" spans="1:24">
      <c r="A512" s="268">
        <v>56</v>
      </c>
      <c r="B512" s="271"/>
      <c r="C512" s="274"/>
      <c r="D512" s="66" t="s">
        <v>299</v>
      </c>
      <c r="E512" s="67">
        <f>AVERAGE(E507:E511)</f>
        <v>87.8</v>
      </c>
      <c r="F512" s="67">
        <f>AVERAGE(F507:F511)</f>
        <v>87.8</v>
      </c>
      <c r="G512" s="67">
        <f>AVERAGE(G507:G511)</f>
        <v>84.2</v>
      </c>
      <c r="H512" s="68"/>
      <c r="I512" s="68"/>
      <c r="J512" s="69"/>
      <c r="K512" s="69"/>
      <c r="L512" s="67">
        <f>AVERAGE(L507:L511)</f>
        <v>82</v>
      </c>
      <c r="M512" s="67">
        <f>AVERAGE(M507:M511)</f>
        <v>80.2</v>
      </c>
      <c r="N512" s="67">
        <f>AVERAGE(N507:N511)</f>
        <v>81</v>
      </c>
      <c r="O512" s="69"/>
      <c r="P512" s="63"/>
      <c r="Q512" s="63"/>
      <c r="R512" s="84">
        <f>AVERAGE(R509:R511)</f>
        <v>80.8888888888889</v>
      </c>
      <c r="S512" s="84">
        <f>AVERAGE(S509:S511)</f>
        <v>86</v>
      </c>
      <c r="T512" s="63"/>
      <c r="U512" s="84">
        <f>AVERAGE(U507:U511)</f>
        <v>80</v>
      </c>
      <c r="V512" s="58"/>
      <c r="X512" s="278">
        <v>60</v>
      </c>
    </row>
    <row r="513" spans="1:24">
      <c r="A513" s="268">
        <v>56</v>
      </c>
      <c r="B513" s="271"/>
      <c r="C513" s="274"/>
      <c r="D513" s="70" t="s">
        <v>300</v>
      </c>
      <c r="E513" s="71">
        <f>tkj!$J$60</f>
        <v>82</v>
      </c>
      <c r="F513" s="71">
        <f>tkj!$P$60</f>
        <v>82</v>
      </c>
      <c r="G513" s="71">
        <f>tkj!$V$60</f>
        <v>80</v>
      </c>
      <c r="H513" s="72"/>
      <c r="I513" s="72"/>
      <c r="J513" s="73"/>
      <c r="K513" s="73"/>
      <c r="L513" s="71">
        <f>tkj!$AL$60</f>
        <v>80</v>
      </c>
      <c r="M513" s="71">
        <f>tkj!$AR$60</f>
        <v>80</v>
      </c>
      <c r="N513" s="71">
        <f>tkj!$AX$60</f>
        <v>80</v>
      </c>
      <c r="O513" s="73"/>
      <c r="P513" s="74"/>
      <c r="Q513" s="74"/>
      <c r="R513" s="85">
        <f>tkj!$BT$60</f>
        <v>87</v>
      </c>
      <c r="S513" s="85">
        <f>tkj!$BX$60</f>
        <v>87</v>
      </c>
      <c r="T513" s="85">
        <f>tkj!$BY$60</f>
        <v>82</v>
      </c>
      <c r="U513" s="75">
        <f>tkj!$CC$60</f>
        <v>80</v>
      </c>
      <c r="V513" s="58"/>
      <c r="X513" s="278">
        <v>60</v>
      </c>
    </row>
    <row r="514" spans="1:24">
      <c r="A514" s="268">
        <v>56</v>
      </c>
      <c r="B514" s="271"/>
      <c r="C514" s="274"/>
      <c r="D514" s="76" t="s">
        <v>301</v>
      </c>
      <c r="E514" s="77">
        <f>tkj!$CD$60</f>
        <v>81</v>
      </c>
      <c r="F514" s="77">
        <f>tkj!$CE$60</f>
        <v>90</v>
      </c>
      <c r="G514" s="77">
        <f>tkj!$CF$60</f>
        <v>76</v>
      </c>
      <c r="H514" s="72"/>
      <c r="I514" s="72"/>
      <c r="J514" s="73"/>
      <c r="K514" s="73"/>
      <c r="L514" s="77">
        <f>tkj!$CG$60</f>
        <v>90</v>
      </c>
      <c r="M514" s="77">
        <f>tkj!$CH$60</f>
        <v>81</v>
      </c>
      <c r="N514" s="77">
        <f>tkj!$CI$60</f>
        <v>84</v>
      </c>
      <c r="O514" s="73"/>
      <c r="P514" s="74"/>
      <c r="Q514" s="74"/>
      <c r="R514" s="86">
        <f>tkj!$CL$60</f>
        <v>92</v>
      </c>
      <c r="S514" s="86">
        <f>tkj!$CK$60</f>
        <v>79</v>
      </c>
      <c r="T514" s="74"/>
      <c r="U514" s="86">
        <f>tkj!$CJ$60</f>
        <v>80</v>
      </c>
      <c r="V514" s="58"/>
      <c r="X514" s="278">
        <v>60</v>
      </c>
    </row>
    <row r="515" spans="1:24" ht="15" thickBot="1">
      <c r="A515" s="269">
        <v>56</v>
      </c>
      <c r="B515" s="272"/>
      <c r="C515" s="275"/>
      <c r="D515" s="78" t="s">
        <v>302</v>
      </c>
      <c r="E515" s="79">
        <f>(E512*4+E513*3+E514*3)/10</f>
        <v>84.02000000000001</v>
      </c>
      <c r="F515" s="79">
        <f t="shared" ref="F515:G515" si="109">(F512*4+F513*3+F514*3)/10</f>
        <v>86.72</v>
      </c>
      <c r="G515" s="79">
        <f t="shared" si="109"/>
        <v>80.47999999999999</v>
      </c>
      <c r="H515" s="79">
        <f>AVERAGE(H507:H510)</f>
        <v>83.25</v>
      </c>
      <c r="I515" s="79">
        <f>AVERAGE(I507:I510)</f>
        <v>83</v>
      </c>
      <c r="J515" s="79">
        <f>AVERAGE(J507:J508)</f>
        <v>84.5</v>
      </c>
      <c r="K515" s="79">
        <f>AVERAGE(K507:K510)</f>
        <v>79.5</v>
      </c>
      <c r="L515" s="79">
        <f>(L512*4+L513*3+L514*3)/10</f>
        <v>83.8</v>
      </c>
      <c r="M515" s="79">
        <f>(M512*4+M513*3+M514*3)/10</f>
        <v>80.38</v>
      </c>
      <c r="N515" s="79">
        <f>(N512*4+N513*3+N514*3)/10</f>
        <v>81.599999999999994</v>
      </c>
      <c r="O515" s="79">
        <f>AVERAGE(O507:O508)</f>
        <v>90</v>
      </c>
      <c r="P515" s="79">
        <f>AVERAGE(P507:P508)</f>
        <v>85</v>
      </c>
      <c r="Q515" s="79">
        <f>AVERAGE(Q507:Q508)</f>
        <v>84</v>
      </c>
      <c r="R515" s="79">
        <f>(R512*4+R513*3+R514*3)/10</f>
        <v>86.055555555555571</v>
      </c>
      <c r="S515" s="79">
        <f>(S512*4+S513*3+S514*3)/10</f>
        <v>84.2</v>
      </c>
      <c r="T515" s="79">
        <f>T513</f>
        <v>82</v>
      </c>
      <c r="U515" s="79">
        <f t="shared" ref="U515" si="110">(U512*4+U513*3+U514*3)/10</f>
        <v>80</v>
      </c>
      <c r="V515" s="80">
        <f>AVERAGE(E515:U515)</f>
        <v>83.441503267973872</v>
      </c>
      <c r="X515" s="278">
        <v>60</v>
      </c>
    </row>
    <row r="516" spans="1:24" ht="15.6" thickTop="1" thickBot="1">
      <c r="A516" s="268">
        <v>57</v>
      </c>
      <c r="B516" s="270" t="s">
        <v>368</v>
      </c>
      <c r="C516" s="273" t="s">
        <v>166</v>
      </c>
      <c r="D516" s="52" t="s">
        <v>294</v>
      </c>
      <c r="E516" s="53">
        <f>tkj!$E$61</f>
        <v>80</v>
      </c>
      <c r="F516" s="53">
        <f>tkj!$K$61</f>
        <v>78</v>
      </c>
      <c r="G516" s="53">
        <f>tkj!$Q$61</f>
        <v>78</v>
      </c>
      <c r="H516" s="53">
        <f>tkj!$W$61</f>
        <v>82</v>
      </c>
      <c r="I516" s="53">
        <f>tkj!$AA$61</f>
        <v>73</v>
      </c>
      <c r="J516" s="53">
        <f>tkj!$AE$61</f>
        <v>81</v>
      </c>
      <c r="K516" s="54">
        <f>tkj!$AG$61</f>
        <v>77</v>
      </c>
      <c r="L516" s="55"/>
      <c r="M516" s="53">
        <f>tkj!$AM$61</f>
        <v>70</v>
      </c>
      <c r="N516" s="53">
        <f>tkj!$AS$61</f>
        <v>78</v>
      </c>
      <c r="O516" s="53">
        <f>tkj!$AY$61</f>
        <v>72</v>
      </c>
      <c r="P516" s="54">
        <f>tkj!$BA$61</f>
        <v>76</v>
      </c>
      <c r="Q516" s="54">
        <f>tkj!$BC$61</f>
        <v>86</v>
      </c>
      <c r="R516" s="55"/>
      <c r="S516" s="55"/>
      <c r="T516" s="55"/>
      <c r="U516" s="55"/>
      <c r="V516" s="56"/>
      <c r="X516" s="278">
        <v>61</v>
      </c>
    </row>
    <row r="517" spans="1:24" ht="15" thickBot="1">
      <c r="A517" s="268">
        <v>57</v>
      </c>
      <c r="B517" s="271"/>
      <c r="C517" s="274"/>
      <c r="D517" s="52" t="s">
        <v>295</v>
      </c>
      <c r="E517" s="53">
        <f>tkj!$F$61</f>
        <v>80</v>
      </c>
      <c r="F517" s="53">
        <f>tkj!$L$61</f>
        <v>79</v>
      </c>
      <c r="G517" s="53">
        <f>tkj!$R$61</f>
        <v>78</v>
      </c>
      <c r="H517" s="53">
        <f>tkj!$X$61</f>
        <v>84</v>
      </c>
      <c r="I517" s="53">
        <f>tkj!$AB$61</f>
        <v>80</v>
      </c>
      <c r="J517" s="53">
        <f>tkj!$AF$61</f>
        <v>82</v>
      </c>
      <c r="K517" s="54">
        <f>tkj!$AH$61</f>
        <v>78</v>
      </c>
      <c r="L517" s="55"/>
      <c r="M517" s="53">
        <f>tkj!$AN$61</f>
        <v>75</v>
      </c>
      <c r="N517" s="53">
        <f>tkj!$AT$61</f>
        <v>80</v>
      </c>
      <c r="O517" s="53">
        <f>tkj!$AZ$61</f>
        <v>91</v>
      </c>
      <c r="P517" s="54">
        <f>tkj!$BB$61</f>
        <v>85</v>
      </c>
      <c r="Q517" s="54">
        <f>tkj!$BD$61</f>
        <v>83</v>
      </c>
      <c r="R517" s="55"/>
      <c r="S517" s="55"/>
      <c r="T517" s="55"/>
      <c r="U517" s="55"/>
      <c r="V517" s="58"/>
      <c r="X517" s="278">
        <v>61</v>
      </c>
    </row>
    <row r="518" spans="1:24" ht="15" thickBot="1">
      <c r="A518" s="268">
        <v>57</v>
      </c>
      <c r="B518" s="271"/>
      <c r="C518" s="274"/>
      <c r="D518" s="52" t="s">
        <v>296</v>
      </c>
      <c r="E518" s="53">
        <f>tkj!$G$61</f>
        <v>86</v>
      </c>
      <c r="F518" s="53">
        <f>tkj!$M$61</f>
        <v>89</v>
      </c>
      <c r="G518" s="53">
        <f>tkj!$S$61</f>
        <v>85</v>
      </c>
      <c r="H518" s="53">
        <f>tkj!$Y$61</f>
        <v>81</v>
      </c>
      <c r="I518" s="53">
        <f>tkj!$AC$61</f>
        <v>83</v>
      </c>
      <c r="J518" s="59"/>
      <c r="K518" s="54">
        <f>tkj!$AI$61</f>
        <v>73</v>
      </c>
      <c r="L518" s="55"/>
      <c r="M518" s="53">
        <f>tkj!$AO$61</f>
        <v>75</v>
      </c>
      <c r="N518" s="53">
        <f>tkj!$AU$61</f>
        <v>80</v>
      </c>
      <c r="O518" s="59"/>
      <c r="P518" s="55"/>
      <c r="Q518" s="55"/>
      <c r="R518" s="54">
        <f>tkj!$BQ$61</f>
        <v>82</v>
      </c>
      <c r="S518" s="54">
        <f>tkj!$BU$61</f>
        <v>85</v>
      </c>
      <c r="T518" s="55"/>
      <c r="U518" s="54">
        <f>tkj!$BZ$61</f>
        <v>83</v>
      </c>
      <c r="V518" s="58"/>
      <c r="X518" s="278">
        <v>61</v>
      </c>
    </row>
    <row r="519" spans="1:24" ht="15" thickBot="1">
      <c r="A519" s="268">
        <v>57</v>
      </c>
      <c r="B519" s="271"/>
      <c r="C519" s="274"/>
      <c r="D519" s="62" t="s">
        <v>297</v>
      </c>
      <c r="E519" s="53">
        <f>tkj!$H$61</f>
        <v>82</v>
      </c>
      <c r="F519" s="53">
        <f>tkj!$N$61</f>
        <v>90</v>
      </c>
      <c r="G519" s="53">
        <f>tkj!$T$61</f>
        <v>85</v>
      </c>
      <c r="H519" s="53">
        <f>tkj!$Z$61</f>
        <v>85</v>
      </c>
      <c r="I519" s="53">
        <f>tkj!$AD$61</f>
        <v>84</v>
      </c>
      <c r="J519" s="59"/>
      <c r="K519" s="54">
        <f>tkj!$AJ$61</f>
        <v>82</v>
      </c>
      <c r="L519" s="55"/>
      <c r="M519" s="53">
        <f>tkj!$AP$61</f>
        <v>77</v>
      </c>
      <c r="N519" s="53">
        <f>tkj!$AV$61</f>
        <v>80</v>
      </c>
      <c r="O519" s="59"/>
      <c r="P519" s="55"/>
      <c r="Q519" s="55"/>
      <c r="R519" s="54">
        <f>tkj!$BR$61</f>
        <v>82</v>
      </c>
      <c r="S519" s="54">
        <f>tkj!$BV$61</f>
        <v>85</v>
      </c>
      <c r="T519" s="63"/>
      <c r="U519" s="54">
        <f>tkj!$CA$61</f>
        <v>85</v>
      </c>
      <c r="V519" s="58"/>
      <c r="X519" s="278">
        <v>61</v>
      </c>
    </row>
    <row r="520" spans="1:24">
      <c r="A520" s="268">
        <v>57</v>
      </c>
      <c r="B520" s="271"/>
      <c r="C520" s="274"/>
      <c r="D520" s="62" t="s">
        <v>298</v>
      </c>
      <c r="E520" s="53">
        <f>tkj!$I$61</f>
        <v>85</v>
      </c>
      <c r="F520" s="53">
        <f>tkj!$O$61</f>
        <v>91</v>
      </c>
      <c r="G520" s="53">
        <f>tkj!$U$61</f>
        <v>80</v>
      </c>
      <c r="H520" s="65"/>
      <c r="I520" s="65"/>
      <c r="J520" s="59"/>
      <c r="K520" s="59"/>
      <c r="L520" s="53">
        <f>tkj!$AK$61</f>
        <v>80</v>
      </c>
      <c r="M520" s="53">
        <f>tkj!$AQ$61</f>
        <v>80</v>
      </c>
      <c r="N520" s="53">
        <f>tkj!$AW$61</f>
        <v>80</v>
      </c>
      <c r="O520" s="59"/>
      <c r="P520" s="55"/>
      <c r="Q520" s="55"/>
      <c r="R520" s="54">
        <f>tkj!$BS$61</f>
        <v>84</v>
      </c>
      <c r="S520" s="54">
        <f>tkj!$BW$61</f>
        <v>89</v>
      </c>
      <c r="T520" s="54"/>
      <c r="U520" s="54">
        <f>tkj!$CB$61</f>
        <v>80</v>
      </c>
      <c r="V520" s="58"/>
      <c r="X520" s="278">
        <v>61</v>
      </c>
    </row>
    <row r="521" spans="1:24">
      <c r="A521" s="268">
        <v>57</v>
      </c>
      <c r="B521" s="271"/>
      <c r="C521" s="274"/>
      <c r="D521" s="66" t="s">
        <v>299</v>
      </c>
      <c r="E521" s="67">
        <f>AVERAGE(E516:E520)</f>
        <v>82.6</v>
      </c>
      <c r="F521" s="67">
        <f>AVERAGE(F516:F520)</f>
        <v>85.4</v>
      </c>
      <c r="G521" s="67">
        <f>AVERAGE(G516:G520)</f>
        <v>81.2</v>
      </c>
      <c r="H521" s="68"/>
      <c r="I521" s="68"/>
      <c r="J521" s="69"/>
      <c r="K521" s="69"/>
      <c r="L521" s="67">
        <f>AVERAGE(L516:L520)</f>
        <v>80</v>
      </c>
      <c r="M521" s="67">
        <f>AVERAGE(M516:M520)</f>
        <v>75.400000000000006</v>
      </c>
      <c r="N521" s="67">
        <f>AVERAGE(N516:N520)</f>
        <v>79.599999999999994</v>
      </c>
      <c r="O521" s="69"/>
      <c r="P521" s="63"/>
      <c r="Q521" s="63"/>
      <c r="R521" s="84">
        <f>AVERAGE(R518:R520)</f>
        <v>82.666666666666671</v>
      </c>
      <c r="S521" s="84">
        <f>AVERAGE(S518:S520)</f>
        <v>86.333333333333329</v>
      </c>
      <c r="T521" s="63"/>
      <c r="U521" s="84">
        <f>AVERAGE(U516:U520)</f>
        <v>82.666666666666671</v>
      </c>
      <c r="V521" s="58"/>
      <c r="X521" s="278">
        <v>61</v>
      </c>
    </row>
    <row r="522" spans="1:24">
      <c r="A522" s="268">
        <v>57</v>
      </c>
      <c r="B522" s="271"/>
      <c r="C522" s="274"/>
      <c r="D522" s="70" t="s">
        <v>300</v>
      </c>
      <c r="E522" s="71">
        <f>tkj!$J$61</f>
        <v>83</v>
      </c>
      <c r="F522" s="71">
        <f>tkj!$P$61</f>
        <v>82</v>
      </c>
      <c r="G522" s="71">
        <f>tkj!$V$61</f>
        <v>82</v>
      </c>
      <c r="H522" s="72"/>
      <c r="I522" s="72"/>
      <c r="J522" s="73"/>
      <c r="K522" s="73"/>
      <c r="L522" s="71">
        <f>tkj!$AL$61</f>
        <v>82</v>
      </c>
      <c r="M522" s="71">
        <f>tkj!$AR$61</f>
        <v>80</v>
      </c>
      <c r="N522" s="71">
        <f>tkj!$AX$61</f>
        <v>80</v>
      </c>
      <c r="O522" s="73"/>
      <c r="P522" s="74"/>
      <c r="Q522" s="74"/>
      <c r="R522" s="85">
        <f>tkj!$BT$61</f>
        <v>83</v>
      </c>
      <c r="S522" s="85">
        <f>tkj!$BX$61</f>
        <v>83</v>
      </c>
      <c r="T522" s="85">
        <f>tkj!$BY$61</f>
        <v>82</v>
      </c>
      <c r="U522" s="75">
        <f>tkj!$CC$61</f>
        <v>80</v>
      </c>
      <c r="V522" s="58"/>
      <c r="X522" s="278">
        <v>61</v>
      </c>
    </row>
    <row r="523" spans="1:24">
      <c r="A523" s="268">
        <v>57</v>
      </c>
      <c r="B523" s="271"/>
      <c r="C523" s="274"/>
      <c r="D523" s="76" t="s">
        <v>301</v>
      </c>
      <c r="E523" s="77">
        <f>tkj!$CD$61</f>
        <v>81</v>
      </c>
      <c r="F523" s="77">
        <f>tkj!$CE$61</f>
        <v>93</v>
      </c>
      <c r="G523" s="77">
        <f>tkj!$CF$61</f>
        <v>80</v>
      </c>
      <c r="H523" s="72"/>
      <c r="I523" s="72"/>
      <c r="J523" s="73"/>
      <c r="K523" s="73"/>
      <c r="L523" s="77">
        <f>tkj!$CG$61</f>
        <v>92</v>
      </c>
      <c r="M523" s="77">
        <f>tkj!$CH$61</f>
        <v>78</v>
      </c>
      <c r="N523" s="77">
        <f>tkj!$CI$61</f>
        <v>83</v>
      </c>
      <c r="O523" s="73"/>
      <c r="P523" s="74"/>
      <c r="Q523" s="74"/>
      <c r="R523" s="86">
        <f>tkj!$CL$61</f>
        <v>87</v>
      </c>
      <c r="S523" s="86">
        <f>tkj!$CK$61</f>
        <v>93</v>
      </c>
      <c r="T523" s="74"/>
      <c r="U523" s="86">
        <f>tkj!$CJ$61</f>
        <v>82</v>
      </c>
      <c r="V523" s="58"/>
      <c r="X523" s="278">
        <v>61</v>
      </c>
    </row>
    <row r="524" spans="1:24" ht="15" thickBot="1">
      <c r="A524" s="269">
        <v>57</v>
      </c>
      <c r="B524" s="272"/>
      <c r="C524" s="275"/>
      <c r="D524" s="78" t="s">
        <v>302</v>
      </c>
      <c r="E524" s="79">
        <f>(E521*4+E522*3+E523*3)/10</f>
        <v>82.24</v>
      </c>
      <c r="F524" s="79">
        <f t="shared" ref="F524:G524" si="111">(F521*4+F522*3+F523*3)/10</f>
        <v>86.66</v>
      </c>
      <c r="G524" s="79">
        <f t="shared" si="111"/>
        <v>81.08</v>
      </c>
      <c r="H524" s="79">
        <f>AVERAGE(H516:H519)</f>
        <v>83</v>
      </c>
      <c r="I524" s="79">
        <f>AVERAGE(I516:I519)</f>
        <v>80</v>
      </c>
      <c r="J524" s="79">
        <f>AVERAGE(J516:J517)</f>
        <v>81.5</v>
      </c>
      <c r="K524" s="79">
        <f>AVERAGE(K516:K519)</f>
        <v>77.5</v>
      </c>
      <c r="L524" s="79">
        <f>(L521*4+L522*3+L523*3)/10</f>
        <v>84.2</v>
      </c>
      <c r="M524" s="79">
        <f>(M521*4+M522*3+M523*3)/10</f>
        <v>77.56</v>
      </c>
      <c r="N524" s="79">
        <f>(N521*4+N522*3+N523*3)/10</f>
        <v>80.739999999999995</v>
      </c>
      <c r="O524" s="79">
        <f>AVERAGE(O516:O517)</f>
        <v>81.5</v>
      </c>
      <c r="P524" s="79">
        <f>AVERAGE(P516:P517)</f>
        <v>80.5</v>
      </c>
      <c r="Q524" s="79">
        <f>AVERAGE(Q516:Q517)</f>
        <v>84.5</v>
      </c>
      <c r="R524" s="79">
        <f>(R521*4+R522*3+R523*3)/10</f>
        <v>84.066666666666677</v>
      </c>
      <c r="S524" s="79">
        <f>(S521*4+S522*3+S523*3)/10</f>
        <v>87.333333333333329</v>
      </c>
      <c r="T524" s="79">
        <f>T522</f>
        <v>82</v>
      </c>
      <c r="U524" s="79">
        <f t="shared" ref="U524" si="112">(U521*4+U522*3+U523*3)/10</f>
        <v>81.666666666666671</v>
      </c>
      <c r="V524" s="80">
        <f>AVERAGE(E524:U524)</f>
        <v>82.120392156862749</v>
      </c>
      <c r="X524" s="278">
        <v>61</v>
      </c>
    </row>
    <row r="525" spans="1:24" ht="15.6" thickTop="1" thickBot="1">
      <c r="A525" s="268">
        <v>58</v>
      </c>
      <c r="B525" s="270" t="s">
        <v>369</v>
      </c>
      <c r="C525" s="273" t="s">
        <v>168</v>
      </c>
      <c r="D525" s="52" t="s">
        <v>294</v>
      </c>
      <c r="E525" s="53">
        <f>tkj!$E$62</f>
        <v>86</v>
      </c>
      <c r="F525" s="53">
        <f>tkj!$K$62</f>
        <v>79</v>
      </c>
      <c r="G525" s="53">
        <f>tkj!$Q$62</f>
        <v>80</v>
      </c>
      <c r="H525" s="53">
        <f>tkj!$W$62</f>
        <v>81</v>
      </c>
      <c r="I525" s="53">
        <f>tkj!$AA$62</f>
        <v>80</v>
      </c>
      <c r="J525" s="53">
        <f>tkj!$AE$62</f>
        <v>83</v>
      </c>
      <c r="K525" s="54">
        <f>tkj!$AG$62</f>
        <v>80</v>
      </c>
      <c r="L525" s="55"/>
      <c r="M525" s="53">
        <f>tkj!$AM$62</f>
        <v>75</v>
      </c>
      <c r="N525" s="53">
        <f>tkj!$AS$62</f>
        <v>81</v>
      </c>
      <c r="O525" s="53">
        <f>tkj!$AY$62</f>
        <v>89</v>
      </c>
      <c r="P525" s="54">
        <f>tkj!$BA$62</f>
        <v>79</v>
      </c>
      <c r="Q525" s="54">
        <f>tkj!$BC$62</f>
        <v>85</v>
      </c>
      <c r="R525" s="55"/>
      <c r="S525" s="55"/>
      <c r="T525" s="55"/>
      <c r="U525" s="55"/>
      <c r="V525" s="56"/>
      <c r="X525" s="278">
        <v>62</v>
      </c>
    </row>
    <row r="526" spans="1:24" ht="15" thickBot="1">
      <c r="A526" s="268">
        <v>58</v>
      </c>
      <c r="B526" s="271"/>
      <c r="C526" s="274"/>
      <c r="D526" s="52" t="s">
        <v>295</v>
      </c>
      <c r="E526" s="53">
        <f>tkj!$F$62</f>
        <v>92</v>
      </c>
      <c r="F526" s="53">
        <f>tkj!$L$62</f>
        <v>82</v>
      </c>
      <c r="G526" s="53">
        <f>tkj!$R$62</f>
        <v>81</v>
      </c>
      <c r="H526" s="53">
        <f>tkj!$X$62</f>
        <v>84</v>
      </c>
      <c r="I526" s="53">
        <f>tkj!$AB$62</f>
        <v>85</v>
      </c>
      <c r="J526" s="53">
        <f>tkj!$AF$62</f>
        <v>86</v>
      </c>
      <c r="K526" s="54">
        <f>tkj!$AH$62</f>
        <v>79</v>
      </c>
      <c r="L526" s="55"/>
      <c r="M526" s="53">
        <f>tkj!$AN$62</f>
        <v>76</v>
      </c>
      <c r="N526" s="53">
        <f>tkj!$AT$62</f>
        <v>79</v>
      </c>
      <c r="O526" s="53">
        <f>tkj!$AZ$62</f>
        <v>88</v>
      </c>
      <c r="P526" s="54">
        <f>tkj!$BB$62</f>
        <v>88</v>
      </c>
      <c r="Q526" s="54">
        <f>tkj!$BD$62</f>
        <v>80</v>
      </c>
      <c r="R526" s="55"/>
      <c r="S526" s="55"/>
      <c r="T526" s="55"/>
      <c r="U526" s="55"/>
      <c r="V526" s="58"/>
      <c r="X526" s="278">
        <v>62</v>
      </c>
    </row>
    <row r="527" spans="1:24" ht="15" thickBot="1">
      <c r="A527" s="268">
        <v>58</v>
      </c>
      <c r="B527" s="271"/>
      <c r="C527" s="274"/>
      <c r="D527" s="52" t="s">
        <v>296</v>
      </c>
      <c r="E527" s="53">
        <f>tkj!$G$62</f>
        <v>88</v>
      </c>
      <c r="F527" s="53">
        <f>tkj!$M$62</f>
        <v>91</v>
      </c>
      <c r="G527" s="53">
        <f>tkj!$S$62</f>
        <v>83</v>
      </c>
      <c r="H527" s="53">
        <f>tkj!$Y$62</f>
        <v>80</v>
      </c>
      <c r="I527" s="53">
        <f>tkj!$AC$62</f>
        <v>83</v>
      </c>
      <c r="J527" s="59"/>
      <c r="K527" s="54">
        <f>tkj!$AI$62</f>
        <v>77</v>
      </c>
      <c r="L527" s="55"/>
      <c r="M527" s="53">
        <f>tkj!$AO$62</f>
        <v>74</v>
      </c>
      <c r="N527" s="53">
        <f>tkj!$AU$62</f>
        <v>80</v>
      </c>
      <c r="O527" s="59"/>
      <c r="P527" s="55"/>
      <c r="Q527" s="55"/>
      <c r="R527" s="54">
        <f>tkj!$BQ$62</f>
        <v>81.333333333333329</v>
      </c>
      <c r="S527" s="54">
        <f>tkj!$BU$62</f>
        <v>86</v>
      </c>
      <c r="T527" s="55"/>
      <c r="U527" s="54">
        <f>tkj!$BZ$62</f>
        <v>74</v>
      </c>
      <c r="V527" s="58"/>
      <c r="X527" s="278">
        <v>62</v>
      </c>
    </row>
    <row r="528" spans="1:24" ht="15" thickBot="1">
      <c r="A528" s="268">
        <v>58</v>
      </c>
      <c r="B528" s="271"/>
      <c r="C528" s="274"/>
      <c r="D528" s="62" t="s">
        <v>297</v>
      </c>
      <c r="E528" s="53">
        <f>tkj!$H$62</f>
        <v>82</v>
      </c>
      <c r="F528" s="53">
        <f>tkj!$N$62</f>
        <v>91</v>
      </c>
      <c r="G528" s="53">
        <f>tkj!$T$62</f>
        <v>83</v>
      </c>
      <c r="H528" s="53">
        <f>tkj!$Z$62</f>
        <v>84</v>
      </c>
      <c r="I528" s="53">
        <f>tkj!$AD$62</f>
        <v>84</v>
      </c>
      <c r="J528" s="59"/>
      <c r="K528" s="54">
        <f>tkj!$AJ$62</f>
        <v>82</v>
      </c>
      <c r="L528" s="55"/>
      <c r="M528" s="53">
        <f>tkj!$AP$62</f>
        <v>76</v>
      </c>
      <c r="N528" s="53">
        <f>tkj!$AV$62</f>
        <v>82</v>
      </c>
      <c r="O528" s="59"/>
      <c r="P528" s="55"/>
      <c r="Q528" s="55"/>
      <c r="R528" s="54">
        <f>tkj!$BR$62</f>
        <v>81.333333333333329</v>
      </c>
      <c r="S528" s="54">
        <f>tkj!$BV$62</f>
        <v>86</v>
      </c>
      <c r="T528" s="63"/>
      <c r="U528" s="54">
        <f>tkj!$CA$62</f>
        <v>87</v>
      </c>
      <c r="V528" s="58"/>
      <c r="X528" s="278">
        <v>62</v>
      </c>
    </row>
    <row r="529" spans="1:24">
      <c r="A529" s="268">
        <v>58</v>
      </c>
      <c r="B529" s="271"/>
      <c r="C529" s="274"/>
      <c r="D529" s="62" t="s">
        <v>298</v>
      </c>
      <c r="E529" s="53">
        <f>tkj!$I$62</f>
        <v>88</v>
      </c>
      <c r="F529" s="53">
        <f>tkj!$O$62</f>
        <v>91</v>
      </c>
      <c r="G529" s="53">
        <f>tkj!$U$62</f>
        <v>80</v>
      </c>
      <c r="H529" s="65"/>
      <c r="I529" s="65"/>
      <c r="J529" s="59"/>
      <c r="K529" s="59"/>
      <c r="L529" s="53">
        <f>tkj!$AK$62</f>
        <v>80</v>
      </c>
      <c r="M529" s="53">
        <f>tkj!$AQ$62</f>
        <v>80</v>
      </c>
      <c r="N529" s="53">
        <f>tkj!$AW$62</f>
        <v>80</v>
      </c>
      <c r="O529" s="59"/>
      <c r="P529" s="55"/>
      <c r="Q529" s="55"/>
      <c r="R529" s="54">
        <f>tkj!$BS$62</f>
        <v>83.666666666666671</v>
      </c>
      <c r="S529" s="54">
        <f>tkj!$BW$62</f>
        <v>90</v>
      </c>
      <c r="T529" s="54"/>
      <c r="U529" s="54">
        <f>tkj!$CB$62</f>
        <v>82</v>
      </c>
      <c r="V529" s="58"/>
      <c r="X529" s="278">
        <v>62</v>
      </c>
    </row>
    <row r="530" spans="1:24">
      <c r="A530" s="268">
        <v>58</v>
      </c>
      <c r="B530" s="271"/>
      <c r="C530" s="274"/>
      <c r="D530" s="66" t="s">
        <v>299</v>
      </c>
      <c r="E530" s="67">
        <f>AVERAGE(E525:E529)</f>
        <v>87.2</v>
      </c>
      <c r="F530" s="67">
        <f>AVERAGE(F525:F529)</f>
        <v>86.8</v>
      </c>
      <c r="G530" s="67">
        <f>AVERAGE(G525:G529)</f>
        <v>81.400000000000006</v>
      </c>
      <c r="H530" s="68"/>
      <c r="I530" s="68"/>
      <c r="J530" s="69"/>
      <c r="K530" s="69"/>
      <c r="L530" s="67">
        <f>AVERAGE(L525:L529)</f>
        <v>80</v>
      </c>
      <c r="M530" s="67">
        <f>AVERAGE(M525:M529)</f>
        <v>76.2</v>
      </c>
      <c r="N530" s="67">
        <f>AVERAGE(N525:N529)</f>
        <v>80.400000000000006</v>
      </c>
      <c r="O530" s="69"/>
      <c r="P530" s="63"/>
      <c r="Q530" s="63"/>
      <c r="R530" s="84">
        <f>AVERAGE(R527:R529)</f>
        <v>82.1111111111111</v>
      </c>
      <c r="S530" s="84">
        <f>AVERAGE(S527:S529)</f>
        <v>87.333333333333329</v>
      </c>
      <c r="T530" s="63"/>
      <c r="U530" s="84">
        <f>AVERAGE(U525:U529)</f>
        <v>81</v>
      </c>
      <c r="V530" s="58"/>
      <c r="X530" s="278">
        <v>62</v>
      </c>
    </row>
    <row r="531" spans="1:24">
      <c r="A531" s="268">
        <v>58</v>
      </c>
      <c r="B531" s="271"/>
      <c r="C531" s="274"/>
      <c r="D531" s="70" t="s">
        <v>300</v>
      </c>
      <c r="E531" s="71">
        <f>tkj!$J$62</f>
        <v>85</v>
      </c>
      <c r="F531" s="71">
        <f>tkj!$P$62</f>
        <v>85</v>
      </c>
      <c r="G531" s="71">
        <f>tkj!$V$62</f>
        <v>85</v>
      </c>
      <c r="H531" s="72"/>
      <c r="I531" s="72"/>
      <c r="J531" s="73"/>
      <c r="K531" s="73"/>
      <c r="L531" s="71">
        <f>tkj!$AL$62</f>
        <v>85</v>
      </c>
      <c r="M531" s="71">
        <f>tkj!$AR$62</f>
        <v>85</v>
      </c>
      <c r="N531" s="71">
        <f>tkj!$AX$62</f>
        <v>85</v>
      </c>
      <c r="O531" s="73"/>
      <c r="P531" s="74"/>
      <c r="Q531" s="74"/>
      <c r="R531" s="85">
        <f>tkj!$BT$62</f>
        <v>85</v>
      </c>
      <c r="S531" s="85">
        <f>tkj!$BX$62</f>
        <v>85</v>
      </c>
      <c r="T531" s="85">
        <f>tkj!$BY$62</f>
        <v>85</v>
      </c>
      <c r="U531" s="75">
        <f>tkj!$CC$62</f>
        <v>85</v>
      </c>
      <c r="V531" s="58"/>
      <c r="X531" s="278">
        <v>62</v>
      </c>
    </row>
    <row r="532" spans="1:24">
      <c r="A532" s="268">
        <v>58</v>
      </c>
      <c r="B532" s="271"/>
      <c r="C532" s="274"/>
      <c r="D532" s="76" t="s">
        <v>301</v>
      </c>
      <c r="E532" s="77">
        <f>tkj!$CD$62</f>
        <v>85</v>
      </c>
      <c r="F532" s="77">
        <f>tkj!$CE$62</f>
        <v>88</v>
      </c>
      <c r="G532" s="77">
        <f>tkj!$CF$62</f>
        <v>78</v>
      </c>
      <c r="H532" s="72"/>
      <c r="I532" s="72"/>
      <c r="J532" s="73"/>
      <c r="K532" s="73"/>
      <c r="L532" s="77">
        <f>tkj!$CG$62</f>
        <v>90</v>
      </c>
      <c r="M532" s="77">
        <f>tkj!$CH$62</f>
        <v>79</v>
      </c>
      <c r="N532" s="77">
        <f>tkj!$CI$62</f>
        <v>82</v>
      </c>
      <c r="O532" s="73"/>
      <c r="P532" s="74"/>
      <c r="Q532" s="74"/>
      <c r="R532" s="86">
        <f>tkj!$CL$62</f>
        <v>80</v>
      </c>
      <c r="S532" s="86">
        <f>tkj!$CK$62</f>
        <v>79</v>
      </c>
      <c r="T532" s="74"/>
      <c r="U532" s="86">
        <f>tkj!$CJ$62</f>
        <v>82</v>
      </c>
      <c r="V532" s="58"/>
      <c r="X532" s="278">
        <v>62</v>
      </c>
    </row>
    <row r="533" spans="1:24" ht="15" thickBot="1">
      <c r="A533" s="269">
        <v>58</v>
      </c>
      <c r="B533" s="272"/>
      <c r="C533" s="275"/>
      <c r="D533" s="78" t="s">
        <v>302</v>
      </c>
      <c r="E533" s="79">
        <f>(E6330*4+E6331*3+E6332*3)/10</f>
        <v>0</v>
      </c>
      <c r="F533" s="79">
        <f>(F6330*4+F6331*3+F6332*3)/10</f>
        <v>0</v>
      </c>
      <c r="G533" s="79">
        <f>(G6330*4+G6331*3+G6332*3)/10</f>
        <v>0</v>
      </c>
      <c r="H533" s="79" t="e">
        <f>AVERAGE(H6328:H63263)</f>
        <v>#DIV/0!</v>
      </c>
      <c r="I533" s="79" t="e">
        <f>AVERAGE(I6328:I63263)</f>
        <v>#DIV/0!</v>
      </c>
      <c r="J533" s="79" t="e">
        <f>AVERAGE(J6326:J63263)</f>
        <v>#DIV/0!</v>
      </c>
      <c r="K533" s="79" t="e">
        <f>AVERAGE(K6328:K63263)</f>
        <v>#DIV/0!</v>
      </c>
      <c r="L533" s="79">
        <f>(L6330*4+L6331*3+L6332*3)/10</f>
        <v>0</v>
      </c>
      <c r="M533" s="79">
        <f>(M6330*4+M6331*3+M6332*3)/10</f>
        <v>0</v>
      </c>
      <c r="N533" s="79">
        <f>(N6330*4+N6331*3+N6332*3)/10</f>
        <v>0</v>
      </c>
      <c r="O533" s="79" t="e">
        <f>AVERAGE(O6326:O63263)</f>
        <v>#DIV/0!</v>
      </c>
      <c r="P533" s="79" t="e">
        <f>AVERAGE(P6326:P63263)</f>
        <v>#DIV/0!</v>
      </c>
      <c r="Q533" s="79" t="e">
        <f>AVERAGE(Q6326:Q63263)</f>
        <v>#DIV/0!</v>
      </c>
      <c r="R533" s="79">
        <f>(R6330*4+R6331*3+R6332*3)/10</f>
        <v>0</v>
      </c>
      <c r="S533" s="79">
        <f>(S6330*4+S6331*3+S6332*3)/10</f>
        <v>0</v>
      </c>
      <c r="T533" s="79">
        <f>T6331</f>
        <v>0</v>
      </c>
      <c r="U533" s="79">
        <f>(U6330*4+U6331*3+U6332*3)/10</f>
        <v>0</v>
      </c>
      <c r="V533" s="80" t="e">
        <f>AVERAGE(E533:U533)</f>
        <v>#DIV/0!</v>
      </c>
      <c r="X533" s="278">
        <v>62</v>
      </c>
    </row>
    <row r="534" spans="1:24" ht="15.6" thickTop="1" thickBot="1">
      <c r="A534" s="268">
        <v>59</v>
      </c>
      <c r="B534" s="270" t="s">
        <v>370</v>
      </c>
      <c r="C534" s="273" t="s">
        <v>170</v>
      </c>
      <c r="D534" s="52" t="s">
        <v>294</v>
      </c>
      <c r="E534" s="53">
        <f>tkj!$E$63</f>
        <v>93</v>
      </c>
      <c r="F534" s="53">
        <f>tkj!$K$63</f>
        <v>81</v>
      </c>
      <c r="G534" s="53">
        <f>tkj!$Q$63</f>
        <v>86</v>
      </c>
      <c r="H534" s="53">
        <f>tkj!$W$63</f>
        <v>82</v>
      </c>
      <c r="I534" s="53">
        <f>tkj!$AA$63</f>
        <v>78</v>
      </c>
      <c r="J534" s="53">
        <f>tkj!$AE$63</f>
        <v>84</v>
      </c>
      <c r="K534" s="54">
        <f>tkj!$AG$63</f>
        <v>89</v>
      </c>
      <c r="L534" s="55"/>
      <c r="M534" s="53">
        <f>tkj!$AM$63</f>
        <v>71</v>
      </c>
      <c r="N534" s="53">
        <f>tkj!$AS$63</f>
        <v>82</v>
      </c>
      <c r="O534" s="53">
        <f>tkj!$AY$63</f>
        <v>83</v>
      </c>
      <c r="P534" s="54">
        <f>tkj!$BA$63</f>
        <v>86</v>
      </c>
      <c r="Q534" s="54">
        <f>tkj!$BC$63</f>
        <v>82</v>
      </c>
      <c r="R534" s="55"/>
      <c r="S534" s="55"/>
      <c r="T534" s="55"/>
      <c r="U534" s="55"/>
      <c r="V534" s="56"/>
      <c r="X534" s="278">
        <v>63</v>
      </c>
    </row>
    <row r="535" spans="1:24" ht="15" thickBot="1">
      <c r="A535" s="268">
        <v>59</v>
      </c>
      <c r="B535" s="271"/>
      <c r="C535" s="274"/>
      <c r="D535" s="52" t="s">
        <v>295</v>
      </c>
      <c r="E535" s="53">
        <f>tkj!$F$63</f>
        <v>90</v>
      </c>
      <c r="F535" s="53">
        <f>tkj!$L$63</f>
        <v>87</v>
      </c>
      <c r="G535" s="53">
        <f>tkj!$R$63</f>
        <v>78</v>
      </c>
      <c r="H535" s="53">
        <f>tkj!$X$63</f>
        <v>85</v>
      </c>
      <c r="I535" s="53">
        <f>tkj!$AB$63</f>
        <v>80</v>
      </c>
      <c r="J535" s="53">
        <f>tkj!$AF$63</f>
        <v>87</v>
      </c>
      <c r="K535" s="54">
        <f>tkj!$AH$63</f>
        <v>78</v>
      </c>
      <c r="L535" s="55"/>
      <c r="M535" s="53">
        <f>tkj!$AN$63</f>
        <v>72</v>
      </c>
      <c r="N535" s="53">
        <f>tkj!$AT$63</f>
        <v>80</v>
      </c>
      <c r="O535" s="53">
        <f>tkj!$AZ$63</f>
        <v>86</v>
      </c>
      <c r="P535" s="54">
        <f>tkj!$BB$63</f>
        <v>93</v>
      </c>
      <c r="Q535" s="54">
        <f>tkj!$BD$63</f>
        <v>78</v>
      </c>
      <c r="R535" s="55"/>
      <c r="S535" s="55"/>
      <c r="T535" s="55"/>
      <c r="U535" s="55"/>
      <c r="V535" s="58"/>
      <c r="X535" s="278">
        <v>63</v>
      </c>
    </row>
    <row r="536" spans="1:24" ht="15" thickBot="1">
      <c r="A536" s="268">
        <v>59</v>
      </c>
      <c r="B536" s="271"/>
      <c r="C536" s="274"/>
      <c r="D536" s="52" t="s">
        <v>296</v>
      </c>
      <c r="E536" s="53">
        <f>tkj!$G$63</f>
        <v>90</v>
      </c>
      <c r="F536" s="53">
        <f>tkj!$M$63</f>
        <v>91</v>
      </c>
      <c r="G536" s="53">
        <f>tkj!$S$63</f>
        <v>86</v>
      </c>
      <c r="H536" s="53">
        <f>tkj!$Y$63</f>
        <v>81</v>
      </c>
      <c r="I536" s="53">
        <f>tkj!$AC$63</f>
        <v>79</v>
      </c>
      <c r="J536" s="59"/>
      <c r="K536" s="54">
        <f>tkj!$AI$63</f>
        <v>79</v>
      </c>
      <c r="L536" s="55"/>
      <c r="M536" s="53">
        <f>tkj!$AO$63</f>
        <v>76</v>
      </c>
      <c r="N536" s="53">
        <f>tkj!$AU$63</f>
        <v>80</v>
      </c>
      <c r="O536" s="59"/>
      <c r="P536" s="55"/>
      <c r="Q536" s="55"/>
      <c r="R536" s="54">
        <f>tkj!$BQ$63</f>
        <v>82.333333333333329</v>
      </c>
      <c r="S536" s="54">
        <f>tkj!$BU$63</f>
        <v>86</v>
      </c>
      <c r="T536" s="55"/>
      <c r="U536" s="54">
        <f>tkj!$BZ$63</f>
        <v>72</v>
      </c>
      <c r="V536" s="58"/>
      <c r="X536" s="278">
        <v>63</v>
      </c>
    </row>
    <row r="537" spans="1:24" ht="15" thickBot="1">
      <c r="A537" s="268">
        <v>59</v>
      </c>
      <c r="B537" s="271"/>
      <c r="C537" s="274"/>
      <c r="D537" s="62" t="s">
        <v>297</v>
      </c>
      <c r="E537" s="53">
        <f>tkj!$H$63</f>
        <v>87</v>
      </c>
      <c r="F537" s="53">
        <f>tkj!$N$63</f>
        <v>93</v>
      </c>
      <c r="G537" s="53">
        <f>tkj!$T$63</f>
        <v>84</v>
      </c>
      <c r="H537" s="53">
        <f>tkj!$Z$63</f>
        <v>85</v>
      </c>
      <c r="I537" s="53">
        <f>tkj!$AD$63</f>
        <v>80</v>
      </c>
      <c r="J537" s="59"/>
      <c r="K537" s="54">
        <f>tkj!$AJ$63</f>
        <v>83</v>
      </c>
      <c r="L537" s="55"/>
      <c r="M537" s="53">
        <f>tkj!$AP$63</f>
        <v>77</v>
      </c>
      <c r="N537" s="53">
        <f>tkj!$AV$63</f>
        <v>83</v>
      </c>
      <c r="O537" s="59"/>
      <c r="P537" s="55"/>
      <c r="Q537" s="55"/>
      <c r="R537" s="54">
        <f>tkj!$BR$63</f>
        <v>85</v>
      </c>
      <c r="S537" s="54">
        <f>tkj!$BV$63</f>
        <v>86</v>
      </c>
      <c r="T537" s="63"/>
      <c r="U537" s="54">
        <f>tkj!$CA$63</f>
        <v>86</v>
      </c>
      <c r="V537" s="58"/>
      <c r="X537" s="278">
        <v>63</v>
      </c>
    </row>
    <row r="538" spans="1:24">
      <c r="A538" s="268">
        <v>59</v>
      </c>
      <c r="B538" s="271"/>
      <c r="C538" s="274"/>
      <c r="D538" s="62" t="s">
        <v>298</v>
      </c>
      <c r="E538" s="53">
        <f>tkj!$I$63</f>
        <v>84</v>
      </c>
      <c r="F538" s="53">
        <f>tkj!$O$63</f>
        <v>93</v>
      </c>
      <c r="G538" s="53">
        <f>tkj!$U$63</f>
        <v>80</v>
      </c>
      <c r="H538" s="65"/>
      <c r="I538" s="65"/>
      <c r="J538" s="59"/>
      <c r="K538" s="59"/>
      <c r="L538" s="53">
        <f>tkj!$AK$63</f>
        <v>82</v>
      </c>
      <c r="M538" s="53">
        <f>tkj!$AQ$63</f>
        <v>80</v>
      </c>
      <c r="N538" s="53">
        <f>tkj!$AW$63</f>
        <v>80</v>
      </c>
      <c r="O538" s="59"/>
      <c r="P538" s="55"/>
      <c r="Q538" s="55"/>
      <c r="R538" s="54">
        <f>tkj!$BS$63</f>
        <v>81.333333333333329</v>
      </c>
      <c r="S538" s="54">
        <f>tkj!$BW$63</f>
        <v>89</v>
      </c>
      <c r="T538" s="54"/>
      <c r="U538" s="54">
        <f>tkj!$CB$63</f>
        <v>89</v>
      </c>
      <c r="V538" s="58"/>
      <c r="X538" s="278">
        <v>63</v>
      </c>
    </row>
    <row r="539" spans="1:24">
      <c r="A539" s="268">
        <v>59</v>
      </c>
      <c r="B539" s="271"/>
      <c r="C539" s="274"/>
      <c r="D539" s="66" t="s">
        <v>299</v>
      </c>
      <c r="E539" s="67">
        <f>AVERAGE(E534:E538)</f>
        <v>88.8</v>
      </c>
      <c r="F539" s="67">
        <f>AVERAGE(F534:F538)</f>
        <v>89</v>
      </c>
      <c r="G539" s="67">
        <f>AVERAGE(G534:G538)</f>
        <v>82.8</v>
      </c>
      <c r="H539" s="68"/>
      <c r="I539" s="68"/>
      <c r="J539" s="69"/>
      <c r="K539" s="69"/>
      <c r="L539" s="67">
        <f>AVERAGE(L534:L538)</f>
        <v>82</v>
      </c>
      <c r="M539" s="67">
        <f>AVERAGE(M534:M538)</f>
        <v>75.2</v>
      </c>
      <c r="N539" s="67">
        <f>AVERAGE(N534:N538)</f>
        <v>81</v>
      </c>
      <c r="O539" s="69"/>
      <c r="P539" s="63"/>
      <c r="Q539" s="63"/>
      <c r="R539" s="84">
        <f>AVERAGE(R536:R538)</f>
        <v>82.888888888888872</v>
      </c>
      <c r="S539" s="84">
        <f>AVERAGE(S536:S538)</f>
        <v>87</v>
      </c>
      <c r="T539" s="63"/>
      <c r="U539" s="84">
        <f>AVERAGE(U534:U538)</f>
        <v>82.333333333333329</v>
      </c>
      <c r="V539" s="58"/>
      <c r="X539" s="278">
        <v>63</v>
      </c>
    </row>
    <row r="540" spans="1:24">
      <c r="A540" s="268">
        <v>59</v>
      </c>
      <c r="B540" s="271"/>
      <c r="C540" s="274"/>
      <c r="D540" s="70" t="s">
        <v>300</v>
      </c>
      <c r="E540" s="71">
        <f>tkj!$J$63</f>
        <v>95</v>
      </c>
      <c r="F540" s="71">
        <f>tkj!$P$63</f>
        <v>95</v>
      </c>
      <c r="G540" s="71">
        <f>tkj!$V$63</f>
        <v>92</v>
      </c>
      <c r="H540" s="72"/>
      <c r="I540" s="72"/>
      <c r="J540" s="73"/>
      <c r="K540" s="73"/>
      <c r="L540" s="71">
        <f>tkj!$AL$63</f>
        <v>92</v>
      </c>
      <c r="M540" s="71">
        <f>tkj!$AR$63</f>
        <v>95</v>
      </c>
      <c r="N540" s="71">
        <f>tkj!$AX$63</f>
        <v>95</v>
      </c>
      <c r="O540" s="73"/>
      <c r="P540" s="74"/>
      <c r="Q540" s="74"/>
      <c r="R540" s="85">
        <f>tkj!$BT$63</f>
        <v>95</v>
      </c>
      <c r="S540" s="85">
        <f>tkj!$BX$63</f>
        <v>95</v>
      </c>
      <c r="T540" s="85">
        <f>tkj!$BY$63</f>
        <v>94</v>
      </c>
      <c r="U540" s="75">
        <f>tkj!$CC$63</f>
        <v>95</v>
      </c>
      <c r="V540" s="58"/>
      <c r="X540" s="278">
        <v>63</v>
      </c>
    </row>
    <row r="541" spans="1:24">
      <c r="A541" s="268">
        <v>59</v>
      </c>
      <c r="B541" s="271"/>
      <c r="C541" s="274"/>
      <c r="D541" s="76" t="s">
        <v>301</v>
      </c>
      <c r="E541" s="77">
        <f>tkj!$CD$63</f>
        <v>90</v>
      </c>
      <c r="F541" s="77">
        <f>tkj!$CE$63</f>
        <v>95</v>
      </c>
      <c r="G541" s="77">
        <f>tkj!$CF$63</f>
        <v>78</v>
      </c>
      <c r="H541" s="72"/>
      <c r="I541" s="72"/>
      <c r="J541" s="73"/>
      <c r="K541" s="73"/>
      <c r="L541" s="77">
        <f>tkj!$CG$63</f>
        <v>92</v>
      </c>
      <c r="M541" s="77">
        <f>tkj!$CH$63</f>
        <v>80</v>
      </c>
      <c r="N541" s="77">
        <f>tkj!$CI$63</f>
        <v>85</v>
      </c>
      <c r="O541" s="73"/>
      <c r="P541" s="74"/>
      <c r="Q541" s="74"/>
      <c r="R541" s="86">
        <f>tkj!$CL$63</f>
        <v>87</v>
      </c>
      <c r="S541" s="86">
        <f>tkj!$CK$63</f>
        <v>93</v>
      </c>
      <c r="T541" s="74"/>
      <c r="U541" s="86">
        <f>tkj!$CJ$63</f>
        <v>82</v>
      </c>
      <c r="V541" s="58"/>
      <c r="X541" s="278">
        <v>63</v>
      </c>
    </row>
    <row r="542" spans="1:24" ht="15" thickBot="1">
      <c r="A542" s="269">
        <v>59</v>
      </c>
      <c r="B542" s="272"/>
      <c r="C542" s="275"/>
      <c r="D542" s="78" t="s">
        <v>302</v>
      </c>
      <c r="E542" s="79">
        <f>(E539*4+E540*3+E541*3)/10</f>
        <v>91.02000000000001</v>
      </c>
      <c r="F542" s="79">
        <f t="shared" ref="F542:G542" si="113">(F539*4+F540*3+F541*3)/10</f>
        <v>92.6</v>
      </c>
      <c r="G542" s="79">
        <f t="shared" si="113"/>
        <v>84.12</v>
      </c>
      <c r="H542" s="79">
        <f>AVERAGE(H534:H537)</f>
        <v>83.25</v>
      </c>
      <c r="I542" s="79">
        <f>AVERAGE(I534:I537)</f>
        <v>79.25</v>
      </c>
      <c r="J542" s="79">
        <f>AVERAGE(J534:J535)</f>
        <v>85.5</v>
      </c>
      <c r="K542" s="79">
        <f>AVERAGE(K534:K537)</f>
        <v>82.25</v>
      </c>
      <c r="L542" s="79">
        <f>(L539*4+L540*3+L541*3)/10</f>
        <v>88</v>
      </c>
      <c r="M542" s="79">
        <f>(M539*4+M540*3+M541*3)/10</f>
        <v>82.58</v>
      </c>
      <c r="N542" s="79">
        <f>(N539*4+N540*3+N541*3)/10</f>
        <v>86.4</v>
      </c>
      <c r="O542" s="79">
        <f>AVERAGE(O534:O535)</f>
        <v>84.5</v>
      </c>
      <c r="P542" s="79">
        <f>AVERAGE(P534:P535)</f>
        <v>89.5</v>
      </c>
      <c r="Q542" s="79">
        <f>AVERAGE(Q534:Q535)</f>
        <v>80</v>
      </c>
      <c r="R542" s="79">
        <f>(R539*4+R540*3+R541*3)/10</f>
        <v>87.755555555555546</v>
      </c>
      <c r="S542" s="79">
        <f>(S539*4+S540*3+S541*3)/10</f>
        <v>91.2</v>
      </c>
      <c r="T542" s="79">
        <f>T540</f>
        <v>94</v>
      </c>
      <c r="U542" s="79">
        <f t="shared" ref="U542" si="114">(U539*4+U540*3+U541*3)/10</f>
        <v>86.033333333333331</v>
      </c>
      <c r="V542" s="80">
        <f>AVERAGE(E542:U542)</f>
        <v>86.350522875816992</v>
      </c>
      <c r="X542" s="278">
        <v>63</v>
      </c>
    </row>
    <row r="543" spans="1:24" ht="15.6" thickTop="1" thickBot="1">
      <c r="A543" s="268">
        <v>60</v>
      </c>
      <c r="B543" s="270" t="s">
        <v>371</v>
      </c>
      <c r="C543" s="273" t="s">
        <v>172</v>
      </c>
      <c r="D543" s="52" t="s">
        <v>294</v>
      </c>
      <c r="E543" s="53">
        <f>tkj!$E$64</f>
        <v>88</v>
      </c>
      <c r="F543" s="53">
        <f>tkj!$K$64</f>
        <v>82</v>
      </c>
      <c r="G543" s="53">
        <f>tkj!$Q$64</f>
        <v>81</v>
      </c>
      <c r="H543" s="53">
        <f>tkj!$W$64</f>
        <v>82</v>
      </c>
      <c r="I543" s="53">
        <f>tkj!$AA$64</f>
        <v>78</v>
      </c>
      <c r="J543" s="53">
        <f>tkj!$AE$64</f>
        <v>84</v>
      </c>
      <c r="K543" s="54">
        <f>tkj!$AG$64</f>
        <v>85</v>
      </c>
      <c r="L543" s="55"/>
      <c r="M543" s="53">
        <f>tkj!$AM$64</f>
        <v>75</v>
      </c>
      <c r="N543" s="53">
        <f>tkj!$AS$64</f>
        <v>85</v>
      </c>
      <c r="O543" s="53">
        <f>tkj!$AY$64</f>
        <v>83</v>
      </c>
      <c r="P543" s="54">
        <f>tkj!$BA$64</f>
        <v>86</v>
      </c>
      <c r="Q543" s="54">
        <f>tkj!$BC$64</f>
        <v>84</v>
      </c>
      <c r="R543" s="55"/>
      <c r="S543" s="55"/>
      <c r="T543" s="55"/>
      <c r="U543" s="55"/>
      <c r="V543" s="56"/>
      <c r="X543" s="278">
        <v>64</v>
      </c>
    </row>
    <row r="544" spans="1:24" ht="15" thickBot="1">
      <c r="A544" s="268">
        <v>60</v>
      </c>
      <c r="B544" s="271"/>
      <c r="C544" s="274"/>
      <c r="D544" s="52" t="s">
        <v>295</v>
      </c>
      <c r="E544" s="53">
        <f>tkj!$F$64</f>
        <v>94</v>
      </c>
      <c r="F544" s="53">
        <f>tkj!$L$64</f>
        <v>74</v>
      </c>
      <c r="G544" s="53">
        <f>tkj!$R$64</f>
        <v>83</v>
      </c>
      <c r="H544" s="53">
        <f>tkj!$X$64</f>
        <v>84</v>
      </c>
      <c r="I544" s="53">
        <f>tkj!$AB$64</f>
        <v>85</v>
      </c>
      <c r="J544" s="53">
        <f>tkj!$AF$64</f>
        <v>85</v>
      </c>
      <c r="K544" s="54">
        <f>tkj!$AH$64</f>
        <v>80</v>
      </c>
      <c r="L544" s="55"/>
      <c r="M544" s="53">
        <f>tkj!$AN$64</f>
        <v>76</v>
      </c>
      <c r="N544" s="53">
        <f>tkj!$AT$64</f>
        <v>78</v>
      </c>
      <c r="O544" s="53">
        <f>tkj!$AZ$64</f>
        <v>94</v>
      </c>
      <c r="P544" s="54">
        <f>tkj!$BB$64</f>
        <v>87</v>
      </c>
      <c r="Q544" s="54">
        <f>tkj!$BD$64</f>
        <v>77</v>
      </c>
      <c r="R544" s="55"/>
      <c r="S544" s="55"/>
      <c r="T544" s="55"/>
      <c r="U544" s="55"/>
      <c r="V544" s="58"/>
      <c r="X544" s="278">
        <v>64</v>
      </c>
    </row>
    <row r="545" spans="1:24" ht="15" thickBot="1">
      <c r="A545" s="268">
        <v>60</v>
      </c>
      <c r="B545" s="271"/>
      <c r="C545" s="274"/>
      <c r="D545" s="52" t="s">
        <v>296</v>
      </c>
      <c r="E545" s="53">
        <f>tkj!$G$64</f>
        <v>88</v>
      </c>
      <c r="F545" s="53">
        <f>tkj!$M$64</f>
        <v>95</v>
      </c>
      <c r="G545" s="53">
        <f>tkj!$S$64</f>
        <v>85</v>
      </c>
      <c r="H545" s="53">
        <f>tkj!$Y$64</f>
        <v>80</v>
      </c>
      <c r="I545" s="53">
        <f>tkj!$AC$64</f>
        <v>82</v>
      </c>
      <c r="J545" s="59"/>
      <c r="K545" s="54">
        <f>tkj!$AI$64</f>
        <v>76</v>
      </c>
      <c r="L545" s="55"/>
      <c r="M545" s="53">
        <f>tkj!$AO$64</f>
        <v>79</v>
      </c>
      <c r="N545" s="53">
        <f>tkj!$AU$64</f>
        <v>80</v>
      </c>
      <c r="O545" s="59"/>
      <c r="P545" s="55"/>
      <c r="Q545" s="55"/>
      <c r="R545" s="54">
        <f>tkj!$BQ$64</f>
        <v>83</v>
      </c>
      <c r="S545" s="54">
        <f>tkj!$BU$64</f>
        <v>86</v>
      </c>
      <c r="T545" s="55"/>
      <c r="U545" s="54">
        <f>tkj!$BZ$64</f>
        <v>79</v>
      </c>
      <c r="V545" s="58"/>
      <c r="X545" s="278">
        <v>64</v>
      </c>
    </row>
    <row r="546" spans="1:24" ht="15" thickBot="1">
      <c r="A546" s="268">
        <v>60</v>
      </c>
      <c r="B546" s="271"/>
      <c r="C546" s="274"/>
      <c r="D546" s="62" t="s">
        <v>297</v>
      </c>
      <c r="E546" s="53">
        <f>tkj!$H$64</f>
        <v>84</v>
      </c>
      <c r="F546" s="53">
        <f>tkj!$N$64</f>
        <v>95</v>
      </c>
      <c r="G546" s="53">
        <f>tkj!$T$64</f>
        <v>85</v>
      </c>
      <c r="H546" s="53">
        <f>tkj!$Z$64</f>
        <v>85</v>
      </c>
      <c r="I546" s="53">
        <f>tkj!$AD$64</f>
        <v>83</v>
      </c>
      <c r="J546" s="59"/>
      <c r="K546" s="54">
        <f>tkj!$AJ$64</f>
        <v>84</v>
      </c>
      <c r="L546" s="55"/>
      <c r="M546" s="53">
        <f>tkj!$AP$64</f>
        <v>80</v>
      </c>
      <c r="N546" s="53">
        <f>tkj!$AV$64</f>
        <v>82</v>
      </c>
      <c r="O546" s="59"/>
      <c r="P546" s="55"/>
      <c r="Q546" s="55"/>
      <c r="R546" s="54">
        <f>tkj!$BR$64</f>
        <v>85.333333333333329</v>
      </c>
      <c r="S546" s="54">
        <f>tkj!$BV$64</f>
        <v>86</v>
      </c>
      <c r="T546" s="63"/>
      <c r="U546" s="54">
        <f>tkj!$CA$64</f>
        <v>89</v>
      </c>
      <c r="V546" s="58"/>
      <c r="X546" s="278">
        <v>64</v>
      </c>
    </row>
    <row r="547" spans="1:24">
      <c r="A547" s="268">
        <v>60</v>
      </c>
      <c r="B547" s="271"/>
      <c r="C547" s="274"/>
      <c r="D547" s="62" t="s">
        <v>298</v>
      </c>
      <c r="E547" s="53">
        <f>tkj!$I$64</f>
        <v>89</v>
      </c>
      <c r="F547" s="53">
        <f>tkj!$O$64</f>
        <v>95</v>
      </c>
      <c r="G547" s="53">
        <f>tkj!$U$64</f>
        <v>86</v>
      </c>
      <c r="H547" s="65"/>
      <c r="I547" s="65"/>
      <c r="J547" s="59"/>
      <c r="K547" s="59"/>
      <c r="L547" s="53">
        <f>tkj!$AK$64</f>
        <v>80</v>
      </c>
      <c r="M547" s="53">
        <f>tkj!$AQ$64</f>
        <v>80</v>
      </c>
      <c r="N547" s="53">
        <f>tkj!$AW$64</f>
        <v>80</v>
      </c>
      <c r="O547" s="59"/>
      <c r="P547" s="55"/>
      <c r="Q547" s="55"/>
      <c r="R547" s="54">
        <f>tkj!$BS$64</f>
        <v>84.333333333333329</v>
      </c>
      <c r="S547" s="54">
        <f>tkj!$BW$64</f>
        <v>90</v>
      </c>
      <c r="T547" s="54"/>
      <c r="U547" s="54">
        <f>tkj!$CB$64</f>
        <v>80</v>
      </c>
      <c r="V547" s="58"/>
      <c r="X547" s="278">
        <v>64</v>
      </c>
    </row>
    <row r="548" spans="1:24">
      <c r="A548" s="268">
        <v>60</v>
      </c>
      <c r="B548" s="271"/>
      <c r="C548" s="274"/>
      <c r="D548" s="66" t="s">
        <v>299</v>
      </c>
      <c r="E548" s="67">
        <f>AVERAGE(E543:E547)</f>
        <v>88.6</v>
      </c>
      <c r="F548" s="67">
        <f>AVERAGE(F543:F547)</f>
        <v>88.2</v>
      </c>
      <c r="G548" s="67">
        <f>AVERAGE(G543:G547)</f>
        <v>84</v>
      </c>
      <c r="H548" s="68"/>
      <c r="I548" s="68"/>
      <c r="J548" s="69"/>
      <c r="K548" s="69"/>
      <c r="L548" s="67">
        <f>AVERAGE(L543:L547)</f>
        <v>80</v>
      </c>
      <c r="M548" s="67">
        <f>AVERAGE(M543:M547)</f>
        <v>78</v>
      </c>
      <c r="N548" s="67">
        <f>AVERAGE(N543:N547)</f>
        <v>81</v>
      </c>
      <c r="O548" s="69"/>
      <c r="P548" s="63"/>
      <c r="Q548" s="63"/>
      <c r="R548" s="84">
        <f>AVERAGE(R545:R547)</f>
        <v>84.222222222222214</v>
      </c>
      <c r="S548" s="84">
        <f>AVERAGE(S545:S547)</f>
        <v>87.333333333333329</v>
      </c>
      <c r="T548" s="63"/>
      <c r="U548" s="84">
        <f>AVERAGE(U543:U547)</f>
        <v>82.666666666666671</v>
      </c>
      <c r="V548" s="58"/>
      <c r="X548" s="278">
        <v>64</v>
      </c>
    </row>
    <row r="549" spans="1:24">
      <c r="A549" s="268">
        <v>60</v>
      </c>
      <c r="B549" s="271"/>
      <c r="C549" s="274"/>
      <c r="D549" s="70" t="s">
        <v>300</v>
      </c>
      <c r="E549" s="71">
        <f>tkj!$J$64</f>
        <v>85</v>
      </c>
      <c r="F549" s="71">
        <f>tkj!$P$64</f>
        <v>79</v>
      </c>
      <c r="G549" s="71">
        <f>tkj!$V$64</f>
        <v>78</v>
      </c>
      <c r="H549" s="72"/>
      <c r="I549" s="72"/>
      <c r="J549" s="73"/>
      <c r="K549" s="73"/>
      <c r="L549" s="71">
        <f>tkj!$AL$64</f>
        <v>78</v>
      </c>
      <c r="M549" s="71">
        <f>tkj!$AR$64</f>
        <v>81</v>
      </c>
      <c r="N549" s="71">
        <f>tkj!$AX$64</f>
        <v>81</v>
      </c>
      <c r="O549" s="73"/>
      <c r="P549" s="74"/>
      <c r="Q549" s="74"/>
      <c r="R549" s="85">
        <f>tkj!$BT$64</f>
        <v>79</v>
      </c>
      <c r="S549" s="85">
        <f>tkj!$BX$64</f>
        <v>79</v>
      </c>
      <c r="T549" s="85">
        <f>tkj!$BY$64</f>
        <v>80</v>
      </c>
      <c r="U549" s="75">
        <f>tkj!$CC$64</f>
        <v>81</v>
      </c>
      <c r="V549" s="58"/>
      <c r="X549" s="278">
        <v>64</v>
      </c>
    </row>
    <row r="550" spans="1:24">
      <c r="A550" s="268">
        <v>60</v>
      </c>
      <c r="B550" s="271"/>
      <c r="C550" s="274"/>
      <c r="D550" s="76" t="s">
        <v>301</v>
      </c>
      <c r="E550" s="77">
        <f>tkj!$CD$64</f>
        <v>87</v>
      </c>
      <c r="F550" s="77">
        <f>tkj!$CE$64</f>
        <v>95</v>
      </c>
      <c r="G550" s="77">
        <f>tkj!$CF$64</f>
        <v>84</v>
      </c>
      <c r="H550" s="72"/>
      <c r="I550" s="72"/>
      <c r="J550" s="73"/>
      <c r="K550" s="73"/>
      <c r="L550" s="77">
        <f>tkj!$CG$64</f>
        <v>95</v>
      </c>
      <c r="M550" s="77">
        <f>tkj!$CH$64</f>
        <v>80</v>
      </c>
      <c r="N550" s="77">
        <f>tkj!$CI$64</f>
        <v>83</v>
      </c>
      <c r="O550" s="73"/>
      <c r="P550" s="74"/>
      <c r="Q550" s="74"/>
      <c r="R550" s="86">
        <f>tkj!$CL$64</f>
        <v>95</v>
      </c>
      <c r="S550" s="86">
        <f>tkj!$CK$64</f>
        <v>79</v>
      </c>
      <c r="T550" s="74"/>
      <c r="U550" s="86">
        <f>tkj!$CJ$64</f>
        <v>83</v>
      </c>
      <c r="V550" s="58"/>
      <c r="X550" s="278">
        <v>64</v>
      </c>
    </row>
    <row r="551" spans="1:24" ht="15" thickBot="1">
      <c r="A551" s="269">
        <v>60</v>
      </c>
      <c r="B551" s="272"/>
      <c r="C551" s="275"/>
      <c r="D551" s="78" t="s">
        <v>302</v>
      </c>
      <c r="E551" s="79">
        <f>(E548*4+E549*3+E550*3)/10</f>
        <v>87.039999999999992</v>
      </c>
      <c r="F551" s="79">
        <f t="shared" ref="F551:G551" si="115">(F548*4+F549*3+F550*3)/10</f>
        <v>87.47999999999999</v>
      </c>
      <c r="G551" s="79">
        <f t="shared" si="115"/>
        <v>82.2</v>
      </c>
      <c r="H551" s="79">
        <f>AVERAGE(H543:H546)</f>
        <v>82.75</v>
      </c>
      <c r="I551" s="79">
        <f>AVERAGE(I543:I546)</f>
        <v>82</v>
      </c>
      <c r="J551" s="79">
        <f>AVERAGE(J543:J544)</f>
        <v>84.5</v>
      </c>
      <c r="K551" s="79">
        <f>AVERAGE(K543:K546)</f>
        <v>81.25</v>
      </c>
      <c r="L551" s="79">
        <f>(L548*4+L549*3+L550*3)/10</f>
        <v>83.9</v>
      </c>
      <c r="M551" s="79">
        <f>(M548*4+M549*3+M550*3)/10</f>
        <v>79.5</v>
      </c>
      <c r="N551" s="79">
        <f>(N548*4+N549*3+N550*3)/10</f>
        <v>81.599999999999994</v>
      </c>
      <c r="O551" s="79">
        <f>AVERAGE(O543:O544)</f>
        <v>88.5</v>
      </c>
      <c r="P551" s="79">
        <f>AVERAGE(P543:P544)</f>
        <v>86.5</v>
      </c>
      <c r="Q551" s="79">
        <f>AVERAGE(Q543:Q544)</f>
        <v>80.5</v>
      </c>
      <c r="R551" s="79">
        <f>(R548*4+R549*3+R550*3)/10</f>
        <v>85.888888888888886</v>
      </c>
      <c r="S551" s="79">
        <f>(S548*4+S549*3+S550*3)/10</f>
        <v>82.333333333333329</v>
      </c>
      <c r="T551" s="79">
        <f>T549</f>
        <v>80</v>
      </c>
      <c r="U551" s="79">
        <f t="shared" ref="U551" si="116">(U548*4+U549*3+U550*3)/10</f>
        <v>82.26666666666668</v>
      </c>
      <c r="V551" s="80">
        <f>AVERAGE(E551:U551)</f>
        <v>83.424052287581702</v>
      </c>
      <c r="X551" s="278">
        <v>64</v>
      </c>
    </row>
    <row r="552" spans="1:24" ht="18" customHeight="1" thickTop="1" thickBot="1">
      <c r="A552" s="268">
        <v>61</v>
      </c>
      <c r="B552" s="270" t="s">
        <v>372</v>
      </c>
      <c r="C552" s="273" t="s">
        <v>174</v>
      </c>
      <c r="D552" s="52" t="s">
        <v>294</v>
      </c>
      <c r="E552" s="53">
        <f>tkj!$E$65</f>
        <v>80</v>
      </c>
      <c r="F552" s="53">
        <f>tkj!$K$65</f>
        <v>78</v>
      </c>
      <c r="G552" s="53">
        <f>tkj!$Q$65</f>
        <v>80</v>
      </c>
      <c r="H552" s="53">
        <f>tkj!$W$65</f>
        <v>82</v>
      </c>
      <c r="I552" s="53">
        <f>tkj!$AA$65</f>
        <v>76</v>
      </c>
      <c r="J552" s="53">
        <f>tkj!$AE$65</f>
        <v>81</v>
      </c>
      <c r="K552" s="54">
        <f>tkj!$AG$65</f>
        <v>76</v>
      </c>
      <c r="L552" s="55"/>
      <c r="M552" s="53">
        <f>tkj!$AM$65</f>
        <v>71</v>
      </c>
      <c r="N552" s="53">
        <f>tkj!$AS$65</f>
        <v>79</v>
      </c>
      <c r="O552" s="53">
        <f>tkj!$AY$65</f>
        <v>76</v>
      </c>
      <c r="P552" s="54">
        <f>tkj!$BA$65</f>
        <v>70</v>
      </c>
      <c r="Q552" s="54">
        <f>tkj!$BC$65</f>
        <v>80</v>
      </c>
      <c r="R552" s="55"/>
      <c r="S552" s="55"/>
      <c r="T552" s="55"/>
      <c r="U552" s="55"/>
      <c r="V552" s="56"/>
      <c r="X552" s="278">
        <v>65</v>
      </c>
    </row>
    <row r="553" spans="1:24" ht="15" thickBot="1">
      <c r="A553" s="268">
        <v>61</v>
      </c>
      <c r="B553" s="271"/>
      <c r="C553" s="274"/>
      <c r="D553" s="52" t="s">
        <v>295</v>
      </c>
      <c r="E553" s="53">
        <f>tkj!$F$65</f>
        <v>82</v>
      </c>
      <c r="F553" s="53">
        <f>tkj!$L$65</f>
        <v>80</v>
      </c>
      <c r="G553" s="53">
        <f>tkj!$R$65</f>
        <v>77</v>
      </c>
      <c r="H553" s="53">
        <f>tkj!$X$65</f>
        <v>84</v>
      </c>
      <c r="I553" s="53">
        <f>tkj!$AB$65</f>
        <v>82</v>
      </c>
      <c r="J553" s="53">
        <f>tkj!$AF$65</f>
        <v>81</v>
      </c>
      <c r="K553" s="54">
        <f>tkj!$AH$65</f>
        <v>71</v>
      </c>
      <c r="L553" s="55"/>
      <c r="M553" s="53">
        <f>tkj!$AN$65</f>
        <v>73</v>
      </c>
      <c r="N553" s="53">
        <f>tkj!$AT$65</f>
        <v>80</v>
      </c>
      <c r="O553" s="53">
        <f>tkj!$AZ$65</f>
        <v>77</v>
      </c>
      <c r="P553" s="54">
        <f>tkj!$BB$65</f>
        <v>81</v>
      </c>
      <c r="Q553" s="54">
        <f>tkj!$BD$65</f>
        <v>70</v>
      </c>
      <c r="R553" s="55"/>
      <c r="S553" s="55"/>
      <c r="T553" s="55"/>
      <c r="U553" s="55"/>
      <c r="V553" s="58"/>
      <c r="X553" s="278">
        <v>65</v>
      </c>
    </row>
    <row r="554" spans="1:24" ht="15" thickBot="1">
      <c r="A554" s="268">
        <v>61</v>
      </c>
      <c r="B554" s="271"/>
      <c r="C554" s="274"/>
      <c r="D554" s="52" t="s">
        <v>296</v>
      </c>
      <c r="E554" s="53">
        <f>tkj!$G$65</f>
        <v>87</v>
      </c>
      <c r="F554" s="53">
        <f>tkj!$M$65</f>
        <v>76</v>
      </c>
      <c r="G554" s="53">
        <f>tkj!$S$65</f>
        <v>71</v>
      </c>
      <c r="H554" s="53">
        <f>tkj!$Y$65</f>
        <v>80</v>
      </c>
      <c r="I554" s="53">
        <f>tkj!$AC$65</f>
        <v>70</v>
      </c>
      <c r="J554" s="59"/>
      <c r="K554" s="54">
        <f>tkj!$AI$65</f>
        <v>70</v>
      </c>
      <c r="L554" s="55"/>
      <c r="M554" s="53">
        <f>tkj!$AO$65</f>
        <v>72</v>
      </c>
      <c r="N554" s="53">
        <f>tkj!$AU$65</f>
        <v>78</v>
      </c>
      <c r="O554" s="59"/>
      <c r="P554" s="55"/>
      <c r="Q554" s="55"/>
      <c r="R554" s="54">
        <f>tkj!$BQ$65</f>
        <v>73.666666666666671</v>
      </c>
      <c r="S554" s="54">
        <f>tkj!$BU$65</f>
        <v>86</v>
      </c>
      <c r="T554" s="55"/>
      <c r="U554" s="54">
        <f>tkj!$BZ$65</f>
        <v>70</v>
      </c>
      <c r="V554" s="58"/>
      <c r="X554" s="278">
        <v>65</v>
      </c>
    </row>
    <row r="555" spans="1:24" ht="15" thickBot="1">
      <c r="A555" s="268">
        <v>61</v>
      </c>
      <c r="B555" s="271"/>
      <c r="C555" s="274"/>
      <c r="D555" s="62" t="s">
        <v>297</v>
      </c>
      <c r="E555" s="53">
        <f>tkj!$H$65</f>
        <v>81</v>
      </c>
      <c r="F555" s="53">
        <f>tkj!$N$65</f>
        <v>79</v>
      </c>
      <c r="G555" s="53">
        <f>tkj!$T$65</f>
        <v>71</v>
      </c>
      <c r="H555" s="53">
        <f>tkj!$Z$65</f>
        <v>84</v>
      </c>
      <c r="I555" s="53">
        <f>tkj!$AD$65</f>
        <v>78</v>
      </c>
      <c r="J555" s="59"/>
      <c r="K555" s="54">
        <f>tkj!$AJ$65</f>
        <v>81</v>
      </c>
      <c r="L555" s="55"/>
      <c r="M555" s="53">
        <f>tkj!$AP$65</f>
        <v>73</v>
      </c>
      <c r="N555" s="53">
        <f>tkj!$AV$65</f>
        <v>80</v>
      </c>
      <c r="O555" s="59"/>
      <c r="P555" s="55"/>
      <c r="Q555" s="55"/>
      <c r="R555" s="54">
        <f>tkj!$BR$65</f>
        <v>71.666666666666671</v>
      </c>
      <c r="S555" s="54">
        <f>tkj!$BV$65</f>
        <v>86</v>
      </c>
      <c r="T555" s="63"/>
      <c r="U555" s="54">
        <f>tkj!$CA$65</f>
        <v>74</v>
      </c>
      <c r="V555" s="58"/>
      <c r="X555" s="278">
        <v>65</v>
      </c>
    </row>
    <row r="556" spans="1:24">
      <c r="A556" s="268">
        <v>61</v>
      </c>
      <c r="B556" s="271"/>
      <c r="C556" s="274"/>
      <c r="D556" s="62" t="s">
        <v>298</v>
      </c>
      <c r="E556" s="53">
        <f>tkj!$I$65</f>
        <v>84</v>
      </c>
      <c r="F556" s="53">
        <f>tkj!$O$65</f>
        <v>79</v>
      </c>
      <c r="G556" s="53">
        <f>tkj!$U$65</f>
        <v>80</v>
      </c>
      <c r="H556" s="65"/>
      <c r="I556" s="65"/>
      <c r="J556" s="59"/>
      <c r="K556" s="59"/>
      <c r="L556" s="53">
        <f>tkj!$AK$65</f>
        <v>80</v>
      </c>
      <c r="M556" s="53">
        <f>tkj!$AQ$65</f>
        <v>80</v>
      </c>
      <c r="N556" s="53">
        <f>tkj!$AW$65</f>
        <v>80</v>
      </c>
      <c r="O556" s="59"/>
      <c r="P556" s="55"/>
      <c r="Q556" s="55"/>
      <c r="R556" s="54">
        <f>tkj!$BS$65</f>
        <v>80.333333333333329</v>
      </c>
      <c r="S556" s="54">
        <f>tkj!$BW$65</f>
        <v>86</v>
      </c>
      <c r="T556" s="54"/>
      <c r="U556" s="54">
        <f>tkj!$CB$65</f>
        <v>75</v>
      </c>
      <c r="V556" s="58"/>
      <c r="X556" s="278">
        <v>65</v>
      </c>
    </row>
    <row r="557" spans="1:24">
      <c r="A557" s="268">
        <v>61</v>
      </c>
      <c r="B557" s="271"/>
      <c r="C557" s="274"/>
      <c r="D557" s="66" t="s">
        <v>299</v>
      </c>
      <c r="E557" s="67">
        <f>AVERAGE(E552:E556)</f>
        <v>82.8</v>
      </c>
      <c r="F557" s="67">
        <f>AVERAGE(F552:F556)</f>
        <v>78.400000000000006</v>
      </c>
      <c r="G557" s="67">
        <f>AVERAGE(G552:G556)</f>
        <v>75.8</v>
      </c>
      <c r="H557" s="68"/>
      <c r="I557" s="68"/>
      <c r="J557" s="69"/>
      <c r="K557" s="69"/>
      <c r="L557" s="67">
        <f>AVERAGE(L552:L556)</f>
        <v>80</v>
      </c>
      <c r="M557" s="67">
        <f>AVERAGE(M552:M556)</f>
        <v>73.8</v>
      </c>
      <c r="N557" s="67">
        <f>AVERAGE(N552:N556)</f>
        <v>79.400000000000006</v>
      </c>
      <c r="O557" s="69"/>
      <c r="P557" s="63"/>
      <c r="Q557" s="63"/>
      <c r="R557" s="84">
        <f>AVERAGE(R554:R556)</f>
        <v>75.222222222222229</v>
      </c>
      <c r="S557" s="84">
        <f>AVERAGE(S554:S556)</f>
        <v>86</v>
      </c>
      <c r="T557" s="63"/>
      <c r="U557" s="84">
        <f>AVERAGE(U552:U556)</f>
        <v>73</v>
      </c>
      <c r="V557" s="58"/>
      <c r="X557" s="278">
        <v>65</v>
      </c>
    </row>
    <row r="558" spans="1:24">
      <c r="A558" s="268">
        <v>61</v>
      </c>
      <c r="B558" s="271"/>
      <c r="C558" s="274"/>
      <c r="D558" s="70" t="s">
        <v>300</v>
      </c>
      <c r="E558" s="71">
        <f>tkj!$J$65</f>
        <v>78</v>
      </c>
      <c r="F558" s="71">
        <f>tkj!$P$65</f>
        <v>78</v>
      </c>
      <c r="G558" s="71">
        <f>tkj!$V$65</f>
        <v>76</v>
      </c>
      <c r="H558" s="72"/>
      <c r="I558" s="72"/>
      <c r="J558" s="73"/>
      <c r="K558" s="73"/>
      <c r="L558" s="71">
        <f>tkj!$AL$65</f>
        <v>76</v>
      </c>
      <c r="M558" s="71">
        <f>tkj!$AR$65</f>
        <v>77</v>
      </c>
      <c r="N558" s="71">
        <f>tkj!$AX$65</f>
        <v>77</v>
      </c>
      <c r="O558" s="73"/>
      <c r="P558" s="74"/>
      <c r="Q558" s="74"/>
      <c r="R558" s="85">
        <f>tkj!$BT$65</f>
        <v>78</v>
      </c>
      <c r="S558" s="85">
        <f>tkj!$BX$65</f>
        <v>78</v>
      </c>
      <c r="T558" s="85">
        <f>tkj!$BY$65</f>
        <v>77</v>
      </c>
      <c r="U558" s="75">
        <f>tkj!$CC$65</f>
        <v>77</v>
      </c>
      <c r="V558" s="58"/>
      <c r="X558" s="278">
        <v>65</v>
      </c>
    </row>
    <row r="559" spans="1:24">
      <c r="A559" s="268">
        <v>61</v>
      </c>
      <c r="B559" s="271"/>
      <c r="C559" s="274"/>
      <c r="D559" s="76" t="s">
        <v>301</v>
      </c>
      <c r="E559" s="77">
        <f>tkj!$CD$65</f>
        <v>86</v>
      </c>
      <c r="F559" s="77">
        <f>tkj!$CE$65</f>
        <v>80</v>
      </c>
      <c r="G559" s="77">
        <f>tkj!$CF$65</f>
        <v>76</v>
      </c>
      <c r="H559" s="72"/>
      <c r="I559" s="72"/>
      <c r="J559" s="73"/>
      <c r="K559" s="73"/>
      <c r="L559" s="77">
        <f>tkj!$CG$65</f>
        <v>70</v>
      </c>
      <c r="M559" s="77">
        <f>tkj!$CH$65</f>
        <v>78</v>
      </c>
      <c r="N559" s="77">
        <f>tkj!$CI$65</f>
        <v>80</v>
      </c>
      <c r="O559" s="73"/>
      <c r="P559" s="74"/>
      <c r="Q559" s="74"/>
      <c r="R559" s="86">
        <f>tkj!$CL$65</f>
        <v>70</v>
      </c>
      <c r="S559" s="86">
        <f>tkj!$CK$65</f>
        <v>93</v>
      </c>
      <c r="T559" s="74"/>
      <c r="U559" s="86">
        <f>tkj!$CJ$65</f>
        <v>80</v>
      </c>
      <c r="V559" s="58"/>
      <c r="X559" s="278">
        <v>65</v>
      </c>
    </row>
    <row r="560" spans="1:24" ht="15" thickBot="1">
      <c r="A560" s="269">
        <v>61</v>
      </c>
      <c r="B560" s="272"/>
      <c r="C560" s="275"/>
      <c r="D560" s="78" t="s">
        <v>302</v>
      </c>
      <c r="E560" s="79">
        <f>(E557*4+E558*3+E559*3)/10</f>
        <v>82.320000000000007</v>
      </c>
      <c r="F560" s="79">
        <f t="shared" ref="F560:G560" si="117">(F557*4+F558*3+F559*3)/10</f>
        <v>78.760000000000005</v>
      </c>
      <c r="G560" s="79">
        <f t="shared" si="117"/>
        <v>75.92</v>
      </c>
      <c r="H560" s="79">
        <f>AVERAGE(H552:H555)</f>
        <v>82.5</v>
      </c>
      <c r="I560" s="79">
        <f>AVERAGE(I552:I555)</f>
        <v>76.5</v>
      </c>
      <c r="J560" s="79">
        <f>AVERAGE(J552:J553)</f>
        <v>81</v>
      </c>
      <c r="K560" s="79">
        <f>AVERAGE(K552:K555)</f>
        <v>74.5</v>
      </c>
      <c r="L560" s="79">
        <f>(L557*4+L558*3+L559*3)/10</f>
        <v>75.8</v>
      </c>
      <c r="M560" s="79">
        <f>(M557*4+M558*3+M559*3)/10</f>
        <v>76.02000000000001</v>
      </c>
      <c r="N560" s="79">
        <f>(N557*4+N558*3+N559*3)/10</f>
        <v>78.86</v>
      </c>
      <c r="O560" s="79">
        <f>AVERAGE(O552:O553)</f>
        <v>76.5</v>
      </c>
      <c r="P560" s="79">
        <f>AVERAGE(P552:P553)</f>
        <v>75.5</v>
      </c>
      <c r="Q560" s="79">
        <f>AVERAGE(Q552:Q553)</f>
        <v>75</v>
      </c>
      <c r="R560" s="79">
        <f>(R557*4+R558*3+R559*3)/10</f>
        <v>74.488888888888894</v>
      </c>
      <c r="S560" s="79">
        <f>(S557*4+S558*3+S559*3)/10</f>
        <v>85.7</v>
      </c>
      <c r="T560" s="79">
        <f>T558</f>
        <v>77</v>
      </c>
      <c r="U560" s="79">
        <f t="shared" ref="U560" si="118">(U557*4+U558*3+U559*3)/10</f>
        <v>76.3</v>
      </c>
      <c r="V560" s="80">
        <f>AVERAGE(E560:U560)</f>
        <v>77.804052287581698</v>
      </c>
      <c r="X560" s="278">
        <v>65</v>
      </c>
    </row>
    <row r="561" spans="1:24" ht="15.6" thickTop="1" thickBot="1">
      <c r="A561" s="268">
        <v>62</v>
      </c>
      <c r="B561" s="270" t="s">
        <v>373</v>
      </c>
      <c r="C561" s="273" t="s">
        <v>176</v>
      </c>
      <c r="D561" s="52" t="s">
        <v>294</v>
      </c>
      <c r="E561" s="53">
        <f>tkj!$E$66</f>
        <v>80</v>
      </c>
      <c r="F561" s="53">
        <f>tkj!$K$66</f>
        <v>81</v>
      </c>
      <c r="G561" s="53">
        <f>tkj!$Q$66</f>
        <v>78</v>
      </c>
      <c r="H561" s="53">
        <f>tkj!$W$66</f>
        <v>82</v>
      </c>
      <c r="I561" s="53">
        <f>tkj!$AA$66</f>
        <v>79</v>
      </c>
      <c r="J561" s="53">
        <f>tkj!$AE$66</f>
        <v>81</v>
      </c>
      <c r="K561" s="54">
        <f>tkj!$AG$66</f>
        <v>79</v>
      </c>
      <c r="L561" s="55"/>
      <c r="M561" s="53">
        <f>tkj!$AM$66</f>
        <v>76</v>
      </c>
      <c r="N561" s="53">
        <f>tkj!$AS$66</f>
        <v>78</v>
      </c>
      <c r="O561" s="53">
        <f>tkj!$AY$66</f>
        <v>89</v>
      </c>
      <c r="P561" s="54">
        <f>tkj!$BA$66</f>
        <v>77</v>
      </c>
      <c r="Q561" s="54">
        <f>tkj!$BC$66</f>
        <v>81</v>
      </c>
      <c r="R561" s="55"/>
      <c r="S561" s="55"/>
      <c r="T561" s="55"/>
      <c r="U561" s="55"/>
      <c r="V561" s="56"/>
      <c r="X561" s="278">
        <v>66</v>
      </c>
    </row>
    <row r="562" spans="1:24" ht="15" thickBot="1">
      <c r="A562" s="268">
        <v>62</v>
      </c>
      <c r="B562" s="271"/>
      <c r="C562" s="274"/>
      <c r="D562" s="52" t="s">
        <v>295</v>
      </c>
      <c r="E562" s="53">
        <f>tkj!$F$66</f>
        <v>85</v>
      </c>
      <c r="F562" s="53">
        <f>tkj!$L$66</f>
        <v>78</v>
      </c>
      <c r="G562" s="53">
        <f>tkj!$R$66</f>
        <v>83</v>
      </c>
      <c r="H562" s="53">
        <f>tkj!$X$66</f>
        <v>85</v>
      </c>
      <c r="I562" s="53">
        <f>tkj!$AB$66</f>
        <v>82</v>
      </c>
      <c r="J562" s="53">
        <f>tkj!$AF$66</f>
        <v>83</v>
      </c>
      <c r="K562" s="54">
        <f>tkj!$AH$66</f>
        <v>70</v>
      </c>
      <c r="L562" s="55"/>
      <c r="M562" s="53">
        <f>tkj!$AN$66</f>
        <v>82</v>
      </c>
      <c r="N562" s="53">
        <f>tkj!$AT$66</f>
        <v>83</v>
      </c>
      <c r="O562" s="53">
        <f>tkj!$AZ$66</f>
        <v>85</v>
      </c>
      <c r="P562" s="54">
        <f>tkj!$BB$66</f>
        <v>84</v>
      </c>
      <c r="Q562" s="54">
        <f>tkj!$BD$66</f>
        <v>83</v>
      </c>
      <c r="R562" s="55"/>
      <c r="S562" s="55"/>
      <c r="T562" s="55"/>
      <c r="U562" s="55"/>
      <c r="V562" s="58"/>
      <c r="X562" s="278">
        <v>66</v>
      </c>
    </row>
    <row r="563" spans="1:24" ht="15" thickBot="1">
      <c r="A563" s="268">
        <v>62</v>
      </c>
      <c r="B563" s="271"/>
      <c r="C563" s="274"/>
      <c r="D563" s="52" t="s">
        <v>296</v>
      </c>
      <c r="E563" s="53">
        <f>tkj!$G$66</f>
        <v>90</v>
      </c>
      <c r="F563" s="53">
        <f>tkj!$M$66</f>
        <v>92</v>
      </c>
      <c r="G563" s="53">
        <f>tkj!$S$66</f>
        <v>82</v>
      </c>
      <c r="H563" s="53">
        <f>tkj!$Y$66</f>
        <v>81</v>
      </c>
      <c r="I563" s="53">
        <f>tkj!$AC$66</f>
        <v>85</v>
      </c>
      <c r="J563" s="59"/>
      <c r="K563" s="54">
        <f>tkj!$AI$66</f>
        <v>74</v>
      </c>
      <c r="L563" s="55"/>
      <c r="M563" s="53">
        <f>tkj!$AO$66</f>
        <v>75</v>
      </c>
      <c r="N563" s="53">
        <f>tkj!$AU$66</f>
        <v>85</v>
      </c>
      <c r="O563" s="59"/>
      <c r="P563" s="55"/>
      <c r="Q563" s="55"/>
      <c r="R563" s="54">
        <f>tkj!$BQ$66</f>
        <v>84</v>
      </c>
      <c r="S563" s="54">
        <f>tkj!$BU$66</f>
        <v>86</v>
      </c>
      <c r="T563" s="55"/>
      <c r="U563" s="54">
        <f>tkj!$BZ$66</f>
        <v>82</v>
      </c>
      <c r="V563" s="58"/>
      <c r="X563" s="278">
        <v>66</v>
      </c>
    </row>
    <row r="564" spans="1:24" ht="15" thickBot="1">
      <c r="A564" s="268">
        <v>62</v>
      </c>
      <c r="B564" s="271"/>
      <c r="C564" s="274"/>
      <c r="D564" s="62" t="s">
        <v>297</v>
      </c>
      <c r="E564" s="53">
        <f>tkj!$H$66</f>
        <v>86</v>
      </c>
      <c r="F564" s="53">
        <f>tkj!$N$66</f>
        <v>90</v>
      </c>
      <c r="G564" s="53">
        <f>tkj!$T$66</f>
        <v>82</v>
      </c>
      <c r="H564" s="53">
        <f>tkj!$Z$66</f>
        <v>85</v>
      </c>
      <c r="I564" s="53">
        <f>tkj!$AD$66</f>
        <v>86</v>
      </c>
      <c r="J564" s="59"/>
      <c r="K564" s="54">
        <f>tkj!$AJ$66</f>
        <v>83</v>
      </c>
      <c r="L564" s="55"/>
      <c r="M564" s="53">
        <f>tkj!$AP$66</f>
        <v>76</v>
      </c>
      <c r="N564" s="53">
        <f>tkj!$AV$66</f>
        <v>86</v>
      </c>
      <c r="O564" s="59"/>
      <c r="P564" s="55"/>
      <c r="Q564" s="55"/>
      <c r="R564" s="54">
        <f>tkj!$BR$66</f>
        <v>86.666666666666671</v>
      </c>
      <c r="S564" s="54">
        <f>tkj!$BV$66</f>
        <v>86</v>
      </c>
      <c r="T564" s="63"/>
      <c r="U564" s="54">
        <f>tkj!$CA$66</f>
        <v>92</v>
      </c>
      <c r="V564" s="58"/>
      <c r="X564" s="278">
        <v>66</v>
      </c>
    </row>
    <row r="565" spans="1:24">
      <c r="A565" s="268">
        <v>62</v>
      </c>
      <c r="B565" s="271"/>
      <c r="C565" s="274"/>
      <c r="D565" s="62" t="s">
        <v>298</v>
      </c>
      <c r="E565" s="53">
        <f>tkj!$I$66</f>
        <v>87</v>
      </c>
      <c r="F565" s="53">
        <f>tkj!$O$66</f>
        <v>91</v>
      </c>
      <c r="G565" s="53">
        <f>tkj!$U$66</f>
        <v>80</v>
      </c>
      <c r="H565" s="65"/>
      <c r="I565" s="65"/>
      <c r="J565" s="59"/>
      <c r="K565" s="59"/>
      <c r="L565" s="53">
        <f>tkj!$AK$66</f>
        <v>80</v>
      </c>
      <c r="M565" s="53">
        <f>tkj!$AQ$66</f>
        <v>80</v>
      </c>
      <c r="N565" s="53">
        <f>tkj!$AW$66</f>
        <v>85</v>
      </c>
      <c r="O565" s="59"/>
      <c r="P565" s="55"/>
      <c r="Q565" s="55"/>
      <c r="R565" s="54">
        <f>tkj!$BS$66</f>
        <v>85</v>
      </c>
      <c r="S565" s="54">
        <f>tkj!$BW$66</f>
        <v>90</v>
      </c>
      <c r="T565" s="54"/>
      <c r="U565" s="54">
        <f>tkj!$CB$66</f>
        <v>80</v>
      </c>
      <c r="V565" s="58"/>
      <c r="X565" s="278">
        <v>66</v>
      </c>
    </row>
    <row r="566" spans="1:24">
      <c r="A566" s="268">
        <v>62</v>
      </c>
      <c r="B566" s="271"/>
      <c r="C566" s="274"/>
      <c r="D566" s="66" t="s">
        <v>299</v>
      </c>
      <c r="E566" s="67">
        <f>AVERAGE(E561:E565)</f>
        <v>85.6</v>
      </c>
      <c r="F566" s="67">
        <f>AVERAGE(F561:F565)</f>
        <v>86.4</v>
      </c>
      <c r="G566" s="67">
        <f>AVERAGE(G561:G565)</f>
        <v>81</v>
      </c>
      <c r="H566" s="68"/>
      <c r="I566" s="68"/>
      <c r="J566" s="69"/>
      <c r="K566" s="69"/>
      <c r="L566" s="67">
        <f>AVERAGE(L561:L565)</f>
        <v>80</v>
      </c>
      <c r="M566" s="67">
        <f>AVERAGE(M561:M565)</f>
        <v>77.8</v>
      </c>
      <c r="N566" s="67">
        <f>AVERAGE(N561:N565)</f>
        <v>83.4</v>
      </c>
      <c r="O566" s="69"/>
      <c r="P566" s="63"/>
      <c r="Q566" s="63"/>
      <c r="R566" s="84">
        <f>AVERAGE(R563:R565)</f>
        <v>85.222222222222229</v>
      </c>
      <c r="S566" s="84">
        <f>AVERAGE(S563:S565)</f>
        <v>87.333333333333329</v>
      </c>
      <c r="T566" s="63"/>
      <c r="U566" s="84">
        <f>AVERAGE(U561:U565)</f>
        <v>84.666666666666671</v>
      </c>
      <c r="V566" s="58"/>
      <c r="X566" s="278">
        <v>66</v>
      </c>
    </row>
    <row r="567" spans="1:24">
      <c r="A567" s="268">
        <v>62</v>
      </c>
      <c r="B567" s="271"/>
      <c r="C567" s="274"/>
      <c r="D567" s="70" t="s">
        <v>300</v>
      </c>
      <c r="E567" s="71">
        <f>tkj!$J$66</f>
        <v>95</v>
      </c>
      <c r="F567" s="71">
        <f>tkj!$P$66</f>
        <v>95</v>
      </c>
      <c r="G567" s="71">
        <f>tkj!$V$66</f>
        <v>94</v>
      </c>
      <c r="H567" s="72"/>
      <c r="I567" s="72"/>
      <c r="J567" s="73"/>
      <c r="K567" s="73"/>
      <c r="L567" s="71">
        <f>tkj!$AL$66</f>
        <v>94</v>
      </c>
      <c r="M567" s="71">
        <f>tkj!$AR$66</f>
        <v>95</v>
      </c>
      <c r="N567" s="71">
        <f>tkj!$AX$66</f>
        <v>95</v>
      </c>
      <c r="O567" s="73"/>
      <c r="P567" s="74"/>
      <c r="Q567" s="74"/>
      <c r="R567" s="85">
        <f>tkj!$BT$66</f>
        <v>95</v>
      </c>
      <c r="S567" s="85">
        <f>tkj!$BX$66</f>
        <v>95</v>
      </c>
      <c r="T567" s="85">
        <f>tkj!$BY$66</f>
        <v>95</v>
      </c>
      <c r="U567" s="75">
        <f>tkj!$CC$66</f>
        <v>95</v>
      </c>
      <c r="V567" s="58"/>
      <c r="X567" s="278">
        <v>66</v>
      </c>
    </row>
    <row r="568" spans="1:24">
      <c r="A568" s="268">
        <v>62</v>
      </c>
      <c r="B568" s="271"/>
      <c r="C568" s="274"/>
      <c r="D568" s="76" t="s">
        <v>301</v>
      </c>
      <c r="E568" s="77">
        <f>tkj!$CD$66</f>
        <v>84</v>
      </c>
      <c r="F568" s="77">
        <f>tkj!$CE$66</f>
        <v>85</v>
      </c>
      <c r="G568" s="77">
        <f>tkj!$CF$66</f>
        <v>80</v>
      </c>
      <c r="H568" s="72"/>
      <c r="I568" s="72"/>
      <c r="J568" s="73"/>
      <c r="K568" s="73"/>
      <c r="L568" s="77">
        <f>tkj!$CG$66</f>
        <v>90</v>
      </c>
      <c r="M568" s="77">
        <f>tkj!$CH$66</f>
        <v>80</v>
      </c>
      <c r="N568" s="77">
        <f>tkj!$CI$66</f>
        <v>84</v>
      </c>
      <c r="O568" s="73"/>
      <c r="P568" s="74"/>
      <c r="Q568" s="74"/>
      <c r="R568" s="86">
        <f>tkj!$CL$66</f>
        <v>70</v>
      </c>
      <c r="S568" s="86">
        <f>tkj!$CK$66</f>
        <v>93</v>
      </c>
      <c r="T568" s="74"/>
      <c r="U568" s="86">
        <f>tkj!$CJ$66</f>
        <v>82</v>
      </c>
      <c r="V568" s="58"/>
      <c r="X568" s="278">
        <v>66</v>
      </c>
    </row>
    <row r="569" spans="1:24" ht="15" thickBot="1">
      <c r="A569" s="269">
        <v>62</v>
      </c>
      <c r="B569" s="272"/>
      <c r="C569" s="275"/>
      <c r="D569" s="78" t="s">
        <v>302</v>
      </c>
      <c r="E569" s="79">
        <f>(E566*4+E567*3+E568*3)/10</f>
        <v>87.94</v>
      </c>
      <c r="F569" s="79">
        <f t="shared" ref="F569:G569" si="119">(F566*4+F567*3+F568*3)/10</f>
        <v>88.56</v>
      </c>
      <c r="G569" s="79">
        <f t="shared" si="119"/>
        <v>84.6</v>
      </c>
      <c r="H569" s="79">
        <f>AVERAGE(H561:H564)</f>
        <v>83.25</v>
      </c>
      <c r="I569" s="79">
        <f>AVERAGE(I561:I564)</f>
        <v>83</v>
      </c>
      <c r="J569" s="79">
        <f>AVERAGE(J561:J562)</f>
        <v>82</v>
      </c>
      <c r="K569" s="79">
        <f>AVERAGE(K561:K564)</f>
        <v>76.5</v>
      </c>
      <c r="L569" s="79">
        <f>(L566*4+L567*3+L568*3)/10</f>
        <v>87.2</v>
      </c>
      <c r="M569" s="79">
        <f>(M566*4+M567*3+M568*3)/10</f>
        <v>83.62</v>
      </c>
      <c r="N569" s="79">
        <f>(N566*4+N567*3+N568*3)/10</f>
        <v>87.06</v>
      </c>
      <c r="O569" s="79">
        <f>AVERAGE(O561:O562)</f>
        <v>87</v>
      </c>
      <c r="P569" s="79">
        <f>AVERAGE(P561:P562)</f>
        <v>80.5</v>
      </c>
      <c r="Q569" s="79">
        <f>AVERAGE(Q561:Q562)</f>
        <v>82</v>
      </c>
      <c r="R569" s="79">
        <f>(R566*4+R567*3+R568*3)/10</f>
        <v>83.588888888888889</v>
      </c>
      <c r="S569" s="79">
        <f>(S566*4+S567*3+S568*3)/10</f>
        <v>91.333333333333329</v>
      </c>
      <c r="T569" s="79">
        <f>T567</f>
        <v>95</v>
      </c>
      <c r="U569" s="79">
        <f t="shared" ref="U569" si="120">(U566*4+U567*3+U568*3)/10</f>
        <v>86.966666666666669</v>
      </c>
      <c r="V569" s="80">
        <f>AVERAGE(E569:U569)</f>
        <v>85.301111111111112</v>
      </c>
      <c r="X569" s="278">
        <v>66</v>
      </c>
    </row>
    <row r="570" spans="1:24" ht="15.6" thickTop="1" thickBot="1">
      <c r="A570" s="268">
        <v>63</v>
      </c>
      <c r="B570" s="270" t="s">
        <v>374</v>
      </c>
      <c r="C570" s="273" t="s">
        <v>178</v>
      </c>
      <c r="D570" s="52" t="s">
        <v>294</v>
      </c>
      <c r="E570" s="53">
        <f>tkj!$E$67</f>
        <v>78</v>
      </c>
      <c r="F570" s="53">
        <f>tkj!$K$67</f>
        <v>82</v>
      </c>
      <c r="G570" s="53">
        <f>tkj!$Q$67</f>
        <v>81</v>
      </c>
      <c r="H570" s="53">
        <f>tkj!$W$67</f>
        <v>83</v>
      </c>
      <c r="I570" s="53">
        <f>tkj!$AA$67</f>
        <v>74</v>
      </c>
      <c r="J570" s="53">
        <f>tkj!$AE$67</f>
        <v>83</v>
      </c>
      <c r="K570" s="54">
        <f>tkj!$AG$67</f>
        <v>74</v>
      </c>
      <c r="L570" s="55"/>
      <c r="M570" s="53">
        <f>tkj!$AM$67</f>
        <v>73</v>
      </c>
      <c r="N570" s="53">
        <f>tkj!$AS$67</f>
        <v>79</v>
      </c>
      <c r="O570" s="53">
        <f>tkj!$AY$67</f>
        <v>87</v>
      </c>
      <c r="P570" s="54">
        <f>tkj!$BA$67</f>
        <v>78</v>
      </c>
      <c r="Q570" s="54">
        <f>tkj!$BC$67</f>
        <v>81</v>
      </c>
      <c r="R570" s="55"/>
      <c r="S570" s="55"/>
      <c r="T570" s="55"/>
      <c r="U570" s="55"/>
      <c r="V570" s="56"/>
      <c r="X570" s="278">
        <v>67</v>
      </c>
    </row>
    <row r="571" spans="1:24" ht="15" thickBot="1">
      <c r="A571" s="268">
        <v>63</v>
      </c>
      <c r="B571" s="271"/>
      <c r="C571" s="274"/>
      <c r="D571" s="52" t="s">
        <v>295</v>
      </c>
      <c r="E571" s="53">
        <f>tkj!$F$67</f>
        <v>83</v>
      </c>
      <c r="F571" s="53">
        <f>tkj!$L$67</f>
        <v>83</v>
      </c>
      <c r="G571" s="53">
        <f>tkj!$R$67</f>
        <v>83</v>
      </c>
      <c r="H571" s="53">
        <f>tkj!$X$67</f>
        <v>85</v>
      </c>
      <c r="I571" s="53">
        <f>tkj!$AB$67</f>
        <v>80</v>
      </c>
      <c r="J571" s="53">
        <f>tkj!$AF$67</f>
        <v>83</v>
      </c>
      <c r="K571" s="54">
        <f>tkj!$AH$67</f>
        <v>76</v>
      </c>
      <c r="L571" s="55"/>
      <c r="M571" s="53">
        <f>tkj!$AN$67</f>
        <v>74</v>
      </c>
      <c r="N571" s="53">
        <f>tkj!$AT$67</f>
        <v>83</v>
      </c>
      <c r="O571" s="53">
        <f>tkj!$AZ$67</f>
        <v>82</v>
      </c>
      <c r="P571" s="54">
        <f>tkj!$BB$67</f>
        <v>88</v>
      </c>
      <c r="Q571" s="54">
        <f>tkj!$BD$67</f>
        <v>83</v>
      </c>
      <c r="R571" s="55"/>
      <c r="S571" s="55"/>
      <c r="T571" s="55"/>
      <c r="U571" s="55"/>
      <c r="V571" s="58"/>
      <c r="X571" s="278">
        <v>67</v>
      </c>
    </row>
    <row r="572" spans="1:24" ht="15" thickBot="1">
      <c r="A572" s="268">
        <v>63</v>
      </c>
      <c r="B572" s="271"/>
      <c r="C572" s="274"/>
      <c r="D572" s="52" t="s">
        <v>296</v>
      </c>
      <c r="E572" s="53">
        <f>tkj!$G$67</f>
        <v>88</v>
      </c>
      <c r="F572" s="53">
        <f>tkj!$M$67</f>
        <v>91</v>
      </c>
      <c r="G572" s="53">
        <f>tkj!$S$67</f>
        <v>83</v>
      </c>
      <c r="H572" s="53">
        <f>tkj!$Y$67</f>
        <v>81</v>
      </c>
      <c r="I572" s="53">
        <f>tkj!$AC$67</f>
        <v>85</v>
      </c>
      <c r="J572" s="59"/>
      <c r="K572" s="54">
        <f>tkj!$AI$67</f>
        <v>71</v>
      </c>
      <c r="L572" s="55"/>
      <c r="M572" s="53">
        <f>tkj!$AO$67</f>
        <v>75</v>
      </c>
      <c r="N572" s="53">
        <f>tkj!$AU$67</f>
        <v>83</v>
      </c>
      <c r="O572" s="59"/>
      <c r="P572" s="55"/>
      <c r="Q572" s="55"/>
      <c r="R572" s="54">
        <f>tkj!$BQ$67</f>
        <v>80.666666666666671</v>
      </c>
      <c r="S572" s="54">
        <f>tkj!$BU$67</f>
        <v>85</v>
      </c>
      <c r="T572" s="55"/>
      <c r="U572" s="54">
        <f>tkj!$BZ$67</f>
        <v>71</v>
      </c>
      <c r="V572" s="58"/>
      <c r="X572" s="278">
        <v>67</v>
      </c>
    </row>
    <row r="573" spans="1:24" ht="15" thickBot="1">
      <c r="A573" s="268">
        <v>63</v>
      </c>
      <c r="B573" s="271"/>
      <c r="C573" s="274"/>
      <c r="D573" s="62" t="s">
        <v>297</v>
      </c>
      <c r="E573" s="53">
        <f>tkj!$H$67</f>
        <v>82</v>
      </c>
      <c r="F573" s="53">
        <f>tkj!$N$67</f>
        <v>92</v>
      </c>
      <c r="G573" s="53">
        <f>tkj!$T$67</f>
        <v>82</v>
      </c>
      <c r="H573" s="53">
        <f>tkj!$Z$67</f>
        <v>86</v>
      </c>
      <c r="I573" s="53">
        <f>tkj!$AD$67</f>
        <v>86</v>
      </c>
      <c r="J573" s="59"/>
      <c r="K573" s="54">
        <f>tkj!$AJ$67</f>
        <v>83</v>
      </c>
      <c r="L573" s="55"/>
      <c r="M573" s="53">
        <f>tkj!$AP$67</f>
        <v>76</v>
      </c>
      <c r="N573" s="53">
        <f>tkj!$AV$67</f>
        <v>83</v>
      </c>
      <c r="O573" s="59"/>
      <c r="P573" s="55"/>
      <c r="Q573" s="55"/>
      <c r="R573" s="54">
        <f>tkj!$BR$67</f>
        <v>78.333333333333329</v>
      </c>
      <c r="S573" s="54">
        <f>tkj!$BV$67</f>
        <v>85</v>
      </c>
      <c r="T573" s="63"/>
      <c r="U573" s="54">
        <f>tkj!$CA$67</f>
        <v>77</v>
      </c>
      <c r="V573" s="58"/>
      <c r="X573" s="278">
        <v>67</v>
      </c>
    </row>
    <row r="574" spans="1:24">
      <c r="A574" s="268">
        <v>63</v>
      </c>
      <c r="B574" s="271"/>
      <c r="C574" s="274"/>
      <c r="D574" s="62" t="s">
        <v>298</v>
      </c>
      <c r="E574" s="53">
        <f>tkj!$I$67</f>
        <v>87</v>
      </c>
      <c r="F574" s="53">
        <f>tkj!$O$67</f>
        <v>93</v>
      </c>
      <c r="G574" s="53">
        <f>tkj!$U$67</f>
        <v>81</v>
      </c>
      <c r="H574" s="65"/>
      <c r="I574" s="65"/>
      <c r="J574" s="59"/>
      <c r="K574" s="59"/>
      <c r="L574" s="53">
        <f>tkj!$AK$67</f>
        <v>82</v>
      </c>
      <c r="M574" s="53">
        <f>tkj!$AQ$67</f>
        <v>80</v>
      </c>
      <c r="N574" s="53">
        <f>tkj!$AW$67</f>
        <v>83</v>
      </c>
      <c r="O574" s="59"/>
      <c r="P574" s="55"/>
      <c r="Q574" s="55"/>
      <c r="R574" s="54">
        <f>tkj!$BS$67</f>
        <v>84</v>
      </c>
      <c r="S574" s="54">
        <f>tkj!$BW$67</f>
        <v>86</v>
      </c>
      <c r="T574" s="54"/>
      <c r="U574" s="54">
        <f>tkj!$CB$67</f>
        <v>80</v>
      </c>
      <c r="V574" s="58"/>
      <c r="X574" s="278">
        <v>67</v>
      </c>
    </row>
    <row r="575" spans="1:24">
      <c r="A575" s="268">
        <v>63</v>
      </c>
      <c r="B575" s="271"/>
      <c r="C575" s="274"/>
      <c r="D575" s="66" t="s">
        <v>299</v>
      </c>
      <c r="E575" s="67">
        <f>AVERAGE(E570:E574)</f>
        <v>83.6</v>
      </c>
      <c r="F575" s="67">
        <f>AVERAGE(F570:F574)</f>
        <v>88.2</v>
      </c>
      <c r="G575" s="67">
        <f>AVERAGE(G570:G574)</f>
        <v>82</v>
      </c>
      <c r="H575" s="68"/>
      <c r="I575" s="68"/>
      <c r="J575" s="69"/>
      <c r="K575" s="69"/>
      <c r="L575" s="67">
        <f>AVERAGE(L570:L574)</f>
        <v>82</v>
      </c>
      <c r="M575" s="67">
        <f>AVERAGE(M570:M574)</f>
        <v>75.599999999999994</v>
      </c>
      <c r="N575" s="67">
        <f>AVERAGE(N570:N574)</f>
        <v>82.2</v>
      </c>
      <c r="O575" s="69"/>
      <c r="P575" s="63"/>
      <c r="Q575" s="63"/>
      <c r="R575" s="84">
        <f>AVERAGE(R572:R574)</f>
        <v>81</v>
      </c>
      <c r="S575" s="84">
        <f>AVERAGE(S572:S574)</f>
        <v>85.333333333333329</v>
      </c>
      <c r="T575" s="63"/>
      <c r="U575" s="84">
        <f>AVERAGE(U570:U574)</f>
        <v>76</v>
      </c>
      <c r="V575" s="58"/>
      <c r="X575" s="278">
        <v>67</v>
      </c>
    </row>
    <row r="576" spans="1:24">
      <c r="A576" s="268">
        <v>63</v>
      </c>
      <c r="B576" s="271"/>
      <c r="C576" s="274"/>
      <c r="D576" s="70" t="s">
        <v>300</v>
      </c>
      <c r="E576" s="71">
        <f>tkj!$J$67</f>
        <v>90</v>
      </c>
      <c r="F576" s="71">
        <f>tkj!$P$67</f>
        <v>78</v>
      </c>
      <c r="G576" s="71">
        <f>tkj!$V$67</f>
        <v>83</v>
      </c>
      <c r="H576" s="72"/>
      <c r="I576" s="72"/>
      <c r="J576" s="73"/>
      <c r="K576" s="73"/>
      <c r="L576" s="71">
        <f>tkj!$AL$67</f>
        <v>83</v>
      </c>
      <c r="M576" s="71">
        <f>tkj!$AR$67</f>
        <v>80</v>
      </c>
      <c r="N576" s="71">
        <f>tkj!$AX$67</f>
        <v>80</v>
      </c>
      <c r="O576" s="73"/>
      <c r="P576" s="74"/>
      <c r="Q576" s="74"/>
      <c r="R576" s="85">
        <f>tkj!$BT$67</f>
        <v>80</v>
      </c>
      <c r="S576" s="85">
        <f>tkj!$BX$67</f>
        <v>80</v>
      </c>
      <c r="T576" s="85">
        <f>tkj!$BY$67</f>
        <v>82</v>
      </c>
      <c r="U576" s="75">
        <f>tkj!$CC$67</f>
        <v>80</v>
      </c>
      <c r="V576" s="58"/>
      <c r="X576" s="278">
        <v>67</v>
      </c>
    </row>
    <row r="577" spans="1:24">
      <c r="A577" s="268">
        <v>63</v>
      </c>
      <c r="B577" s="271"/>
      <c r="C577" s="274"/>
      <c r="D577" s="76" t="s">
        <v>301</v>
      </c>
      <c r="E577" s="77">
        <f>tkj!$CD$67</f>
        <v>84</v>
      </c>
      <c r="F577" s="77">
        <f>tkj!$CE$67</f>
        <v>92</v>
      </c>
      <c r="G577" s="77">
        <f>tkj!$CF$67</f>
        <v>78</v>
      </c>
      <c r="H577" s="72"/>
      <c r="I577" s="72"/>
      <c r="J577" s="73"/>
      <c r="K577" s="73"/>
      <c r="L577" s="77">
        <f>tkj!$CG$67</f>
        <v>87</v>
      </c>
      <c r="M577" s="77">
        <f>tkj!$CH$67</f>
        <v>80</v>
      </c>
      <c r="N577" s="77">
        <f>tkj!$CI$67</f>
        <v>83</v>
      </c>
      <c r="O577" s="73"/>
      <c r="P577" s="74"/>
      <c r="Q577" s="74"/>
      <c r="R577" s="86">
        <f>tkj!$CL$67</f>
        <v>85</v>
      </c>
      <c r="S577" s="86">
        <f>tkj!$CK$67</f>
        <v>78</v>
      </c>
      <c r="T577" s="74"/>
      <c r="U577" s="86">
        <f>tkj!$CJ$67</f>
        <v>80</v>
      </c>
      <c r="V577" s="58"/>
      <c r="X577" s="278">
        <v>67</v>
      </c>
    </row>
    <row r="578" spans="1:24" ht="15" thickBot="1">
      <c r="A578" s="269">
        <v>63</v>
      </c>
      <c r="B578" s="272"/>
      <c r="C578" s="275"/>
      <c r="D578" s="78" t="s">
        <v>302</v>
      </c>
      <c r="E578" s="79">
        <f>(E575*4+E576*3+E577*3)/10</f>
        <v>85.64</v>
      </c>
      <c r="F578" s="79">
        <f t="shared" ref="F578:G578" si="121">(F575*4+F576*3+F577*3)/10</f>
        <v>86.28</v>
      </c>
      <c r="G578" s="79">
        <f t="shared" si="121"/>
        <v>81.099999999999994</v>
      </c>
      <c r="H578" s="79">
        <f>AVERAGE(H570:H573)</f>
        <v>83.75</v>
      </c>
      <c r="I578" s="79">
        <f>AVERAGE(I570:I573)</f>
        <v>81.25</v>
      </c>
      <c r="J578" s="79">
        <f>AVERAGE(J570:J571)</f>
        <v>83</v>
      </c>
      <c r="K578" s="79">
        <f>AVERAGE(K570:K573)</f>
        <v>76</v>
      </c>
      <c r="L578" s="79">
        <f>(L575*4+L576*3+L577*3)/10</f>
        <v>83.8</v>
      </c>
      <c r="M578" s="79">
        <f>(M575*4+M576*3+M577*3)/10</f>
        <v>78.239999999999995</v>
      </c>
      <c r="N578" s="79">
        <f>(N575*4+N576*3+N577*3)/10</f>
        <v>81.78</v>
      </c>
      <c r="O578" s="79">
        <f>AVERAGE(O570:O571)</f>
        <v>84.5</v>
      </c>
      <c r="P578" s="79">
        <f>AVERAGE(P570:P571)</f>
        <v>83</v>
      </c>
      <c r="Q578" s="79">
        <f>AVERAGE(Q570:Q571)</f>
        <v>82</v>
      </c>
      <c r="R578" s="79">
        <f>(R575*4+R576*3+R577*3)/10</f>
        <v>81.900000000000006</v>
      </c>
      <c r="S578" s="79">
        <f>(S575*4+S576*3+S577*3)/10</f>
        <v>81.533333333333331</v>
      </c>
      <c r="T578" s="79">
        <f>T576</f>
        <v>82</v>
      </c>
      <c r="U578" s="79">
        <f t="shared" ref="U578" si="122">(U575*4+U576*3+U577*3)/10</f>
        <v>78.400000000000006</v>
      </c>
      <c r="V578" s="80">
        <f>AVERAGE(E578:U578)</f>
        <v>82.010196078431377</v>
      </c>
      <c r="X578" s="278">
        <v>67</v>
      </c>
    </row>
    <row r="579" spans="1:24" ht="15.6" thickTop="1" thickBot="1">
      <c r="A579" s="268">
        <v>64</v>
      </c>
      <c r="B579" s="270" t="s">
        <v>375</v>
      </c>
      <c r="C579" s="273" t="s">
        <v>180</v>
      </c>
      <c r="D579" s="52" t="s">
        <v>294</v>
      </c>
      <c r="E579" s="53">
        <f>tkj!$E$68</f>
        <v>79</v>
      </c>
      <c r="F579" s="53">
        <f>tkj!$K$68</f>
        <v>79</v>
      </c>
      <c r="G579" s="53">
        <f>tkj!$Q$68</f>
        <v>80</v>
      </c>
      <c r="H579" s="53">
        <f>tkj!$W$68</f>
        <v>83</v>
      </c>
      <c r="I579" s="53">
        <f>tkj!$AA$68</f>
        <v>74</v>
      </c>
      <c r="J579" s="53">
        <f>tkj!$AE$68</f>
        <v>82</v>
      </c>
      <c r="K579" s="54">
        <f>tkj!$AG$68</f>
        <v>76</v>
      </c>
      <c r="L579" s="55"/>
      <c r="M579" s="53">
        <f>tkj!$AM$68</f>
        <v>74</v>
      </c>
      <c r="N579" s="53">
        <f>tkj!$AS$68</f>
        <v>78</v>
      </c>
      <c r="O579" s="53">
        <f>tkj!$AY$68</f>
        <v>72</v>
      </c>
      <c r="P579" s="54">
        <f>tkj!$BA$68</f>
        <v>77</v>
      </c>
      <c r="Q579" s="54">
        <f>tkj!$BC$68</f>
        <v>83</v>
      </c>
      <c r="R579" s="55"/>
      <c r="S579" s="55"/>
      <c r="T579" s="55"/>
      <c r="U579" s="55"/>
      <c r="V579" s="56"/>
      <c r="X579" s="278">
        <v>68</v>
      </c>
    </row>
    <row r="580" spans="1:24" ht="15" thickBot="1">
      <c r="A580" s="268">
        <v>64</v>
      </c>
      <c r="B580" s="271"/>
      <c r="C580" s="274"/>
      <c r="D580" s="52" t="s">
        <v>295</v>
      </c>
      <c r="E580" s="53">
        <f>tkj!$F$68</f>
        <v>85</v>
      </c>
      <c r="F580" s="53">
        <f>tkj!$L$68</f>
        <v>86</v>
      </c>
      <c r="G580" s="53">
        <f>tkj!$R$68</f>
        <v>81</v>
      </c>
      <c r="H580" s="53">
        <f>tkj!$X$68</f>
        <v>85</v>
      </c>
      <c r="I580" s="53">
        <f>tkj!$AB$68</f>
        <v>79</v>
      </c>
      <c r="J580" s="53">
        <f>tkj!$AF$68</f>
        <v>90</v>
      </c>
      <c r="K580" s="54">
        <f>tkj!$AH$68</f>
        <v>70</v>
      </c>
      <c r="L580" s="55"/>
      <c r="M580" s="53">
        <f>tkj!$AN$68</f>
        <v>74</v>
      </c>
      <c r="N580" s="53">
        <f>tkj!$AT$68</f>
        <v>80</v>
      </c>
      <c r="O580" s="53">
        <f>tkj!$AZ$68</f>
        <v>76</v>
      </c>
      <c r="P580" s="54">
        <f>tkj!$BB$68</f>
        <v>82</v>
      </c>
      <c r="Q580" s="54">
        <f>tkj!$BD$68</f>
        <v>75</v>
      </c>
      <c r="R580" s="55"/>
      <c r="S580" s="55"/>
      <c r="T580" s="55"/>
      <c r="U580" s="55"/>
      <c r="V580" s="58"/>
      <c r="X580" s="278">
        <v>68</v>
      </c>
    </row>
    <row r="581" spans="1:24" ht="15" thickBot="1">
      <c r="A581" s="268">
        <v>64</v>
      </c>
      <c r="B581" s="271"/>
      <c r="C581" s="274"/>
      <c r="D581" s="52" t="s">
        <v>296</v>
      </c>
      <c r="E581" s="53">
        <f>tkj!$G$68</f>
        <v>88</v>
      </c>
      <c r="F581" s="53">
        <f>tkj!$M$68</f>
        <v>82</v>
      </c>
      <c r="G581" s="53">
        <f>tkj!$S$68</f>
        <v>80</v>
      </c>
      <c r="H581" s="53">
        <f>tkj!$Y$68</f>
        <v>81</v>
      </c>
      <c r="I581" s="53">
        <f>tkj!$AC$68</f>
        <v>85</v>
      </c>
      <c r="J581" s="59"/>
      <c r="K581" s="54">
        <f>tkj!$AI$68</f>
        <v>71</v>
      </c>
      <c r="L581" s="55"/>
      <c r="M581" s="53">
        <f>tkj!$AO$68</f>
        <v>72</v>
      </c>
      <c r="N581" s="53">
        <f>tkj!$AU$68</f>
        <v>80</v>
      </c>
      <c r="O581" s="59"/>
      <c r="P581" s="55"/>
      <c r="Q581" s="55"/>
      <c r="R581" s="54">
        <f>tkj!$BQ$68</f>
        <v>75.333333333333329</v>
      </c>
      <c r="S581" s="54">
        <f>tkj!$BU$68</f>
        <v>85</v>
      </c>
      <c r="T581" s="55"/>
      <c r="U581" s="54">
        <f>tkj!$BZ$68</f>
        <v>72</v>
      </c>
      <c r="V581" s="58"/>
      <c r="X581" s="278">
        <v>68</v>
      </c>
    </row>
    <row r="582" spans="1:24" ht="15" thickBot="1">
      <c r="A582" s="268">
        <v>64</v>
      </c>
      <c r="B582" s="271"/>
      <c r="C582" s="274"/>
      <c r="D582" s="62" t="s">
        <v>297</v>
      </c>
      <c r="E582" s="53">
        <f>tkj!$H$68</f>
        <v>82</v>
      </c>
      <c r="F582" s="53">
        <f>tkj!$N$68</f>
        <v>90</v>
      </c>
      <c r="G582" s="53">
        <f>tkj!$T$68</f>
        <v>85</v>
      </c>
      <c r="H582" s="53">
        <f>tkj!$Z$68</f>
        <v>85</v>
      </c>
      <c r="I582" s="53">
        <f>tkj!$AD$68</f>
        <v>85</v>
      </c>
      <c r="J582" s="59"/>
      <c r="K582" s="54">
        <f>tkj!$AJ$68</f>
        <v>81</v>
      </c>
      <c r="L582" s="55"/>
      <c r="M582" s="53">
        <f>tkj!$AP$68</f>
        <v>73</v>
      </c>
      <c r="N582" s="53">
        <f>tkj!$AV$68</f>
        <v>82</v>
      </c>
      <c r="O582" s="59"/>
      <c r="P582" s="55"/>
      <c r="Q582" s="55"/>
      <c r="R582" s="54">
        <f>tkj!$BR$68</f>
        <v>76.333333333333329</v>
      </c>
      <c r="S582" s="54">
        <f>tkj!$BV$68</f>
        <v>85</v>
      </c>
      <c r="T582" s="63"/>
      <c r="U582" s="54">
        <f>tkj!$CA$68</f>
        <v>75</v>
      </c>
      <c r="V582" s="58"/>
      <c r="X582" s="278">
        <v>68</v>
      </c>
    </row>
    <row r="583" spans="1:24">
      <c r="A583" s="268">
        <v>64</v>
      </c>
      <c r="B583" s="271"/>
      <c r="C583" s="274"/>
      <c r="D583" s="62" t="s">
        <v>298</v>
      </c>
      <c r="E583" s="53">
        <f>tkj!$I$68</f>
        <v>88</v>
      </c>
      <c r="F583" s="53">
        <f>tkj!$O$68</f>
        <v>92</v>
      </c>
      <c r="G583" s="53">
        <f>tkj!$U$68</f>
        <v>80</v>
      </c>
      <c r="H583" s="65"/>
      <c r="I583" s="65"/>
      <c r="J583" s="59"/>
      <c r="K583" s="59"/>
      <c r="L583" s="53">
        <f>tkj!$AK$68</f>
        <v>80</v>
      </c>
      <c r="M583" s="53">
        <f>tkj!$AQ$68</f>
        <v>80</v>
      </c>
      <c r="N583" s="53">
        <f>tkj!$AW$68</f>
        <v>80</v>
      </c>
      <c r="O583" s="59"/>
      <c r="P583" s="55"/>
      <c r="Q583" s="55"/>
      <c r="R583" s="54">
        <f>tkj!$BS$68</f>
        <v>83</v>
      </c>
      <c r="S583" s="54">
        <f>tkj!$BW$68</f>
        <v>86</v>
      </c>
      <c r="T583" s="54"/>
      <c r="U583" s="54">
        <f>tkj!$CB$68</f>
        <v>80</v>
      </c>
      <c r="V583" s="58"/>
      <c r="X583" s="278">
        <v>68</v>
      </c>
    </row>
    <row r="584" spans="1:24">
      <c r="A584" s="268">
        <v>64</v>
      </c>
      <c r="B584" s="271"/>
      <c r="C584" s="274"/>
      <c r="D584" s="66" t="s">
        <v>299</v>
      </c>
      <c r="E584" s="67">
        <f>AVERAGE(E579:E583)</f>
        <v>84.4</v>
      </c>
      <c r="F584" s="67">
        <f>AVERAGE(F579:F583)</f>
        <v>85.8</v>
      </c>
      <c r="G584" s="67">
        <f>AVERAGE(G579:G583)</f>
        <v>81.2</v>
      </c>
      <c r="H584" s="68"/>
      <c r="I584" s="68"/>
      <c r="J584" s="69"/>
      <c r="K584" s="69"/>
      <c r="L584" s="67">
        <f>AVERAGE(L579:L583)</f>
        <v>80</v>
      </c>
      <c r="M584" s="67">
        <f>AVERAGE(M579:M583)</f>
        <v>74.599999999999994</v>
      </c>
      <c r="N584" s="67">
        <f>AVERAGE(N579:N583)</f>
        <v>80</v>
      </c>
      <c r="O584" s="69"/>
      <c r="P584" s="63"/>
      <c r="Q584" s="63"/>
      <c r="R584" s="84">
        <f>AVERAGE(R581:R583)</f>
        <v>78.222222222222214</v>
      </c>
      <c r="S584" s="84">
        <f>AVERAGE(S581:S583)</f>
        <v>85.333333333333329</v>
      </c>
      <c r="T584" s="63"/>
      <c r="U584" s="84">
        <f>AVERAGE(U579:U583)</f>
        <v>75.666666666666671</v>
      </c>
      <c r="V584" s="58"/>
      <c r="X584" s="278">
        <v>68</v>
      </c>
    </row>
    <row r="585" spans="1:24">
      <c r="A585" s="268">
        <v>64</v>
      </c>
      <c r="B585" s="271"/>
      <c r="C585" s="274"/>
      <c r="D585" s="70" t="s">
        <v>300</v>
      </c>
      <c r="E585" s="71">
        <f>tkj!$J$68</f>
        <v>80</v>
      </c>
      <c r="F585" s="71">
        <f>tkj!$P$68</f>
        <v>80</v>
      </c>
      <c r="G585" s="71">
        <f>tkj!$V$68</f>
        <v>80</v>
      </c>
      <c r="H585" s="72"/>
      <c r="I585" s="72"/>
      <c r="J585" s="73"/>
      <c r="K585" s="73"/>
      <c r="L585" s="71">
        <f>tkj!$AL$68</f>
        <v>80</v>
      </c>
      <c r="M585" s="71">
        <f>tkj!$AR$68</f>
        <v>80</v>
      </c>
      <c r="N585" s="71">
        <f>tkj!$AX$68</f>
        <v>80</v>
      </c>
      <c r="O585" s="73"/>
      <c r="P585" s="74"/>
      <c r="Q585" s="74"/>
      <c r="R585" s="85">
        <f>tkj!$BT$68</f>
        <v>80</v>
      </c>
      <c r="S585" s="85">
        <f>tkj!$BX$68</f>
        <v>80</v>
      </c>
      <c r="T585" s="85">
        <f>tkj!$BY$68</f>
        <v>80</v>
      </c>
      <c r="U585" s="75">
        <f>tkj!$CC$68</f>
        <v>80</v>
      </c>
      <c r="V585" s="58"/>
      <c r="X585" s="278">
        <v>68</v>
      </c>
    </row>
    <row r="586" spans="1:24">
      <c r="A586" s="268">
        <v>64</v>
      </c>
      <c r="B586" s="271"/>
      <c r="C586" s="274"/>
      <c r="D586" s="76" t="s">
        <v>301</v>
      </c>
      <c r="E586" s="77">
        <f>tkj!$CD$68</f>
        <v>85</v>
      </c>
      <c r="F586" s="77">
        <f>tkj!$CE$68</f>
        <v>85</v>
      </c>
      <c r="G586" s="77">
        <f>tkj!$CF$68</f>
        <v>78</v>
      </c>
      <c r="H586" s="72"/>
      <c r="I586" s="72"/>
      <c r="J586" s="73"/>
      <c r="K586" s="73"/>
      <c r="L586" s="77">
        <f>tkj!$CG$68</f>
        <v>70</v>
      </c>
      <c r="M586" s="77">
        <f>tkj!$CH$68</f>
        <v>79</v>
      </c>
      <c r="N586" s="77">
        <f>tkj!$CI$68</f>
        <v>85</v>
      </c>
      <c r="O586" s="73"/>
      <c r="P586" s="74"/>
      <c r="Q586" s="74"/>
      <c r="R586" s="86">
        <f>tkj!$CL$68</f>
        <v>70</v>
      </c>
      <c r="S586" s="86">
        <f>tkj!$CK$68</f>
        <v>93</v>
      </c>
      <c r="T586" s="74"/>
      <c r="U586" s="86">
        <f>tkj!$CJ$68</f>
        <v>80</v>
      </c>
      <c r="V586" s="58"/>
      <c r="X586" s="278">
        <v>68</v>
      </c>
    </row>
    <row r="587" spans="1:24" ht="15" thickBot="1">
      <c r="A587" s="269">
        <v>64</v>
      </c>
      <c r="B587" s="272"/>
      <c r="C587" s="275"/>
      <c r="D587" s="78" t="s">
        <v>302</v>
      </c>
      <c r="E587" s="79">
        <f>(E584*4+E585*3+E586*3)/10</f>
        <v>83.26</v>
      </c>
      <c r="F587" s="79">
        <f t="shared" ref="F587:G587" si="123">(F584*4+F585*3+F586*3)/10</f>
        <v>83.820000000000007</v>
      </c>
      <c r="G587" s="79">
        <f t="shared" si="123"/>
        <v>79.88</v>
      </c>
      <c r="H587" s="79">
        <f>AVERAGE(H579:H582)</f>
        <v>83.5</v>
      </c>
      <c r="I587" s="79">
        <f>AVERAGE(I579:I582)</f>
        <v>80.75</v>
      </c>
      <c r="J587" s="79">
        <f>AVERAGE(J579:J580)</f>
        <v>86</v>
      </c>
      <c r="K587" s="79">
        <f>AVERAGE(K579:K582)</f>
        <v>74.5</v>
      </c>
      <c r="L587" s="79">
        <f>(L584*4+L585*3+L586*3)/10</f>
        <v>77</v>
      </c>
      <c r="M587" s="79">
        <f>(M584*4+M585*3+M586*3)/10</f>
        <v>77.539999999999992</v>
      </c>
      <c r="N587" s="79">
        <f>(N584*4+N585*3+N586*3)/10</f>
        <v>81.5</v>
      </c>
      <c r="O587" s="79">
        <f>AVERAGE(O579:O580)</f>
        <v>74</v>
      </c>
      <c r="P587" s="79">
        <f>AVERAGE(P579:P580)</f>
        <v>79.5</v>
      </c>
      <c r="Q587" s="79">
        <f>AVERAGE(Q579:Q580)</f>
        <v>79</v>
      </c>
      <c r="R587" s="79">
        <f>(R584*4+R585*3+R586*3)/10</f>
        <v>76.288888888888891</v>
      </c>
      <c r="S587" s="79">
        <f>(S584*4+S585*3+S586*3)/10</f>
        <v>86.033333333333331</v>
      </c>
      <c r="T587" s="79">
        <f>T585</f>
        <v>80</v>
      </c>
      <c r="U587" s="79">
        <f t="shared" ref="U587" si="124">(U584*4+U585*3+U586*3)/10</f>
        <v>78.26666666666668</v>
      </c>
      <c r="V587" s="80">
        <f>AVERAGE(E587:U587)</f>
        <v>80.049346405228746</v>
      </c>
      <c r="X587" s="278">
        <v>68</v>
      </c>
    </row>
    <row r="588" spans="1:24" ht="15.6" thickTop="1" thickBot="1">
      <c r="A588" s="268">
        <v>65</v>
      </c>
      <c r="B588" s="270" t="s">
        <v>376</v>
      </c>
      <c r="C588" s="273" t="s">
        <v>182</v>
      </c>
      <c r="D588" s="52" t="s">
        <v>294</v>
      </c>
      <c r="E588" s="53">
        <f>tkj!$E$69</f>
        <v>88</v>
      </c>
      <c r="F588" s="53">
        <f>tkj!$K$69</f>
        <v>86</v>
      </c>
      <c r="G588" s="53">
        <f>tkj!$Q$69</f>
        <v>88</v>
      </c>
      <c r="H588" s="53">
        <f>tkj!$W$69</f>
        <v>81</v>
      </c>
      <c r="I588" s="53">
        <f>tkj!$AA$69</f>
        <v>78</v>
      </c>
      <c r="J588" s="53">
        <f>tkj!$AE$69</f>
        <v>84</v>
      </c>
      <c r="K588" s="54">
        <f>tkj!$AG$69</f>
        <v>78</v>
      </c>
      <c r="L588" s="55"/>
      <c r="M588" s="53">
        <f>tkj!$AM$69</f>
        <v>72</v>
      </c>
      <c r="N588" s="53">
        <f>tkj!$AS$69</f>
        <v>80</v>
      </c>
      <c r="O588" s="53">
        <f>tkj!$AY$69</f>
        <v>92</v>
      </c>
      <c r="P588" s="54">
        <f>tkj!$BA$69</f>
        <v>85</v>
      </c>
      <c r="Q588" s="54">
        <f>tkj!$BC$69</f>
        <v>84</v>
      </c>
      <c r="R588" s="55"/>
      <c r="S588" s="55"/>
      <c r="T588" s="55"/>
      <c r="U588" s="55"/>
      <c r="V588" s="56"/>
      <c r="X588" s="278">
        <v>69</v>
      </c>
    </row>
    <row r="589" spans="1:24" ht="15" thickBot="1">
      <c r="A589" s="268">
        <v>65</v>
      </c>
      <c r="B589" s="271"/>
      <c r="C589" s="274"/>
      <c r="D589" s="52" t="s">
        <v>295</v>
      </c>
      <c r="E589" s="53">
        <f>tkj!$F$69</f>
        <v>90</v>
      </c>
      <c r="F589" s="53">
        <f>tkj!$L$69</f>
        <v>84</v>
      </c>
      <c r="G589" s="53">
        <f>tkj!$R$69</f>
        <v>84</v>
      </c>
      <c r="H589" s="53">
        <f>tkj!$X$69</f>
        <v>84</v>
      </c>
      <c r="I589" s="53">
        <f>tkj!$AB$69</f>
        <v>85</v>
      </c>
      <c r="J589" s="53">
        <f>tkj!$AF$69</f>
        <v>90</v>
      </c>
      <c r="K589" s="54">
        <f>tkj!$AH$69</f>
        <v>80</v>
      </c>
      <c r="L589" s="55"/>
      <c r="M589" s="53">
        <f>tkj!$AN$69</f>
        <v>76</v>
      </c>
      <c r="N589" s="53">
        <f>tkj!$AT$69</f>
        <v>84</v>
      </c>
      <c r="O589" s="53">
        <f>tkj!$AZ$69</f>
        <v>94</v>
      </c>
      <c r="P589" s="54">
        <f>tkj!$BB$69</f>
        <v>93</v>
      </c>
      <c r="Q589" s="54">
        <f>tkj!$BD$69</f>
        <v>80</v>
      </c>
      <c r="R589" s="55"/>
      <c r="S589" s="55"/>
      <c r="T589" s="55"/>
      <c r="U589" s="55"/>
      <c r="V589" s="58"/>
      <c r="X589" s="278">
        <v>69</v>
      </c>
    </row>
    <row r="590" spans="1:24" ht="15" thickBot="1">
      <c r="A590" s="268">
        <v>65</v>
      </c>
      <c r="B590" s="271"/>
      <c r="C590" s="274"/>
      <c r="D590" s="52" t="s">
        <v>296</v>
      </c>
      <c r="E590" s="53">
        <f>tkj!$G$69</f>
        <v>90</v>
      </c>
      <c r="F590" s="53">
        <f>tkj!$M$69</f>
        <v>94</v>
      </c>
      <c r="G590" s="53">
        <f>tkj!$S$69</f>
        <v>86</v>
      </c>
      <c r="H590" s="53">
        <f>tkj!$Y$69</f>
        <v>80</v>
      </c>
      <c r="I590" s="53">
        <f>tkj!$AC$69</f>
        <v>85</v>
      </c>
      <c r="J590" s="59"/>
      <c r="K590" s="54">
        <f>tkj!$AI$69</f>
        <v>73</v>
      </c>
      <c r="L590" s="55"/>
      <c r="M590" s="53">
        <f>tkj!$AO$69</f>
        <v>74</v>
      </c>
      <c r="N590" s="53">
        <f>tkj!$AU$69</f>
        <v>84</v>
      </c>
      <c r="O590" s="59"/>
      <c r="P590" s="55"/>
      <c r="Q590" s="55"/>
      <c r="R590" s="54">
        <f>tkj!$BQ$69</f>
        <v>82.666666666666671</v>
      </c>
      <c r="S590" s="54">
        <f>tkj!$BU$69</f>
        <v>85</v>
      </c>
      <c r="T590" s="55"/>
      <c r="U590" s="54">
        <f>tkj!$BZ$69</f>
        <v>76</v>
      </c>
      <c r="V590" s="58"/>
      <c r="X590" s="278">
        <v>69</v>
      </c>
    </row>
    <row r="591" spans="1:24" ht="15" thickBot="1">
      <c r="A591" s="268">
        <v>65</v>
      </c>
      <c r="B591" s="271"/>
      <c r="C591" s="274"/>
      <c r="D591" s="62" t="s">
        <v>297</v>
      </c>
      <c r="E591" s="53">
        <f>tkj!$H$69</f>
        <v>87</v>
      </c>
      <c r="F591" s="53">
        <f>tkj!$N$69</f>
        <v>95</v>
      </c>
      <c r="G591" s="53">
        <f>tkj!$T$69</f>
        <v>88</v>
      </c>
      <c r="H591" s="53">
        <f>tkj!$Z$69</f>
        <v>84</v>
      </c>
      <c r="I591" s="53">
        <f>tkj!$AD$69</f>
        <v>86</v>
      </c>
      <c r="J591" s="59"/>
      <c r="K591" s="54">
        <f>tkj!$AJ$69</f>
        <v>83</v>
      </c>
      <c r="L591" s="55"/>
      <c r="M591" s="53">
        <f>tkj!$AP$69</f>
        <v>75</v>
      </c>
      <c r="N591" s="53">
        <f>tkj!$AV$69</f>
        <v>82</v>
      </c>
      <c r="O591" s="59"/>
      <c r="P591" s="55"/>
      <c r="Q591" s="55"/>
      <c r="R591" s="54">
        <f>tkj!$BR$69</f>
        <v>85</v>
      </c>
      <c r="S591" s="54">
        <f>tkj!$BV$69</f>
        <v>85</v>
      </c>
      <c r="T591" s="63"/>
      <c r="U591" s="54">
        <f>tkj!$CA$69</f>
        <v>90</v>
      </c>
      <c r="V591" s="58"/>
      <c r="X591" s="278">
        <v>69</v>
      </c>
    </row>
    <row r="592" spans="1:24">
      <c r="A592" s="268">
        <v>65</v>
      </c>
      <c r="B592" s="271"/>
      <c r="C592" s="274"/>
      <c r="D592" s="62" t="s">
        <v>298</v>
      </c>
      <c r="E592" s="53">
        <f>tkj!$I$69</f>
        <v>91</v>
      </c>
      <c r="F592" s="53">
        <f>tkj!$O$69</f>
        <v>95</v>
      </c>
      <c r="G592" s="53">
        <f>tkj!$U$69</f>
        <v>83</v>
      </c>
      <c r="H592" s="65"/>
      <c r="I592" s="65"/>
      <c r="J592" s="59"/>
      <c r="K592" s="59"/>
      <c r="L592" s="53">
        <f>tkj!$AK$69</f>
        <v>84</v>
      </c>
      <c r="M592" s="53">
        <f>tkj!$AQ$69</f>
        <v>82</v>
      </c>
      <c r="N592" s="53">
        <f>tkj!$AW$69</f>
        <v>84</v>
      </c>
      <c r="O592" s="59"/>
      <c r="P592" s="55"/>
      <c r="Q592" s="55"/>
      <c r="R592" s="54">
        <f>tkj!$BS$69</f>
        <v>85.666666666666671</v>
      </c>
      <c r="S592" s="54">
        <f>tkj!$BW$69</f>
        <v>90</v>
      </c>
      <c r="T592" s="54"/>
      <c r="U592" s="54">
        <f>tkj!$CB$69</f>
        <v>87</v>
      </c>
      <c r="V592" s="58"/>
      <c r="X592" s="278">
        <v>69</v>
      </c>
    </row>
    <row r="593" spans="1:24">
      <c r="A593" s="268">
        <v>65</v>
      </c>
      <c r="B593" s="271"/>
      <c r="C593" s="274"/>
      <c r="D593" s="66" t="s">
        <v>299</v>
      </c>
      <c r="E593" s="67">
        <f>AVERAGE(E588:E592)</f>
        <v>89.2</v>
      </c>
      <c r="F593" s="67">
        <f>AVERAGE(F588:F592)</f>
        <v>90.8</v>
      </c>
      <c r="G593" s="67">
        <f>AVERAGE(G588:G592)</f>
        <v>85.8</v>
      </c>
      <c r="H593" s="68"/>
      <c r="I593" s="68"/>
      <c r="J593" s="69"/>
      <c r="K593" s="69"/>
      <c r="L593" s="67">
        <f>AVERAGE(L588:L592)</f>
        <v>84</v>
      </c>
      <c r="M593" s="67">
        <f>AVERAGE(M588:M592)</f>
        <v>75.8</v>
      </c>
      <c r="N593" s="67">
        <f>AVERAGE(N588:N592)</f>
        <v>82.8</v>
      </c>
      <c r="O593" s="69"/>
      <c r="P593" s="63"/>
      <c r="Q593" s="63"/>
      <c r="R593" s="84">
        <f>AVERAGE(R590:R592)</f>
        <v>84.444444444444457</v>
      </c>
      <c r="S593" s="84">
        <f>AVERAGE(S590:S592)</f>
        <v>86.666666666666671</v>
      </c>
      <c r="T593" s="63"/>
      <c r="U593" s="84">
        <f>AVERAGE(U588:U592)</f>
        <v>84.333333333333329</v>
      </c>
      <c r="V593" s="58"/>
      <c r="X593" s="278">
        <v>69</v>
      </c>
    </row>
    <row r="594" spans="1:24">
      <c r="A594" s="268">
        <v>65</v>
      </c>
      <c r="B594" s="271"/>
      <c r="C594" s="274"/>
      <c r="D594" s="70" t="s">
        <v>300</v>
      </c>
      <c r="E594" s="71">
        <f>tkj!$J$69</f>
        <v>95</v>
      </c>
      <c r="F594" s="71">
        <f>tkj!$P$69</f>
        <v>95</v>
      </c>
      <c r="G594" s="71">
        <f>tkj!$V$69</f>
        <v>95</v>
      </c>
      <c r="H594" s="72"/>
      <c r="I594" s="72"/>
      <c r="J594" s="73"/>
      <c r="K594" s="73"/>
      <c r="L594" s="71">
        <f>tkj!$AL$69</f>
        <v>95</v>
      </c>
      <c r="M594" s="71">
        <f>tkj!$AR$69</f>
        <v>95</v>
      </c>
      <c r="N594" s="71">
        <f>tkj!$AX$69</f>
        <v>95</v>
      </c>
      <c r="O594" s="73"/>
      <c r="P594" s="74"/>
      <c r="Q594" s="74"/>
      <c r="R594" s="85">
        <f>tkj!$BT$69</f>
        <v>95</v>
      </c>
      <c r="S594" s="85">
        <f>tkj!$BX$69</f>
        <v>95</v>
      </c>
      <c r="T594" s="85">
        <f>tkj!$BY$69</f>
        <v>95</v>
      </c>
      <c r="U594" s="75">
        <f>tkj!$CC$69</f>
        <v>95</v>
      </c>
      <c r="V594" s="58"/>
      <c r="X594" s="278">
        <v>69</v>
      </c>
    </row>
    <row r="595" spans="1:24">
      <c r="A595" s="268">
        <v>65</v>
      </c>
      <c r="B595" s="271"/>
      <c r="C595" s="274"/>
      <c r="D595" s="76" t="s">
        <v>301</v>
      </c>
      <c r="E595" s="77">
        <f>tkj!$CD$69</f>
        <v>90</v>
      </c>
      <c r="F595" s="77">
        <f>tkj!$CE$69</f>
        <v>92</v>
      </c>
      <c r="G595" s="77">
        <f>tkj!$CF$69</f>
        <v>82</v>
      </c>
      <c r="H595" s="72"/>
      <c r="I595" s="72"/>
      <c r="J595" s="73"/>
      <c r="K595" s="73"/>
      <c r="L595" s="77">
        <f>tkj!$CG$69</f>
        <v>77</v>
      </c>
      <c r="M595" s="77">
        <f>tkj!$CH$69</f>
        <v>82</v>
      </c>
      <c r="N595" s="77">
        <f>tkj!$CI$69</f>
        <v>83</v>
      </c>
      <c r="O595" s="73"/>
      <c r="P595" s="74"/>
      <c r="Q595" s="74"/>
      <c r="R595" s="86">
        <f>tkj!$CL$69</f>
        <v>80</v>
      </c>
      <c r="S595" s="86">
        <f>tkj!$CK$69</f>
        <v>93</v>
      </c>
      <c r="T595" s="74"/>
      <c r="U595" s="86">
        <f>tkj!$CJ$69</f>
        <v>85</v>
      </c>
      <c r="V595" s="58"/>
      <c r="X595" s="278">
        <v>69</v>
      </c>
    </row>
    <row r="596" spans="1:24" ht="15" thickBot="1">
      <c r="A596" s="269">
        <v>65</v>
      </c>
      <c r="B596" s="272"/>
      <c r="C596" s="275"/>
      <c r="D596" s="78" t="s">
        <v>302</v>
      </c>
      <c r="E596" s="79">
        <f>(E593*4+E594*3+E595*3)/10</f>
        <v>91.179999999999993</v>
      </c>
      <c r="F596" s="79">
        <f t="shared" ref="F596:G596" si="125">(F593*4+F594*3+F595*3)/10</f>
        <v>92.42</v>
      </c>
      <c r="G596" s="79">
        <f t="shared" si="125"/>
        <v>87.42</v>
      </c>
      <c r="H596" s="79">
        <f>AVERAGE(H588:H591)</f>
        <v>82.25</v>
      </c>
      <c r="I596" s="79">
        <f>AVERAGE(I588:I591)</f>
        <v>83.5</v>
      </c>
      <c r="J596" s="79">
        <f>AVERAGE(J588:J589)</f>
        <v>87</v>
      </c>
      <c r="K596" s="79">
        <f>AVERAGE(K588:K591)</f>
        <v>78.5</v>
      </c>
      <c r="L596" s="79">
        <f>(L593*4+L594*3+L595*3)/10</f>
        <v>85.2</v>
      </c>
      <c r="M596" s="79">
        <f>(M593*4+M594*3+M595*3)/10</f>
        <v>83.42</v>
      </c>
      <c r="N596" s="79">
        <f>(N593*4+N594*3+N595*3)/10</f>
        <v>86.52000000000001</v>
      </c>
      <c r="O596" s="79">
        <f>AVERAGE(O588:O589)</f>
        <v>93</v>
      </c>
      <c r="P596" s="79">
        <f>AVERAGE(P588:P589)</f>
        <v>89</v>
      </c>
      <c r="Q596" s="79">
        <f>AVERAGE(Q588:Q589)</f>
        <v>82</v>
      </c>
      <c r="R596" s="79">
        <f>(R593*4+R594*3+R595*3)/10</f>
        <v>86.277777777777786</v>
      </c>
      <c r="S596" s="79">
        <f>(S593*4+S594*3+S595*3)/10</f>
        <v>91.066666666666677</v>
      </c>
      <c r="T596" s="79">
        <f>T594</f>
        <v>95</v>
      </c>
      <c r="U596" s="79">
        <f t="shared" ref="U596" si="126">(U593*4+U594*3+U595*3)/10</f>
        <v>87.73333333333332</v>
      </c>
      <c r="V596" s="80">
        <f>AVERAGE(E596:U596)</f>
        <v>87.146339869281036</v>
      </c>
      <c r="X596" s="278">
        <v>69</v>
      </c>
    </row>
    <row r="597" spans="1:24" ht="18" customHeight="1" thickTop="1" thickBot="1">
      <c r="A597" s="268">
        <v>66</v>
      </c>
      <c r="B597" s="270" t="s">
        <v>377</v>
      </c>
      <c r="C597" s="273" t="s">
        <v>184</v>
      </c>
      <c r="D597" s="52" t="s">
        <v>294</v>
      </c>
      <c r="E597" s="53">
        <f>tkj!$E$70</f>
        <v>81</v>
      </c>
      <c r="F597" s="53">
        <f>tkj!$K$70</f>
        <v>79</v>
      </c>
      <c r="G597" s="53">
        <f>tkj!$Q$70</f>
        <v>86</v>
      </c>
      <c r="H597" s="53">
        <f>tkj!$W$70</f>
        <v>82</v>
      </c>
      <c r="I597" s="53">
        <f>tkj!$AA$70</f>
        <v>80</v>
      </c>
      <c r="J597" s="53">
        <f>tkj!$AE$70</f>
        <v>84</v>
      </c>
      <c r="K597" s="54">
        <f>tkj!$AG$70</f>
        <v>79</v>
      </c>
      <c r="L597" s="55"/>
      <c r="M597" s="53">
        <f>tkj!$AM$70</f>
        <v>80</v>
      </c>
      <c r="N597" s="53">
        <f>tkj!$AS$70</f>
        <v>78</v>
      </c>
      <c r="O597" s="53">
        <f>tkj!$AY$70</f>
        <v>87</v>
      </c>
      <c r="P597" s="54">
        <f>tkj!$BA$70</f>
        <v>84</v>
      </c>
      <c r="Q597" s="54">
        <f>tkj!$BC$70</f>
        <v>78</v>
      </c>
      <c r="R597" s="55"/>
      <c r="S597" s="55"/>
      <c r="T597" s="55"/>
      <c r="U597" s="55"/>
      <c r="V597" s="56"/>
      <c r="X597" s="278">
        <v>70</v>
      </c>
    </row>
    <row r="598" spans="1:24" ht="15" thickBot="1">
      <c r="A598" s="268">
        <v>66</v>
      </c>
      <c r="B598" s="271"/>
      <c r="C598" s="274"/>
      <c r="D598" s="52" t="s">
        <v>295</v>
      </c>
      <c r="E598" s="53">
        <f>tkj!$F$70</f>
        <v>92</v>
      </c>
      <c r="F598" s="53">
        <f>tkj!$L$70</f>
        <v>81</v>
      </c>
      <c r="G598" s="53">
        <f>tkj!$R$70</f>
        <v>84</v>
      </c>
      <c r="H598" s="53">
        <f>tkj!$X$70</f>
        <v>84</v>
      </c>
      <c r="I598" s="53">
        <f>tkj!$AB$70</f>
        <v>85</v>
      </c>
      <c r="J598" s="53">
        <f>tkj!$AF$70</f>
        <v>85</v>
      </c>
      <c r="K598" s="54">
        <f>tkj!$AH$70</f>
        <v>77</v>
      </c>
      <c r="L598" s="55"/>
      <c r="M598" s="53">
        <f>tkj!$AN$70</f>
        <v>83</v>
      </c>
      <c r="N598" s="53">
        <f>tkj!$AT$70</f>
        <v>80</v>
      </c>
      <c r="O598" s="53">
        <f>tkj!$AZ$70</f>
        <v>86</v>
      </c>
      <c r="P598" s="54">
        <f>tkj!$BB$70</f>
        <v>87</v>
      </c>
      <c r="Q598" s="54">
        <f>tkj!$BD$70</f>
        <v>83</v>
      </c>
      <c r="R598" s="55"/>
      <c r="S598" s="55"/>
      <c r="T598" s="55"/>
      <c r="U598" s="55"/>
      <c r="V598" s="58"/>
      <c r="X598" s="278">
        <v>70</v>
      </c>
    </row>
    <row r="599" spans="1:24" ht="15" thickBot="1">
      <c r="A599" s="268">
        <v>66</v>
      </c>
      <c r="B599" s="271"/>
      <c r="C599" s="274"/>
      <c r="D599" s="52" t="s">
        <v>296</v>
      </c>
      <c r="E599" s="53">
        <f>tkj!$G$70</f>
        <v>89</v>
      </c>
      <c r="F599" s="53">
        <f>tkj!$M$70</f>
        <v>95</v>
      </c>
      <c r="G599" s="53">
        <f>tkj!$S$70</f>
        <v>87</v>
      </c>
      <c r="H599" s="53">
        <f>tkj!$Y$70</f>
        <v>81</v>
      </c>
      <c r="I599" s="53">
        <f>tkj!$AC$70</f>
        <v>85</v>
      </c>
      <c r="J599" s="59"/>
      <c r="K599" s="54">
        <f>tkj!$AI$70</f>
        <v>75</v>
      </c>
      <c r="L599" s="55"/>
      <c r="M599" s="53">
        <f>tkj!$AO$70</f>
        <v>83</v>
      </c>
      <c r="N599" s="53">
        <f>tkj!$AU$70</f>
        <v>80</v>
      </c>
      <c r="O599" s="59"/>
      <c r="P599" s="55"/>
      <c r="Q599" s="55"/>
      <c r="R599" s="54">
        <f>tkj!$BQ$70</f>
        <v>80</v>
      </c>
      <c r="S599" s="54">
        <f>tkj!$BU$70</f>
        <v>85</v>
      </c>
      <c r="T599" s="55"/>
      <c r="U599" s="54">
        <f>tkj!$BZ$70</f>
        <v>82</v>
      </c>
      <c r="V599" s="58"/>
      <c r="X599" s="278">
        <v>70</v>
      </c>
    </row>
    <row r="600" spans="1:24" ht="15" thickBot="1">
      <c r="A600" s="268">
        <v>66</v>
      </c>
      <c r="B600" s="271"/>
      <c r="C600" s="274"/>
      <c r="D600" s="62" t="s">
        <v>297</v>
      </c>
      <c r="E600" s="53">
        <f>tkj!$H$70</f>
        <v>86</v>
      </c>
      <c r="F600" s="53">
        <f>tkj!$N$70</f>
        <v>95</v>
      </c>
      <c r="G600" s="53">
        <f>tkj!$T$70</f>
        <v>86</v>
      </c>
      <c r="H600" s="53">
        <f>tkj!$Z$70</f>
        <v>86</v>
      </c>
      <c r="I600" s="53">
        <f>tkj!$AD$70</f>
        <v>86</v>
      </c>
      <c r="J600" s="59"/>
      <c r="K600" s="54">
        <f>tkj!$AJ$70</f>
        <v>83</v>
      </c>
      <c r="L600" s="55"/>
      <c r="M600" s="53">
        <f>tkj!$AP$70</f>
        <v>84</v>
      </c>
      <c r="N600" s="53">
        <f>tkj!$AV$70</f>
        <v>85</v>
      </c>
      <c r="O600" s="59"/>
      <c r="P600" s="55"/>
      <c r="Q600" s="55"/>
      <c r="R600" s="54">
        <f>tkj!$BR$70</f>
        <v>87.666666666666671</v>
      </c>
      <c r="S600" s="54">
        <f>tkj!$BV$70</f>
        <v>85</v>
      </c>
      <c r="T600" s="63"/>
      <c r="U600" s="54">
        <f>tkj!$CA$70</f>
        <v>90</v>
      </c>
      <c r="V600" s="58"/>
      <c r="X600" s="278">
        <v>70</v>
      </c>
    </row>
    <row r="601" spans="1:24">
      <c r="A601" s="268">
        <v>66</v>
      </c>
      <c r="B601" s="271"/>
      <c r="C601" s="274"/>
      <c r="D601" s="62" t="s">
        <v>298</v>
      </c>
      <c r="E601" s="53">
        <f>tkj!$I$70</f>
        <v>92</v>
      </c>
      <c r="F601" s="53">
        <f>tkj!$O$70</f>
        <v>95</v>
      </c>
      <c r="G601" s="53">
        <f>tkj!$U$70</f>
        <v>83</v>
      </c>
      <c r="H601" s="65"/>
      <c r="I601" s="65"/>
      <c r="J601" s="59"/>
      <c r="K601" s="59"/>
      <c r="L601" s="53">
        <f>tkj!$AK$70</f>
        <v>88</v>
      </c>
      <c r="M601" s="53">
        <f>tkj!$AQ$70</f>
        <v>86</v>
      </c>
      <c r="N601" s="53">
        <f>tkj!$AW$70</f>
        <v>80</v>
      </c>
      <c r="O601" s="59"/>
      <c r="P601" s="55"/>
      <c r="Q601" s="55"/>
      <c r="R601" s="54">
        <f>tkj!$BS$70</f>
        <v>85.666666666666671</v>
      </c>
      <c r="S601" s="54">
        <f>tkj!$BW$70</f>
        <v>89</v>
      </c>
      <c r="T601" s="54"/>
      <c r="U601" s="54">
        <f>tkj!$CB$70</f>
        <v>80</v>
      </c>
      <c r="V601" s="58"/>
      <c r="X601" s="278">
        <v>70</v>
      </c>
    </row>
    <row r="602" spans="1:24">
      <c r="A602" s="268">
        <v>66</v>
      </c>
      <c r="B602" s="271"/>
      <c r="C602" s="274"/>
      <c r="D602" s="66" t="s">
        <v>299</v>
      </c>
      <c r="E602" s="67">
        <f>AVERAGE(E597:E601)</f>
        <v>88</v>
      </c>
      <c r="F602" s="67">
        <f>AVERAGE(F597:F601)</f>
        <v>89</v>
      </c>
      <c r="G602" s="67">
        <f>AVERAGE(G597:G601)</f>
        <v>85.2</v>
      </c>
      <c r="H602" s="68"/>
      <c r="I602" s="68"/>
      <c r="J602" s="69"/>
      <c r="K602" s="69"/>
      <c r="L602" s="67">
        <f>AVERAGE(L597:L601)</f>
        <v>88</v>
      </c>
      <c r="M602" s="67">
        <f>AVERAGE(M597:M601)</f>
        <v>83.2</v>
      </c>
      <c r="N602" s="67">
        <f>AVERAGE(N597:N601)</f>
        <v>80.599999999999994</v>
      </c>
      <c r="O602" s="69"/>
      <c r="P602" s="63"/>
      <c r="Q602" s="63"/>
      <c r="R602" s="84">
        <f>AVERAGE(R599:R601)</f>
        <v>84.444444444444457</v>
      </c>
      <c r="S602" s="84">
        <f>AVERAGE(S599:S601)</f>
        <v>86.333333333333329</v>
      </c>
      <c r="T602" s="63"/>
      <c r="U602" s="84">
        <f>AVERAGE(U597:U601)</f>
        <v>84</v>
      </c>
      <c r="V602" s="58"/>
      <c r="X602" s="278">
        <v>70</v>
      </c>
    </row>
    <row r="603" spans="1:24">
      <c r="A603" s="268">
        <v>66</v>
      </c>
      <c r="B603" s="271"/>
      <c r="C603" s="274"/>
      <c r="D603" s="70" t="s">
        <v>300</v>
      </c>
      <c r="E603" s="71">
        <f>tkj!$J$70</f>
        <v>80</v>
      </c>
      <c r="F603" s="71">
        <f>tkj!$P$70</f>
        <v>93</v>
      </c>
      <c r="G603" s="71">
        <f>tkj!$V$70</f>
        <v>86</v>
      </c>
      <c r="H603" s="72"/>
      <c r="I603" s="72"/>
      <c r="J603" s="73"/>
      <c r="K603" s="73"/>
      <c r="L603" s="71">
        <f>tkj!$AL$70</f>
        <v>86</v>
      </c>
      <c r="M603" s="71">
        <f>tkj!$AR$70</f>
        <v>95</v>
      </c>
      <c r="N603" s="71">
        <f>tkj!$AX$70</f>
        <v>95</v>
      </c>
      <c r="O603" s="73"/>
      <c r="P603" s="74"/>
      <c r="Q603" s="74"/>
      <c r="R603" s="85">
        <f>tkj!$BT$70</f>
        <v>95</v>
      </c>
      <c r="S603" s="85">
        <f>tkj!$BX$70</f>
        <v>95</v>
      </c>
      <c r="T603" s="85">
        <f>tkj!$BY$70</f>
        <v>90</v>
      </c>
      <c r="U603" s="75">
        <f>tkj!$CC$70</f>
        <v>95</v>
      </c>
      <c r="V603" s="58"/>
      <c r="X603" s="278">
        <v>70</v>
      </c>
    </row>
    <row r="604" spans="1:24">
      <c r="A604" s="268">
        <v>66</v>
      </c>
      <c r="B604" s="271"/>
      <c r="C604" s="274"/>
      <c r="D604" s="76" t="s">
        <v>301</v>
      </c>
      <c r="E604" s="77">
        <f>tkj!$CD$70</f>
        <v>86</v>
      </c>
      <c r="F604" s="77">
        <f>tkj!$CE$70</f>
        <v>88</v>
      </c>
      <c r="G604" s="77">
        <f>tkj!$CF$70</f>
        <v>80</v>
      </c>
      <c r="H604" s="72"/>
      <c r="I604" s="72"/>
      <c r="J604" s="73"/>
      <c r="K604" s="73"/>
      <c r="L604" s="77">
        <f>tkj!$CG$70</f>
        <v>95</v>
      </c>
      <c r="M604" s="77">
        <f>tkj!$CH$70</f>
        <v>87</v>
      </c>
      <c r="N604" s="77">
        <f>tkj!$CI$70</f>
        <v>85</v>
      </c>
      <c r="O604" s="73"/>
      <c r="P604" s="74"/>
      <c r="Q604" s="74"/>
      <c r="R604" s="86">
        <f>tkj!$CL$70</f>
        <v>92</v>
      </c>
      <c r="S604" s="86">
        <f>tkj!$CK$70</f>
        <v>93</v>
      </c>
      <c r="T604" s="74"/>
      <c r="U604" s="86">
        <f>tkj!$CJ$70</f>
        <v>90</v>
      </c>
      <c r="V604" s="58"/>
      <c r="X604" s="278">
        <v>70</v>
      </c>
    </row>
    <row r="605" spans="1:24" ht="15" thickBot="1">
      <c r="A605" s="269">
        <v>66</v>
      </c>
      <c r="B605" s="272"/>
      <c r="C605" s="275"/>
      <c r="D605" s="78" t="s">
        <v>302</v>
      </c>
      <c r="E605" s="79">
        <f>(E602*4+E603*3+E604*3)/10</f>
        <v>85</v>
      </c>
      <c r="F605" s="79">
        <f t="shared" ref="F605:G605" si="127">(F602*4+F603*3+F604*3)/10</f>
        <v>89.9</v>
      </c>
      <c r="G605" s="79">
        <f t="shared" si="127"/>
        <v>83.88</v>
      </c>
      <c r="H605" s="79">
        <f>AVERAGE(H597:H600)</f>
        <v>83.25</v>
      </c>
      <c r="I605" s="79">
        <f>AVERAGE(I597:I600)</f>
        <v>84</v>
      </c>
      <c r="J605" s="79">
        <f>AVERAGE(J597:J598)</f>
        <v>84.5</v>
      </c>
      <c r="K605" s="79">
        <f>AVERAGE(K597:K600)</f>
        <v>78.5</v>
      </c>
      <c r="L605" s="79">
        <f>(L602*4+L603*3+L604*3)/10</f>
        <v>89.5</v>
      </c>
      <c r="M605" s="79">
        <f>(M602*4+M603*3+M604*3)/10</f>
        <v>87.88</v>
      </c>
      <c r="N605" s="79">
        <f>(N602*4+N603*3+N604*3)/10</f>
        <v>86.24</v>
      </c>
      <c r="O605" s="79">
        <f>AVERAGE(O597:O598)</f>
        <v>86.5</v>
      </c>
      <c r="P605" s="79">
        <f>AVERAGE(P597:P598)</f>
        <v>85.5</v>
      </c>
      <c r="Q605" s="79">
        <f>AVERAGE(Q597:Q598)</f>
        <v>80.5</v>
      </c>
      <c r="R605" s="79">
        <f>(R602*4+R603*3+R604*3)/10</f>
        <v>89.87777777777778</v>
      </c>
      <c r="S605" s="79">
        <f>(S602*4+S603*3+S604*3)/10</f>
        <v>90.933333333333323</v>
      </c>
      <c r="T605" s="79">
        <f>T603</f>
        <v>90</v>
      </c>
      <c r="U605" s="79">
        <f t="shared" ref="U605" si="128">(U602*4+U603*3+U604*3)/10</f>
        <v>89.1</v>
      </c>
      <c r="V605" s="80">
        <f>AVERAGE(E605:U605)</f>
        <v>86.180065359477126</v>
      </c>
      <c r="X605" s="278">
        <v>70</v>
      </c>
    </row>
    <row r="606" spans="1:24" ht="15.6" thickTop="1" thickBot="1">
      <c r="A606" s="268">
        <v>67</v>
      </c>
      <c r="B606" s="270" t="s">
        <v>378</v>
      </c>
      <c r="C606" s="273" t="s">
        <v>186</v>
      </c>
      <c r="D606" s="52" t="s">
        <v>294</v>
      </c>
      <c r="E606" s="53">
        <f>tkj!$E$71</f>
        <v>94</v>
      </c>
      <c r="F606" s="53">
        <f>tkj!$K$71</f>
        <v>80</v>
      </c>
      <c r="G606" s="53">
        <f>tkj!$Q$71</f>
        <v>92</v>
      </c>
      <c r="H606" s="53">
        <f>tkj!$W$71</f>
        <v>81</v>
      </c>
      <c r="I606" s="53">
        <f>tkj!$AA$71</f>
        <v>78</v>
      </c>
      <c r="J606" s="53">
        <f>tkj!$AE$71</f>
        <v>83</v>
      </c>
      <c r="K606" s="54">
        <f>tkj!$AG$71</f>
        <v>78</v>
      </c>
      <c r="L606" s="55"/>
      <c r="M606" s="53">
        <f>tkj!$AM$71</f>
        <v>79</v>
      </c>
      <c r="N606" s="53">
        <f>tkj!$AS$71</f>
        <v>82</v>
      </c>
      <c r="O606" s="53">
        <f>tkj!$AY$71</f>
        <v>83</v>
      </c>
      <c r="P606" s="54">
        <f>tkj!$BA$71</f>
        <v>82</v>
      </c>
      <c r="Q606" s="54">
        <f>tkj!$BC$71</f>
        <v>83</v>
      </c>
      <c r="R606" s="55"/>
      <c r="S606" s="55"/>
      <c r="T606" s="55"/>
      <c r="U606" s="55"/>
      <c r="V606" s="56"/>
      <c r="X606" s="278">
        <v>71</v>
      </c>
    </row>
    <row r="607" spans="1:24" ht="15" thickBot="1">
      <c r="A607" s="268">
        <v>67</v>
      </c>
      <c r="B607" s="271"/>
      <c r="C607" s="274"/>
      <c r="D607" s="52" t="s">
        <v>295</v>
      </c>
      <c r="E607" s="53">
        <f>tkj!$F$71</f>
        <v>93</v>
      </c>
      <c r="F607" s="53">
        <f>tkj!$L$71</f>
        <v>80</v>
      </c>
      <c r="G607" s="53">
        <f>tkj!$R$71</f>
        <v>85</v>
      </c>
      <c r="H607" s="53">
        <f>tkj!$X$71</f>
        <v>84</v>
      </c>
      <c r="I607" s="53">
        <f>tkj!$AB$71</f>
        <v>86</v>
      </c>
      <c r="J607" s="53">
        <f>tkj!$AF$71</f>
        <v>90</v>
      </c>
      <c r="K607" s="54">
        <f>tkj!$AH$71</f>
        <v>75</v>
      </c>
      <c r="L607" s="55"/>
      <c r="M607" s="53">
        <f>tkj!$AN$71</f>
        <v>80</v>
      </c>
      <c r="N607" s="53">
        <f>tkj!$AT$71</f>
        <v>80</v>
      </c>
      <c r="O607" s="53">
        <f>tkj!$AZ$71</f>
        <v>87</v>
      </c>
      <c r="P607" s="54">
        <f>tkj!$BB$71</f>
        <v>89</v>
      </c>
      <c r="Q607" s="54">
        <f>tkj!$BD$71</f>
        <v>80</v>
      </c>
      <c r="R607" s="55"/>
      <c r="S607" s="55"/>
      <c r="T607" s="55"/>
      <c r="U607" s="55"/>
      <c r="V607" s="58"/>
      <c r="X607" s="278">
        <v>71</v>
      </c>
    </row>
    <row r="608" spans="1:24" ht="15" thickBot="1">
      <c r="A608" s="268">
        <v>67</v>
      </c>
      <c r="B608" s="271"/>
      <c r="C608" s="274"/>
      <c r="D608" s="52" t="s">
        <v>296</v>
      </c>
      <c r="E608" s="53">
        <f>tkj!$G$71</f>
        <v>90</v>
      </c>
      <c r="F608" s="53">
        <f>tkj!$M$71</f>
        <v>95</v>
      </c>
      <c r="G608" s="53">
        <f>tkj!$S$71</f>
        <v>88</v>
      </c>
      <c r="H608" s="53">
        <f>tkj!$Y$71</f>
        <v>80</v>
      </c>
      <c r="I608" s="53">
        <f>tkj!$AC$71</f>
        <v>82</v>
      </c>
      <c r="J608" s="59"/>
      <c r="K608" s="54">
        <f>tkj!$AI$71</f>
        <v>78</v>
      </c>
      <c r="L608" s="55"/>
      <c r="M608" s="53">
        <f>tkj!$AO$71</f>
        <v>75</v>
      </c>
      <c r="N608" s="53">
        <f>tkj!$AU$71</f>
        <v>80</v>
      </c>
      <c r="O608" s="59"/>
      <c r="P608" s="55"/>
      <c r="Q608" s="55"/>
      <c r="R608" s="54">
        <f>tkj!$BQ$71</f>
        <v>80.333333333333329</v>
      </c>
      <c r="S608" s="54">
        <f>tkj!$BU$71</f>
        <v>86</v>
      </c>
      <c r="T608" s="55"/>
      <c r="U608" s="54">
        <f>tkj!$BZ$71</f>
        <v>83</v>
      </c>
      <c r="V608" s="58"/>
      <c r="X608" s="278">
        <v>71</v>
      </c>
    </row>
    <row r="609" spans="1:24" ht="15" thickBot="1">
      <c r="A609" s="268">
        <v>67</v>
      </c>
      <c r="B609" s="271"/>
      <c r="C609" s="274"/>
      <c r="D609" s="62" t="s">
        <v>297</v>
      </c>
      <c r="E609" s="53">
        <f>tkj!$H$71</f>
        <v>86</v>
      </c>
      <c r="F609" s="53">
        <f>tkj!$N$71</f>
        <v>95</v>
      </c>
      <c r="G609" s="53">
        <f>tkj!$T$71</f>
        <v>88</v>
      </c>
      <c r="H609" s="53">
        <f>tkj!$Z$71</f>
        <v>84</v>
      </c>
      <c r="I609" s="53">
        <f>tkj!$AD$71</f>
        <v>86</v>
      </c>
      <c r="J609" s="59"/>
      <c r="K609" s="54">
        <f>tkj!$AJ$71</f>
        <v>84</v>
      </c>
      <c r="L609" s="55"/>
      <c r="M609" s="53">
        <f>tkj!$AP$71</f>
        <v>76</v>
      </c>
      <c r="N609" s="53">
        <f>tkj!$AV$71</f>
        <v>80</v>
      </c>
      <c r="O609" s="59"/>
      <c r="P609" s="55"/>
      <c r="Q609" s="55"/>
      <c r="R609" s="54">
        <f>tkj!$BR$71</f>
        <v>83.333333333333329</v>
      </c>
      <c r="S609" s="54">
        <f>tkj!$BV$71</f>
        <v>86</v>
      </c>
      <c r="T609" s="63"/>
      <c r="U609" s="54">
        <f>tkj!$CA$71</f>
        <v>90</v>
      </c>
      <c r="V609" s="58"/>
      <c r="X609" s="278">
        <v>71</v>
      </c>
    </row>
    <row r="610" spans="1:24">
      <c r="A610" s="268">
        <v>67</v>
      </c>
      <c r="B610" s="271"/>
      <c r="C610" s="274"/>
      <c r="D610" s="62" t="s">
        <v>298</v>
      </c>
      <c r="E610" s="53">
        <f>tkj!$I$71</f>
        <v>93</v>
      </c>
      <c r="F610" s="53">
        <f>tkj!$O$71</f>
        <v>95</v>
      </c>
      <c r="G610" s="53">
        <f>tkj!$U$71</f>
        <v>84</v>
      </c>
      <c r="H610" s="65"/>
      <c r="I610" s="65"/>
      <c r="J610" s="59"/>
      <c r="K610" s="59"/>
      <c r="L610" s="53">
        <f>tkj!$AK$71</f>
        <v>82</v>
      </c>
      <c r="M610" s="53">
        <f>tkj!$AQ$71</f>
        <v>82</v>
      </c>
      <c r="N610" s="53">
        <f>tkj!$AW$71</f>
        <v>80</v>
      </c>
      <c r="O610" s="59"/>
      <c r="P610" s="55"/>
      <c r="Q610" s="55"/>
      <c r="R610" s="54">
        <f>tkj!$BS$71</f>
        <v>85.666666666666671</v>
      </c>
      <c r="S610" s="54">
        <f>tkj!$BW$71</f>
        <v>89</v>
      </c>
      <c r="T610" s="54"/>
      <c r="U610" s="54">
        <f>tkj!$CB$71</f>
        <v>86</v>
      </c>
      <c r="V610" s="58"/>
      <c r="X610" s="278">
        <v>71</v>
      </c>
    </row>
    <row r="611" spans="1:24">
      <c r="A611" s="268">
        <v>67</v>
      </c>
      <c r="B611" s="271"/>
      <c r="C611" s="274"/>
      <c r="D611" s="66" t="s">
        <v>299</v>
      </c>
      <c r="E611" s="67">
        <f>AVERAGE(E606:E610)</f>
        <v>91.2</v>
      </c>
      <c r="F611" s="67">
        <f>AVERAGE(F606:F610)</f>
        <v>89</v>
      </c>
      <c r="G611" s="67">
        <f>AVERAGE(G606:G610)</f>
        <v>87.4</v>
      </c>
      <c r="H611" s="68"/>
      <c r="I611" s="68"/>
      <c r="J611" s="69"/>
      <c r="K611" s="69"/>
      <c r="L611" s="67">
        <f>AVERAGE(L606:L610)</f>
        <v>82</v>
      </c>
      <c r="M611" s="67">
        <f>AVERAGE(M606:M610)</f>
        <v>78.400000000000006</v>
      </c>
      <c r="N611" s="67">
        <f>AVERAGE(N606:N610)</f>
        <v>80.400000000000006</v>
      </c>
      <c r="O611" s="69"/>
      <c r="P611" s="63"/>
      <c r="Q611" s="63"/>
      <c r="R611" s="84">
        <f>AVERAGE(R608:R610)</f>
        <v>83.1111111111111</v>
      </c>
      <c r="S611" s="84">
        <f>AVERAGE(S608:S610)</f>
        <v>87</v>
      </c>
      <c r="T611" s="63"/>
      <c r="U611" s="84">
        <f>AVERAGE(U606:U610)</f>
        <v>86.333333333333329</v>
      </c>
      <c r="V611" s="58"/>
      <c r="X611" s="278">
        <v>71</v>
      </c>
    </row>
    <row r="612" spans="1:24">
      <c r="A612" s="268">
        <v>67</v>
      </c>
      <c r="B612" s="271"/>
      <c r="C612" s="274"/>
      <c r="D612" s="70" t="s">
        <v>300</v>
      </c>
      <c r="E612" s="71">
        <f>tkj!$J$71</f>
        <v>95</v>
      </c>
      <c r="F612" s="71">
        <f>tkj!$P$71</f>
        <v>95</v>
      </c>
      <c r="G612" s="71">
        <f>tkj!$V$71</f>
        <v>95</v>
      </c>
      <c r="H612" s="72"/>
      <c r="I612" s="72"/>
      <c r="J612" s="73"/>
      <c r="K612" s="73"/>
      <c r="L612" s="71">
        <f>tkj!$AL$71</f>
        <v>95</v>
      </c>
      <c r="M612" s="71">
        <f>tkj!$AR$71</f>
        <v>95</v>
      </c>
      <c r="N612" s="71">
        <f>tkj!$AX$71</f>
        <v>95</v>
      </c>
      <c r="O612" s="73"/>
      <c r="P612" s="74"/>
      <c r="Q612" s="74"/>
      <c r="R612" s="85">
        <f>tkj!$BT$71</f>
        <v>95</v>
      </c>
      <c r="S612" s="85">
        <f>tkj!$BX$71</f>
        <v>95</v>
      </c>
      <c r="T612" s="85">
        <f>tkj!$BY$71</f>
        <v>95</v>
      </c>
      <c r="U612" s="75">
        <f>tkj!$CC$71</f>
        <v>95</v>
      </c>
      <c r="V612" s="58"/>
      <c r="X612" s="278">
        <v>71</v>
      </c>
    </row>
    <row r="613" spans="1:24">
      <c r="A613" s="268">
        <v>67</v>
      </c>
      <c r="B613" s="271"/>
      <c r="C613" s="274"/>
      <c r="D613" s="76" t="s">
        <v>301</v>
      </c>
      <c r="E613" s="77">
        <f>tkj!$CD$71</f>
        <v>89</v>
      </c>
      <c r="F613" s="77">
        <f>tkj!$CE$71</f>
        <v>88</v>
      </c>
      <c r="G613" s="77">
        <f>tkj!$CF$71</f>
        <v>82</v>
      </c>
      <c r="H613" s="72"/>
      <c r="I613" s="72"/>
      <c r="J613" s="73"/>
      <c r="K613" s="73"/>
      <c r="L613" s="77">
        <f>tkj!$CG$71</f>
        <v>95</v>
      </c>
      <c r="M613" s="77">
        <f>tkj!$CH$71</f>
        <v>82</v>
      </c>
      <c r="N613" s="77">
        <f>tkj!$CI$71</f>
        <v>85</v>
      </c>
      <c r="O613" s="73"/>
      <c r="P613" s="74"/>
      <c r="Q613" s="74"/>
      <c r="R613" s="86">
        <f>tkj!$CL$71</f>
        <v>97</v>
      </c>
      <c r="S613" s="86">
        <f>tkj!$CK$71</f>
        <v>79</v>
      </c>
      <c r="T613" s="74"/>
      <c r="U613" s="86">
        <f>tkj!$CJ$71</f>
        <v>88</v>
      </c>
      <c r="V613" s="58"/>
      <c r="X613" s="278">
        <v>71</v>
      </c>
    </row>
    <row r="614" spans="1:24" ht="15" thickBot="1">
      <c r="A614" s="269">
        <v>67</v>
      </c>
      <c r="B614" s="272"/>
      <c r="C614" s="275"/>
      <c r="D614" s="78" t="s">
        <v>302</v>
      </c>
      <c r="E614" s="79">
        <f>(E611*4+E612*3+E613*3)/10</f>
        <v>91.679999999999993</v>
      </c>
      <c r="F614" s="79">
        <f t="shared" ref="F614:G614" si="129">(F611*4+F612*3+F613*3)/10</f>
        <v>90.5</v>
      </c>
      <c r="G614" s="79">
        <f t="shared" si="129"/>
        <v>88.06</v>
      </c>
      <c r="H614" s="79">
        <f>AVERAGE(H606:H609)</f>
        <v>82.25</v>
      </c>
      <c r="I614" s="79">
        <f>AVERAGE(I606:I609)</f>
        <v>83</v>
      </c>
      <c r="J614" s="79">
        <f>AVERAGE(J606:J607)</f>
        <v>86.5</v>
      </c>
      <c r="K614" s="79">
        <f>AVERAGE(K606:K609)</f>
        <v>78.75</v>
      </c>
      <c r="L614" s="79">
        <f>(L611*4+L612*3+L613*3)/10</f>
        <v>89.8</v>
      </c>
      <c r="M614" s="79">
        <f>(M611*4+M612*3+M613*3)/10</f>
        <v>84.460000000000008</v>
      </c>
      <c r="N614" s="79">
        <f>(N611*4+N612*3+N613*3)/10</f>
        <v>86.16</v>
      </c>
      <c r="O614" s="79">
        <f>AVERAGE(O606:O607)</f>
        <v>85</v>
      </c>
      <c r="P614" s="79">
        <f>AVERAGE(P606:P607)</f>
        <v>85.5</v>
      </c>
      <c r="Q614" s="79">
        <f>AVERAGE(Q606:Q607)</f>
        <v>81.5</v>
      </c>
      <c r="R614" s="79">
        <f>(R611*4+R612*3+R613*3)/10</f>
        <v>90.844444444444434</v>
      </c>
      <c r="S614" s="79">
        <f>(S611*4+S612*3+S613*3)/10</f>
        <v>87</v>
      </c>
      <c r="T614" s="79">
        <f>T612</f>
        <v>95</v>
      </c>
      <c r="U614" s="79">
        <f t="shared" ref="U614" si="130">(U611*4+U612*3+U613*3)/10</f>
        <v>89.433333333333323</v>
      </c>
      <c r="V614" s="80">
        <f>AVERAGE(E614:U614)</f>
        <v>86.79045751633987</v>
      </c>
      <c r="X614" s="278">
        <v>71</v>
      </c>
    </row>
    <row r="615" spans="1:24" ht="15.6" thickTop="1" thickBot="1">
      <c r="A615" s="268">
        <v>68</v>
      </c>
      <c r="B615" s="270" t="s">
        <v>379</v>
      </c>
      <c r="C615" s="273" t="s">
        <v>188</v>
      </c>
      <c r="D615" s="52" t="s">
        <v>294</v>
      </c>
      <c r="E615" s="53">
        <f>tkj!$E$72</f>
        <v>90</v>
      </c>
      <c r="F615" s="53">
        <f>tkj!$K$72</f>
        <v>82</v>
      </c>
      <c r="G615" s="53">
        <f>tkj!$Q$72</f>
        <v>89</v>
      </c>
      <c r="H615" s="53">
        <f>tkj!$W$72</f>
        <v>81</v>
      </c>
      <c r="I615" s="53">
        <f>tkj!$AA$72</f>
        <v>73</v>
      </c>
      <c r="J615" s="53">
        <f>tkj!$AE$72</f>
        <v>83</v>
      </c>
      <c r="K615" s="54">
        <f>tkj!$AG$72</f>
        <v>83</v>
      </c>
      <c r="L615" s="55"/>
      <c r="M615" s="53">
        <f>tkj!$AM$72</f>
        <v>80</v>
      </c>
      <c r="N615" s="53">
        <f>tkj!$AS$72</f>
        <v>84</v>
      </c>
      <c r="O615" s="53">
        <f>tkj!$AY$72</f>
        <v>87</v>
      </c>
      <c r="P615" s="54">
        <f>tkj!$BA$72</f>
        <v>76</v>
      </c>
      <c r="Q615" s="54">
        <f>tkj!$BC$72</f>
        <v>85</v>
      </c>
      <c r="R615" s="55"/>
      <c r="S615" s="55"/>
      <c r="T615" s="55"/>
      <c r="U615" s="55"/>
      <c r="V615" s="56"/>
      <c r="X615" s="278">
        <v>72</v>
      </c>
    </row>
    <row r="616" spans="1:24" ht="15" thickBot="1">
      <c r="A616" s="268">
        <v>68</v>
      </c>
      <c r="B616" s="271"/>
      <c r="C616" s="274"/>
      <c r="D616" s="52" t="s">
        <v>295</v>
      </c>
      <c r="E616" s="53">
        <f>tkj!$F$72</f>
        <v>86</v>
      </c>
      <c r="F616" s="53">
        <f>tkj!$L$72</f>
        <v>74</v>
      </c>
      <c r="G616" s="53">
        <f>tkj!$R$72</f>
        <v>83</v>
      </c>
      <c r="H616" s="53">
        <f>tkj!$X$72</f>
        <v>84</v>
      </c>
      <c r="I616" s="53">
        <f>tkj!$AB$72</f>
        <v>80</v>
      </c>
      <c r="J616" s="53">
        <f>tkj!$AF$72</f>
        <v>84</v>
      </c>
      <c r="K616" s="54">
        <f>tkj!$AH$72</f>
        <v>70</v>
      </c>
      <c r="L616" s="55"/>
      <c r="M616" s="53">
        <f>tkj!$AN$72</f>
        <v>82</v>
      </c>
      <c r="N616" s="53">
        <f>tkj!$AT$72</f>
        <v>80</v>
      </c>
      <c r="O616" s="53">
        <f>tkj!$AZ$72</f>
        <v>89</v>
      </c>
      <c r="P616" s="54">
        <f>tkj!$BB$72</f>
        <v>85</v>
      </c>
      <c r="Q616" s="54">
        <f>tkj!$BD$72</f>
        <v>90</v>
      </c>
      <c r="R616" s="55"/>
      <c r="S616" s="55"/>
      <c r="T616" s="55"/>
      <c r="U616" s="55"/>
      <c r="V616" s="58"/>
      <c r="X616" s="278">
        <v>72</v>
      </c>
    </row>
    <row r="617" spans="1:24" ht="15" thickBot="1">
      <c r="A617" s="268">
        <v>68</v>
      </c>
      <c r="B617" s="271"/>
      <c r="C617" s="274"/>
      <c r="D617" s="52" t="s">
        <v>296</v>
      </c>
      <c r="E617" s="53">
        <f>tkj!$G$72</f>
        <v>88</v>
      </c>
      <c r="F617" s="53">
        <f>tkj!$M$72</f>
        <v>88</v>
      </c>
      <c r="G617" s="53">
        <f>tkj!$S$72</f>
        <v>79</v>
      </c>
      <c r="H617" s="53">
        <f>tkj!$Y$72</f>
        <v>80</v>
      </c>
      <c r="I617" s="53">
        <f>tkj!$AC$72</f>
        <v>86</v>
      </c>
      <c r="J617" s="59"/>
      <c r="K617" s="54">
        <f>tkj!$AI$72</f>
        <v>71</v>
      </c>
      <c r="L617" s="55"/>
      <c r="M617" s="53">
        <f>tkj!$AO$72</f>
        <v>84</v>
      </c>
      <c r="N617" s="53">
        <f>tkj!$AU$72</f>
        <v>88</v>
      </c>
      <c r="O617" s="59"/>
      <c r="P617" s="55"/>
      <c r="Q617" s="55"/>
      <c r="R617" s="54">
        <f>tkj!$BQ$72</f>
        <v>82</v>
      </c>
      <c r="S617" s="54">
        <f>tkj!$BU$72</f>
        <v>86</v>
      </c>
      <c r="T617" s="55"/>
      <c r="U617" s="54">
        <f>tkj!$BZ$72</f>
        <v>83</v>
      </c>
      <c r="V617" s="58"/>
      <c r="X617" s="278">
        <v>72</v>
      </c>
    </row>
    <row r="618" spans="1:24" ht="15" thickBot="1">
      <c r="A618" s="268">
        <v>68</v>
      </c>
      <c r="B618" s="271"/>
      <c r="C618" s="274"/>
      <c r="D618" s="62" t="s">
        <v>297</v>
      </c>
      <c r="E618" s="53">
        <f>tkj!$H$72</f>
        <v>85</v>
      </c>
      <c r="F618" s="53">
        <f>tkj!$N$72</f>
        <v>94</v>
      </c>
      <c r="G618" s="53">
        <f>tkj!$T$72</f>
        <v>88</v>
      </c>
      <c r="H618" s="53">
        <f>tkj!$Z$72</f>
        <v>84</v>
      </c>
      <c r="I618" s="53">
        <f>tkj!$AD$72</f>
        <v>87</v>
      </c>
      <c r="J618" s="59"/>
      <c r="K618" s="54">
        <f>tkj!$AJ$72</f>
        <v>83</v>
      </c>
      <c r="L618" s="55"/>
      <c r="M618" s="53">
        <f>tkj!$AP$72</f>
        <v>86</v>
      </c>
      <c r="N618" s="53">
        <f>tkj!$AV$72</f>
        <v>85</v>
      </c>
      <c r="O618" s="59"/>
      <c r="P618" s="55"/>
      <c r="Q618" s="55"/>
      <c r="R618" s="54">
        <f>tkj!$BR$72</f>
        <v>84.333333333333329</v>
      </c>
      <c r="S618" s="54">
        <f>tkj!$BV$72</f>
        <v>86</v>
      </c>
      <c r="T618" s="63"/>
      <c r="U618" s="54">
        <f>tkj!$CA$72</f>
        <v>92</v>
      </c>
      <c r="V618" s="58"/>
      <c r="X618" s="278">
        <v>72</v>
      </c>
    </row>
    <row r="619" spans="1:24">
      <c r="A619" s="268">
        <v>68</v>
      </c>
      <c r="B619" s="271"/>
      <c r="C619" s="274"/>
      <c r="D619" s="62" t="s">
        <v>298</v>
      </c>
      <c r="E619" s="53">
        <f>tkj!$I$72</f>
        <v>87</v>
      </c>
      <c r="F619" s="53">
        <f>tkj!$O$72</f>
        <v>95</v>
      </c>
      <c r="G619" s="53">
        <f>tkj!$U$72</f>
        <v>84</v>
      </c>
      <c r="H619" s="65"/>
      <c r="I619" s="65"/>
      <c r="J619" s="59"/>
      <c r="K619" s="59"/>
      <c r="L619" s="53">
        <f>tkj!$AK$72</f>
        <v>85</v>
      </c>
      <c r="M619" s="53">
        <f>tkj!$AQ$72</f>
        <v>84</v>
      </c>
      <c r="N619" s="53">
        <f>tkj!$AW$72</f>
        <v>88</v>
      </c>
      <c r="O619" s="59"/>
      <c r="P619" s="55"/>
      <c r="Q619" s="55"/>
      <c r="R619" s="54">
        <f>tkj!$BS$72</f>
        <v>88.333333333333329</v>
      </c>
      <c r="S619" s="54">
        <f>tkj!$BW$72</f>
        <v>89</v>
      </c>
      <c r="T619" s="54"/>
      <c r="U619" s="54">
        <f>tkj!$CB$72</f>
        <v>80</v>
      </c>
      <c r="V619" s="58"/>
      <c r="X619" s="278">
        <v>72</v>
      </c>
    </row>
    <row r="620" spans="1:24">
      <c r="A620" s="268">
        <v>68</v>
      </c>
      <c r="B620" s="271"/>
      <c r="C620" s="274"/>
      <c r="D620" s="66" t="s">
        <v>299</v>
      </c>
      <c r="E620" s="67">
        <f>AVERAGE(E615:E619)</f>
        <v>87.2</v>
      </c>
      <c r="F620" s="67">
        <f>AVERAGE(F615:F619)</f>
        <v>86.6</v>
      </c>
      <c r="G620" s="67">
        <f>AVERAGE(G615:G619)</f>
        <v>84.6</v>
      </c>
      <c r="H620" s="68"/>
      <c r="I620" s="68"/>
      <c r="J620" s="69"/>
      <c r="K620" s="69"/>
      <c r="L620" s="67">
        <f>AVERAGE(L615:L619)</f>
        <v>85</v>
      </c>
      <c r="M620" s="67">
        <f>AVERAGE(M615:M619)</f>
        <v>83.2</v>
      </c>
      <c r="N620" s="67">
        <f>AVERAGE(N615:N619)</f>
        <v>85</v>
      </c>
      <c r="O620" s="69"/>
      <c r="P620" s="63"/>
      <c r="Q620" s="63"/>
      <c r="R620" s="84">
        <f>AVERAGE(R617:R619)</f>
        <v>84.888888888888872</v>
      </c>
      <c r="S620" s="84">
        <f>AVERAGE(S617:S619)</f>
        <v>87</v>
      </c>
      <c r="T620" s="63"/>
      <c r="U620" s="84">
        <f>AVERAGE(U615:U619)</f>
        <v>85</v>
      </c>
      <c r="V620" s="58"/>
      <c r="X620" s="278">
        <v>72</v>
      </c>
    </row>
    <row r="621" spans="1:24">
      <c r="A621" s="268">
        <v>68</v>
      </c>
      <c r="B621" s="271"/>
      <c r="C621" s="274"/>
      <c r="D621" s="70" t="s">
        <v>300</v>
      </c>
      <c r="E621" s="71">
        <f>tkj!$J$72</f>
        <v>90</v>
      </c>
      <c r="F621" s="71">
        <f>tkj!$P$72</f>
        <v>89</v>
      </c>
      <c r="G621" s="71">
        <f>tkj!$V$72</f>
        <v>86</v>
      </c>
      <c r="H621" s="72"/>
      <c r="I621" s="72"/>
      <c r="J621" s="73"/>
      <c r="K621" s="73"/>
      <c r="L621" s="71">
        <f>tkj!$AL$72</f>
        <v>86</v>
      </c>
      <c r="M621" s="71">
        <f>tkj!$AR$72</f>
        <v>88</v>
      </c>
      <c r="N621" s="71">
        <f>tkj!$AX$72</f>
        <v>88</v>
      </c>
      <c r="O621" s="73"/>
      <c r="P621" s="74"/>
      <c r="Q621" s="74"/>
      <c r="R621" s="85">
        <f>tkj!$BT$72</f>
        <v>88</v>
      </c>
      <c r="S621" s="85">
        <f>tkj!$BX$72</f>
        <v>88</v>
      </c>
      <c r="T621" s="85">
        <f>tkj!$BY$72</f>
        <v>88</v>
      </c>
      <c r="U621" s="75">
        <f>tkj!$CC$72</f>
        <v>88</v>
      </c>
      <c r="V621" s="58"/>
      <c r="X621" s="278">
        <v>72</v>
      </c>
    </row>
    <row r="622" spans="1:24">
      <c r="A622" s="268">
        <v>68</v>
      </c>
      <c r="B622" s="271"/>
      <c r="C622" s="274"/>
      <c r="D622" s="76" t="s">
        <v>301</v>
      </c>
      <c r="E622" s="77">
        <f>tkj!$CD$72</f>
        <v>86</v>
      </c>
      <c r="F622" s="77">
        <f>tkj!$CE$72</f>
        <v>80</v>
      </c>
      <c r="G622" s="77">
        <f>tkj!$CF$72</f>
        <v>82</v>
      </c>
      <c r="H622" s="72"/>
      <c r="I622" s="72"/>
      <c r="J622" s="73"/>
      <c r="K622" s="73"/>
      <c r="L622" s="77">
        <f>tkj!$CG$72</f>
        <v>94</v>
      </c>
      <c r="M622" s="77">
        <f>tkj!$CH$72</f>
        <v>84</v>
      </c>
      <c r="N622" s="77">
        <f>tkj!$CI$72</f>
        <v>88</v>
      </c>
      <c r="O622" s="73"/>
      <c r="P622" s="74"/>
      <c r="Q622" s="74"/>
      <c r="R622" s="86">
        <f>tkj!$CL$72</f>
        <v>92</v>
      </c>
      <c r="S622" s="86">
        <f>tkj!$CK$72</f>
        <v>93</v>
      </c>
      <c r="T622" s="74"/>
      <c r="U622" s="86">
        <f>tkj!$CJ$72</f>
        <v>90</v>
      </c>
      <c r="V622" s="58"/>
      <c r="X622" s="278">
        <v>72</v>
      </c>
    </row>
    <row r="623" spans="1:24" ht="15" thickBot="1">
      <c r="A623" s="269">
        <v>68</v>
      </c>
      <c r="B623" s="272"/>
      <c r="C623" s="275"/>
      <c r="D623" s="78" t="s">
        <v>302</v>
      </c>
      <c r="E623" s="79">
        <f>(E620*4+E621*3+E622*3)/10</f>
        <v>87.679999999999993</v>
      </c>
      <c r="F623" s="79">
        <f t="shared" ref="F623:G623" si="131">(F620*4+F621*3+F622*3)/10</f>
        <v>85.34</v>
      </c>
      <c r="G623" s="79">
        <f t="shared" si="131"/>
        <v>84.24</v>
      </c>
      <c r="H623" s="79">
        <f>AVERAGE(H615:H618)</f>
        <v>82.25</v>
      </c>
      <c r="I623" s="79">
        <f>AVERAGE(I615:I618)</f>
        <v>81.5</v>
      </c>
      <c r="J623" s="79">
        <f>AVERAGE(J615:J616)</f>
        <v>83.5</v>
      </c>
      <c r="K623" s="79">
        <f>AVERAGE(K615:K618)</f>
        <v>76.75</v>
      </c>
      <c r="L623" s="79">
        <f>(L620*4+L621*3+L622*3)/10</f>
        <v>88</v>
      </c>
      <c r="M623" s="79">
        <f>(M620*4+M621*3+M622*3)/10</f>
        <v>84.88</v>
      </c>
      <c r="N623" s="79">
        <f>(N620*4+N621*3+N622*3)/10</f>
        <v>86.8</v>
      </c>
      <c r="O623" s="79">
        <f>AVERAGE(O615:O616)</f>
        <v>88</v>
      </c>
      <c r="P623" s="79">
        <f>AVERAGE(P615:P616)</f>
        <v>80.5</v>
      </c>
      <c r="Q623" s="79">
        <f>AVERAGE(Q615:Q616)</f>
        <v>87.5</v>
      </c>
      <c r="R623" s="79">
        <f>(R620*4+R621*3+R622*3)/10</f>
        <v>87.955555555555549</v>
      </c>
      <c r="S623" s="79">
        <f>(S620*4+S621*3+S622*3)/10</f>
        <v>89.1</v>
      </c>
      <c r="T623" s="79">
        <f>T621</f>
        <v>88</v>
      </c>
      <c r="U623" s="79">
        <f t="shared" ref="U623" si="132">(U620*4+U621*3+U622*3)/10</f>
        <v>87.4</v>
      </c>
      <c r="V623" s="80">
        <f>AVERAGE(E623:U623)</f>
        <v>85.258562091503265</v>
      </c>
      <c r="X623" s="278">
        <v>72</v>
      </c>
    </row>
    <row r="624" spans="1:24" ht="15.6" thickTop="1" thickBot="1">
      <c r="A624" s="268">
        <v>69</v>
      </c>
      <c r="B624" s="270" t="s">
        <v>380</v>
      </c>
      <c r="C624" s="273" t="s">
        <v>190</v>
      </c>
      <c r="D624" s="52" t="s">
        <v>294</v>
      </c>
      <c r="E624" s="53">
        <f>tkj!$E$73</f>
        <v>80</v>
      </c>
      <c r="F624" s="53">
        <f>tkj!$K$73</f>
        <v>79</v>
      </c>
      <c r="G624" s="53">
        <f>tkj!$Q$73</f>
        <v>80</v>
      </c>
      <c r="H624" s="53">
        <f>tkj!$W$73</f>
        <v>81</v>
      </c>
      <c r="I624" s="53">
        <f>tkj!$AA$73</f>
        <v>75</v>
      </c>
      <c r="J624" s="53">
        <f>tkj!$AE$73</f>
        <v>79</v>
      </c>
      <c r="K624" s="54">
        <f>tkj!$AG$73</f>
        <v>77</v>
      </c>
      <c r="L624" s="55"/>
      <c r="M624" s="53">
        <f>tkj!$AM$73</f>
        <v>73</v>
      </c>
      <c r="N624" s="53">
        <f>tkj!$AS$73</f>
        <v>72</v>
      </c>
      <c r="O624" s="53">
        <f>tkj!$AY$73</f>
        <v>87</v>
      </c>
      <c r="P624" s="54">
        <f>tkj!$BA$73</f>
        <v>75</v>
      </c>
      <c r="Q624" s="54">
        <f>tkj!$BC$73</f>
        <v>77</v>
      </c>
      <c r="R624" s="55"/>
      <c r="S624" s="55"/>
      <c r="T624" s="55"/>
      <c r="U624" s="55"/>
      <c r="V624" s="56"/>
      <c r="X624" s="278">
        <v>73</v>
      </c>
    </row>
    <row r="625" spans="1:24" ht="15" thickBot="1">
      <c r="A625" s="268">
        <v>69</v>
      </c>
      <c r="B625" s="271"/>
      <c r="C625" s="274"/>
      <c r="D625" s="52" t="s">
        <v>295</v>
      </c>
      <c r="E625" s="53">
        <f>tkj!$F$73</f>
        <v>80</v>
      </c>
      <c r="F625" s="53">
        <f>tkj!$L$73</f>
        <v>86</v>
      </c>
      <c r="G625" s="53">
        <f>tkj!$R$73</f>
        <v>79</v>
      </c>
      <c r="H625" s="53">
        <f>tkj!$X$73</f>
        <v>84</v>
      </c>
      <c r="I625" s="53">
        <f>tkj!$AB$73</f>
        <v>80</v>
      </c>
      <c r="J625" s="53">
        <f>tkj!$AF$73</f>
        <v>81</v>
      </c>
      <c r="K625" s="54">
        <f>tkj!$AH$73</f>
        <v>75</v>
      </c>
      <c r="L625" s="55"/>
      <c r="M625" s="53">
        <f>tkj!$AN$73</f>
        <v>74</v>
      </c>
      <c r="N625" s="53">
        <f>tkj!$AT$73</f>
        <v>80</v>
      </c>
      <c r="O625" s="53">
        <f>tkj!$AZ$73</f>
        <v>84</v>
      </c>
      <c r="P625" s="54">
        <f>tkj!$BB$73</f>
        <v>84</v>
      </c>
      <c r="Q625" s="54">
        <f>tkj!$BD$73</f>
        <v>88</v>
      </c>
      <c r="R625" s="55"/>
      <c r="S625" s="55"/>
      <c r="T625" s="55"/>
      <c r="U625" s="55"/>
      <c r="V625" s="58"/>
      <c r="X625" s="278">
        <v>73</v>
      </c>
    </row>
    <row r="626" spans="1:24" ht="15" thickBot="1">
      <c r="A626" s="268">
        <v>69</v>
      </c>
      <c r="B626" s="271"/>
      <c r="C626" s="274"/>
      <c r="D626" s="52" t="s">
        <v>296</v>
      </c>
      <c r="E626" s="53">
        <f>tkj!$G$73</f>
        <v>87</v>
      </c>
      <c r="F626" s="53">
        <f>tkj!$M$73</f>
        <v>77</v>
      </c>
      <c r="G626" s="53">
        <f>tkj!$S$73</f>
        <v>82</v>
      </c>
      <c r="H626" s="53">
        <f>tkj!$Y$73</f>
        <v>80</v>
      </c>
      <c r="I626" s="53">
        <f>tkj!$AC$73</f>
        <v>82</v>
      </c>
      <c r="J626" s="59"/>
      <c r="K626" s="54">
        <f>tkj!$AI$73</f>
        <v>73</v>
      </c>
      <c r="L626" s="55"/>
      <c r="M626" s="53">
        <f>tkj!$AO$73</f>
        <v>74</v>
      </c>
      <c r="N626" s="53">
        <f>tkj!$AU$73</f>
        <v>80</v>
      </c>
      <c r="O626" s="59"/>
      <c r="P626" s="55"/>
      <c r="Q626" s="55"/>
      <c r="R626" s="54">
        <f>tkj!$BQ$73</f>
        <v>81</v>
      </c>
      <c r="S626" s="54">
        <f>tkj!$BU$73</f>
        <v>86</v>
      </c>
      <c r="T626" s="55"/>
      <c r="U626" s="54">
        <f>tkj!$BZ$73</f>
        <v>71</v>
      </c>
      <c r="V626" s="58"/>
      <c r="X626" s="278">
        <v>73</v>
      </c>
    </row>
    <row r="627" spans="1:24" ht="15" thickBot="1">
      <c r="A627" s="268">
        <v>69</v>
      </c>
      <c r="B627" s="271"/>
      <c r="C627" s="274"/>
      <c r="D627" s="62" t="s">
        <v>297</v>
      </c>
      <c r="E627" s="53">
        <f>tkj!$H$73</f>
        <v>85</v>
      </c>
      <c r="F627" s="53">
        <f>tkj!$N$73</f>
        <v>88</v>
      </c>
      <c r="G627" s="53">
        <f>tkj!$T$73</f>
        <v>83</v>
      </c>
      <c r="H627" s="53">
        <f>tkj!$Z$73</f>
        <v>84</v>
      </c>
      <c r="I627" s="53">
        <f>tkj!$AD$73</f>
        <v>84</v>
      </c>
      <c r="J627" s="59"/>
      <c r="K627" s="54">
        <f>tkj!$AJ$73</f>
        <v>82</v>
      </c>
      <c r="L627" s="55"/>
      <c r="M627" s="53">
        <f>tkj!$AP$73</f>
        <v>75</v>
      </c>
      <c r="N627" s="53">
        <f>tkj!$AV$73</f>
        <v>84</v>
      </c>
      <c r="O627" s="59"/>
      <c r="P627" s="55"/>
      <c r="Q627" s="55"/>
      <c r="R627" s="54">
        <f>tkj!$BR$73</f>
        <v>79.666666666666671</v>
      </c>
      <c r="S627" s="54">
        <f>tkj!$BV$73</f>
        <v>86</v>
      </c>
      <c r="T627" s="63"/>
      <c r="U627" s="54">
        <f>tkj!$CA$73</f>
        <v>81</v>
      </c>
      <c r="V627" s="58"/>
      <c r="X627" s="278">
        <v>73</v>
      </c>
    </row>
    <row r="628" spans="1:24">
      <c r="A628" s="268">
        <v>69</v>
      </c>
      <c r="B628" s="271"/>
      <c r="C628" s="274"/>
      <c r="D628" s="62" t="s">
        <v>298</v>
      </c>
      <c r="E628" s="53">
        <f>tkj!$I$73</f>
        <v>88</v>
      </c>
      <c r="F628" s="53">
        <f>tkj!$O$73</f>
        <v>88</v>
      </c>
      <c r="G628" s="53">
        <f>tkj!$U$73</f>
        <v>80</v>
      </c>
      <c r="H628" s="65"/>
      <c r="I628" s="65"/>
      <c r="J628" s="59"/>
      <c r="K628" s="59"/>
      <c r="L628" s="53">
        <f>tkj!$AK$73</f>
        <v>80</v>
      </c>
      <c r="M628" s="53">
        <f>tkj!$AQ$73</f>
        <v>80</v>
      </c>
      <c r="N628" s="53">
        <f>tkj!$AW$73</f>
        <v>80</v>
      </c>
      <c r="O628" s="59"/>
      <c r="P628" s="55"/>
      <c r="Q628" s="55"/>
      <c r="R628" s="54">
        <f>tkj!$BS$73</f>
        <v>83.333333333333329</v>
      </c>
      <c r="S628" s="54">
        <f>tkj!$BW$73</f>
        <v>88</v>
      </c>
      <c r="T628" s="54"/>
      <c r="U628" s="54">
        <f>tkj!$CB$73</f>
        <v>85</v>
      </c>
      <c r="V628" s="58"/>
      <c r="X628" s="278">
        <v>73</v>
      </c>
    </row>
    <row r="629" spans="1:24">
      <c r="A629" s="268">
        <v>69</v>
      </c>
      <c r="B629" s="271"/>
      <c r="C629" s="274"/>
      <c r="D629" s="66" t="s">
        <v>299</v>
      </c>
      <c r="E629" s="67">
        <f>AVERAGE(E624:E628)</f>
        <v>84</v>
      </c>
      <c r="F629" s="67">
        <f>AVERAGE(F624:F628)</f>
        <v>83.6</v>
      </c>
      <c r="G629" s="67">
        <f>AVERAGE(G624:G628)</f>
        <v>80.8</v>
      </c>
      <c r="H629" s="68"/>
      <c r="I629" s="68"/>
      <c r="J629" s="69"/>
      <c r="K629" s="69"/>
      <c r="L629" s="67">
        <f>AVERAGE(L624:L628)</f>
        <v>80</v>
      </c>
      <c r="M629" s="67">
        <f>AVERAGE(M624:M628)</f>
        <v>75.2</v>
      </c>
      <c r="N629" s="67">
        <f>AVERAGE(N624:N628)</f>
        <v>79.2</v>
      </c>
      <c r="O629" s="69"/>
      <c r="P629" s="63"/>
      <c r="Q629" s="63"/>
      <c r="R629" s="84">
        <f>AVERAGE(R626:R628)</f>
        <v>81.333333333333329</v>
      </c>
      <c r="S629" s="84">
        <f>AVERAGE(S626:S628)</f>
        <v>86.666666666666671</v>
      </c>
      <c r="T629" s="63"/>
      <c r="U629" s="84">
        <f>AVERAGE(U624:U628)</f>
        <v>79</v>
      </c>
      <c r="V629" s="58"/>
      <c r="X629" s="278">
        <v>73</v>
      </c>
    </row>
    <row r="630" spans="1:24">
      <c r="A630" s="268">
        <v>69</v>
      </c>
      <c r="B630" s="271"/>
      <c r="C630" s="274"/>
      <c r="D630" s="70" t="s">
        <v>300</v>
      </c>
      <c r="E630" s="71">
        <f>tkj!$J$73</f>
        <v>85</v>
      </c>
      <c r="F630" s="71">
        <f>tkj!$P$73</f>
        <v>92</v>
      </c>
      <c r="G630" s="71">
        <f>tkj!$V$73</f>
        <v>87</v>
      </c>
      <c r="H630" s="72"/>
      <c r="I630" s="72"/>
      <c r="J630" s="73"/>
      <c r="K630" s="73"/>
      <c r="L630" s="71">
        <f>tkj!$AL$73</f>
        <v>87</v>
      </c>
      <c r="M630" s="71">
        <f>tkj!$AR$73</f>
        <v>85</v>
      </c>
      <c r="N630" s="71">
        <f>tkj!$AX$73</f>
        <v>85</v>
      </c>
      <c r="O630" s="73"/>
      <c r="P630" s="74"/>
      <c r="Q630" s="74"/>
      <c r="R630" s="85">
        <f>tkj!$BT$73</f>
        <v>86</v>
      </c>
      <c r="S630" s="85">
        <f>tkj!$BX$73</f>
        <v>86</v>
      </c>
      <c r="T630" s="85">
        <f>tkj!$BY$73</f>
        <v>87</v>
      </c>
      <c r="U630" s="75">
        <f>tkj!$CC$73</f>
        <v>85</v>
      </c>
      <c r="V630" s="58"/>
      <c r="X630" s="278">
        <v>73</v>
      </c>
    </row>
    <row r="631" spans="1:24">
      <c r="A631" s="268">
        <v>69</v>
      </c>
      <c r="B631" s="271"/>
      <c r="C631" s="274"/>
      <c r="D631" s="76" t="s">
        <v>301</v>
      </c>
      <c r="E631" s="77">
        <f>tkj!$CD$73</f>
        <v>86</v>
      </c>
      <c r="F631" s="77">
        <f>tkj!$CE$73</f>
        <v>80</v>
      </c>
      <c r="G631" s="77">
        <f>tkj!$CF$73</f>
        <v>76</v>
      </c>
      <c r="H631" s="72"/>
      <c r="I631" s="72"/>
      <c r="J631" s="73"/>
      <c r="K631" s="73"/>
      <c r="L631" s="77">
        <f>tkj!$CG$73</f>
        <v>90</v>
      </c>
      <c r="M631" s="77">
        <f>tkj!$CH$73</f>
        <v>80</v>
      </c>
      <c r="N631" s="77">
        <f>tkj!$CI$73</f>
        <v>80</v>
      </c>
      <c r="O631" s="73"/>
      <c r="P631" s="74"/>
      <c r="Q631" s="74"/>
      <c r="R631" s="86">
        <f>tkj!$CL$73</f>
        <v>75</v>
      </c>
      <c r="S631" s="86">
        <f>tkj!$CK$73</f>
        <v>93</v>
      </c>
      <c r="T631" s="74"/>
      <c r="U631" s="86">
        <f>tkj!$CJ$73</f>
        <v>83</v>
      </c>
      <c r="V631" s="58"/>
      <c r="X631" s="278">
        <v>73</v>
      </c>
    </row>
    <row r="632" spans="1:24" ht="15" thickBot="1">
      <c r="A632" s="269">
        <v>69</v>
      </c>
      <c r="B632" s="272"/>
      <c r="C632" s="275"/>
      <c r="D632" s="78" t="s">
        <v>302</v>
      </c>
      <c r="E632" s="79">
        <f>(E629*4+E630*3+E631*3)/10</f>
        <v>84.9</v>
      </c>
      <c r="F632" s="79">
        <f t="shared" ref="F632:G632" si="133">(F629*4+F630*3+F631*3)/10</f>
        <v>85.039999999999992</v>
      </c>
      <c r="G632" s="79">
        <f t="shared" si="133"/>
        <v>81.22</v>
      </c>
      <c r="H632" s="79">
        <f>AVERAGE(H624:H627)</f>
        <v>82.25</v>
      </c>
      <c r="I632" s="79">
        <f>AVERAGE(I624:I627)</f>
        <v>80.25</v>
      </c>
      <c r="J632" s="79">
        <f>AVERAGE(J624:J625)</f>
        <v>80</v>
      </c>
      <c r="K632" s="79">
        <f>AVERAGE(K624:K627)</f>
        <v>76.75</v>
      </c>
      <c r="L632" s="79">
        <f>(L629*4+L630*3+L631*3)/10</f>
        <v>85.1</v>
      </c>
      <c r="M632" s="79">
        <f>(M629*4+M630*3+M631*3)/10</f>
        <v>79.58</v>
      </c>
      <c r="N632" s="79">
        <f>(N629*4+N630*3+N631*3)/10</f>
        <v>81.179999999999993</v>
      </c>
      <c r="O632" s="79">
        <f>AVERAGE(O624:O625)</f>
        <v>85.5</v>
      </c>
      <c r="P632" s="79">
        <f>AVERAGE(P624:P625)</f>
        <v>79.5</v>
      </c>
      <c r="Q632" s="79">
        <f>AVERAGE(Q624:Q625)</f>
        <v>82.5</v>
      </c>
      <c r="R632" s="79">
        <f>(R629*4+R630*3+R631*3)/10</f>
        <v>80.833333333333329</v>
      </c>
      <c r="S632" s="79">
        <f>(S629*4+S630*3+S631*3)/10</f>
        <v>88.366666666666674</v>
      </c>
      <c r="T632" s="79">
        <f>T630</f>
        <v>87</v>
      </c>
      <c r="U632" s="79">
        <f t="shared" ref="U632" si="134">(U629*4+U630*3+U631*3)/10</f>
        <v>82</v>
      </c>
      <c r="V632" s="80">
        <f>AVERAGE(E632:U632)</f>
        <v>82.46882352941175</v>
      </c>
      <c r="X632" s="278">
        <v>73</v>
      </c>
    </row>
    <row r="633" spans="1:24" ht="15.6" thickTop="1" thickBot="1">
      <c r="A633" s="268">
        <v>70</v>
      </c>
      <c r="B633" s="270" t="s">
        <v>381</v>
      </c>
      <c r="C633" s="273" t="s">
        <v>192</v>
      </c>
      <c r="D633" s="52" t="s">
        <v>294</v>
      </c>
      <c r="E633" s="53">
        <f>tkj!$E$74</f>
        <v>80</v>
      </c>
      <c r="F633" s="53">
        <f>tkj!$K$74</f>
        <v>78</v>
      </c>
      <c r="G633" s="53">
        <f>tkj!$Q$74</f>
        <v>80</v>
      </c>
      <c r="H633" s="53">
        <f>tkj!$W$74</f>
        <v>82</v>
      </c>
      <c r="I633" s="53">
        <f>tkj!$AA$74</f>
        <v>74</v>
      </c>
      <c r="J633" s="53">
        <f>tkj!$AE$74</f>
        <v>77</v>
      </c>
      <c r="K633" s="54">
        <f>tkj!$AG$74</f>
        <v>77</v>
      </c>
      <c r="L633" s="55"/>
      <c r="M633" s="53">
        <f>tkj!$AM$74</f>
        <v>73</v>
      </c>
      <c r="N633" s="53">
        <f>tkj!$AS$74</f>
        <v>75</v>
      </c>
      <c r="O633" s="53">
        <f>tkj!$AY$74</f>
        <v>72</v>
      </c>
      <c r="P633" s="54">
        <f>tkj!$BA$74</f>
        <v>75</v>
      </c>
      <c r="Q633" s="54">
        <f>tkj!$BC$74</f>
        <v>76</v>
      </c>
      <c r="R633" s="55"/>
      <c r="S633" s="55"/>
      <c r="T633" s="55"/>
      <c r="U633" s="55"/>
      <c r="V633" s="56"/>
      <c r="X633" s="278">
        <v>74</v>
      </c>
    </row>
    <row r="634" spans="1:24" ht="15" thickBot="1">
      <c r="A634" s="268">
        <v>70</v>
      </c>
      <c r="B634" s="271"/>
      <c r="C634" s="274"/>
      <c r="D634" s="52" t="s">
        <v>295</v>
      </c>
      <c r="E634" s="53">
        <f>tkj!$F$74</f>
        <v>81</v>
      </c>
      <c r="F634" s="53">
        <f>tkj!$L$74</f>
        <v>79</v>
      </c>
      <c r="G634" s="53">
        <f>tkj!$R$74</f>
        <v>83</v>
      </c>
      <c r="H634" s="53">
        <f>tkj!$X$74</f>
        <v>85</v>
      </c>
      <c r="I634" s="53">
        <f>tkj!$AB$74</f>
        <v>78</v>
      </c>
      <c r="J634" s="53">
        <f>tkj!$AF$74</f>
        <v>82</v>
      </c>
      <c r="K634" s="54">
        <f>tkj!$AH$74</f>
        <v>70</v>
      </c>
      <c r="L634" s="55"/>
      <c r="M634" s="53">
        <f>tkj!$AN$74</f>
        <v>74</v>
      </c>
      <c r="N634" s="53">
        <f>tkj!$AT$74</f>
        <v>78</v>
      </c>
      <c r="O634" s="53">
        <f>tkj!$AZ$74</f>
        <v>81</v>
      </c>
      <c r="P634" s="54">
        <f>tkj!$BB$74</f>
        <v>85</v>
      </c>
      <c r="Q634" s="54">
        <f>tkj!$BD$74</f>
        <v>75</v>
      </c>
      <c r="R634" s="55"/>
      <c r="S634" s="55"/>
      <c r="T634" s="55"/>
      <c r="U634" s="55"/>
      <c r="V634" s="58"/>
      <c r="X634" s="278">
        <v>74</v>
      </c>
    </row>
    <row r="635" spans="1:24" ht="15" thickBot="1">
      <c r="A635" s="268">
        <v>70</v>
      </c>
      <c r="B635" s="271"/>
      <c r="C635" s="274"/>
      <c r="D635" s="52" t="s">
        <v>296</v>
      </c>
      <c r="E635" s="53">
        <f>tkj!$G$74</f>
        <v>86</v>
      </c>
      <c r="F635" s="53">
        <f>tkj!$M$74</f>
        <v>82</v>
      </c>
      <c r="G635" s="53">
        <f>tkj!$S$74</f>
        <v>79</v>
      </c>
      <c r="H635" s="53">
        <f>tkj!$Y$74</f>
        <v>82</v>
      </c>
      <c r="I635" s="53">
        <f>tkj!$AC$74</f>
        <v>72</v>
      </c>
      <c r="J635" s="59"/>
      <c r="K635" s="54">
        <f>tkj!$AI$74</f>
        <v>70</v>
      </c>
      <c r="L635" s="55"/>
      <c r="M635" s="53">
        <f>tkj!$AO$74</f>
        <v>73</v>
      </c>
      <c r="N635" s="53">
        <f>tkj!$AU$74</f>
        <v>80</v>
      </c>
      <c r="O635" s="59"/>
      <c r="P635" s="55"/>
      <c r="Q635" s="55"/>
      <c r="R635" s="54">
        <f>tkj!$BQ$74</f>
        <v>79.666666666666671</v>
      </c>
      <c r="S635" s="54">
        <f>tkj!$BU$74</f>
        <v>85</v>
      </c>
      <c r="T635" s="55"/>
      <c r="U635" s="54">
        <f>tkj!$BZ$74</f>
        <v>72</v>
      </c>
      <c r="V635" s="58"/>
      <c r="X635" s="278">
        <v>74</v>
      </c>
    </row>
    <row r="636" spans="1:24" ht="15" thickBot="1">
      <c r="A636" s="268">
        <v>70</v>
      </c>
      <c r="B636" s="271"/>
      <c r="C636" s="274"/>
      <c r="D636" s="62" t="s">
        <v>297</v>
      </c>
      <c r="E636" s="53">
        <f>tkj!$H$74</f>
        <v>85</v>
      </c>
      <c r="F636" s="53">
        <f>tkj!$N$74</f>
        <v>85</v>
      </c>
      <c r="G636" s="53">
        <f>tkj!$T$74</f>
        <v>78</v>
      </c>
      <c r="H636" s="53">
        <f>tkj!$Z$74</f>
        <v>86</v>
      </c>
      <c r="I636" s="53">
        <f>tkj!$AD$74</f>
        <v>79</v>
      </c>
      <c r="J636" s="59"/>
      <c r="K636" s="54">
        <f>tkj!$AJ$74</f>
        <v>81</v>
      </c>
      <c r="L636" s="55"/>
      <c r="M636" s="53">
        <f>tkj!$AP$74</f>
        <v>74</v>
      </c>
      <c r="N636" s="53">
        <f>tkj!$AV$74</f>
        <v>80</v>
      </c>
      <c r="O636" s="59"/>
      <c r="P636" s="55"/>
      <c r="Q636" s="55"/>
      <c r="R636" s="54">
        <f>tkj!$BR$74</f>
        <v>73.333333333333329</v>
      </c>
      <c r="S636" s="54">
        <f>tkj!$BV$74</f>
        <v>85</v>
      </c>
      <c r="T636" s="63"/>
      <c r="U636" s="54">
        <f>tkj!$CA$74</f>
        <v>77</v>
      </c>
      <c r="V636" s="58"/>
      <c r="X636" s="278">
        <v>74</v>
      </c>
    </row>
    <row r="637" spans="1:24">
      <c r="A637" s="268">
        <v>70</v>
      </c>
      <c r="B637" s="271"/>
      <c r="C637" s="274"/>
      <c r="D637" s="62" t="s">
        <v>298</v>
      </c>
      <c r="E637" s="53">
        <f>tkj!$I$74</f>
        <v>88</v>
      </c>
      <c r="F637" s="53">
        <f>tkj!$O$74</f>
        <v>90</v>
      </c>
      <c r="G637" s="53">
        <f>tkj!$U$74</f>
        <v>80</v>
      </c>
      <c r="H637" s="65"/>
      <c r="I637" s="65"/>
      <c r="J637" s="59"/>
      <c r="K637" s="59"/>
      <c r="L637" s="53">
        <f>tkj!$AK$74</f>
        <v>80</v>
      </c>
      <c r="M637" s="53">
        <f>tkj!$AQ$74</f>
        <v>80</v>
      </c>
      <c r="N637" s="53">
        <f>tkj!$AW$74</f>
        <v>80</v>
      </c>
      <c r="O637" s="59"/>
      <c r="P637" s="55"/>
      <c r="Q637" s="55"/>
      <c r="R637" s="54">
        <f>tkj!$BS$74</f>
        <v>83.333333333333329</v>
      </c>
      <c r="S637" s="54">
        <f>tkj!$BW$74</f>
        <v>86</v>
      </c>
      <c r="T637" s="54"/>
      <c r="U637" s="54">
        <f>tkj!$CB$74</f>
        <v>80</v>
      </c>
      <c r="V637" s="58"/>
      <c r="X637" s="278">
        <v>74</v>
      </c>
    </row>
    <row r="638" spans="1:24">
      <c r="A638" s="268">
        <v>70</v>
      </c>
      <c r="B638" s="271"/>
      <c r="C638" s="274"/>
      <c r="D638" s="66" t="s">
        <v>299</v>
      </c>
      <c r="E638" s="67">
        <f>AVERAGE(E633:E637)</f>
        <v>84</v>
      </c>
      <c r="F638" s="67">
        <f>AVERAGE(F633:F637)</f>
        <v>82.8</v>
      </c>
      <c r="G638" s="67">
        <f>AVERAGE(G633:G637)</f>
        <v>80</v>
      </c>
      <c r="H638" s="68"/>
      <c r="I638" s="68"/>
      <c r="J638" s="69"/>
      <c r="K638" s="69"/>
      <c r="L638" s="67">
        <f>AVERAGE(L633:L637)</f>
        <v>80</v>
      </c>
      <c r="M638" s="67">
        <f>AVERAGE(M633:M637)</f>
        <v>74.8</v>
      </c>
      <c r="N638" s="67">
        <f>AVERAGE(N633:N637)</f>
        <v>78.599999999999994</v>
      </c>
      <c r="O638" s="69"/>
      <c r="P638" s="63"/>
      <c r="Q638" s="63"/>
      <c r="R638" s="84">
        <f>AVERAGE(R635:R637)</f>
        <v>78.777777777777771</v>
      </c>
      <c r="S638" s="84">
        <f>AVERAGE(S635:S637)</f>
        <v>85.333333333333329</v>
      </c>
      <c r="T638" s="63"/>
      <c r="U638" s="84">
        <f>AVERAGE(U633:U637)</f>
        <v>76.333333333333329</v>
      </c>
      <c r="V638" s="58"/>
      <c r="X638" s="278">
        <v>74</v>
      </c>
    </row>
    <row r="639" spans="1:24">
      <c r="A639" s="268">
        <v>70</v>
      </c>
      <c r="B639" s="271"/>
      <c r="C639" s="274"/>
      <c r="D639" s="70" t="s">
        <v>300</v>
      </c>
      <c r="E639" s="71">
        <f>tkj!$J$74</f>
        <v>82</v>
      </c>
      <c r="F639" s="71">
        <f>tkj!$P$74</f>
        <v>82</v>
      </c>
      <c r="G639" s="71">
        <f>tkj!$V$74</f>
        <v>80</v>
      </c>
      <c r="H639" s="72"/>
      <c r="I639" s="72"/>
      <c r="J639" s="73"/>
      <c r="K639" s="73"/>
      <c r="L639" s="71">
        <f>tkj!$AL$74</f>
        <v>80</v>
      </c>
      <c r="M639" s="71">
        <f>tkj!$AR$74</f>
        <v>79</v>
      </c>
      <c r="N639" s="71">
        <f>tkj!$AX$74</f>
        <v>79</v>
      </c>
      <c r="O639" s="73"/>
      <c r="P639" s="74"/>
      <c r="Q639" s="74"/>
      <c r="R639" s="85">
        <f>tkj!$BT$74</f>
        <v>82</v>
      </c>
      <c r="S639" s="85">
        <f>tkj!$BX$74</f>
        <v>82</v>
      </c>
      <c r="T639" s="85">
        <f>tkj!$BY$74</f>
        <v>81</v>
      </c>
      <c r="U639" s="75">
        <f>tkj!$CC$74</f>
        <v>79</v>
      </c>
      <c r="V639" s="58"/>
      <c r="X639" s="278">
        <v>74</v>
      </c>
    </row>
    <row r="640" spans="1:24">
      <c r="A640" s="268">
        <v>70</v>
      </c>
      <c r="B640" s="271"/>
      <c r="C640" s="274"/>
      <c r="D640" s="76" t="s">
        <v>301</v>
      </c>
      <c r="E640" s="77">
        <f>tkj!$CD$74</f>
        <v>88</v>
      </c>
      <c r="F640" s="77">
        <f>tkj!$CE$74</f>
        <v>80</v>
      </c>
      <c r="G640" s="77">
        <f>tkj!$CF$74</f>
        <v>75</v>
      </c>
      <c r="H640" s="72"/>
      <c r="I640" s="72"/>
      <c r="J640" s="73"/>
      <c r="K640" s="73"/>
      <c r="L640" s="77">
        <f>tkj!$CG$74</f>
        <v>87</v>
      </c>
      <c r="M640" s="77">
        <f>tkj!$CH$74</f>
        <v>80</v>
      </c>
      <c r="N640" s="77">
        <f>tkj!$CI$74</f>
        <v>83</v>
      </c>
      <c r="O640" s="73"/>
      <c r="P640" s="74"/>
      <c r="Q640" s="74"/>
      <c r="R640" s="86">
        <f>tkj!$CL$74</f>
        <v>95</v>
      </c>
      <c r="S640" s="86">
        <f>tkj!$CK$74</f>
        <v>93</v>
      </c>
      <c r="T640" s="74"/>
      <c r="U640" s="86">
        <f>tkj!$CJ$74</f>
        <v>80</v>
      </c>
      <c r="V640" s="58"/>
      <c r="X640" s="278">
        <v>74</v>
      </c>
    </row>
    <row r="641" spans="1:24" ht="15" thickBot="1">
      <c r="A641" s="269">
        <v>70</v>
      </c>
      <c r="B641" s="272"/>
      <c r="C641" s="275"/>
      <c r="D641" s="78" t="s">
        <v>302</v>
      </c>
      <c r="E641" s="79">
        <f>(E638*4+E639*3+E640*3)/10</f>
        <v>84.6</v>
      </c>
      <c r="F641" s="79">
        <f t="shared" ref="F641:G641" si="135">(F638*4+F639*3+F640*3)/10</f>
        <v>81.72</v>
      </c>
      <c r="G641" s="79">
        <f t="shared" si="135"/>
        <v>78.5</v>
      </c>
      <c r="H641" s="79">
        <f>AVERAGE(H633:H636)</f>
        <v>83.75</v>
      </c>
      <c r="I641" s="79">
        <f>AVERAGE(I633:I636)</f>
        <v>75.75</v>
      </c>
      <c r="J641" s="79">
        <f>AVERAGE(J633:J634)</f>
        <v>79.5</v>
      </c>
      <c r="K641" s="79">
        <f>AVERAGE(K633:K636)</f>
        <v>74.5</v>
      </c>
      <c r="L641" s="79">
        <f>(L638*4+L639*3+L640*3)/10</f>
        <v>82.1</v>
      </c>
      <c r="M641" s="79">
        <f>(M638*4+M639*3+M640*3)/10</f>
        <v>77.62</v>
      </c>
      <c r="N641" s="79">
        <f>(N638*4+N639*3+N640*3)/10</f>
        <v>80.039999999999992</v>
      </c>
      <c r="O641" s="79">
        <f>AVERAGE(O633:O634)</f>
        <v>76.5</v>
      </c>
      <c r="P641" s="79">
        <f>AVERAGE(P633:P634)</f>
        <v>80</v>
      </c>
      <c r="Q641" s="79">
        <f>AVERAGE(Q633:Q634)</f>
        <v>75.5</v>
      </c>
      <c r="R641" s="79">
        <f>(R638*4+R639*3+R640*3)/10</f>
        <v>84.611111111111114</v>
      </c>
      <c r="S641" s="79">
        <f>(S638*4+S639*3+S640*3)/10</f>
        <v>86.633333333333326</v>
      </c>
      <c r="T641" s="79">
        <f>T639</f>
        <v>81</v>
      </c>
      <c r="U641" s="79">
        <f t="shared" ref="U641" si="136">(U638*4+U639*3+U640*3)/10</f>
        <v>78.23333333333332</v>
      </c>
      <c r="V641" s="80">
        <f>AVERAGE(E641:U641)</f>
        <v>80.032810457516348</v>
      </c>
      <c r="X641" s="278">
        <v>74</v>
      </c>
    </row>
    <row r="642" spans="1:24" ht="18" customHeight="1" thickTop="1" thickBot="1">
      <c r="A642" s="268">
        <v>71</v>
      </c>
      <c r="B642" s="270" t="s">
        <v>382</v>
      </c>
      <c r="C642" s="273" t="s">
        <v>194</v>
      </c>
      <c r="D642" s="52" t="s">
        <v>294</v>
      </c>
      <c r="E642" s="53">
        <f>tkj!$E$75</f>
        <v>87</v>
      </c>
      <c r="F642" s="53">
        <f>tkj!$K$75</f>
        <v>81</v>
      </c>
      <c r="G642" s="53">
        <f>tkj!$Q$75</f>
        <v>91</v>
      </c>
      <c r="H642" s="53">
        <f>tkj!$W$75</f>
        <v>81</v>
      </c>
      <c r="I642" s="53">
        <f>tkj!$AA$75</f>
        <v>75</v>
      </c>
      <c r="J642" s="53">
        <f>tkj!$AE$75</f>
        <v>83</v>
      </c>
      <c r="K642" s="54">
        <f>tkj!$AG$75</f>
        <v>83</v>
      </c>
      <c r="L642" s="55"/>
      <c r="M642" s="53">
        <f>tkj!$AM$75</f>
        <v>78</v>
      </c>
      <c r="N642" s="53">
        <f>tkj!$AS$75</f>
        <v>84</v>
      </c>
      <c r="O642" s="53">
        <f>tkj!$AY$75</f>
        <v>87</v>
      </c>
      <c r="P642" s="54">
        <f>tkj!$BA$75</f>
        <v>80</v>
      </c>
      <c r="Q642" s="54">
        <f>tkj!$BC$75</f>
        <v>84</v>
      </c>
      <c r="R642" s="55"/>
      <c r="S642" s="55"/>
      <c r="T642" s="55"/>
      <c r="U642" s="55"/>
      <c r="V642" s="56"/>
      <c r="X642" s="278">
        <v>75</v>
      </c>
    </row>
    <row r="643" spans="1:24" ht="15" thickBot="1">
      <c r="A643" s="268">
        <v>71</v>
      </c>
      <c r="B643" s="271"/>
      <c r="C643" s="274"/>
      <c r="D643" s="52" t="s">
        <v>295</v>
      </c>
      <c r="E643" s="53">
        <f>tkj!$F$75</f>
        <v>90</v>
      </c>
      <c r="F643" s="53">
        <f>tkj!$L$75</f>
        <v>81</v>
      </c>
      <c r="G643" s="53">
        <f>tkj!$R$75</f>
        <v>84</v>
      </c>
      <c r="H643" s="53">
        <f>tkj!$X$75</f>
        <v>84</v>
      </c>
      <c r="I643" s="53">
        <f>tkj!$AB$75</f>
        <v>84</v>
      </c>
      <c r="J643" s="53">
        <f>tkj!$AF$75</f>
        <v>90</v>
      </c>
      <c r="K643" s="54">
        <f>tkj!$AH$75</f>
        <v>77</v>
      </c>
      <c r="L643" s="55"/>
      <c r="M643" s="53">
        <f>tkj!$AN$75</f>
        <v>80</v>
      </c>
      <c r="N643" s="53">
        <f>tkj!$AT$75</f>
        <v>83</v>
      </c>
      <c r="O643" s="53">
        <f>tkj!$AZ$75</f>
        <v>88</v>
      </c>
      <c r="P643" s="54">
        <f>tkj!$BB$75</f>
        <v>90</v>
      </c>
      <c r="Q643" s="54">
        <f>tkj!$BD$75</f>
        <v>83</v>
      </c>
      <c r="R643" s="55"/>
      <c r="S643" s="55"/>
      <c r="T643" s="55"/>
      <c r="U643" s="55"/>
      <c r="V643" s="58"/>
      <c r="X643" s="278">
        <v>75</v>
      </c>
    </row>
    <row r="644" spans="1:24" ht="15" thickBot="1">
      <c r="A644" s="268">
        <v>71</v>
      </c>
      <c r="B644" s="271"/>
      <c r="C644" s="274"/>
      <c r="D644" s="52" t="s">
        <v>296</v>
      </c>
      <c r="E644" s="53">
        <f>tkj!$G$75</f>
        <v>88</v>
      </c>
      <c r="F644" s="53">
        <f>tkj!$M$75</f>
        <v>95</v>
      </c>
      <c r="G644" s="53">
        <f>tkj!$S$75</f>
        <v>86</v>
      </c>
      <c r="H644" s="53">
        <f>tkj!$Y$75</f>
        <v>80</v>
      </c>
      <c r="I644" s="53">
        <f>tkj!$AC$75</f>
        <v>85</v>
      </c>
      <c r="J644" s="59"/>
      <c r="K644" s="54">
        <f>tkj!$AI$75</f>
        <v>72</v>
      </c>
      <c r="L644" s="55"/>
      <c r="M644" s="53">
        <f>tkj!$AO$75</f>
        <v>74</v>
      </c>
      <c r="N644" s="53">
        <f>tkj!$AU$75</f>
        <v>88</v>
      </c>
      <c r="O644" s="59"/>
      <c r="P644" s="55"/>
      <c r="Q644" s="55"/>
      <c r="R644" s="54">
        <f>tkj!$BQ$75</f>
        <v>84</v>
      </c>
      <c r="S644" s="54">
        <f>tkj!$BU$75</f>
        <v>86</v>
      </c>
      <c r="T644" s="55"/>
      <c r="U644" s="54">
        <f>tkj!$BZ$75</f>
        <v>76</v>
      </c>
      <c r="V644" s="58"/>
      <c r="X644" s="278">
        <v>75</v>
      </c>
    </row>
    <row r="645" spans="1:24" ht="15" thickBot="1">
      <c r="A645" s="268">
        <v>71</v>
      </c>
      <c r="B645" s="271"/>
      <c r="C645" s="274"/>
      <c r="D645" s="62" t="s">
        <v>297</v>
      </c>
      <c r="E645" s="53">
        <f>tkj!$H$75</f>
        <v>84</v>
      </c>
      <c r="F645" s="53">
        <f>tkj!$N$75</f>
        <v>95</v>
      </c>
      <c r="G645" s="53">
        <f>tkj!$T$75</f>
        <v>86</v>
      </c>
      <c r="H645" s="53">
        <f>tkj!$Z$75</f>
        <v>84</v>
      </c>
      <c r="I645" s="53">
        <f>tkj!$AD$75</f>
        <v>86</v>
      </c>
      <c r="J645" s="59"/>
      <c r="K645" s="54">
        <f>tkj!$AJ$75</f>
        <v>83</v>
      </c>
      <c r="L645" s="55"/>
      <c r="M645" s="53">
        <f>tkj!$AP$75</f>
        <v>76</v>
      </c>
      <c r="N645" s="53">
        <f>tkj!$AV$75</f>
        <v>85</v>
      </c>
      <c r="O645" s="59"/>
      <c r="P645" s="55"/>
      <c r="Q645" s="55"/>
      <c r="R645" s="54">
        <f>tkj!$BR$75</f>
        <v>83.333333333333329</v>
      </c>
      <c r="S645" s="54">
        <f>tkj!$BV$75</f>
        <v>86</v>
      </c>
      <c r="T645" s="63"/>
      <c r="U645" s="54">
        <f>tkj!$CA$75</f>
        <v>90</v>
      </c>
      <c r="V645" s="58"/>
      <c r="X645" s="278">
        <v>75</v>
      </c>
    </row>
    <row r="646" spans="1:24">
      <c r="A646" s="268">
        <v>71</v>
      </c>
      <c r="B646" s="271"/>
      <c r="C646" s="274"/>
      <c r="D646" s="62" t="s">
        <v>298</v>
      </c>
      <c r="E646" s="53">
        <f>tkj!$I$75</f>
        <v>88</v>
      </c>
      <c r="F646" s="53">
        <f>tkj!$O$75</f>
        <v>95</v>
      </c>
      <c r="G646" s="53">
        <f>tkj!$U$75</f>
        <v>88</v>
      </c>
      <c r="H646" s="65"/>
      <c r="I646" s="65"/>
      <c r="J646" s="59"/>
      <c r="K646" s="59"/>
      <c r="L646" s="53">
        <f>tkj!$AK$75</f>
        <v>80</v>
      </c>
      <c r="M646" s="53">
        <f>tkj!$AQ$75</f>
        <v>80</v>
      </c>
      <c r="N646" s="53">
        <f>tkj!$AW$75</f>
        <v>88</v>
      </c>
      <c r="O646" s="59"/>
      <c r="P646" s="55"/>
      <c r="Q646" s="55"/>
      <c r="R646" s="54">
        <f>tkj!$BS$75</f>
        <v>85</v>
      </c>
      <c r="S646" s="54">
        <f>tkj!$BW$75</f>
        <v>90</v>
      </c>
      <c r="T646" s="54"/>
      <c r="U646" s="54">
        <f>tkj!$CB$75</f>
        <v>81</v>
      </c>
      <c r="V646" s="58"/>
      <c r="X646" s="278">
        <v>75</v>
      </c>
    </row>
    <row r="647" spans="1:24">
      <c r="A647" s="268">
        <v>71</v>
      </c>
      <c r="B647" s="271"/>
      <c r="C647" s="274"/>
      <c r="D647" s="66" t="s">
        <v>299</v>
      </c>
      <c r="E647" s="67">
        <f>AVERAGE(E642:E646)</f>
        <v>87.4</v>
      </c>
      <c r="F647" s="67">
        <f>AVERAGE(F642:F646)</f>
        <v>89.4</v>
      </c>
      <c r="G647" s="67">
        <f>AVERAGE(G642:G646)</f>
        <v>87</v>
      </c>
      <c r="H647" s="68"/>
      <c r="I647" s="68"/>
      <c r="J647" s="69"/>
      <c r="K647" s="69"/>
      <c r="L647" s="67">
        <f>AVERAGE(L642:L646)</f>
        <v>80</v>
      </c>
      <c r="M647" s="67">
        <f>AVERAGE(M642:M646)</f>
        <v>77.599999999999994</v>
      </c>
      <c r="N647" s="67">
        <f>AVERAGE(N642:N646)</f>
        <v>85.6</v>
      </c>
      <c r="O647" s="69"/>
      <c r="P647" s="63"/>
      <c r="Q647" s="63"/>
      <c r="R647" s="84">
        <f>AVERAGE(R644:R646)</f>
        <v>84.1111111111111</v>
      </c>
      <c r="S647" s="84">
        <f>AVERAGE(S644:S646)</f>
        <v>87.333333333333329</v>
      </c>
      <c r="T647" s="63"/>
      <c r="U647" s="84">
        <f>AVERAGE(U642:U646)</f>
        <v>82.333333333333329</v>
      </c>
      <c r="V647" s="58"/>
      <c r="X647" s="278">
        <v>75</v>
      </c>
    </row>
    <row r="648" spans="1:24">
      <c r="A648" s="268">
        <v>71</v>
      </c>
      <c r="B648" s="271"/>
      <c r="C648" s="274"/>
      <c r="D648" s="70" t="s">
        <v>300</v>
      </c>
      <c r="E648" s="71">
        <f>tkj!$J$75</f>
        <v>95</v>
      </c>
      <c r="F648" s="71">
        <f>tkj!$P$75</f>
        <v>95</v>
      </c>
      <c r="G648" s="71">
        <f>tkj!$V$75</f>
        <v>94</v>
      </c>
      <c r="H648" s="72"/>
      <c r="I648" s="72"/>
      <c r="J648" s="73"/>
      <c r="K648" s="73"/>
      <c r="L648" s="71">
        <f>tkj!$AL$75</f>
        <v>94</v>
      </c>
      <c r="M648" s="71">
        <f>tkj!$AR$75</f>
        <v>95</v>
      </c>
      <c r="N648" s="71">
        <f>tkj!$AX$75</f>
        <v>95</v>
      </c>
      <c r="O648" s="73"/>
      <c r="P648" s="74"/>
      <c r="Q648" s="74"/>
      <c r="R648" s="85">
        <f>tkj!$BT$75</f>
        <v>95</v>
      </c>
      <c r="S648" s="85">
        <f>tkj!$BX$75</f>
        <v>95</v>
      </c>
      <c r="T648" s="85">
        <f>tkj!$BY$75</f>
        <v>95</v>
      </c>
      <c r="U648" s="75">
        <f>tkj!$CC$75</f>
        <v>95</v>
      </c>
      <c r="V648" s="58"/>
      <c r="X648" s="278">
        <v>75</v>
      </c>
    </row>
    <row r="649" spans="1:24">
      <c r="A649" s="268">
        <v>71</v>
      </c>
      <c r="B649" s="271"/>
      <c r="C649" s="274"/>
      <c r="D649" s="76" t="s">
        <v>301</v>
      </c>
      <c r="E649" s="77">
        <f>tkj!$CD$75</f>
        <v>89</v>
      </c>
      <c r="F649" s="77">
        <f>tkj!$CE$75</f>
        <v>92</v>
      </c>
      <c r="G649" s="77">
        <f>tkj!$CF$75</f>
        <v>78</v>
      </c>
      <c r="H649" s="72"/>
      <c r="I649" s="72"/>
      <c r="J649" s="73"/>
      <c r="K649" s="73"/>
      <c r="L649" s="77">
        <f>tkj!$CG$75</f>
        <v>92</v>
      </c>
      <c r="M649" s="77">
        <f>tkj!$CH$75</f>
        <v>80</v>
      </c>
      <c r="N649" s="77">
        <f>tkj!$CI$75</f>
        <v>87</v>
      </c>
      <c r="O649" s="73"/>
      <c r="P649" s="74"/>
      <c r="Q649" s="74"/>
      <c r="R649" s="86">
        <f>tkj!$CL$75</f>
        <v>82</v>
      </c>
      <c r="S649" s="86">
        <f>tkj!$CK$75</f>
        <v>93</v>
      </c>
      <c r="T649" s="74"/>
      <c r="U649" s="86">
        <f>tkj!$CJ$75</f>
        <v>80</v>
      </c>
      <c r="V649" s="58"/>
      <c r="X649" s="278">
        <v>75</v>
      </c>
    </row>
    <row r="650" spans="1:24" ht="15" thickBot="1">
      <c r="A650" s="269">
        <v>71</v>
      </c>
      <c r="B650" s="272"/>
      <c r="C650" s="275"/>
      <c r="D650" s="78" t="s">
        <v>302</v>
      </c>
      <c r="E650" s="79">
        <f>(E647*4+E648*3+E649*3)/10</f>
        <v>90.16</v>
      </c>
      <c r="F650" s="79">
        <f t="shared" ref="F650:G650" si="137">(F647*4+F648*3+F649*3)/10</f>
        <v>91.86</v>
      </c>
      <c r="G650" s="79">
        <f t="shared" si="137"/>
        <v>86.4</v>
      </c>
      <c r="H650" s="79">
        <f>AVERAGE(H642:H645)</f>
        <v>82.25</v>
      </c>
      <c r="I650" s="79">
        <f>AVERAGE(I642:I645)</f>
        <v>82.5</v>
      </c>
      <c r="J650" s="79">
        <f>AVERAGE(J642:J643)</f>
        <v>86.5</v>
      </c>
      <c r="K650" s="79">
        <f>AVERAGE(K642:K645)</f>
        <v>78.75</v>
      </c>
      <c r="L650" s="79">
        <f>(L647*4+L648*3+L649*3)/10</f>
        <v>87.8</v>
      </c>
      <c r="M650" s="79">
        <f>(M647*4+M648*3+M649*3)/10</f>
        <v>83.539999999999992</v>
      </c>
      <c r="N650" s="79">
        <f>(N647*4+N648*3+N649*3)/10</f>
        <v>88.84</v>
      </c>
      <c r="O650" s="79">
        <f>AVERAGE(O642:O643)</f>
        <v>87.5</v>
      </c>
      <c r="P650" s="79">
        <f>AVERAGE(P642:P643)</f>
        <v>85</v>
      </c>
      <c r="Q650" s="79">
        <f>AVERAGE(Q642:Q643)</f>
        <v>83.5</v>
      </c>
      <c r="R650" s="79">
        <f>(R647*4+R648*3+R649*3)/10</f>
        <v>86.74444444444444</v>
      </c>
      <c r="S650" s="79">
        <f>(S647*4+S648*3+S649*3)/10</f>
        <v>91.333333333333329</v>
      </c>
      <c r="T650" s="79">
        <f>T648</f>
        <v>95</v>
      </c>
      <c r="U650" s="79">
        <f t="shared" ref="U650" si="138">(U647*4+U648*3+U649*3)/10</f>
        <v>85.433333333333323</v>
      </c>
      <c r="V650" s="80">
        <f>AVERAGE(E650:U650)</f>
        <v>86.653594771241828</v>
      </c>
      <c r="X650" s="278">
        <v>75</v>
      </c>
    </row>
    <row r="651" spans="1:24" ht="15.6" thickTop="1" thickBot="1">
      <c r="A651" s="268">
        <v>72</v>
      </c>
      <c r="B651" s="270" t="s">
        <v>383</v>
      </c>
      <c r="C651" s="273" t="s">
        <v>196</v>
      </c>
      <c r="D651" s="52" t="s">
        <v>294</v>
      </c>
      <c r="E651" s="53">
        <f>tkj!$E$76</f>
        <v>96</v>
      </c>
      <c r="F651" s="53">
        <f>tkj!$K$76</f>
        <v>87</v>
      </c>
      <c r="G651" s="53">
        <f>tkj!$Q$76</f>
        <v>93</v>
      </c>
      <c r="H651" s="53">
        <f>tkj!$W$76</f>
        <v>82</v>
      </c>
      <c r="I651" s="53">
        <f>tkj!$AA$76</f>
        <v>81</v>
      </c>
      <c r="J651" s="53">
        <f>tkj!$AE$76</f>
        <v>83</v>
      </c>
      <c r="K651" s="54">
        <f>tkj!$AG$76</f>
        <v>81</v>
      </c>
      <c r="L651" s="55"/>
      <c r="M651" s="53">
        <f>tkj!$AM$76</f>
        <v>78</v>
      </c>
      <c r="N651" s="53">
        <f>tkj!$AS$76</f>
        <v>77</v>
      </c>
      <c r="O651" s="53">
        <f>tkj!$AY$76</f>
        <v>89</v>
      </c>
      <c r="P651" s="54">
        <f>tkj!$BA$76</f>
        <v>81</v>
      </c>
      <c r="Q651" s="54">
        <f>tkj!$BC$76</f>
        <v>74</v>
      </c>
      <c r="R651" s="55"/>
      <c r="S651" s="55"/>
      <c r="T651" s="55"/>
      <c r="U651" s="55"/>
      <c r="V651" s="56"/>
      <c r="X651" s="278">
        <v>76</v>
      </c>
    </row>
    <row r="652" spans="1:24" ht="15" thickBot="1">
      <c r="A652" s="268">
        <v>72</v>
      </c>
      <c r="B652" s="271"/>
      <c r="C652" s="274"/>
      <c r="D652" s="52" t="s">
        <v>295</v>
      </c>
      <c r="E652" s="53">
        <f>tkj!$F$76</f>
        <v>97</v>
      </c>
      <c r="F652" s="53">
        <f>tkj!$L$76</f>
        <v>80</v>
      </c>
      <c r="G652" s="53">
        <f>tkj!$R$76</f>
        <v>95</v>
      </c>
      <c r="H652" s="53">
        <f>tkj!$X$76</f>
        <v>85</v>
      </c>
      <c r="I652" s="53">
        <f>tkj!$AB$76</f>
        <v>80</v>
      </c>
      <c r="J652" s="53">
        <f>tkj!$AF$76</f>
        <v>87</v>
      </c>
      <c r="K652" s="54">
        <f>tkj!$AH$76</f>
        <v>80</v>
      </c>
      <c r="L652" s="55"/>
      <c r="M652" s="53">
        <f>tkj!$AN$76</f>
        <v>86</v>
      </c>
      <c r="N652" s="53">
        <f>tkj!$AT$76</f>
        <v>80</v>
      </c>
      <c r="O652" s="53">
        <f>tkj!$AZ$76</f>
        <v>94</v>
      </c>
      <c r="P652" s="54">
        <f>tkj!$BB$76</f>
        <v>89</v>
      </c>
      <c r="Q652" s="54">
        <f>tkj!$BD$76</f>
        <v>80</v>
      </c>
      <c r="R652" s="55"/>
      <c r="S652" s="55"/>
      <c r="T652" s="55"/>
      <c r="U652" s="55"/>
      <c r="V652" s="58"/>
      <c r="X652" s="278">
        <v>76</v>
      </c>
    </row>
    <row r="653" spans="1:24" ht="15" thickBot="1">
      <c r="A653" s="268">
        <v>72</v>
      </c>
      <c r="B653" s="271"/>
      <c r="C653" s="274"/>
      <c r="D653" s="52" t="s">
        <v>296</v>
      </c>
      <c r="E653" s="53">
        <f>tkj!$G$76</f>
        <v>92</v>
      </c>
      <c r="F653" s="53">
        <f>tkj!$M$76</f>
        <v>92</v>
      </c>
      <c r="G653" s="53">
        <f>tkj!$S$76</f>
        <v>90</v>
      </c>
      <c r="H653" s="53">
        <f>tkj!$Y$76</f>
        <v>81</v>
      </c>
      <c r="I653" s="53">
        <f>tkj!$AC$76</f>
        <v>86</v>
      </c>
      <c r="J653" s="59"/>
      <c r="K653" s="54">
        <f>tkj!$AI$76</f>
        <v>77</v>
      </c>
      <c r="L653" s="55"/>
      <c r="M653" s="53">
        <f>tkj!$AO$76</f>
        <v>90</v>
      </c>
      <c r="N653" s="53">
        <f>tkj!$AU$76</f>
        <v>83</v>
      </c>
      <c r="O653" s="59"/>
      <c r="P653" s="55"/>
      <c r="Q653" s="55"/>
      <c r="R653" s="54">
        <f>tkj!$BQ$76</f>
        <v>80.666666666666671</v>
      </c>
      <c r="S653" s="54">
        <f>tkj!$BU$76</f>
        <v>87</v>
      </c>
      <c r="T653" s="55"/>
      <c r="U653" s="54">
        <f>tkj!$BZ$76</f>
        <v>77</v>
      </c>
      <c r="V653" s="58"/>
      <c r="X653" s="278">
        <v>76</v>
      </c>
    </row>
    <row r="654" spans="1:24" ht="15" thickBot="1">
      <c r="A654" s="268">
        <v>72</v>
      </c>
      <c r="B654" s="271"/>
      <c r="C654" s="274"/>
      <c r="D654" s="62" t="s">
        <v>297</v>
      </c>
      <c r="E654" s="53">
        <f>tkj!$H$76</f>
        <v>89</v>
      </c>
      <c r="F654" s="53">
        <f>tkj!$N$76</f>
        <v>94</v>
      </c>
      <c r="G654" s="53">
        <f>tkj!$T$76</f>
        <v>89</v>
      </c>
      <c r="H654" s="53">
        <f>tkj!$Z$76</f>
        <v>85</v>
      </c>
      <c r="I654" s="53">
        <f>tkj!$AD$76</f>
        <v>84</v>
      </c>
      <c r="J654" s="59"/>
      <c r="K654" s="54">
        <f>tkj!$AJ$76</f>
        <v>84</v>
      </c>
      <c r="L654" s="55"/>
      <c r="M654" s="53">
        <f>tkj!$AP$76</f>
        <v>87</v>
      </c>
      <c r="N654" s="53">
        <f>tkj!$AV$76</f>
        <v>84</v>
      </c>
      <c r="O654" s="59"/>
      <c r="P654" s="55"/>
      <c r="Q654" s="55"/>
      <c r="R654" s="54">
        <f>tkj!$BR$76</f>
        <v>88</v>
      </c>
      <c r="S654" s="54">
        <f>tkj!$BV$76</f>
        <v>83</v>
      </c>
      <c r="T654" s="63"/>
      <c r="U654" s="54">
        <f>tkj!$CA$76</f>
        <v>91</v>
      </c>
      <c r="V654" s="58"/>
      <c r="X654" s="278">
        <v>76</v>
      </c>
    </row>
    <row r="655" spans="1:24">
      <c r="A655" s="268">
        <v>72</v>
      </c>
      <c r="B655" s="271"/>
      <c r="C655" s="274"/>
      <c r="D655" s="62" t="s">
        <v>298</v>
      </c>
      <c r="E655" s="53">
        <f>tkj!$I$76</f>
        <v>87</v>
      </c>
      <c r="F655" s="53">
        <f>tkj!$O$76</f>
        <v>95</v>
      </c>
      <c r="G655" s="53">
        <f>tkj!$U$76</f>
        <v>76</v>
      </c>
      <c r="H655" s="65"/>
      <c r="I655" s="65"/>
      <c r="J655" s="59"/>
      <c r="K655" s="59"/>
      <c r="L655" s="53">
        <f>tkj!$AK$76</f>
        <v>84</v>
      </c>
      <c r="M655" s="53">
        <f>tkj!$AQ$76</f>
        <v>82</v>
      </c>
      <c r="N655" s="53">
        <f>tkj!$AW$76</f>
        <v>80</v>
      </c>
      <c r="O655" s="59"/>
      <c r="P655" s="55"/>
      <c r="Q655" s="55"/>
      <c r="R655" s="54">
        <f>tkj!$BS$76</f>
        <v>83.666666666666671</v>
      </c>
      <c r="S655" s="54">
        <f>tkj!$BW$76</f>
        <v>84</v>
      </c>
      <c r="T655" s="54"/>
      <c r="U655" s="54">
        <f>tkj!$CB$76</f>
        <v>86</v>
      </c>
      <c r="V655" s="58"/>
      <c r="X655" s="278">
        <v>76</v>
      </c>
    </row>
    <row r="656" spans="1:24">
      <c r="A656" s="268">
        <v>72</v>
      </c>
      <c r="B656" s="271"/>
      <c r="C656" s="274"/>
      <c r="D656" s="66" t="s">
        <v>299</v>
      </c>
      <c r="E656" s="67">
        <f>AVERAGE(E651:E655)</f>
        <v>92.2</v>
      </c>
      <c r="F656" s="67">
        <f>AVERAGE(F651:F655)</f>
        <v>89.6</v>
      </c>
      <c r="G656" s="67">
        <f>AVERAGE(G651:G655)</f>
        <v>88.6</v>
      </c>
      <c r="H656" s="68"/>
      <c r="I656" s="68"/>
      <c r="J656" s="69"/>
      <c r="K656" s="69"/>
      <c r="L656" s="67">
        <f>AVERAGE(L651:L655)</f>
        <v>84</v>
      </c>
      <c r="M656" s="67">
        <f>AVERAGE(M651:M655)</f>
        <v>84.6</v>
      </c>
      <c r="N656" s="67">
        <f>AVERAGE(N651:N655)</f>
        <v>80.8</v>
      </c>
      <c r="O656" s="69"/>
      <c r="P656" s="63"/>
      <c r="Q656" s="63"/>
      <c r="R656" s="84">
        <f>AVERAGE(R653:R655)</f>
        <v>84.111111111111128</v>
      </c>
      <c r="S656" s="84">
        <f>AVERAGE(S653:S655)</f>
        <v>84.666666666666671</v>
      </c>
      <c r="T656" s="63"/>
      <c r="U656" s="84">
        <f>AVERAGE(U651:U655)</f>
        <v>84.666666666666671</v>
      </c>
      <c r="V656" s="58"/>
      <c r="X656" s="278">
        <v>76</v>
      </c>
    </row>
    <row r="657" spans="1:24">
      <c r="A657" s="268">
        <v>72</v>
      </c>
      <c r="B657" s="271"/>
      <c r="C657" s="274"/>
      <c r="D657" s="70" t="s">
        <v>300</v>
      </c>
      <c r="E657" s="71">
        <f>tkj!$J$76</f>
        <v>95</v>
      </c>
      <c r="F657" s="71">
        <f>tkj!$P$76</f>
        <v>92</v>
      </c>
      <c r="G657" s="71">
        <f>tkj!$V$76</f>
        <v>88</v>
      </c>
      <c r="H657" s="72"/>
      <c r="I657" s="72"/>
      <c r="J657" s="73"/>
      <c r="K657" s="73"/>
      <c r="L657" s="71">
        <f>tkj!$AL$76</f>
        <v>88</v>
      </c>
      <c r="M657" s="71">
        <f>tkj!$AR$76</f>
        <v>95</v>
      </c>
      <c r="N657" s="71">
        <f>tkj!$AX$76</f>
        <v>95</v>
      </c>
      <c r="O657" s="73"/>
      <c r="P657" s="74"/>
      <c r="Q657" s="74"/>
      <c r="R657" s="85">
        <f>tkj!$BT$76</f>
        <v>93</v>
      </c>
      <c r="S657" s="85">
        <f>tkj!$BX$76</f>
        <v>93</v>
      </c>
      <c r="T657" s="85">
        <f>tkj!$BY$76</f>
        <v>93</v>
      </c>
      <c r="U657" s="75">
        <f>tkj!$CC$76</f>
        <v>95</v>
      </c>
      <c r="V657" s="58"/>
      <c r="X657" s="278">
        <v>76</v>
      </c>
    </row>
    <row r="658" spans="1:24">
      <c r="A658" s="268">
        <v>72</v>
      </c>
      <c r="B658" s="271"/>
      <c r="C658" s="274"/>
      <c r="D658" s="76" t="s">
        <v>301</v>
      </c>
      <c r="E658" s="77">
        <f>tkj!$CD$76</f>
        <v>88</v>
      </c>
      <c r="F658" s="77">
        <f>tkj!$CE$76</f>
        <v>90</v>
      </c>
      <c r="G658" s="77">
        <f>tkj!$CF$76</f>
        <v>82</v>
      </c>
      <c r="H658" s="72"/>
      <c r="I658" s="72"/>
      <c r="J658" s="73"/>
      <c r="K658" s="73"/>
      <c r="L658" s="77">
        <f>tkj!$CG$76</f>
        <v>94</v>
      </c>
      <c r="M658" s="77">
        <f>tkj!$CH$76</f>
        <v>83</v>
      </c>
      <c r="N658" s="77">
        <f>tkj!$CI$76</f>
        <v>85</v>
      </c>
      <c r="O658" s="73"/>
      <c r="P658" s="74"/>
      <c r="Q658" s="74"/>
      <c r="R658" s="86">
        <f>tkj!$CL$76</f>
        <v>92</v>
      </c>
      <c r="S658" s="86">
        <f>tkj!$CK$76</f>
        <v>90</v>
      </c>
      <c r="T658" s="74"/>
      <c r="U658" s="86">
        <f>tkj!$CJ$76</f>
        <v>90</v>
      </c>
      <c r="V658" s="58"/>
      <c r="X658" s="278">
        <v>76</v>
      </c>
    </row>
    <row r="659" spans="1:24" ht="15" thickBot="1">
      <c r="A659" s="269">
        <v>72</v>
      </c>
      <c r="B659" s="272"/>
      <c r="C659" s="275"/>
      <c r="D659" s="78" t="s">
        <v>302</v>
      </c>
      <c r="E659" s="79">
        <f>(E656*4+E657*3+E658*3)/10</f>
        <v>91.78</v>
      </c>
      <c r="F659" s="79">
        <f t="shared" ref="F659:G659" si="139">(F656*4+F657*3+F658*3)/10</f>
        <v>90.44</v>
      </c>
      <c r="G659" s="79">
        <f t="shared" si="139"/>
        <v>86.44</v>
      </c>
      <c r="H659" s="79">
        <f>AVERAGE(H651:H654)</f>
        <v>83.25</v>
      </c>
      <c r="I659" s="79">
        <f>AVERAGE(I651:I654)</f>
        <v>82.75</v>
      </c>
      <c r="J659" s="79">
        <f>AVERAGE(J651:J652)</f>
        <v>85</v>
      </c>
      <c r="K659" s="79">
        <f>AVERAGE(K651:K654)</f>
        <v>80.5</v>
      </c>
      <c r="L659" s="79">
        <f>(L656*4+L657*3+L658*3)/10</f>
        <v>88.2</v>
      </c>
      <c r="M659" s="79">
        <f>(M656*4+M657*3+M658*3)/10</f>
        <v>87.24</v>
      </c>
      <c r="N659" s="79">
        <f>(N656*4+N657*3+N658*3)/10</f>
        <v>86.320000000000007</v>
      </c>
      <c r="O659" s="79">
        <f>AVERAGE(O651:O652)</f>
        <v>91.5</v>
      </c>
      <c r="P659" s="79">
        <f>AVERAGE(P651:P652)</f>
        <v>85</v>
      </c>
      <c r="Q659" s="79">
        <f>AVERAGE(Q651:Q652)</f>
        <v>77</v>
      </c>
      <c r="R659" s="79">
        <f>(R656*4+R657*3+R658*3)/10</f>
        <v>89.14444444444446</v>
      </c>
      <c r="S659" s="79">
        <f>(S656*4+S657*3+S658*3)/10</f>
        <v>88.76666666666668</v>
      </c>
      <c r="T659" s="79">
        <f>T657</f>
        <v>93</v>
      </c>
      <c r="U659" s="79">
        <f t="shared" ref="U659" si="140">(U656*4+U657*3+U658*3)/10</f>
        <v>89.366666666666674</v>
      </c>
      <c r="V659" s="80">
        <f>AVERAGE(E659:U659)</f>
        <v>86.80575163398693</v>
      </c>
      <c r="X659" s="278">
        <v>76</v>
      </c>
    </row>
    <row r="660" spans="1:24" ht="15.6" thickTop="1" thickBot="1">
      <c r="A660" s="268">
        <v>73</v>
      </c>
      <c r="B660" s="270" t="s">
        <v>384</v>
      </c>
      <c r="C660" s="273" t="s">
        <v>199</v>
      </c>
      <c r="D660" s="52" t="s">
        <v>294</v>
      </c>
      <c r="E660" s="53">
        <f>tkj!$E$77</f>
        <v>80</v>
      </c>
      <c r="F660" s="53">
        <f>tkj!$K$77</f>
        <v>85</v>
      </c>
      <c r="G660" s="53">
        <f>tkj!$Q$77</f>
        <v>80</v>
      </c>
      <c r="H660" s="53">
        <f>tkj!$W$77</f>
        <v>81</v>
      </c>
      <c r="I660" s="53">
        <f>tkj!$AA$77</f>
        <v>79</v>
      </c>
      <c r="J660" s="53">
        <f>tkj!$AE$77</f>
        <v>83</v>
      </c>
      <c r="K660" s="54">
        <f>tkj!$AG$77</f>
        <v>79</v>
      </c>
      <c r="L660" s="55"/>
      <c r="M660" s="53">
        <f>tkj!$AM$77</f>
        <v>70</v>
      </c>
      <c r="N660" s="53">
        <f>tkj!$AS$77</f>
        <v>77</v>
      </c>
      <c r="O660" s="53">
        <f>tkj!$AY$77</f>
        <v>82</v>
      </c>
      <c r="P660" s="54">
        <f>tkj!$BA$77</f>
        <v>75</v>
      </c>
      <c r="Q660" s="54">
        <f>tkj!$BC$77</f>
        <v>78</v>
      </c>
      <c r="R660" s="55"/>
      <c r="S660" s="55"/>
      <c r="T660" s="55"/>
      <c r="U660" s="55"/>
      <c r="V660" s="56"/>
      <c r="X660" s="278">
        <v>77</v>
      </c>
    </row>
    <row r="661" spans="1:24" ht="15" thickBot="1">
      <c r="A661" s="268">
        <v>73</v>
      </c>
      <c r="B661" s="271"/>
      <c r="C661" s="274"/>
      <c r="D661" s="52" t="s">
        <v>295</v>
      </c>
      <c r="E661" s="53">
        <f>tkj!$F$77</f>
        <v>80</v>
      </c>
      <c r="F661" s="53">
        <f>tkj!$L$77</f>
        <v>81</v>
      </c>
      <c r="G661" s="53">
        <f>tkj!$R$77</f>
        <v>86</v>
      </c>
      <c r="H661" s="53">
        <f>tkj!$X$77</f>
        <v>84</v>
      </c>
      <c r="I661" s="53">
        <f>tkj!$AB$77</f>
        <v>87</v>
      </c>
      <c r="J661" s="53">
        <f>tkj!$AF$77</f>
        <v>84</v>
      </c>
      <c r="K661" s="54">
        <f>tkj!$AH$77</f>
        <v>73</v>
      </c>
      <c r="L661" s="55"/>
      <c r="M661" s="53">
        <f>tkj!$AN$77</f>
        <v>71</v>
      </c>
      <c r="N661" s="53">
        <f>tkj!$AT$77</f>
        <v>80</v>
      </c>
      <c r="O661" s="53">
        <f>tkj!$AZ$77</f>
        <v>82</v>
      </c>
      <c r="P661" s="54">
        <f>tkj!$BB$77</f>
        <v>80</v>
      </c>
      <c r="Q661" s="54">
        <f>tkj!$BD$77</f>
        <v>80</v>
      </c>
      <c r="R661" s="55"/>
      <c r="S661" s="55"/>
      <c r="T661" s="55"/>
      <c r="U661" s="55"/>
      <c r="V661" s="58"/>
      <c r="X661" s="278">
        <v>77</v>
      </c>
    </row>
    <row r="662" spans="1:24" ht="15" thickBot="1">
      <c r="A662" s="268">
        <v>73</v>
      </c>
      <c r="B662" s="271"/>
      <c r="C662" s="274"/>
      <c r="D662" s="52" t="s">
        <v>296</v>
      </c>
      <c r="E662" s="53">
        <f>tkj!$G$77</f>
        <v>88</v>
      </c>
      <c r="F662" s="53">
        <f>tkj!$M$77</f>
        <v>90</v>
      </c>
      <c r="G662" s="53">
        <f>tkj!$S$77</f>
        <v>84</v>
      </c>
      <c r="H662" s="53">
        <f>tkj!$Y$77</f>
        <v>80</v>
      </c>
      <c r="I662" s="53">
        <f>tkj!$AC$77</f>
        <v>85</v>
      </c>
      <c r="J662" s="59"/>
      <c r="K662" s="54">
        <f>tkj!$AI$77</f>
        <v>70</v>
      </c>
      <c r="L662" s="55"/>
      <c r="M662" s="53">
        <f>tkj!$AO$77</f>
        <v>75</v>
      </c>
      <c r="N662" s="53">
        <f>tkj!$AU$77</f>
        <v>83</v>
      </c>
      <c r="O662" s="59"/>
      <c r="P662" s="55"/>
      <c r="Q662" s="55"/>
      <c r="R662" s="54">
        <f>tkj!$BQ$77</f>
        <v>79.666666666666671</v>
      </c>
      <c r="S662" s="54">
        <f>tkj!$BU$77</f>
        <v>87</v>
      </c>
      <c r="T662" s="55"/>
      <c r="U662" s="54">
        <f>tkj!$BZ$77</f>
        <v>74</v>
      </c>
      <c r="V662" s="58"/>
      <c r="X662" s="278">
        <v>77</v>
      </c>
    </row>
    <row r="663" spans="1:24" ht="15" thickBot="1">
      <c r="A663" s="268">
        <v>73</v>
      </c>
      <c r="B663" s="271"/>
      <c r="C663" s="274"/>
      <c r="D663" s="62" t="s">
        <v>297</v>
      </c>
      <c r="E663" s="53">
        <f>tkj!$H$77</f>
        <v>86</v>
      </c>
      <c r="F663" s="53">
        <f>tkj!$N$77</f>
        <v>90</v>
      </c>
      <c r="G663" s="53">
        <f>tkj!$T$77</f>
        <v>85</v>
      </c>
      <c r="H663" s="53">
        <f>tkj!$Z$77</f>
        <v>84</v>
      </c>
      <c r="I663" s="53">
        <f>tkj!$AD$77</f>
        <v>83</v>
      </c>
      <c r="J663" s="59"/>
      <c r="K663" s="54">
        <f>tkj!$AJ$77</f>
        <v>83</v>
      </c>
      <c r="L663" s="55"/>
      <c r="M663" s="53">
        <f>tkj!$AP$77</f>
        <v>76</v>
      </c>
      <c r="N663" s="53">
        <f>tkj!$AV$77</f>
        <v>84</v>
      </c>
      <c r="O663" s="59"/>
      <c r="P663" s="55"/>
      <c r="Q663" s="55"/>
      <c r="R663" s="54">
        <f>tkj!$BR$77</f>
        <v>82</v>
      </c>
      <c r="S663" s="54">
        <f>tkj!$BV$77</f>
        <v>87</v>
      </c>
      <c r="T663" s="63"/>
      <c r="U663" s="54">
        <f>tkj!$CA$77</f>
        <v>91</v>
      </c>
      <c r="V663" s="58"/>
      <c r="X663" s="278">
        <v>77</v>
      </c>
    </row>
    <row r="664" spans="1:24">
      <c r="A664" s="268">
        <v>73</v>
      </c>
      <c r="B664" s="271"/>
      <c r="C664" s="274"/>
      <c r="D664" s="62" t="s">
        <v>298</v>
      </c>
      <c r="E664" s="53">
        <f>tkj!$I$77</f>
        <v>93</v>
      </c>
      <c r="F664" s="53">
        <f>tkj!$O$77</f>
        <v>93</v>
      </c>
      <c r="G664" s="53">
        <f>tkj!$U$77</f>
        <v>79</v>
      </c>
      <c r="H664" s="65"/>
      <c r="I664" s="65"/>
      <c r="J664" s="59"/>
      <c r="K664" s="59"/>
      <c r="L664" s="53">
        <f>tkj!$AK$77</f>
        <v>82</v>
      </c>
      <c r="M664" s="53">
        <f>tkj!$AQ$77</f>
        <v>81</v>
      </c>
      <c r="N664" s="53">
        <f>tkj!$AW$77</f>
        <v>80</v>
      </c>
      <c r="O664" s="59"/>
      <c r="P664" s="55"/>
      <c r="Q664" s="55"/>
      <c r="R664" s="54">
        <f>tkj!$BS$77</f>
        <v>83.333333333333329</v>
      </c>
      <c r="S664" s="54">
        <f>tkj!$BW$77</f>
        <v>83</v>
      </c>
      <c r="T664" s="54"/>
      <c r="U664" s="54">
        <f>tkj!$CB$77</f>
        <v>73</v>
      </c>
      <c r="V664" s="58"/>
      <c r="X664" s="278">
        <v>77</v>
      </c>
    </row>
    <row r="665" spans="1:24">
      <c r="A665" s="268">
        <v>73</v>
      </c>
      <c r="B665" s="271"/>
      <c r="C665" s="274"/>
      <c r="D665" s="66" t="s">
        <v>299</v>
      </c>
      <c r="E665" s="67">
        <f>AVERAGE(E660:E664)</f>
        <v>85.4</v>
      </c>
      <c r="F665" s="67">
        <f>AVERAGE(F660:F664)</f>
        <v>87.8</v>
      </c>
      <c r="G665" s="67">
        <f>AVERAGE(G660:G664)</f>
        <v>82.8</v>
      </c>
      <c r="H665" s="68"/>
      <c r="I665" s="68"/>
      <c r="J665" s="69"/>
      <c r="K665" s="69"/>
      <c r="L665" s="67">
        <f>AVERAGE(L660:L664)</f>
        <v>82</v>
      </c>
      <c r="M665" s="67">
        <f>AVERAGE(M660:M664)</f>
        <v>74.599999999999994</v>
      </c>
      <c r="N665" s="67">
        <f>AVERAGE(N660:N664)</f>
        <v>80.8</v>
      </c>
      <c r="O665" s="69"/>
      <c r="P665" s="63"/>
      <c r="Q665" s="63"/>
      <c r="R665" s="84">
        <f>AVERAGE(R662:R664)</f>
        <v>81.666666666666671</v>
      </c>
      <c r="S665" s="84">
        <f>AVERAGE(S662:S664)</f>
        <v>85.666666666666671</v>
      </c>
      <c r="T665" s="63"/>
      <c r="U665" s="84">
        <f>AVERAGE(U660:U664)</f>
        <v>79.333333333333329</v>
      </c>
      <c r="V665" s="58"/>
      <c r="X665" s="278">
        <v>77</v>
      </c>
    </row>
    <row r="666" spans="1:24">
      <c r="A666" s="268">
        <v>73</v>
      </c>
      <c r="B666" s="271"/>
      <c r="C666" s="274"/>
      <c r="D666" s="70" t="s">
        <v>300</v>
      </c>
      <c r="E666" s="71">
        <f>tkj!$J$77</f>
        <v>95</v>
      </c>
      <c r="F666" s="71">
        <f>tkj!$P$77</f>
        <v>95</v>
      </c>
      <c r="G666" s="71">
        <f>tkj!$V$77</f>
        <v>92</v>
      </c>
      <c r="H666" s="72"/>
      <c r="I666" s="72"/>
      <c r="J666" s="73"/>
      <c r="K666" s="73"/>
      <c r="L666" s="71">
        <f>tkj!$AL$77</f>
        <v>92</v>
      </c>
      <c r="M666" s="71">
        <f>tkj!$AR$77</f>
        <v>95</v>
      </c>
      <c r="N666" s="71">
        <f>tkj!$AX$77</f>
        <v>95</v>
      </c>
      <c r="O666" s="73"/>
      <c r="P666" s="74"/>
      <c r="Q666" s="74"/>
      <c r="R666" s="85">
        <f>tkj!$BT$77</f>
        <v>95</v>
      </c>
      <c r="S666" s="85">
        <f>tkj!$BX$77</f>
        <v>95</v>
      </c>
      <c r="T666" s="85">
        <f>tkj!$BY$77</f>
        <v>94</v>
      </c>
      <c r="U666" s="75">
        <f>tkj!$CC$77</f>
        <v>95</v>
      </c>
      <c r="V666" s="58"/>
      <c r="X666" s="278">
        <v>77</v>
      </c>
    </row>
    <row r="667" spans="1:24">
      <c r="A667" s="268">
        <v>73</v>
      </c>
      <c r="B667" s="271"/>
      <c r="C667" s="274"/>
      <c r="D667" s="76" t="s">
        <v>301</v>
      </c>
      <c r="E667" s="77">
        <f>tkj!$CD$77</f>
        <v>90</v>
      </c>
      <c r="F667" s="77">
        <f>tkj!$CE$77</f>
        <v>90</v>
      </c>
      <c r="G667" s="77">
        <f>tkj!$CF$77</f>
        <v>81</v>
      </c>
      <c r="H667" s="72"/>
      <c r="I667" s="72"/>
      <c r="J667" s="73"/>
      <c r="K667" s="73"/>
      <c r="L667" s="77">
        <f>tkj!$CG$77</f>
        <v>92</v>
      </c>
      <c r="M667" s="77">
        <f>tkj!$CH$77</f>
        <v>82</v>
      </c>
      <c r="N667" s="77">
        <f>tkj!$CI$77</f>
        <v>85</v>
      </c>
      <c r="O667" s="73"/>
      <c r="P667" s="74"/>
      <c r="Q667" s="74"/>
      <c r="R667" s="86">
        <f>tkj!$CL$77</f>
        <v>70</v>
      </c>
      <c r="S667" s="86">
        <f>tkj!$CK$77</f>
        <v>83</v>
      </c>
      <c r="T667" s="74"/>
      <c r="U667" s="86">
        <f>tkj!$CJ$77</f>
        <v>80</v>
      </c>
      <c r="V667" s="58"/>
      <c r="X667" s="278">
        <v>77</v>
      </c>
    </row>
    <row r="668" spans="1:24" ht="15" thickBot="1">
      <c r="A668" s="269">
        <v>73</v>
      </c>
      <c r="B668" s="272"/>
      <c r="C668" s="275"/>
      <c r="D668" s="78" t="s">
        <v>302</v>
      </c>
      <c r="E668" s="79">
        <f>(E665*4+E666*3+E667*3)/10</f>
        <v>89.66</v>
      </c>
      <c r="F668" s="79">
        <f t="shared" ref="F668:G668" si="141">(F665*4+F666*3+F667*3)/10</f>
        <v>90.62</v>
      </c>
      <c r="G668" s="79">
        <f t="shared" si="141"/>
        <v>85.02000000000001</v>
      </c>
      <c r="H668" s="79">
        <f>AVERAGE(H660:H663)</f>
        <v>82.25</v>
      </c>
      <c r="I668" s="79">
        <f>AVERAGE(I660:I663)</f>
        <v>83.5</v>
      </c>
      <c r="J668" s="79">
        <f>AVERAGE(J660:J661)</f>
        <v>83.5</v>
      </c>
      <c r="K668" s="79">
        <f>AVERAGE(K660:K663)</f>
        <v>76.25</v>
      </c>
      <c r="L668" s="79">
        <f>(L665*4+L666*3+L667*3)/10</f>
        <v>88</v>
      </c>
      <c r="M668" s="79">
        <f>(M665*4+M666*3+M667*3)/10</f>
        <v>82.94</v>
      </c>
      <c r="N668" s="79">
        <f>(N665*4+N666*3+N667*3)/10</f>
        <v>86.320000000000007</v>
      </c>
      <c r="O668" s="79">
        <f>AVERAGE(O660:O661)</f>
        <v>82</v>
      </c>
      <c r="P668" s="79">
        <f>AVERAGE(P660:P661)</f>
        <v>77.5</v>
      </c>
      <c r="Q668" s="79">
        <f>AVERAGE(Q660:Q661)</f>
        <v>79</v>
      </c>
      <c r="R668" s="79">
        <f>(R665*4+R666*3+R667*3)/10</f>
        <v>82.166666666666671</v>
      </c>
      <c r="S668" s="79">
        <f>(S665*4+S666*3+S667*3)/10</f>
        <v>87.666666666666671</v>
      </c>
      <c r="T668" s="79">
        <f>T666</f>
        <v>94</v>
      </c>
      <c r="U668" s="79">
        <f t="shared" ref="U668" si="142">(U665*4+U666*3+U667*3)/10</f>
        <v>84.23333333333332</v>
      </c>
      <c r="V668" s="80">
        <f>AVERAGE(E668:U668)</f>
        <v>84.389803921568628</v>
      </c>
      <c r="X668" s="278">
        <v>77</v>
      </c>
    </row>
    <row r="669" spans="1:24" ht="15.6" thickTop="1" thickBot="1">
      <c r="A669" s="268">
        <v>74</v>
      </c>
      <c r="B669" s="270" t="s">
        <v>385</v>
      </c>
      <c r="C669" s="273" t="s">
        <v>201</v>
      </c>
      <c r="D669" s="52" t="s">
        <v>294</v>
      </c>
      <c r="E669" s="53">
        <f>tkj!$E$78</f>
        <v>94</v>
      </c>
      <c r="F669" s="53">
        <f>tkj!$K$78</f>
        <v>83</v>
      </c>
      <c r="G669" s="53">
        <f>tkj!$Q$78</f>
        <v>95</v>
      </c>
      <c r="H669" s="53">
        <f>tkj!$W$78</f>
        <v>81</v>
      </c>
      <c r="I669" s="53">
        <f>tkj!$AA$78</f>
        <v>83</v>
      </c>
      <c r="J669" s="53">
        <f>tkj!$AE$78</f>
        <v>84</v>
      </c>
      <c r="K669" s="54">
        <f>tkj!$AG$78</f>
        <v>82</v>
      </c>
      <c r="L669" s="55"/>
      <c r="M669" s="53">
        <f>tkj!$AM$78</f>
        <v>74</v>
      </c>
      <c r="N669" s="53">
        <f>tkj!$AS$78</f>
        <v>87</v>
      </c>
      <c r="O669" s="53">
        <f>tkj!$AY$78</f>
        <v>92</v>
      </c>
      <c r="P669" s="54">
        <f>tkj!$BA$78</f>
        <v>85</v>
      </c>
      <c r="Q669" s="54">
        <f>tkj!$BC$78</f>
        <v>86</v>
      </c>
      <c r="R669" s="55"/>
      <c r="S669" s="55"/>
      <c r="T669" s="55"/>
      <c r="U669" s="55"/>
      <c r="V669" s="56"/>
      <c r="X669" s="278">
        <v>78</v>
      </c>
    </row>
    <row r="670" spans="1:24" ht="15" thickBot="1">
      <c r="A670" s="268">
        <v>74</v>
      </c>
      <c r="B670" s="271"/>
      <c r="C670" s="274"/>
      <c r="D670" s="52" t="s">
        <v>295</v>
      </c>
      <c r="E670" s="53">
        <f>tkj!$F$78</f>
        <v>96</v>
      </c>
      <c r="F670" s="53">
        <f>tkj!$L$78</f>
        <v>88</v>
      </c>
      <c r="G670" s="53">
        <f>tkj!$R$78</f>
        <v>91</v>
      </c>
      <c r="H670" s="53">
        <f>tkj!$X$78</f>
        <v>84</v>
      </c>
      <c r="I670" s="53">
        <f>tkj!$AB$78</f>
        <v>88</v>
      </c>
      <c r="J670" s="53">
        <f>tkj!$AF$78</f>
        <v>84</v>
      </c>
      <c r="K670" s="54">
        <f>tkj!$AH$78</f>
        <v>76</v>
      </c>
      <c r="L670" s="55"/>
      <c r="M670" s="53">
        <f>tkj!$AN$78</f>
        <v>82</v>
      </c>
      <c r="N670" s="53">
        <f>tkj!$AT$78</f>
        <v>89</v>
      </c>
      <c r="O670" s="53">
        <f>tkj!$AZ$78</f>
        <v>98</v>
      </c>
      <c r="P670" s="54">
        <f>tkj!$BB$78</f>
        <v>92</v>
      </c>
      <c r="Q670" s="54">
        <f>tkj!$BD$78</f>
        <v>80</v>
      </c>
      <c r="R670" s="55"/>
      <c r="S670" s="55"/>
      <c r="T670" s="55"/>
      <c r="U670" s="55"/>
      <c r="V670" s="58"/>
      <c r="X670" s="278">
        <v>78</v>
      </c>
    </row>
    <row r="671" spans="1:24" ht="15" thickBot="1">
      <c r="A671" s="268">
        <v>74</v>
      </c>
      <c r="B671" s="271"/>
      <c r="C671" s="274"/>
      <c r="D671" s="52" t="s">
        <v>296</v>
      </c>
      <c r="E671" s="53">
        <f>tkj!$G$78</f>
        <v>90</v>
      </c>
      <c r="F671" s="53">
        <f>tkj!$M$78</f>
        <v>95</v>
      </c>
      <c r="G671" s="53">
        <f>tkj!$S$78</f>
        <v>90</v>
      </c>
      <c r="H671" s="53">
        <f>tkj!$Y$78</f>
        <v>80</v>
      </c>
      <c r="I671" s="53">
        <f>tkj!$AC$78</f>
        <v>86</v>
      </c>
      <c r="J671" s="59"/>
      <c r="K671" s="54">
        <f>tkj!$AI$78</f>
        <v>75</v>
      </c>
      <c r="L671" s="55"/>
      <c r="M671" s="53">
        <f>tkj!$AO$78</f>
        <v>95</v>
      </c>
      <c r="N671" s="53">
        <f>tkj!$AU$78</f>
        <v>89</v>
      </c>
      <c r="O671" s="59"/>
      <c r="P671" s="55"/>
      <c r="Q671" s="55"/>
      <c r="R671" s="54">
        <f>tkj!$BQ$78</f>
        <v>83.666666666666671</v>
      </c>
      <c r="S671" s="54">
        <f>tkj!$BU$78</f>
        <v>88</v>
      </c>
      <c r="T671" s="55"/>
      <c r="U671" s="54">
        <f>tkj!$BZ$78</f>
        <v>88</v>
      </c>
      <c r="V671" s="58"/>
      <c r="X671" s="278">
        <v>78</v>
      </c>
    </row>
    <row r="672" spans="1:24" ht="15" thickBot="1">
      <c r="A672" s="268">
        <v>74</v>
      </c>
      <c r="B672" s="271"/>
      <c r="C672" s="274"/>
      <c r="D672" s="62" t="s">
        <v>297</v>
      </c>
      <c r="E672" s="53">
        <f>tkj!$H$78</f>
        <v>88</v>
      </c>
      <c r="F672" s="53">
        <f>tkj!$N$78</f>
        <v>95</v>
      </c>
      <c r="G672" s="53">
        <f>tkj!$T$78</f>
        <v>92</v>
      </c>
      <c r="H672" s="53">
        <f>tkj!$Z$78</f>
        <v>84</v>
      </c>
      <c r="I672" s="53">
        <f>tkj!$AD$78</f>
        <v>82</v>
      </c>
      <c r="J672" s="59"/>
      <c r="K672" s="54">
        <f>tkj!$AJ$78</f>
        <v>82</v>
      </c>
      <c r="L672" s="55"/>
      <c r="M672" s="53">
        <f>tkj!$AP$78</f>
        <v>95</v>
      </c>
      <c r="N672" s="53">
        <f>tkj!$AV$78</f>
        <v>89</v>
      </c>
      <c r="O672" s="59"/>
      <c r="P672" s="55"/>
      <c r="Q672" s="55"/>
      <c r="R672" s="54">
        <f>tkj!$BR$78</f>
        <v>89.333333333333329</v>
      </c>
      <c r="S672" s="54">
        <f>tkj!$BV$78</f>
        <v>93</v>
      </c>
      <c r="T672" s="63"/>
      <c r="U672" s="54">
        <f>tkj!$CA$78</f>
        <v>94</v>
      </c>
      <c r="V672" s="58"/>
      <c r="X672" s="278">
        <v>78</v>
      </c>
    </row>
    <row r="673" spans="1:24">
      <c r="A673" s="268">
        <v>74</v>
      </c>
      <c r="B673" s="271"/>
      <c r="C673" s="274"/>
      <c r="D673" s="62" t="s">
        <v>298</v>
      </c>
      <c r="E673" s="53">
        <f>tkj!$I$78</f>
        <v>85</v>
      </c>
      <c r="F673" s="53">
        <f>tkj!$O$78</f>
        <v>95</v>
      </c>
      <c r="G673" s="53">
        <f>tkj!$U$78</f>
        <v>89</v>
      </c>
      <c r="H673" s="65"/>
      <c r="I673" s="65"/>
      <c r="J673" s="59"/>
      <c r="K673" s="59"/>
      <c r="L673" s="53">
        <f>tkj!$AK$78</f>
        <v>88</v>
      </c>
      <c r="M673" s="53">
        <f>tkj!$AQ$78</f>
        <v>90</v>
      </c>
      <c r="N673" s="53">
        <f>tkj!$AW$78</f>
        <v>88</v>
      </c>
      <c r="O673" s="59"/>
      <c r="P673" s="55"/>
      <c r="Q673" s="55"/>
      <c r="R673" s="54">
        <f>tkj!$BS$78</f>
        <v>85.333333333333329</v>
      </c>
      <c r="S673" s="54">
        <f>tkj!$BW$78</f>
        <v>85</v>
      </c>
      <c r="T673" s="54"/>
      <c r="U673" s="54">
        <f>tkj!$CB$78</f>
        <v>88</v>
      </c>
      <c r="V673" s="58"/>
      <c r="X673" s="278">
        <v>78</v>
      </c>
    </row>
    <row r="674" spans="1:24">
      <c r="A674" s="268">
        <v>74</v>
      </c>
      <c r="B674" s="271"/>
      <c r="C674" s="274"/>
      <c r="D674" s="66" t="s">
        <v>299</v>
      </c>
      <c r="E674" s="67">
        <f>AVERAGE(E669:E673)</f>
        <v>90.6</v>
      </c>
      <c r="F674" s="67">
        <f>AVERAGE(F669:F673)</f>
        <v>91.2</v>
      </c>
      <c r="G674" s="67">
        <f>AVERAGE(G669:G673)</f>
        <v>91.4</v>
      </c>
      <c r="H674" s="68"/>
      <c r="I674" s="68"/>
      <c r="J674" s="69"/>
      <c r="K674" s="69"/>
      <c r="L674" s="67">
        <f>AVERAGE(L669:L673)</f>
        <v>88</v>
      </c>
      <c r="M674" s="67">
        <f>AVERAGE(M669:M673)</f>
        <v>87.2</v>
      </c>
      <c r="N674" s="67">
        <f>AVERAGE(N669:N673)</f>
        <v>88.4</v>
      </c>
      <c r="O674" s="69"/>
      <c r="P674" s="63"/>
      <c r="Q674" s="63"/>
      <c r="R674" s="84">
        <f>AVERAGE(R671:R673)</f>
        <v>86.1111111111111</v>
      </c>
      <c r="S674" s="84">
        <f>AVERAGE(S671:S673)</f>
        <v>88.666666666666671</v>
      </c>
      <c r="T674" s="63"/>
      <c r="U674" s="84">
        <f>AVERAGE(U669:U673)</f>
        <v>90</v>
      </c>
      <c r="V674" s="58"/>
      <c r="X674" s="278">
        <v>78</v>
      </c>
    </row>
    <row r="675" spans="1:24">
      <c r="A675" s="268">
        <v>74</v>
      </c>
      <c r="B675" s="271"/>
      <c r="C675" s="274"/>
      <c r="D675" s="70" t="s">
        <v>300</v>
      </c>
      <c r="E675" s="71">
        <f>tkj!$J$78</f>
        <v>91</v>
      </c>
      <c r="F675" s="71">
        <f>tkj!$P$78</f>
        <v>80</v>
      </c>
      <c r="G675" s="71">
        <f>tkj!$V$78</f>
        <v>78</v>
      </c>
      <c r="H675" s="72"/>
      <c r="I675" s="72"/>
      <c r="J675" s="73"/>
      <c r="K675" s="73"/>
      <c r="L675" s="71">
        <f>tkj!$AL$78</f>
        <v>78</v>
      </c>
      <c r="M675" s="71">
        <f>tkj!$AR$78</f>
        <v>83</v>
      </c>
      <c r="N675" s="71">
        <f>tkj!$AX$78</f>
        <v>83</v>
      </c>
      <c r="O675" s="73"/>
      <c r="P675" s="74"/>
      <c r="Q675" s="74"/>
      <c r="R675" s="85">
        <f>tkj!$BT$78</f>
        <v>82</v>
      </c>
      <c r="S675" s="85">
        <f>tkj!$BX$78</f>
        <v>82</v>
      </c>
      <c r="T675" s="85">
        <f>tkj!$BY$78</f>
        <v>83</v>
      </c>
      <c r="U675" s="75">
        <f>tkj!$CC$78</f>
        <v>83</v>
      </c>
      <c r="V675" s="58"/>
      <c r="X675" s="278">
        <v>78</v>
      </c>
    </row>
    <row r="676" spans="1:24">
      <c r="A676" s="268">
        <v>74</v>
      </c>
      <c r="B676" s="271"/>
      <c r="C676" s="274"/>
      <c r="D676" s="76" t="s">
        <v>301</v>
      </c>
      <c r="E676" s="77">
        <f>tkj!$CD$78</f>
        <v>91</v>
      </c>
      <c r="F676" s="77">
        <f>tkj!$CE$78</f>
        <v>95</v>
      </c>
      <c r="G676" s="77">
        <f>tkj!$CF$78</f>
        <v>86</v>
      </c>
      <c r="H676" s="72"/>
      <c r="I676" s="72"/>
      <c r="J676" s="73"/>
      <c r="K676" s="73"/>
      <c r="L676" s="77">
        <f>tkj!$CG$78</f>
        <v>94</v>
      </c>
      <c r="M676" s="77">
        <f>tkj!$CH$78</f>
        <v>91</v>
      </c>
      <c r="N676" s="77">
        <f>tkj!$CI$78</f>
        <v>90</v>
      </c>
      <c r="O676" s="73"/>
      <c r="P676" s="74"/>
      <c r="Q676" s="74"/>
      <c r="R676" s="86">
        <f>tkj!$CL$78</f>
        <v>95</v>
      </c>
      <c r="S676" s="86">
        <f>tkj!$CK$78</f>
        <v>93</v>
      </c>
      <c r="T676" s="74"/>
      <c r="U676" s="86">
        <f>tkj!$CJ$78</f>
        <v>82</v>
      </c>
      <c r="V676" s="58"/>
      <c r="X676" s="278">
        <v>78</v>
      </c>
    </row>
    <row r="677" spans="1:24" ht="15" thickBot="1">
      <c r="A677" s="269">
        <v>74</v>
      </c>
      <c r="B677" s="272"/>
      <c r="C677" s="275"/>
      <c r="D677" s="78" t="s">
        <v>302</v>
      </c>
      <c r="E677" s="79">
        <f>(E674*4+E675*3+E676*3)/10</f>
        <v>90.84</v>
      </c>
      <c r="F677" s="79">
        <f t="shared" ref="F677:G677" si="143">(F674*4+F675*3+F676*3)/10</f>
        <v>88.97999999999999</v>
      </c>
      <c r="G677" s="79">
        <f t="shared" si="143"/>
        <v>85.76</v>
      </c>
      <c r="H677" s="79">
        <f>AVERAGE(H669:H672)</f>
        <v>82.25</v>
      </c>
      <c r="I677" s="79">
        <f>AVERAGE(I669:I672)</f>
        <v>84.75</v>
      </c>
      <c r="J677" s="79">
        <f>AVERAGE(J669:J670)</f>
        <v>84</v>
      </c>
      <c r="K677" s="79">
        <f>AVERAGE(K669:K672)</f>
        <v>78.75</v>
      </c>
      <c r="L677" s="79">
        <f>(L674*4+L675*3+L676*3)/10</f>
        <v>86.8</v>
      </c>
      <c r="M677" s="79">
        <f>(M674*4+M675*3+M676*3)/10</f>
        <v>87.08</v>
      </c>
      <c r="N677" s="79">
        <f>(N674*4+N675*3+N676*3)/10</f>
        <v>87.26</v>
      </c>
      <c r="O677" s="79">
        <f>AVERAGE(O669:O670)</f>
        <v>95</v>
      </c>
      <c r="P677" s="79">
        <f>AVERAGE(P669:P670)</f>
        <v>88.5</v>
      </c>
      <c r="Q677" s="79">
        <f>AVERAGE(Q669:Q670)</f>
        <v>83</v>
      </c>
      <c r="R677" s="79">
        <f>(R674*4+R675*3+R676*3)/10</f>
        <v>87.544444444444437</v>
      </c>
      <c r="S677" s="79">
        <f>(S674*4+S675*3+S676*3)/10</f>
        <v>87.966666666666669</v>
      </c>
      <c r="T677" s="79">
        <f>T675</f>
        <v>83</v>
      </c>
      <c r="U677" s="79">
        <f t="shared" ref="U677" si="144">(U674*4+U675*3+U676*3)/10</f>
        <v>85.5</v>
      </c>
      <c r="V677" s="80">
        <f>AVERAGE(E677:U677)</f>
        <v>86.293006535947711</v>
      </c>
      <c r="X677" s="278">
        <v>78</v>
      </c>
    </row>
    <row r="678" spans="1:24" ht="15.6" thickTop="1" thickBot="1">
      <c r="A678" s="268">
        <v>75</v>
      </c>
      <c r="B678" s="270" t="s">
        <v>386</v>
      </c>
      <c r="C678" s="273" t="s">
        <v>203</v>
      </c>
      <c r="D678" s="52" t="s">
        <v>294</v>
      </c>
      <c r="E678" s="53">
        <f>tkj!$E$79</f>
        <v>88</v>
      </c>
      <c r="F678" s="53">
        <f>tkj!$K$79</f>
        <v>80</v>
      </c>
      <c r="G678" s="53">
        <f>tkj!$Q$79</f>
        <v>85</v>
      </c>
      <c r="H678" s="53">
        <f>tkj!$W$79</f>
        <v>81</v>
      </c>
      <c r="I678" s="53">
        <f>tkj!$AA$79</f>
        <v>80</v>
      </c>
      <c r="J678" s="53">
        <f>tkj!$AE$79</f>
        <v>83</v>
      </c>
      <c r="K678" s="54">
        <f>tkj!$AG$79</f>
        <v>81</v>
      </c>
      <c r="L678" s="55"/>
      <c r="M678" s="53">
        <f>tkj!$AM$79</f>
        <v>70</v>
      </c>
      <c r="N678" s="53">
        <f>tkj!$AS$79</f>
        <v>81</v>
      </c>
      <c r="O678" s="53">
        <f>tkj!$AY$79</f>
        <v>92</v>
      </c>
      <c r="P678" s="54">
        <f>tkj!$BA$79</f>
        <v>78</v>
      </c>
      <c r="Q678" s="54">
        <f>tkj!$BC$79</f>
        <v>82</v>
      </c>
      <c r="R678" s="55"/>
      <c r="S678" s="55"/>
      <c r="T678" s="55"/>
      <c r="U678" s="55"/>
      <c r="V678" s="56"/>
      <c r="X678" s="278">
        <v>79</v>
      </c>
    </row>
    <row r="679" spans="1:24" ht="15" thickBot="1">
      <c r="A679" s="268">
        <v>75</v>
      </c>
      <c r="B679" s="271"/>
      <c r="C679" s="274"/>
      <c r="D679" s="52" t="s">
        <v>295</v>
      </c>
      <c r="E679" s="53">
        <f>tkj!$F$79</f>
        <v>88</v>
      </c>
      <c r="F679" s="53">
        <f>tkj!$L$79</f>
        <v>80</v>
      </c>
      <c r="G679" s="53">
        <f>tkj!$R$79</f>
        <v>86</v>
      </c>
      <c r="H679" s="53">
        <f>tkj!$X$79</f>
        <v>84</v>
      </c>
      <c r="I679" s="53">
        <f>tkj!$AB$79</f>
        <v>80</v>
      </c>
      <c r="J679" s="53">
        <f>tkj!$AF$79</f>
        <v>85</v>
      </c>
      <c r="K679" s="54">
        <f>tkj!$AH$79</f>
        <v>77</v>
      </c>
      <c r="L679" s="55"/>
      <c r="M679" s="53">
        <f>tkj!$AN$79</f>
        <v>71</v>
      </c>
      <c r="N679" s="53">
        <f>tkj!$AT$79</f>
        <v>78</v>
      </c>
      <c r="O679" s="53">
        <f>tkj!$AZ$79</f>
        <v>93</v>
      </c>
      <c r="P679" s="54">
        <f>tkj!$BB$79</f>
        <v>87</v>
      </c>
      <c r="Q679" s="54">
        <f>tkj!$BD$79</f>
        <v>80</v>
      </c>
      <c r="R679" s="55"/>
      <c r="S679" s="55"/>
      <c r="T679" s="55"/>
      <c r="U679" s="55"/>
      <c r="V679" s="58"/>
      <c r="X679" s="278">
        <v>79</v>
      </c>
    </row>
    <row r="680" spans="1:24" ht="15" thickBot="1">
      <c r="A680" s="268">
        <v>75</v>
      </c>
      <c r="B680" s="271"/>
      <c r="C680" s="274"/>
      <c r="D680" s="52" t="s">
        <v>296</v>
      </c>
      <c r="E680" s="53">
        <f>tkj!$G$79</f>
        <v>87</v>
      </c>
      <c r="F680" s="53">
        <f>tkj!$M$79</f>
        <v>90</v>
      </c>
      <c r="G680" s="53">
        <f>tkj!$S$79</f>
        <v>85</v>
      </c>
      <c r="H680" s="53">
        <f>tkj!$Y$79</f>
        <v>80</v>
      </c>
      <c r="I680" s="53">
        <f>tkj!$AC$79</f>
        <v>82</v>
      </c>
      <c r="J680" s="59"/>
      <c r="K680" s="54">
        <f>tkj!$AI$79</f>
        <v>72</v>
      </c>
      <c r="L680" s="55"/>
      <c r="M680" s="53">
        <f>tkj!$AO$79</f>
        <v>82</v>
      </c>
      <c r="N680" s="53">
        <f>tkj!$AU$79</f>
        <v>80</v>
      </c>
      <c r="O680" s="59"/>
      <c r="P680" s="55"/>
      <c r="Q680" s="55"/>
      <c r="R680" s="54">
        <f>tkj!$BQ$79</f>
        <v>80.666666666666671</v>
      </c>
      <c r="S680" s="54">
        <f>tkj!$BU$79</f>
        <v>87</v>
      </c>
      <c r="T680" s="55"/>
      <c r="U680" s="54">
        <f>tkj!$BZ$79</f>
        <v>85</v>
      </c>
      <c r="V680" s="58"/>
      <c r="X680" s="278">
        <v>79</v>
      </c>
    </row>
    <row r="681" spans="1:24" ht="15" thickBot="1">
      <c r="A681" s="268">
        <v>75</v>
      </c>
      <c r="B681" s="271"/>
      <c r="C681" s="274"/>
      <c r="D681" s="62" t="s">
        <v>297</v>
      </c>
      <c r="E681" s="53">
        <f>tkj!$H$79</f>
        <v>85</v>
      </c>
      <c r="F681" s="53">
        <f>tkj!$N$79</f>
        <v>90</v>
      </c>
      <c r="G681" s="53">
        <f>tkj!$T$79</f>
        <v>87</v>
      </c>
      <c r="H681" s="53">
        <f>tkj!$Z$79</f>
        <v>85</v>
      </c>
      <c r="I681" s="53">
        <f>tkj!$AD$79</f>
        <v>83</v>
      </c>
      <c r="J681" s="59"/>
      <c r="K681" s="54">
        <f>tkj!$AJ$79</f>
        <v>83</v>
      </c>
      <c r="L681" s="55"/>
      <c r="M681" s="53">
        <f>tkj!$AP$79</f>
        <v>83</v>
      </c>
      <c r="N681" s="53">
        <f>tkj!$AV$79</f>
        <v>85</v>
      </c>
      <c r="O681" s="59"/>
      <c r="P681" s="55"/>
      <c r="Q681" s="55"/>
      <c r="R681" s="54">
        <f>tkj!$BR$79</f>
        <v>89.333333333333329</v>
      </c>
      <c r="S681" s="54">
        <f>tkj!$BV$79</f>
        <v>84</v>
      </c>
      <c r="T681" s="63"/>
      <c r="U681" s="54">
        <f>tkj!$CA$79</f>
        <v>91</v>
      </c>
      <c r="V681" s="58"/>
      <c r="X681" s="278">
        <v>79</v>
      </c>
    </row>
    <row r="682" spans="1:24">
      <c r="A682" s="268">
        <v>75</v>
      </c>
      <c r="B682" s="271"/>
      <c r="C682" s="274"/>
      <c r="D682" s="62" t="s">
        <v>298</v>
      </c>
      <c r="E682" s="53">
        <f>tkj!$I$79</f>
        <v>84</v>
      </c>
      <c r="F682" s="53">
        <f>tkj!$O$79</f>
        <v>93</v>
      </c>
      <c r="G682" s="53">
        <f>tkj!$U$79</f>
        <v>82</v>
      </c>
      <c r="H682" s="65"/>
      <c r="I682" s="65"/>
      <c r="J682" s="59"/>
      <c r="K682" s="59"/>
      <c r="L682" s="53">
        <f>tkj!$AK$79</f>
        <v>83</v>
      </c>
      <c r="M682" s="53">
        <f>tkj!$AQ$79</f>
        <v>82</v>
      </c>
      <c r="N682" s="53">
        <f>tkj!$AW$79</f>
        <v>82</v>
      </c>
      <c r="O682" s="59"/>
      <c r="P682" s="55"/>
      <c r="Q682" s="55"/>
      <c r="R682" s="54">
        <f>tkj!$BS$79</f>
        <v>86.666666666666671</v>
      </c>
      <c r="S682" s="54">
        <f>tkj!$BW$79</f>
        <v>85</v>
      </c>
      <c r="T682" s="54"/>
      <c r="U682" s="54">
        <f>tkj!$CB$79</f>
        <v>74</v>
      </c>
      <c r="V682" s="58"/>
      <c r="X682" s="278">
        <v>79</v>
      </c>
    </row>
    <row r="683" spans="1:24">
      <c r="A683" s="268">
        <v>75</v>
      </c>
      <c r="B683" s="271"/>
      <c r="C683" s="274"/>
      <c r="D683" s="66" t="s">
        <v>299</v>
      </c>
      <c r="E683" s="67">
        <f>AVERAGE(E678:E682)</f>
        <v>86.4</v>
      </c>
      <c r="F683" s="67">
        <f>AVERAGE(F678:F682)</f>
        <v>86.6</v>
      </c>
      <c r="G683" s="67">
        <f>AVERAGE(G678:G682)</f>
        <v>85</v>
      </c>
      <c r="H683" s="68"/>
      <c r="I683" s="68"/>
      <c r="J683" s="69"/>
      <c r="K683" s="69"/>
      <c r="L683" s="67">
        <f>AVERAGE(L678:L682)</f>
        <v>83</v>
      </c>
      <c r="M683" s="67">
        <f>AVERAGE(M678:M682)</f>
        <v>77.599999999999994</v>
      </c>
      <c r="N683" s="67">
        <f>AVERAGE(N678:N682)</f>
        <v>81.2</v>
      </c>
      <c r="O683" s="69"/>
      <c r="P683" s="63"/>
      <c r="Q683" s="63"/>
      <c r="R683" s="84">
        <f>AVERAGE(R680:R682)</f>
        <v>85.555555555555557</v>
      </c>
      <c r="S683" s="84">
        <f>AVERAGE(S680:S682)</f>
        <v>85.333333333333329</v>
      </c>
      <c r="T683" s="63"/>
      <c r="U683" s="84">
        <f>AVERAGE(U678:U682)</f>
        <v>83.333333333333329</v>
      </c>
      <c r="V683" s="58"/>
      <c r="X683" s="278">
        <v>79</v>
      </c>
    </row>
    <row r="684" spans="1:24">
      <c r="A684" s="268">
        <v>75</v>
      </c>
      <c r="B684" s="271"/>
      <c r="C684" s="274"/>
      <c r="D684" s="70" t="s">
        <v>300</v>
      </c>
      <c r="E684" s="71">
        <f>tkj!$J$79</f>
        <v>80</v>
      </c>
      <c r="F684" s="71">
        <f>tkj!$P$79</f>
        <v>80</v>
      </c>
      <c r="G684" s="71">
        <f>tkj!$V$79</f>
        <v>78</v>
      </c>
      <c r="H684" s="72"/>
      <c r="I684" s="72"/>
      <c r="J684" s="73"/>
      <c r="K684" s="73"/>
      <c r="L684" s="71">
        <f>tkj!$AL$79</f>
        <v>78</v>
      </c>
      <c r="M684" s="71">
        <f>tkj!$AR$79</f>
        <v>80</v>
      </c>
      <c r="N684" s="71">
        <f>tkj!$AX$79</f>
        <v>80</v>
      </c>
      <c r="O684" s="73"/>
      <c r="P684" s="74"/>
      <c r="Q684" s="74"/>
      <c r="R684" s="85">
        <f>tkj!$BT$79</f>
        <v>81</v>
      </c>
      <c r="S684" s="85">
        <f>tkj!$BX$79</f>
        <v>81</v>
      </c>
      <c r="T684" s="85">
        <f>tkj!$BY$79</f>
        <v>80</v>
      </c>
      <c r="U684" s="75">
        <f>tkj!$CC$79</f>
        <v>80</v>
      </c>
      <c r="V684" s="58"/>
      <c r="X684" s="278">
        <v>79</v>
      </c>
    </row>
    <row r="685" spans="1:24">
      <c r="A685" s="268">
        <v>75</v>
      </c>
      <c r="B685" s="271"/>
      <c r="C685" s="274"/>
      <c r="D685" s="76" t="s">
        <v>301</v>
      </c>
      <c r="E685" s="77">
        <f>tkj!$CD$79</f>
        <v>86</v>
      </c>
      <c r="F685" s="77">
        <f>tkj!$CE$79</f>
        <v>88</v>
      </c>
      <c r="G685" s="77">
        <f>tkj!$CF$79</f>
        <v>88</v>
      </c>
      <c r="H685" s="72"/>
      <c r="I685" s="72"/>
      <c r="J685" s="73"/>
      <c r="K685" s="73"/>
      <c r="L685" s="77">
        <f>tkj!$CG$79</f>
        <v>94</v>
      </c>
      <c r="M685" s="77">
        <f>tkj!$CH$79</f>
        <v>83</v>
      </c>
      <c r="N685" s="77">
        <f>tkj!$CI$79</f>
        <v>85</v>
      </c>
      <c r="O685" s="73"/>
      <c r="P685" s="74"/>
      <c r="Q685" s="74"/>
      <c r="R685" s="86">
        <f>tkj!$CL$79</f>
        <v>95</v>
      </c>
      <c r="S685" s="86">
        <f>tkj!$CK$79</f>
        <v>85</v>
      </c>
      <c r="T685" s="74"/>
      <c r="U685" s="86">
        <f>tkj!$CJ$79</f>
        <v>90</v>
      </c>
      <c r="V685" s="58"/>
      <c r="X685" s="278">
        <v>79</v>
      </c>
    </row>
    <row r="686" spans="1:24" ht="15" thickBot="1">
      <c r="A686" s="269">
        <v>75</v>
      </c>
      <c r="B686" s="272"/>
      <c r="C686" s="275"/>
      <c r="D686" s="78" t="s">
        <v>302</v>
      </c>
      <c r="E686" s="79">
        <f>(E683*4+E684*3+E685*3)/10</f>
        <v>84.36</v>
      </c>
      <c r="F686" s="79">
        <f t="shared" ref="F686:G686" si="145">(F683*4+F684*3+F685*3)/10</f>
        <v>85.039999999999992</v>
      </c>
      <c r="G686" s="79">
        <f t="shared" si="145"/>
        <v>83.8</v>
      </c>
      <c r="H686" s="79">
        <f>AVERAGE(H678:H681)</f>
        <v>82.5</v>
      </c>
      <c r="I686" s="79">
        <f>AVERAGE(I678:I681)</f>
        <v>81.25</v>
      </c>
      <c r="J686" s="79">
        <f>AVERAGE(J678:J679)</f>
        <v>84</v>
      </c>
      <c r="K686" s="79">
        <f>AVERAGE(K678:K681)</f>
        <v>78.25</v>
      </c>
      <c r="L686" s="79">
        <f>(L683*4+L684*3+L685*3)/10</f>
        <v>84.8</v>
      </c>
      <c r="M686" s="79">
        <f>(M683*4+M684*3+M685*3)/10</f>
        <v>79.94</v>
      </c>
      <c r="N686" s="79">
        <f>(N683*4+N684*3+N685*3)/10</f>
        <v>81.97999999999999</v>
      </c>
      <c r="O686" s="79">
        <f>AVERAGE(O678:O679)</f>
        <v>92.5</v>
      </c>
      <c r="P686" s="79">
        <f>AVERAGE(P678:P679)</f>
        <v>82.5</v>
      </c>
      <c r="Q686" s="79">
        <f>AVERAGE(Q678:Q679)</f>
        <v>81</v>
      </c>
      <c r="R686" s="79">
        <f>(R683*4+R684*3+R685*3)/10</f>
        <v>87.022222222222211</v>
      </c>
      <c r="S686" s="79">
        <f>(S683*4+S684*3+S685*3)/10</f>
        <v>83.933333333333323</v>
      </c>
      <c r="T686" s="79">
        <f>T684</f>
        <v>80</v>
      </c>
      <c r="U686" s="79">
        <f t="shared" ref="U686" si="146">(U683*4+U684*3+U685*3)/10</f>
        <v>84.333333333333329</v>
      </c>
      <c r="V686" s="80">
        <f>AVERAGE(E686:U686)</f>
        <v>83.365228758169934</v>
      </c>
      <c r="X686" s="278">
        <v>79</v>
      </c>
    </row>
    <row r="687" spans="1:24" ht="18" customHeight="1" thickTop="1" thickBot="1">
      <c r="A687" s="268">
        <v>76</v>
      </c>
      <c r="B687" s="270" t="s">
        <v>387</v>
      </c>
      <c r="C687" s="273" t="s">
        <v>205</v>
      </c>
      <c r="D687" s="52" t="s">
        <v>294</v>
      </c>
      <c r="E687" s="53">
        <f>tkj!$E$80</f>
        <v>91</v>
      </c>
      <c r="F687" s="53">
        <f>tkj!$K$80</f>
        <v>84</v>
      </c>
      <c r="G687" s="53">
        <f>tkj!$Q$80</f>
        <v>89</v>
      </c>
      <c r="H687" s="53">
        <f>tkj!$W$80</f>
        <v>81</v>
      </c>
      <c r="I687" s="53">
        <f>tkj!$AA$80</f>
        <v>85</v>
      </c>
      <c r="J687" s="53">
        <f>tkj!$AE$80</f>
        <v>83</v>
      </c>
      <c r="K687" s="54">
        <f>tkj!$AG$80</f>
        <v>78</v>
      </c>
      <c r="L687" s="55"/>
      <c r="M687" s="53">
        <f>tkj!$AM$80</f>
        <v>75</v>
      </c>
      <c r="N687" s="53">
        <f>tkj!$AS$80</f>
        <v>78</v>
      </c>
      <c r="O687" s="53">
        <f>tkj!$AY$80</f>
        <v>87</v>
      </c>
      <c r="P687" s="54">
        <f>tkj!$BA$80</f>
        <v>75</v>
      </c>
      <c r="Q687" s="54">
        <f>tkj!$BC$80</f>
        <v>74</v>
      </c>
      <c r="R687" s="55"/>
      <c r="S687" s="55"/>
      <c r="T687" s="55"/>
      <c r="U687" s="55"/>
      <c r="V687" s="56"/>
      <c r="X687" s="278">
        <v>80</v>
      </c>
    </row>
    <row r="688" spans="1:24" ht="15" thickBot="1">
      <c r="A688" s="268">
        <v>76</v>
      </c>
      <c r="B688" s="271"/>
      <c r="C688" s="274"/>
      <c r="D688" s="52" t="s">
        <v>295</v>
      </c>
      <c r="E688" s="53">
        <f>tkj!$F$80</f>
        <v>88</v>
      </c>
      <c r="F688" s="53">
        <f>tkj!$L$80</f>
        <v>83</v>
      </c>
      <c r="G688" s="53">
        <f>tkj!$R$80</f>
        <v>82</v>
      </c>
      <c r="H688" s="53">
        <f>tkj!$X$80</f>
        <v>84</v>
      </c>
      <c r="I688" s="53">
        <f>tkj!$AB$80</f>
        <v>83</v>
      </c>
      <c r="J688" s="53">
        <f>tkj!$AF$80</f>
        <v>85</v>
      </c>
      <c r="K688" s="54">
        <f>tkj!$AH$80</f>
        <v>75</v>
      </c>
      <c r="L688" s="55"/>
      <c r="M688" s="53">
        <f>tkj!$AN$80</f>
        <v>77</v>
      </c>
      <c r="N688" s="53">
        <f>tkj!$AT$80</f>
        <v>79</v>
      </c>
      <c r="O688" s="53">
        <f>tkj!$AZ$80</f>
        <v>82</v>
      </c>
      <c r="P688" s="54">
        <f>tkj!$BB$80</f>
        <v>86</v>
      </c>
      <c r="Q688" s="54">
        <f>tkj!$BD$80</f>
        <v>83</v>
      </c>
      <c r="R688" s="55"/>
      <c r="S688" s="55"/>
      <c r="T688" s="55"/>
      <c r="U688" s="55"/>
      <c r="V688" s="58"/>
      <c r="X688" s="278">
        <v>80</v>
      </c>
    </row>
    <row r="689" spans="1:24" ht="15" thickBot="1">
      <c r="A689" s="268">
        <v>76</v>
      </c>
      <c r="B689" s="271"/>
      <c r="C689" s="274"/>
      <c r="D689" s="52" t="s">
        <v>296</v>
      </c>
      <c r="E689" s="53">
        <f>tkj!$G$80</f>
        <v>87</v>
      </c>
      <c r="F689" s="53">
        <f>tkj!$M$80</f>
        <v>88</v>
      </c>
      <c r="G689" s="53">
        <f>tkj!$S$80</f>
        <v>80</v>
      </c>
      <c r="H689" s="53">
        <f>tkj!$Y$80</f>
        <v>80</v>
      </c>
      <c r="I689" s="53">
        <f>tkj!$AC$80</f>
        <v>83</v>
      </c>
      <c r="J689" s="59"/>
      <c r="K689" s="54">
        <f>tkj!$AI$80</f>
        <v>76</v>
      </c>
      <c r="L689" s="55"/>
      <c r="M689" s="53">
        <f>tkj!$AO$80</f>
        <v>74</v>
      </c>
      <c r="N689" s="53">
        <f>tkj!$AU$80</f>
        <v>80</v>
      </c>
      <c r="O689" s="59"/>
      <c r="P689" s="55"/>
      <c r="Q689" s="55"/>
      <c r="R689" s="54">
        <f>tkj!$BQ$80</f>
        <v>79.333333333333329</v>
      </c>
      <c r="S689" s="54">
        <f>tkj!$BU$80</f>
        <v>88</v>
      </c>
      <c r="T689" s="55"/>
      <c r="U689" s="54">
        <f>tkj!$BZ$80</f>
        <v>78</v>
      </c>
      <c r="V689" s="58"/>
      <c r="X689" s="278">
        <v>80</v>
      </c>
    </row>
    <row r="690" spans="1:24" ht="15" thickBot="1">
      <c r="A690" s="268">
        <v>76</v>
      </c>
      <c r="B690" s="271"/>
      <c r="C690" s="274"/>
      <c r="D690" s="62" t="s">
        <v>297</v>
      </c>
      <c r="E690" s="53">
        <f>tkj!$H$80</f>
        <v>85</v>
      </c>
      <c r="F690" s="53">
        <f>tkj!$N$80</f>
        <v>80</v>
      </c>
      <c r="G690" s="53">
        <f>tkj!$T$80</f>
        <v>81</v>
      </c>
      <c r="H690" s="53">
        <f>tkj!$Z$80</f>
        <v>84</v>
      </c>
      <c r="I690" s="53">
        <f>tkj!$AD$80</f>
        <v>83</v>
      </c>
      <c r="J690" s="59"/>
      <c r="K690" s="54">
        <f>tkj!$AJ$80</f>
        <v>83</v>
      </c>
      <c r="L690" s="55"/>
      <c r="M690" s="53">
        <f>tkj!$AP$80</f>
        <v>75</v>
      </c>
      <c r="N690" s="53">
        <f>tkj!$AV$80</f>
        <v>82</v>
      </c>
      <c r="O690" s="59"/>
      <c r="P690" s="55"/>
      <c r="Q690" s="55"/>
      <c r="R690" s="54">
        <f>tkj!$BR$80</f>
        <v>83</v>
      </c>
      <c r="S690" s="54">
        <f>tkj!$BV$80</f>
        <v>84</v>
      </c>
      <c r="T690" s="63"/>
      <c r="U690" s="54">
        <f>tkj!$CA$80</f>
        <v>87</v>
      </c>
      <c r="V690" s="58"/>
      <c r="X690" s="278">
        <v>80</v>
      </c>
    </row>
    <row r="691" spans="1:24">
      <c r="A691" s="268">
        <v>76</v>
      </c>
      <c r="B691" s="271"/>
      <c r="C691" s="274"/>
      <c r="D691" s="62" t="s">
        <v>298</v>
      </c>
      <c r="E691" s="53">
        <f>tkj!$I$80</f>
        <v>91</v>
      </c>
      <c r="F691" s="53">
        <f>tkj!$O$80</f>
        <v>85</v>
      </c>
      <c r="G691" s="53">
        <f>tkj!$U$80</f>
        <v>78</v>
      </c>
      <c r="H691" s="65"/>
      <c r="I691" s="65"/>
      <c r="J691" s="59"/>
      <c r="K691" s="59"/>
      <c r="L691" s="53">
        <f>tkj!$AK$80</f>
        <v>80</v>
      </c>
      <c r="M691" s="53">
        <f>tkj!$AQ$80</f>
        <v>79</v>
      </c>
      <c r="N691" s="53">
        <f>tkj!$AW$80</f>
        <v>80</v>
      </c>
      <c r="O691" s="59"/>
      <c r="P691" s="55"/>
      <c r="Q691" s="55"/>
      <c r="R691" s="54">
        <f>tkj!$BS$80</f>
        <v>81.666666666666671</v>
      </c>
      <c r="S691" s="54">
        <f>tkj!$BW$80</f>
        <v>83</v>
      </c>
      <c r="T691" s="54"/>
      <c r="U691" s="54">
        <f>tkj!$CB$80</f>
        <v>73</v>
      </c>
      <c r="V691" s="58"/>
      <c r="X691" s="278">
        <v>80</v>
      </c>
    </row>
    <row r="692" spans="1:24">
      <c r="A692" s="268">
        <v>76</v>
      </c>
      <c r="B692" s="271"/>
      <c r="C692" s="274"/>
      <c r="D692" s="66" t="s">
        <v>299</v>
      </c>
      <c r="E692" s="67">
        <f>AVERAGE(E687:E691)</f>
        <v>88.4</v>
      </c>
      <c r="F692" s="67">
        <f>AVERAGE(F687:F691)</f>
        <v>84</v>
      </c>
      <c r="G692" s="67">
        <f>AVERAGE(G687:G691)</f>
        <v>82</v>
      </c>
      <c r="H692" s="68"/>
      <c r="I692" s="68"/>
      <c r="J692" s="69"/>
      <c r="K692" s="69"/>
      <c r="L692" s="67">
        <f>AVERAGE(L687:L691)</f>
        <v>80</v>
      </c>
      <c r="M692" s="67">
        <f>AVERAGE(M687:M691)</f>
        <v>76</v>
      </c>
      <c r="N692" s="67">
        <f>AVERAGE(N687:N691)</f>
        <v>79.8</v>
      </c>
      <c r="O692" s="69"/>
      <c r="P692" s="63"/>
      <c r="Q692" s="63"/>
      <c r="R692" s="84">
        <f>AVERAGE(R689:R691)</f>
        <v>81.333333333333329</v>
      </c>
      <c r="S692" s="84">
        <f>AVERAGE(S689:S691)</f>
        <v>85</v>
      </c>
      <c r="T692" s="63"/>
      <c r="U692" s="84">
        <f>AVERAGE(U687:U691)</f>
        <v>79.333333333333329</v>
      </c>
      <c r="V692" s="58"/>
      <c r="X692" s="278">
        <v>80</v>
      </c>
    </row>
    <row r="693" spans="1:24">
      <c r="A693" s="268">
        <v>76</v>
      </c>
      <c r="B693" s="271"/>
      <c r="C693" s="274"/>
      <c r="D693" s="70" t="s">
        <v>300</v>
      </c>
      <c r="E693" s="71">
        <f>tkj!$J$80</f>
        <v>85</v>
      </c>
      <c r="F693" s="71">
        <f>tkj!$P$80</f>
        <v>85</v>
      </c>
      <c r="G693" s="71">
        <f>tkj!$V$80</f>
        <v>82</v>
      </c>
      <c r="H693" s="72"/>
      <c r="I693" s="72"/>
      <c r="J693" s="73"/>
      <c r="K693" s="73"/>
      <c r="L693" s="71">
        <f>tkj!$AL$80</f>
        <v>82</v>
      </c>
      <c r="M693" s="71">
        <f>tkj!$AR$80</f>
        <v>80</v>
      </c>
      <c r="N693" s="71">
        <f>tkj!$AX$80</f>
        <v>80</v>
      </c>
      <c r="O693" s="73"/>
      <c r="P693" s="74"/>
      <c r="Q693" s="74"/>
      <c r="R693" s="85">
        <f>tkj!$BT$80</f>
        <v>80</v>
      </c>
      <c r="S693" s="85">
        <f>tkj!$BX$80</f>
        <v>80</v>
      </c>
      <c r="T693" s="85">
        <f>tkj!$BY$80</f>
        <v>82</v>
      </c>
      <c r="U693" s="75">
        <f>tkj!$CC$80</f>
        <v>80</v>
      </c>
      <c r="V693" s="58"/>
      <c r="X693" s="278">
        <v>80</v>
      </c>
    </row>
    <row r="694" spans="1:24">
      <c r="A694" s="268">
        <v>76</v>
      </c>
      <c r="B694" s="271"/>
      <c r="C694" s="274"/>
      <c r="D694" s="76" t="s">
        <v>301</v>
      </c>
      <c r="E694" s="77">
        <f>tkj!$CD$80</f>
        <v>87</v>
      </c>
      <c r="F694" s="77">
        <f>tkj!$CE$80</f>
        <v>88</v>
      </c>
      <c r="G694" s="77">
        <f>tkj!$CF$80</f>
        <v>88</v>
      </c>
      <c r="H694" s="72"/>
      <c r="I694" s="72"/>
      <c r="J694" s="73"/>
      <c r="K694" s="73"/>
      <c r="L694" s="77">
        <f>tkj!$CG$80</f>
        <v>80</v>
      </c>
      <c r="M694" s="77">
        <f>tkj!$CH$80</f>
        <v>79</v>
      </c>
      <c r="N694" s="77">
        <f>tkj!$CI$80</f>
        <v>82</v>
      </c>
      <c r="O694" s="73"/>
      <c r="P694" s="74"/>
      <c r="Q694" s="74"/>
      <c r="R694" s="86">
        <f>tkj!$CL$80</f>
        <v>92</v>
      </c>
      <c r="S694" s="86">
        <f>tkj!$CK$80</f>
        <v>83</v>
      </c>
      <c r="T694" s="74"/>
      <c r="U694" s="86">
        <f>tkj!$CJ$80</f>
        <v>80</v>
      </c>
      <c r="V694" s="58"/>
      <c r="X694" s="278">
        <v>80</v>
      </c>
    </row>
    <row r="695" spans="1:24" ht="15" thickBot="1">
      <c r="A695" s="269">
        <v>76</v>
      </c>
      <c r="B695" s="272"/>
      <c r="C695" s="275"/>
      <c r="D695" s="78" t="s">
        <v>302</v>
      </c>
      <c r="E695" s="79">
        <f>(E692*4+E693*3+E694*3)/10</f>
        <v>86.960000000000008</v>
      </c>
      <c r="F695" s="79">
        <f t="shared" ref="F695:G695" si="147">(F692*4+F693*3+F694*3)/10</f>
        <v>85.5</v>
      </c>
      <c r="G695" s="79">
        <f t="shared" si="147"/>
        <v>83.8</v>
      </c>
      <c r="H695" s="79">
        <f>AVERAGE(H687:H690)</f>
        <v>82.25</v>
      </c>
      <c r="I695" s="79">
        <f>AVERAGE(I687:I690)</f>
        <v>83.5</v>
      </c>
      <c r="J695" s="79">
        <f>AVERAGE(J687:J688)</f>
        <v>84</v>
      </c>
      <c r="K695" s="79">
        <f>AVERAGE(K687:K690)</f>
        <v>78</v>
      </c>
      <c r="L695" s="79">
        <f>(L692*4+L693*3+L694*3)/10</f>
        <v>80.599999999999994</v>
      </c>
      <c r="M695" s="79">
        <f>(M692*4+M693*3+M694*3)/10</f>
        <v>78.099999999999994</v>
      </c>
      <c r="N695" s="79">
        <f>(N692*4+N693*3+N694*3)/10</f>
        <v>80.52000000000001</v>
      </c>
      <c r="O695" s="79">
        <f>AVERAGE(O687:O688)</f>
        <v>84.5</v>
      </c>
      <c r="P695" s="79">
        <f>AVERAGE(P687:P688)</f>
        <v>80.5</v>
      </c>
      <c r="Q695" s="79">
        <f>AVERAGE(Q687:Q688)</f>
        <v>78.5</v>
      </c>
      <c r="R695" s="79">
        <f>(R692*4+R693*3+R694*3)/10</f>
        <v>84.133333333333326</v>
      </c>
      <c r="S695" s="79">
        <f>(S692*4+S693*3+S694*3)/10</f>
        <v>82.9</v>
      </c>
      <c r="T695" s="79">
        <f>T693</f>
        <v>82</v>
      </c>
      <c r="U695" s="79">
        <f t="shared" ref="U695" si="148">(U692*4+U693*3+U694*3)/10</f>
        <v>79.73333333333332</v>
      </c>
      <c r="V695" s="80">
        <f>AVERAGE(E695:U695)</f>
        <v>82.08803921568628</v>
      </c>
      <c r="X695" s="278">
        <v>80</v>
      </c>
    </row>
    <row r="696" spans="1:24" ht="15.6" thickTop="1" thickBot="1">
      <c r="A696" s="268">
        <v>77</v>
      </c>
      <c r="B696" s="270" t="s">
        <v>388</v>
      </c>
      <c r="C696" s="273" t="s">
        <v>207</v>
      </c>
      <c r="D696" s="52" t="s">
        <v>294</v>
      </c>
      <c r="E696" s="53">
        <f>tkj!$E$81</f>
        <v>80</v>
      </c>
      <c r="F696" s="53">
        <f>tkj!$K$81</f>
        <v>81</v>
      </c>
      <c r="G696" s="53">
        <f>tkj!$Q$81</f>
        <v>85</v>
      </c>
      <c r="H696" s="53">
        <f>tkj!$W$81</f>
        <v>82</v>
      </c>
      <c r="I696" s="53">
        <f>tkj!$AA$81</f>
        <v>77</v>
      </c>
      <c r="J696" s="53">
        <f>tkj!$AE$81</f>
        <v>83</v>
      </c>
      <c r="K696" s="54">
        <f>tkj!$AG$81</f>
        <v>76</v>
      </c>
      <c r="L696" s="55"/>
      <c r="M696" s="53">
        <f>tkj!$AM$81</f>
        <v>70</v>
      </c>
      <c r="N696" s="53">
        <f>tkj!$AS$81</f>
        <v>73</v>
      </c>
      <c r="O696" s="53">
        <f>tkj!$AY$81</f>
        <v>89</v>
      </c>
      <c r="P696" s="54">
        <f>tkj!$BA$81</f>
        <v>77</v>
      </c>
      <c r="Q696" s="54">
        <f>tkj!$BC$81</f>
        <v>86</v>
      </c>
      <c r="R696" s="55"/>
      <c r="S696" s="55"/>
      <c r="T696" s="55"/>
      <c r="U696" s="55"/>
      <c r="V696" s="56"/>
      <c r="X696" s="278">
        <v>81</v>
      </c>
    </row>
    <row r="697" spans="1:24" ht="15" thickBot="1">
      <c r="A697" s="268">
        <v>77</v>
      </c>
      <c r="B697" s="271"/>
      <c r="C697" s="274"/>
      <c r="D697" s="52" t="s">
        <v>295</v>
      </c>
      <c r="E697" s="53">
        <f>tkj!$F$81</f>
        <v>85</v>
      </c>
      <c r="F697" s="53">
        <f>tkj!$L$81</f>
        <v>81</v>
      </c>
      <c r="G697" s="53">
        <f>tkj!$R$81</f>
        <v>86</v>
      </c>
      <c r="H697" s="53">
        <f>tkj!$X$81</f>
        <v>85</v>
      </c>
      <c r="I697" s="53">
        <f>tkj!$AB$81</f>
        <v>80</v>
      </c>
      <c r="J697" s="53">
        <f>tkj!$AF$81</f>
        <v>84</v>
      </c>
      <c r="K697" s="54">
        <f>tkj!$AH$81</f>
        <v>75</v>
      </c>
      <c r="L697" s="55"/>
      <c r="M697" s="53">
        <f>tkj!$AN$81</f>
        <v>73</v>
      </c>
      <c r="N697" s="53">
        <f>tkj!$AT$81</f>
        <v>79</v>
      </c>
      <c r="O697" s="53">
        <f>tkj!$AZ$81</f>
        <v>89</v>
      </c>
      <c r="P697" s="54">
        <f>tkj!$BB$81</f>
        <v>85</v>
      </c>
      <c r="Q697" s="54">
        <f>tkj!$BD$81</f>
        <v>83</v>
      </c>
      <c r="R697" s="55"/>
      <c r="S697" s="55"/>
      <c r="T697" s="55"/>
      <c r="U697" s="55"/>
      <c r="V697" s="58"/>
      <c r="X697" s="278">
        <v>81</v>
      </c>
    </row>
    <row r="698" spans="1:24" ht="15" thickBot="1">
      <c r="A698" s="268">
        <v>77</v>
      </c>
      <c r="B698" s="271"/>
      <c r="C698" s="274"/>
      <c r="D698" s="52" t="s">
        <v>296</v>
      </c>
      <c r="E698" s="53">
        <f>tkj!$G$81</f>
        <v>89</v>
      </c>
      <c r="F698" s="53">
        <f>tkj!$M$81</f>
        <v>87</v>
      </c>
      <c r="G698" s="53">
        <f>tkj!$S$81</f>
        <v>80</v>
      </c>
      <c r="H698" s="53">
        <f>tkj!$Y$81</f>
        <v>81</v>
      </c>
      <c r="I698" s="53">
        <f>tkj!$AC$81</f>
        <v>82</v>
      </c>
      <c r="J698" s="59"/>
      <c r="K698" s="54">
        <f>tkj!$AI$81</f>
        <v>71</v>
      </c>
      <c r="L698" s="55"/>
      <c r="M698" s="53">
        <f>tkj!$AO$81</f>
        <v>72</v>
      </c>
      <c r="N698" s="53">
        <f>tkj!$AU$81</f>
        <v>80</v>
      </c>
      <c r="O698" s="59"/>
      <c r="P698" s="55"/>
      <c r="Q698" s="55"/>
      <c r="R698" s="54">
        <f>tkj!$BQ$81</f>
        <v>77.666666666666671</v>
      </c>
      <c r="S698" s="54">
        <f>tkj!$BU$81</f>
        <v>87</v>
      </c>
      <c r="T698" s="55"/>
      <c r="U698" s="54">
        <f>tkj!$BZ$81</f>
        <v>74</v>
      </c>
      <c r="V698" s="58"/>
      <c r="X698" s="278">
        <v>81</v>
      </c>
    </row>
    <row r="699" spans="1:24" ht="15" thickBot="1">
      <c r="A699" s="268">
        <v>77</v>
      </c>
      <c r="B699" s="271"/>
      <c r="C699" s="274"/>
      <c r="D699" s="62" t="s">
        <v>297</v>
      </c>
      <c r="E699" s="53">
        <f>tkj!$H$81</f>
        <v>87</v>
      </c>
      <c r="F699" s="53">
        <f>tkj!$N$81</f>
        <v>80</v>
      </c>
      <c r="G699" s="53">
        <f>tkj!$T$81</f>
        <v>80</v>
      </c>
      <c r="H699" s="53">
        <f>tkj!$Z$81</f>
        <v>85</v>
      </c>
      <c r="I699" s="53">
        <f>tkj!$AD$81</f>
        <v>80</v>
      </c>
      <c r="J699" s="59"/>
      <c r="K699" s="54">
        <f>tkj!$AJ$81</f>
        <v>80</v>
      </c>
      <c r="L699" s="55"/>
      <c r="M699" s="53">
        <f>tkj!$AP$81</f>
        <v>73</v>
      </c>
      <c r="N699" s="53">
        <f>tkj!$AV$81</f>
        <v>80</v>
      </c>
      <c r="O699" s="59"/>
      <c r="P699" s="55"/>
      <c r="Q699" s="55"/>
      <c r="R699" s="54">
        <f>tkj!$BR$81</f>
        <v>76</v>
      </c>
      <c r="S699" s="54">
        <f>tkj!$BV$81</f>
        <v>83</v>
      </c>
      <c r="T699" s="63"/>
      <c r="U699" s="54">
        <f>tkj!$CA$81</f>
        <v>83</v>
      </c>
      <c r="V699" s="58"/>
      <c r="X699" s="278">
        <v>81</v>
      </c>
    </row>
    <row r="700" spans="1:24">
      <c r="A700" s="268">
        <v>77</v>
      </c>
      <c r="B700" s="271"/>
      <c r="C700" s="274"/>
      <c r="D700" s="62" t="s">
        <v>298</v>
      </c>
      <c r="E700" s="53">
        <f>tkj!$I$81</f>
        <v>89</v>
      </c>
      <c r="F700" s="53">
        <f>tkj!$O$81</f>
        <v>85</v>
      </c>
      <c r="G700" s="53">
        <f>tkj!$U$81</f>
        <v>79</v>
      </c>
      <c r="H700" s="65"/>
      <c r="I700" s="65"/>
      <c r="J700" s="59"/>
      <c r="K700" s="59"/>
      <c r="L700" s="53">
        <f>tkj!$AK$81</f>
        <v>80</v>
      </c>
      <c r="M700" s="53">
        <f>tkj!$AQ$81</f>
        <v>78</v>
      </c>
      <c r="N700" s="53">
        <f>tkj!$AW$81</f>
        <v>79</v>
      </c>
      <c r="O700" s="59"/>
      <c r="P700" s="55"/>
      <c r="Q700" s="55"/>
      <c r="R700" s="54">
        <f>tkj!$BS$81</f>
        <v>78.333333333333329</v>
      </c>
      <c r="S700" s="54">
        <f>tkj!$BW$81</f>
        <v>82</v>
      </c>
      <c r="T700" s="54"/>
      <c r="U700" s="54">
        <f>tkj!$CB$81</f>
        <v>78</v>
      </c>
      <c r="V700" s="58"/>
      <c r="X700" s="278">
        <v>81</v>
      </c>
    </row>
    <row r="701" spans="1:24">
      <c r="A701" s="268">
        <v>77</v>
      </c>
      <c r="B701" s="271"/>
      <c r="C701" s="274"/>
      <c r="D701" s="66" t="s">
        <v>299</v>
      </c>
      <c r="E701" s="67">
        <f>AVERAGE(E696:E700)</f>
        <v>86</v>
      </c>
      <c r="F701" s="67">
        <f>AVERAGE(F696:F700)</f>
        <v>82.8</v>
      </c>
      <c r="G701" s="67">
        <f>AVERAGE(G696:G700)</f>
        <v>82</v>
      </c>
      <c r="H701" s="68"/>
      <c r="I701" s="68"/>
      <c r="J701" s="69"/>
      <c r="K701" s="69"/>
      <c r="L701" s="67">
        <f>AVERAGE(L696:L700)</f>
        <v>80</v>
      </c>
      <c r="M701" s="67">
        <f>AVERAGE(M696:M700)</f>
        <v>73.2</v>
      </c>
      <c r="N701" s="67">
        <f>AVERAGE(N696:N700)</f>
        <v>78.2</v>
      </c>
      <c r="O701" s="69"/>
      <c r="P701" s="63"/>
      <c r="Q701" s="63"/>
      <c r="R701" s="84">
        <f>AVERAGE(R698:R700)</f>
        <v>77.333333333333329</v>
      </c>
      <c r="S701" s="84">
        <f>AVERAGE(S698:S700)</f>
        <v>84</v>
      </c>
      <c r="T701" s="63"/>
      <c r="U701" s="84">
        <f>AVERAGE(U696:U700)</f>
        <v>78.333333333333329</v>
      </c>
      <c r="V701" s="58"/>
      <c r="X701" s="278">
        <v>81</v>
      </c>
    </row>
    <row r="702" spans="1:24">
      <c r="A702" s="268">
        <v>77</v>
      </c>
      <c r="B702" s="271"/>
      <c r="C702" s="274"/>
      <c r="D702" s="70" t="s">
        <v>300</v>
      </c>
      <c r="E702" s="71">
        <f>tkj!$J$81</f>
        <v>85</v>
      </c>
      <c r="F702" s="71">
        <f>tkj!$P$81</f>
        <v>89</v>
      </c>
      <c r="G702" s="71">
        <f>tkj!$V$81</f>
        <v>83</v>
      </c>
      <c r="H702" s="72"/>
      <c r="I702" s="72"/>
      <c r="J702" s="73"/>
      <c r="K702" s="73"/>
      <c r="L702" s="71">
        <f>tkj!$AL$81</f>
        <v>83</v>
      </c>
      <c r="M702" s="71">
        <f>tkj!$AR$81</f>
        <v>89</v>
      </c>
      <c r="N702" s="71">
        <f>tkj!$AX$81</f>
        <v>89</v>
      </c>
      <c r="O702" s="73"/>
      <c r="P702" s="74"/>
      <c r="Q702" s="74"/>
      <c r="R702" s="85">
        <f>tkj!$BT$81</f>
        <v>89</v>
      </c>
      <c r="S702" s="85">
        <f>tkj!$BX$81</f>
        <v>89</v>
      </c>
      <c r="T702" s="85">
        <f>tkj!$BY$81</f>
        <v>87</v>
      </c>
      <c r="U702" s="75">
        <f>tkj!$CC$81</f>
        <v>89</v>
      </c>
      <c r="V702" s="58"/>
      <c r="X702" s="278">
        <v>81</v>
      </c>
    </row>
    <row r="703" spans="1:24">
      <c r="A703" s="268">
        <v>77</v>
      </c>
      <c r="B703" s="271"/>
      <c r="C703" s="274"/>
      <c r="D703" s="76" t="s">
        <v>301</v>
      </c>
      <c r="E703" s="77">
        <f>tkj!$CD$81</f>
        <v>90</v>
      </c>
      <c r="F703" s="77">
        <f>tkj!$CE$81</f>
        <v>90</v>
      </c>
      <c r="G703" s="77">
        <f>tkj!$CF$81</f>
        <v>80</v>
      </c>
      <c r="H703" s="72"/>
      <c r="I703" s="72"/>
      <c r="J703" s="73"/>
      <c r="K703" s="73"/>
      <c r="L703" s="77">
        <f>tkj!$CG$81</f>
        <v>87</v>
      </c>
      <c r="M703" s="77">
        <f>tkj!$CH$81</f>
        <v>79</v>
      </c>
      <c r="N703" s="77">
        <f>tkj!$CI$81</f>
        <v>80</v>
      </c>
      <c r="O703" s="73"/>
      <c r="P703" s="74"/>
      <c r="Q703" s="74"/>
      <c r="R703" s="86">
        <f>tkj!$CL$81</f>
        <v>95</v>
      </c>
      <c r="S703" s="86">
        <f>tkj!$CK$81</f>
        <v>84</v>
      </c>
      <c r="T703" s="74"/>
      <c r="U703" s="86">
        <f>tkj!$CJ$81</f>
        <v>80</v>
      </c>
      <c r="V703" s="58"/>
      <c r="X703" s="278">
        <v>81</v>
      </c>
    </row>
    <row r="704" spans="1:24" ht="15" thickBot="1">
      <c r="A704" s="269">
        <v>77</v>
      </c>
      <c r="B704" s="272"/>
      <c r="C704" s="275"/>
      <c r="D704" s="78" t="s">
        <v>302</v>
      </c>
      <c r="E704" s="79">
        <f>(E701*4+E702*3+E703*3)/10</f>
        <v>86.9</v>
      </c>
      <c r="F704" s="79">
        <f t="shared" ref="F704:G704" si="149">(F701*4+F702*3+F703*3)/10</f>
        <v>86.820000000000007</v>
      </c>
      <c r="G704" s="79">
        <f t="shared" si="149"/>
        <v>81.7</v>
      </c>
      <c r="H704" s="79">
        <f>AVERAGE(H696:H699)</f>
        <v>83.25</v>
      </c>
      <c r="I704" s="79">
        <f>AVERAGE(I696:I699)</f>
        <v>79.75</v>
      </c>
      <c r="J704" s="79">
        <f>AVERAGE(J696:J697)</f>
        <v>83.5</v>
      </c>
      <c r="K704" s="79">
        <f>AVERAGE(K696:K699)</f>
        <v>75.5</v>
      </c>
      <c r="L704" s="79">
        <f>(L701*4+L702*3+L703*3)/10</f>
        <v>83</v>
      </c>
      <c r="M704" s="79">
        <f>(M701*4+M702*3+M703*3)/10</f>
        <v>79.679999999999993</v>
      </c>
      <c r="N704" s="79">
        <f>(N701*4+N702*3+N703*3)/10</f>
        <v>81.97999999999999</v>
      </c>
      <c r="O704" s="79">
        <f>AVERAGE(O696:O697)</f>
        <v>89</v>
      </c>
      <c r="P704" s="79">
        <f>AVERAGE(P696:P697)</f>
        <v>81</v>
      </c>
      <c r="Q704" s="79">
        <f>AVERAGE(Q696:Q697)</f>
        <v>84.5</v>
      </c>
      <c r="R704" s="79">
        <f>(R701*4+R702*3+R703*3)/10</f>
        <v>86.133333333333326</v>
      </c>
      <c r="S704" s="79">
        <f>(S701*4+S702*3+S703*3)/10</f>
        <v>85.5</v>
      </c>
      <c r="T704" s="79">
        <f>T702</f>
        <v>87</v>
      </c>
      <c r="U704" s="79">
        <f t="shared" ref="U704" si="150">(U701*4+U702*3+U703*3)/10</f>
        <v>82.033333333333331</v>
      </c>
      <c r="V704" s="80">
        <f>AVERAGE(E704:U704)</f>
        <v>83.36745098039215</v>
      </c>
      <c r="X704" s="278">
        <v>81</v>
      </c>
    </row>
    <row r="705" spans="1:24" ht="15.6" thickTop="1" thickBot="1">
      <c r="A705" s="268">
        <v>78</v>
      </c>
      <c r="B705" s="270" t="s">
        <v>389</v>
      </c>
      <c r="C705" s="273" t="s">
        <v>209</v>
      </c>
      <c r="D705" s="52" t="s">
        <v>294</v>
      </c>
      <c r="E705" s="53">
        <f>tkj!$E$82</f>
        <v>82</v>
      </c>
      <c r="F705" s="53">
        <f>tkj!$K$82</f>
        <v>80</v>
      </c>
      <c r="G705" s="53">
        <f>tkj!$Q$82</f>
        <v>83</v>
      </c>
      <c r="H705" s="53">
        <f>tkj!$W$82</f>
        <v>80</v>
      </c>
      <c r="I705" s="53">
        <f>tkj!$AA$82</f>
        <v>75</v>
      </c>
      <c r="J705" s="53">
        <f>tkj!$AE$82</f>
        <v>84</v>
      </c>
      <c r="K705" s="54">
        <f>tkj!$AG$82</f>
        <v>81</v>
      </c>
      <c r="L705" s="55"/>
      <c r="M705" s="53">
        <f>tkj!$AM$82</f>
        <v>71</v>
      </c>
      <c r="N705" s="53">
        <f>tkj!$AS$82</f>
        <v>79</v>
      </c>
      <c r="O705" s="53">
        <f>tkj!$AY$82</f>
        <v>89</v>
      </c>
      <c r="P705" s="54">
        <f>tkj!$BA$82</f>
        <v>75</v>
      </c>
      <c r="Q705" s="54">
        <f>tkj!$BC$82</f>
        <v>81</v>
      </c>
      <c r="R705" s="55"/>
      <c r="S705" s="55"/>
      <c r="T705" s="55"/>
      <c r="U705" s="55"/>
      <c r="V705" s="56"/>
      <c r="X705" s="278">
        <v>82</v>
      </c>
    </row>
    <row r="706" spans="1:24" ht="15" thickBot="1">
      <c r="A706" s="268">
        <v>78</v>
      </c>
      <c r="B706" s="271"/>
      <c r="C706" s="274"/>
      <c r="D706" s="52" t="s">
        <v>295</v>
      </c>
      <c r="E706" s="53">
        <f>tkj!$F$82</f>
        <v>81</v>
      </c>
      <c r="F706" s="53">
        <f>tkj!$L$82</f>
        <v>81</v>
      </c>
      <c r="G706" s="53">
        <f>tkj!$R$82</f>
        <v>88</v>
      </c>
      <c r="H706" s="53">
        <f>tkj!$X$82</f>
        <v>84</v>
      </c>
      <c r="I706" s="53">
        <f>tkj!$AB$82</f>
        <v>82</v>
      </c>
      <c r="J706" s="53">
        <f>tkj!$AF$82</f>
        <v>84</v>
      </c>
      <c r="K706" s="54">
        <f>tkj!$AH$82</f>
        <v>80</v>
      </c>
      <c r="L706" s="55"/>
      <c r="M706" s="53">
        <f>tkj!$AN$82</f>
        <v>74</v>
      </c>
      <c r="N706" s="53">
        <f>tkj!$AT$82</f>
        <v>79</v>
      </c>
      <c r="O706" s="53">
        <f>tkj!$AZ$82</f>
        <v>90</v>
      </c>
      <c r="P706" s="54">
        <f>tkj!$BB$82</f>
        <v>83</v>
      </c>
      <c r="Q706" s="54">
        <f>tkj!$BD$82</f>
        <v>80</v>
      </c>
      <c r="R706" s="55"/>
      <c r="S706" s="55"/>
      <c r="T706" s="55"/>
      <c r="U706" s="55"/>
      <c r="V706" s="58"/>
      <c r="X706" s="278">
        <v>82</v>
      </c>
    </row>
    <row r="707" spans="1:24" ht="15" thickBot="1">
      <c r="A707" s="268">
        <v>78</v>
      </c>
      <c r="B707" s="271"/>
      <c r="C707" s="274"/>
      <c r="D707" s="52" t="s">
        <v>296</v>
      </c>
      <c r="E707" s="53">
        <f>tkj!$G$82</f>
        <v>88</v>
      </c>
      <c r="F707" s="53">
        <f>tkj!$M$82</f>
        <v>86</v>
      </c>
      <c r="G707" s="53">
        <f>tkj!$S$82</f>
        <v>89</v>
      </c>
      <c r="H707" s="53">
        <f>tkj!$Y$82</f>
        <v>81</v>
      </c>
      <c r="I707" s="53">
        <f>tkj!$AC$82</f>
        <v>83</v>
      </c>
      <c r="J707" s="59"/>
      <c r="K707" s="54">
        <f>tkj!$AI$82</f>
        <v>80</v>
      </c>
      <c r="L707" s="55"/>
      <c r="M707" s="53">
        <f>tkj!$AO$82</f>
        <v>77</v>
      </c>
      <c r="N707" s="53">
        <f>tkj!$AU$82</f>
        <v>80</v>
      </c>
      <c r="O707" s="59"/>
      <c r="P707" s="55"/>
      <c r="Q707" s="55"/>
      <c r="R707" s="54">
        <f>tkj!$BQ$82</f>
        <v>80.333333333333329</v>
      </c>
      <c r="S707" s="54">
        <f>tkj!$BU$82</f>
        <v>88</v>
      </c>
      <c r="T707" s="55"/>
      <c r="U707" s="54">
        <f>tkj!$BZ$82</f>
        <v>72</v>
      </c>
      <c r="V707" s="58"/>
      <c r="X707" s="278">
        <v>82</v>
      </c>
    </row>
    <row r="708" spans="1:24" ht="15" thickBot="1">
      <c r="A708" s="268">
        <v>78</v>
      </c>
      <c r="B708" s="271"/>
      <c r="C708" s="274"/>
      <c r="D708" s="62" t="s">
        <v>297</v>
      </c>
      <c r="E708" s="53">
        <f>tkj!$H$82</f>
        <v>87</v>
      </c>
      <c r="F708" s="53">
        <f>tkj!$N$82</f>
        <v>82</v>
      </c>
      <c r="G708" s="53">
        <f>tkj!$T$82</f>
        <v>89</v>
      </c>
      <c r="H708" s="53">
        <f>tkj!$Z$82</f>
        <v>84</v>
      </c>
      <c r="I708" s="53">
        <f>tkj!$AD$82</f>
        <v>85</v>
      </c>
      <c r="J708" s="59"/>
      <c r="K708" s="54">
        <f>tkj!$AJ$82</f>
        <v>85</v>
      </c>
      <c r="L708" s="55"/>
      <c r="M708" s="53">
        <f>tkj!$AP$82</f>
        <v>78</v>
      </c>
      <c r="N708" s="53">
        <f>tkj!$AV$82</f>
        <v>82</v>
      </c>
      <c r="O708" s="59"/>
      <c r="P708" s="55"/>
      <c r="Q708" s="55"/>
      <c r="R708" s="54">
        <f>tkj!$BR$82</f>
        <v>80</v>
      </c>
      <c r="S708" s="54">
        <f>tkj!$BV$82</f>
        <v>86</v>
      </c>
      <c r="T708" s="63"/>
      <c r="U708" s="54">
        <f>tkj!$CA$82</f>
        <v>85</v>
      </c>
      <c r="V708" s="58"/>
      <c r="X708" s="278">
        <v>82</v>
      </c>
    </row>
    <row r="709" spans="1:24">
      <c r="A709" s="268">
        <v>78</v>
      </c>
      <c r="B709" s="271"/>
      <c r="C709" s="274"/>
      <c r="D709" s="62" t="s">
        <v>298</v>
      </c>
      <c r="E709" s="53">
        <f>tkj!$I$82</f>
        <v>91</v>
      </c>
      <c r="F709" s="53">
        <f>tkj!$O$82</f>
        <v>87</v>
      </c>
      <c r="G709" s="53">
        <f>tkj!$U$82</f>
        <v>85</v>
      </c>
      <c r="H709" s="65"/>
      <c r="I709" s="65"/>
      <c r="J709" s="59"/>
      <c r="K709" s="59"/>
      <c r="L709" s="53">
        <f>tkj!$AK$82</f>
        <v>80</v>
      </c>
      <c r="M709" s="53">
        <f>tkj!$AQ$82</f>
        <v>79</v>
      </c>
      <c r="N709" s="53">
        <f>tkj!$AW$82</f>
        <v>82</v>
      </c>
      <c r="O709" s="59"/>
      <c r="P709" s="55"/>
      <c r="Q709" s="55"/>
      <c r="R709" s="54">
        <f>tkj!$BS$82</f>
        <v>82.333333333333329</v>
      </c>
      <c r="S709" s="54">
        <f>tkj!$BW$82</f>
        <v>83</v>
      </c>
      <c r="T709" s="54"/>
      <c r="U709" s="54">
        <f>tkj!$CB$82</f>
        <v>74</v>
      </c>
      <c r="V709" s="58"/>
      <c r="X709" s="278">
        <v>82</v>
      </c>
    </row>
    <row r="710" spans="1:24">
      <c r="A710" s="268">
        <v>78</v>
      </c>
      <c r="B710" s="271"/>
      <c r="C710" s="274"/>
      <c r="D710" s="66" t="s">
        <v>299</v>
      </c>
      <c r="E710" s="67">
        <f>AVERAGE(E705:E709)</f>
        <v>85.8</v>
      </c>
      <c r="F710" s="67">
        <f>AVERAGE(F705:F709)</f>
        <v>83.2</v>
      </c>
      <c r="G710" s="67">
        <f>AVERAGE(G705:G709)</f>
        <v>86.8</v>
      </c>
      <c r="H710" s="68"/>
      <c r="I710" s="68"/>
      <c r="J710" s="69"/>
      <c r="K710" s="69"/>
      <c r="L710" s="67">
        <f>AVERAGE(L705:L709)</f>
        <v>80</v>
      </c>
      <c r="M710" s="67">
        <f>AVERAGE(M705:M709)</f>
        <v>75.8</v>
      </c>
      <c r="N710" s="67">
        <f>AVERAGE(N705:N709)</f>
        <v>80.400000000000006</v>
      </c>
      <c r="O710" s="69"/>
      <c r="P710" s="63"/>
      <c r="Q710" s="63"/>
      <c r="R710" s="84">
        <f>AVERAGE(R707:R709)</f>
        <v>80.888888888888872</v>
      </c>
      <c r="S710" s="84">
        <f>AVERAGE(S707:S709)</f>
        <v>85.666666666666671</v>
      </c>
      <c r="T710" s="63"/>
      <c r="U710" s="84">
        <f>AVERAGE(U705:U709)</f>
        <v>77</v>
      </c>
      <c r="V710" s="58"/>
      <c r="X710" s="278">
        <v>82</v>
      </c>
    </row>
    <row r="711" spans="1:24">
      <c r="A711" s="268">
        <v>78</v>
      </c>
      <c r="B711" s="271"/>
      <c r="C711" s="274"/>
      <c r="D711" s="70" t="s">
        <v>300</v>
      </c>
      <c r="E711" s="71">
        <f>tkj!$J$82</f>
        <v>95</v>
      </c>
      <c r="F711" s="71">
        <f>tkj!$P$82</f>
        <v>95</v>
      </c>
      <c r="G711" s="71">
        <f>tkj!$V$82</f>
        <v>92</v>
      </c>
      <c r="H711" s="72"/>
      <c r="I711" s="72"/>
      <c r="J711" s="73"/>
      <c r="K711" s="73"/>
      <c r="L711" s="71">
        <f>tkj!$AL$82</f>
        <v>92</v>
      </c>
      <c r="M711" s="71">
        <f>tkj!$AR$82</f>
        <v>95</v>
      </c>
      <c r="N711" s="71">
        <f>tkj!$AX$82</f>
        <v>95</v>
      </c>
      <c r="O711" s="73"/>
      <c r="P711" s="74"/>
      <c r="Q711" s="74"/>
      <c r="R711" s="85">
        <f>tkj!$BT$82</f>
        <v>95</v>
      </c>
      <c r="S711" s="85">
        <f>tkj!$BX$82</f>
        <v>95</v>
      </c>
      <c r="T711" s="85">
        <f>tkj!$BY$82</f>
        <v>94</v>
      </c>
      <c r="U711" s="75">
        <f>tkj!$CC$82</f>
        <v>95</v>
      </c>
      <c r="V711" s="58"/>
      <c r="X711" s="278">
        <v>82</v>
      </c>
    </row>
    <row r="712" spans="1:24">
      <c r="A712" s="268">
        <v>78</v>
      </c>
      <c r="B712" s="271"/>
      <c r="C712" s="274"/>
      <c r="D712" s="76" t="s">
        <v>301</v>
      </c>
      <c r="E712" s="77">
        <f>tkj!$CD$82</f>
        <v>87</v>
      </c>
      <c r="F712" s="77">
        <f>tkj!$CE$82</f>
        <v>80</v>
      </c>
      <c r="G712" s="77">
        <f>tkj!$CF$82</f>
        <v>86</v>
      </c>
      <c r="H712" s="72"/>
      <c r="I712" s="72"/>
      <c r="J712" s="73"/>
      <c r="K712" s="73"/>
      <c r="L712" s="77">
        <f>tkj!$CG$82</f>
        <v>92</v>
      </c>
      <c r="M712" s="77">
        <f>tkj!$CH$82</f>
        <v>79</v>
      </c>
      <c r="N712" s="77">
        <f>tkj!$CI$82</f>
        <v>87</v>
      </c>
      <c r="O712" s="73"/>
      <c r="P712" s="74"/>
      <c r="Q712" s="74"/>
      <c r="R712" s="86">
        <f>tkj!$CL$82</f>
        <v>85</v>
      </c>
      <c r="S712" s="86">
        <f>tkj!$CK$82</f>
        <v>90</v>
      </c>
      <c r="T712" s="74"/>
      <c r="U712" s="86">
        <f>tkj!$CJ$82</f>
        <v>80</v>
      </c>
      <c r="V712" s="58"/>
      <c r="X712" s="278">
        <v>82</v>
      </c>
    </row>
    <row r="713" spans="1:24" ht="15" thickBot="1">
      <c r="A713" s="269">
        <v>78</v>
      </c>
      <c r="B713" s="272"/>
      <c r="C713" s="275"/>
      <c r="D713" s="78" t="s">
        <v>302</v>
      </c>
      <c r="E713" s="79">
        <f>(E710*4+E711*3+E712*3)/10</f>
        <v>88.92</v>
      </c>
      <c r="F713" s="79">
        <f t="shared" ref="F713:G713" si="151">(F710*4+F711*3+F712*3)/10</f>
        <v>85.78</v>
      </c>
      <c r="G713" s="79">
        <f t="shared" si="151"/>
        <v>88.12</v>
      </c>
      <c r="H713" s="79">
        <f>AVERAGE(H705:H708)</f>
        <v>82.25</v>
      </c>
      <c r="I713" s="79">
        <f>AVERAGE(I705:I708)</f>
        <v>81.25</v>
      </c>
      <c r="J713" s="79">
        <f>AVERAGE(J705:J706)</f>
        <v>84</v>
      </c>
      <c r="K713" s="79">
        <f>AVERAGE(K705:K708)</f>
        <v>81.5</v>
      </c>
      <c r="L713" s="79">
        <f>(L710*4+L711*3+L712*3)/10</f>
        <v>87.2</v>
      </c>
      <c r="M713" s="79">
        <f>(M710*4+M711*3+M712*3)/10</f>
        <v>82.52000000000001</v>
      </c>
      <c r="N713" s="79">
        <f>(N710*4+N711*3+N712*3)/10</f>
        <v>86.76</v>
      </c>
      <c r="O713" s="79">
        <f>AVERAGE(O705:O706)</f>
        <v>89.5</v>
      </c>
      <c r="P713" s="79">
        <f>AVERAGE(P705:P706)</f>
        <v>79</v>
      </c>
      <c r="Q713" s="79">
        <f>AVERAGE(Q705:Q706)</f>
        <v>80.5</v>
      </c>
      <c r="R713" s="79">
        <f>(R710*4+R711*3+R712*3)/10</f>
        <v>86.35555555555554</v>
      </c>
      <c r="S713" s="79">
        <f>(S710*4+S711*3+S712*3)/10</f>
        <v>89.76666666666668</v>
      </c>
      <c r="T713" s="79">
        <f>T711</f>
        <v>94</v>
      </c>
      <c r="U713" s="79">
        <f t="shared" ref="U713" si="152">(U710*4+U711*3+U712*3)/10</f>
        <v>83.3</v>
      </c>
      <c r="V713" s="80">
        <f>AVERAGE(E713:U713)</f>
        <v>85.33660130718954</v>
      </c>
      <c r="X713" s="278">
        <v>82</v>
      </c>
    </row>
    <row r="714" spans="1:24" ht="15.6" thickTop="1" thickBot="1">
      <c r="A714" s="268">
        <v>79</v>
      </c>
      <c r="B714" s="270" t="s">
        <v>390</v>
      </c>
      <c r="C714" s="273" t="s">
        <v>211</v>
      </c>
      <c r="D714" s="52" t="s">
        <v>294</v>
      </c>
      <c r="E714" s="53">
        <f>tkj!$E$83</f>
        <v>95</v>
      </c>
      <c r="F714" s="53">
        <f>tkj!$K$83</f>
        <v>82</v>
      </c>
      <c r="G714" s="53">
        <f>tkj!$Q$83</f>
        <v>89</v>
      </c>
      <c r="H714" s="53">
        <f>tkj!$W$83</f>
        <v>80</v>
      </c>
      <c r="I714" s="53">
        <f>tkj!$AA$83</f>
        <v>82</v>
      </c>
      <c r="J714" s="53">
        <f>tkj!$AE$83</f>
        <v>84</v>
      </c>
      <c r="K714" s="54">
        <f>tkj!$AG$83</f>
        <v>84</v>
      </c>
      <c r="L714" s="55"/>
      <c r="M714" s="53">
        <f>tkj!$AM$83</f>
        <v>71</v>
      </c>
      <c r="N714" s="53">
        <f>tkj!$AS$83</f>
        <v>75</v>
      </c>
      <c r="O714" s="53">
        <f>tkj!$AY$83</f>
        <v>76</v>
      </c>
      <c r="P714" s="54">
        <f>tkj!$BA$83</f>
        <v>80</v>
      </c>
      <c r="Q714" s="54">
        <f>tkj!$BC$83</f>
        <v>80</v>
      </c>
      <c r="R714" s="55"/>
      <c r="S714" s="55"/>
      <c r="T714" s="55"/>
      <c r="U714" s="55"/>
      <c r="V714" s="56"/>
      <c r="X714" s="278">
        <v>83</v>
      </c>
    </row>
    <row r="715" spans="1:24" ht="15" thickBot="1">
      <c r="A715" s="268">
        <v>79</v>
      </c>
      <c r="B715" s="271"/>
      <c r="C715" s="274"/>
      <c r="D715" s="52" t="s">
        <v>295</v>
      </c>
      <c r="E715" s="53">
        <f>tkj!$F$83</f>
        <v>95</v>
      </c>
      <c r="F715" s="53">
        <f>tkj!$L$83</f>
        <v>82</v>
      </c>
      <c r="G715" s="53">
        <f>tkj!$R$83</f>
        <v>86</v>
      </c>
      <c r="H715" s="53">
        <f>tkj!$X$83</f>
        <v>84</v>
      </c>
      <c r="I715" s="53">
        <f>tkj!$AB$83</f>
        <v>82</v>
      </c>
      <c r="J715" s="53">
        <f>tkj!$AF$83</f>
        <v>84</v>
      </c>
      <c r="K715" s="54">
        <f>tkj!$AH$83</f>
        <v>78</v>
      </c>
      <c r="L715" s="55"/>
      <c r="M715" s="53">
        <f>tkj!$AN$83</f>
        <v>78</v>
      </c>
      <c r="N715" s="53">
        <f>tkj!$AT$83</f>
        <v>79</v>
      </c>
      <c r="O715" s="53">
        <f>tkj!$AZ$83</f>
        <v>88</v>
      </c>
      <c r="P715" s="54">
        <f>tkj!$BB$83</f>
        <v>85</v>
      </c>
      <c r="Q715" s="54">
        <f>tkj!$BD$83</f>
        <v>73</v>
      </c>
      <c r="R715" s="55"/>
      <c r="S715" s="55"/>
      <c r="T715" s="55"/>
      <c r="U715" s="55"/>
      <c r="V715" s="58"/>
      <c r="X715" s="278">
        <v>83</v>
      </c>
    </row>
    <row r="716" spans="1:24" ht="15" thickBot="1">
      <c r="A716" s="268">
        <v>79</v>
      </c>
      <c r="B716" s="271"/>
      <c r="C716" s="274"/>
      <c r="D716" s="52" t="s">
        <v>296</v>
      </c>
      <c r="E716" s="53">
        <f>tkj!$G$83</f>
        <v>87</v>
      </c>
      <c r="F716" s="53">
        <f>tkj!$M$83</f>
        <v>91</v>
      </c>
      <c r="G716" s="53">
        <f>tkj!$S$83</f>
        <v>85</v>
      </c>
      <c r="H716" s="53">
        <f>tkj!$Y$83</f>
        <v>80</v>
      </c>
      <c r="I716" s="53">
        <f>tkj!$AC$83</f>
        <v>83</v>
      </c>
      <c r="J716" s="59"/>
      <c r="K716" s="54">
        <f>tkj!$AI$83</f>
        <v>80</v>
      </c>
      <c r="L716" s="55"/>
      <c r="M716" s="53">
        <f>tkj!$AO$83</f>
        <v>78</v>
      </c>
      <c r="N716" s="53">
        <f>tkj!$AU$83</f>
        <v>80</v>
      </c>
      <c r="O716" s="59"/>
      <c r="P716" s="55"/>
      <c r="Q716" s="55"/>
      <c r="R716" s="54">
        <f>tkj!$BQ$83</f>
        <v>78.666666666666671</v>
      </c>
      <c r="S716" s="54">
        <f>tkj!$BU$83</f>
        <v>88</v>
      </c>
      <c r="T716" s="55"/>
      <c r="U716" s="54">
        <f>tkj!$BZ$83</f>
        <v>74</v>
      </c>
      <c r="V716" s="58"/>
      <c r="X716" s="278">
        <v>83</v>
      </c>
    </row>
    <row r="717" spans="1:24" ht="15" thickBot="1">
      <c r="A717" s="268">
        <v>79</v>
      </c>
      <c r="B717" s="271"/>
      <c r="C717" s="274"/>
      <c r="D717" s="62" t="s">
        <v>297</v>
      </c>
      <c r="E717" s="53">
        <f>tkj!$H$83</f>
        <v>83</v>
      </c>
      <c r="F717" s="53">
        <f>tkj!$N$83</f>
        <v>84</v>
      </c>
      <c r="G717" s="53">
        <f>tkj!$T$83</f>
        <v>86</v>
      </c>
      <c r="H717" s="53">
        <f>tkj!$Z$83</f>
        <v>85</v>
      </c>
      <c r="I717" s="53">
        <f>tkj!$AD$83</f>
        <v>84</v>
      </c>
      <c r="J717" s="59"/>
      <c r="K717" s="54">
        <f>tkj!$AJ$83</f>
        <v>84</v>
      </c>
      <c r="L717" s="55"/>
      <c r="M717" s="53">
        <f>tkj!$AP$83</f>
        <v>78</v>
      </c>
      <c r="N717" s="53">
        <f>tkj!$AV$83</f>
        <v>82</v>
      </c>
      <c r="O717" s="59"/>
      <c r="P717" s="55"/>
      <c r="Q717" s="55"/>
      <c r="R717" s="54">
        <f>tkj!$BR$83</f>
        <v>79.333333333333329</v>
      </c>
      <c r="S717" s="54">
        <f>tkj!$BV$83</f>
        <v>84</v>
      </c>
      <c r="T717" s="63"/>
      <c r="U717" s="54">
        <f>tkj!$CA$83</f>
        <v>87</v>
      </c>
      <c r="V717" s="58"/>
      <c r="X717" s="278">
        <v>83</v>
      </c>
    </row>
    <row r="718" spans="1:24">
      <c r="A718" s="268">
        <v>79</v>
      </c>
      <c r="B718" s="271"/>
      <c r="C718" s="274"/>
      <c r="D718" s="62" t="s">
        <v>298</v>
      </c>
      <c r="E718" s="53">
        <f>tkj!$I$83</f>
        <v>91</v>
      </c>
      <c r="F718" s="53">
        <f>tkj!$O$83</f>
        <v>88</v>
      </c>
      <c r="G718" s="53">
        <f>tkj!$U$83</f>
        <v>82</v>
      </c>
      <c r="H718" s="65"/>
      <c r="I718" s="65"/>
      <c r="J718" s="59"/>
      <c r="K718" s="59"/>
      <c r="L718" s="53">
        <f>tkj!$AK$83</f>
        <v>80</v>
      </c>
      <c r="M718" s="53">
        <f>tkj!$AQ$83</f>
        <v>79</v>
      </c>
      <c r="N718" s="53">
        <f>tkj!$AW$83</f>
        <v>80</v>
      </c>
      <c r="O718" s="59"/>
      <c r="P718" s="55"/>
      <c r="Q718" s="55"/>
      <c r="R718" s="54">
        <f>tkj!$BS$83</f>
        <v>83.333333333333329</v>
      </c>
      <c r="S718" s="54">
        <f>tkj!$BW$83</f>
        <v>83</v>
      </c>
      <c r="T718" s="54"/>
      <c r="U718" s="54">
        <f>tkj!$CB$83</f>
        <v>73</v>
      </c>
      <c r="V718" s="58"/>
      <c r="X718" s="278">
        <v>83</v>
      </c>
    </row>
    <row r="719" spans="1:24">
      <c r="A719" s="268">
        <v>79</v>
      </c>
      <c r="B719" s="271"/>
      <c r="C719" s="274"/>
      <c r="D719" s="66" t="s">
        <v>299</v>
      </c>
      <c r="E719" s="67">
        <f>AVERAGE(E714:E718)</f>
        <v>90.2</v>
      </c>
      <c r="F719" s="67">
        <f>AVERAGE(F714:F718)</f>
        <v>85.4</v>
      </c>
      <c r="G719" s="67">
        <f>AVERAGE(G714:G718)</f>
        <v>85.6</v>
      </c>
      <c r="H719" s="68"/>
      <c r="I719" s="68"/>
      <c r="J719" s="69"/>
      <c r="K719" s="69"/>
      <c r="L719" s="67">
        <f>AVERAGE(L714:L718)</f>
        <v>80</v>
      </c>
      <c r="M719" s="67">
        <f>AVERAGE(M714:M718)</f>
        <v>76.8</v>
      </c>
      <c r="N719" s="67">
        <f>AVERAGE(N714:N718)</f>
        <v>79.2</v>
      </c>
      <c r="O719" s="69"/>
      <c r="P719" s="63"/>
      <c r="Q719" s="63"/>
      <c r="R719" s="84">
        <f>AVERAGE(R716:R718)</f>
        <v>80.444444444444443</v>
      </c>
      <c r="S719" s="84">
        <f>AVERAGE(S716:S718)</f>
        <v>85</v>
      </c>
      <c r="T719" s="63"/>
      <c r="U719" s="84">
        <f>AVERAGE(U714:U718)</f>
        <v>78</v>
      </c>
      <c r="V719" s="58"/>
      <c r="X719" s="278">
        <v>83</v>
      </c>
    </row>
    <row r="720" spans="1:24">
      <c r="A720" s="268">
        <v>79</v>
      </c>
      <c r="B720" s="271"/>
      <c r="C720" s="274"/>
      <c r="D720" s="70" t="s">
        <v>300</v>
      </c>
      <c r="E720" s="71">
        <f>tkj!$J$83</f>
        <v>74</v>
      </c>
      <c r="F720" s="71">
        <f>tkj!$P$83</f>
        <v>74</v>
      </c>
      <c r="G720" s="71">
        <f>tkj!$V$83</f>
        <v>77</v>
      </c>
      <c r="H720" s="72"/>
      <c r="I720" s="72"/>
      <c r="J720" s="73"/>
      <c r="K720" s="73"/>
      <c r="L720" s="71">
        <f>tkj!$AL$83</f>
        <v>77</v>
      </c>
      <c r="M720" s="71">
        <f>tkj!$AR$83</f>
        <v>80</v>
      </c>
      <c r="N720" s="71">
        <f>tkj!$AX$83</f>
        <v>80</v>
      </c>
      <c r="O720" s="73"/>
      <c r="P720" s="74"/>
      <c r="Q720" s="74"/>
      <c r="R720" s="85">
        <f>tkj!$BT$83</f>
        <v>80</v>
      </c>
      <c r="S720" s="85">
        <f>tkj!$BX$83</f>
        <v>80</v>
      </c>
      <c r="T720" s="85">
        <f>tkj!$BY$83</f>
        <v>77</v>
      </c>
      <c r="U720" s="75">
        <f>tkj!$CC$83</f>
        <v>80</v>
      </c>
      <c r="V720" s="58"/>
      <c r="X720" s="278">
        <v>83</v>
      </c>
    </row>
    <row r="721" spans="1:24">
      <c r="A721" s="268">
        <v>79</v>
      </c>
      <c r="B721" s="271"/>
      <c r="C721" s="274"/>
      <c r="D721" s="76" t="s">
        <v>301</v>
      </c>
      <c r="E721" s="77">
        <f>tkj!$CD$5</f>
        <v>88</v>
      </c>
      <c r="F721" s="77">
        <f>tkj!$CE$5</f>
        <v>82</v>
      </c>
      <c r="G721" s="77">
        <f>tkj!$CF$5</f>
        <v>87</v>
      </c>
      <c r="H721" s="72"/>
      <c r="I721" s="72"/>
      <c r="J721" s="73"/>
      <c r="K721" s="73"/>
      <c r="L721" s="77">
        <f>tkj!$CG$5</f>
        <v>84</v>
      </c>
      <c r="M721" s="77">
        <f>tkj!$CH$5</f>
        <v>81</v>
      </c>
      <c r="N721" s="77">
        <f>tkj!$CI$5</f>
        <v>82</v>
      </c>
      <c r="O721" s="73"/>
      <c r="P721" s="74"/>
      <c r="Q721" s="74"/>
      <c r="R721" s="86">
        <f>tkj!$CL$5</f>
        <v>95</v>
      </c>
      <c r="S721" s="86">
        <f>tkj!$CK$5</f>
        <v>85</v>
      </c>
      <c r="T721" s="74"/>
      <c r="U721" s="86">
        <f>tkj!$CJ$5</f>
        <v>80</v>
      </c>
      <c r="V721" s="58"/>
      <c r="X721" s="278">
        <v>83</v>
      </c>
    </row>
    <row r="722" spans="1:24" ht="15" thickBot="1">
      <c r="A722" s="269">
        <v>79</v>
      </c>
      <c r="B722" s="272"/>
      <c r="C722" s="275"/>
      <c r="D722" s="78" t="s">
        <v>302</v>
      </c>
      <c r="E722" s="79">
        <f>(E719*4+E720*3+E721*3)/10</f>
        <v>84.679999999999993</v>
      </c>
      <c r="F722" s="79">
        <f t="shared" ref="F722:G722" si="153">(F719*4+F720*3+F721*3)/10</f>
        <v>80.960000000000008</v>
      </c>
      <c r="G722" s="79">
        <f t="shared" si="153"/>
        <v>83.44</v>
      </c>
      <c r="H722" s="79">
        <f>AVERAGE(H714:H717)</f>
        <v>82.25</v>
      </c>
      <c r="I722" s="79">
        <f>AVERAGE(I714:I717)</f>
        <v>82.75</v>
      </c>
      <c r="J722" s="79">
        <f>AVERAGE(J714:J715)</f>
        <v>84</v>
      </c>
      <c r="K722" s="79">
        <f>AVERAGE(K714:K717)</f>
        <v>81.5</v>
      </c>
      <c r="L722" s="79">
        <f>(L719*4+L720*3+L721*3)/10</f>
        <v>80.3</v>
      </c>
      <c r="M722" s="79">
        <f>(M719*4+M720*3+M721*3)/10</f>
        <v>79.02000000000001</v>
      </c>
      <c r="N722" s="79">
        <f>(N719*4+N720*3+N721*3)/10</f>
        <v>80.28</v>
      </c>
      <c r="O722" s="79">
        <f>AVERAGE(O714:O715)</f>
        <v>82</v>
      </c>
      <c r="P722" s="79">
        <f>AVERAGE(P714:P715)</f>
        <v>82.5</v>
      </c>
      <c r="Q722" s="79">
        <f>AVERAGE(Q714:Q715)</f>
        <v>76.5</v>
      </c>
      <c r="R722" s="79">
        <f>(R719*4+R720*3+R721*3)/10</f>
        <v>84.677777777777777</v>
      </c>
      <c r="S722" s="79">
        <f>(S719*4+S720*3+S721*3)/10</f>
        <v>83.5</v>
      </c>
      <c r="T722" s="79">
        <f>T720</f>
        <v>77</v>
      </c>
      <c r="U722" s="79">
        <f t="shared" ref="U722" si="154">(U719*4+U720*3+U721*3)/10</f>
        <v>79.2</v>
      </c>
      <c r="V722" s="80">
        <f>AVERAGE(E722:U722)</f>
        <v>81.444575163398682</v>
      </c>
      <c r="X722" s="278">
        <v>83</v>
      </c>
    </row>
    <row r="723" spans="1:24" ht="15.6" thickTop="1" thickBot="1">
      <c r="A723" s="268">
        <v>80</v>
      </c>
      <c r="B723" s="270" t="s">
        <v>391</v>
      </c>
      <c r="C723" s="273" t="s">
        <v>213</v>
      </c>
      <c r="D723" s="52" t="s">
        <v>294</v>
      </c>
      <c r="E723" s="53">
        <f>tkj!$E$84</f>
        <v>84</v>
      </c>
      <c r="F723" s="53">
        <f>tkj!$K$84</f>
        <v>78</v>
      </c>
      <c r="G723" s="53">
        <f>tkj!$Q$84</f>
        <v>88</v>
      </c>
      <c r="H723" s="53">
        <f>tkj!$W$84</f>
        <v>82</v>
      </c>
      <c r="I723" s="53">
        <f>tkj!$AA$84</f>
        <v>75</v>
      </c>
      <c r="J723" s="53">
        <f>tkj!$AE$84</f>
        <v>83</v>
      </c>
      <c r="K723" s="54">
        <f>tkj!$AG$84</f>
        <v>85</v>
      </c>
      <c r="L723" s="55"/>
      <c r="M723" s="53">
        <f>tkj!$AM$84</f>
        <v>71</v>
      </c>
      <c r="N723" s="53">
        <f>tkj!$AS$84</f>
        <v>72</v>
      </c>
      <c r="O723" s="53">
        <f>tkj!$AY$84</f>
        <v>89</v>
      </c>
      <c r="P723" s="54">
        <f>tkj!$BA$84</f>
        <v>73</v>
      </c>
      <c r="Q723" s="54">
        <f>tkj!$BC$84</f>
        <v>74</v>
      </c>
      <c r="R723" s="55"/>
      <c r="S723" s="55"/>
      <c r="T723" s="55"/>
      <c r="U723" s="55"/>
      <c r="V723" s="56"/>
      <c r="X723" s="278">
        <v>84</v>
      </c>
    </row>
    <row r="724" spans="1:24" ht="15" thickBot="1">
      <c r="A724" s="268">
        <v>80</v>
      </c>
      <c r="B724" s="271"/>
      <c r="C724" s="274"/>
      <c r="D724" s="52" t="s">
        <v>295</v>
      </c>
      <c r="E724" s="53">
        <f>tkj!$F$84</f>
        <v>95</v>
      </c>
      <c r="F724" s="53">
        <f>tkj!$L$84</f>
        <v>80</v>
      </c>
      <c r="G724" s="53">
        <f>tkj!$R$84</f>
        <v>88</v>
      </c>
      <c r="H724" s="53">
        <f>tkj!$X$84</f>
        <v>84</v>
      </c>
      <c r="I724" s="53">
        <f>tkj!$AB$84</f>
        <v>80</v>
      </c>
      <c r="J724" s="53">
        <f>tkj!$AF$84</f>
        <v>81</v>
      </c>
      <c r="K724" s="54">
        <f>tkj!$AH$84</f>
        <v>80</v>
      </c>
      <c r="L724" s="55"/>
      <c r="M724" s="53">
        <f>tkj!$AN$84</f>
        <v>72</v>
      </c>
      <c r="N724" s="53">
        <f>tkj!$AT$84</f>
        <v>80</v>
      </c>
      <c r="O724" s="53">
        <f>tkj!$AZ$84</f>
        <v>86</v>
      </c>
      <c r="P724" s="54">
        <f>tkj!$BB$84</f>
        <v>80</v>
      </c>
      <c r="Q724" s="54">
        <f>tkj!$BD$84</f>
        <v>80</v>
      </c>
      <c r="R724" s="55"/>
      <c r="S724" s="55"/>
      <c r="T724" s="55"/>
      <c r="U724" s="55"/>
      <c r="V724" s="58"/>
      <c r="X724" s="278">
        <v>84</v>
      </c>
    </row>
    <row r="725" spans="1:24" ht="15" thickBot="1">
      <c r="A725" s="268">
        <v>80</v>
      </c>
      <c r="B725" s="271"/>
      <c r="C725" s="274"/>
      <c r="D725" s="52" t="s">
        <v>296</v>
      </c>
      <c r="E725" s="53">
        <f>tkj!$G$84</f>
        <v>86</v>
      </c>
      <c r="F725" s="53">
        <f>tkj!$M$84</f>
        <v>82</v>
      </c>
      <c r="G725" s="53">
        <f>tkj!$S$84</f>
        <v>84</v>
      </c>
      <c r="H725" s="53">
        <f>tkj!$Y$84</f>
        <v>82</v>
      </c>
      <c r="I725" s="53">
        <f>tkj!$AC$84</f>
        <v>83</v>
      </c>
      <c r="J725" s="59"/>
      <c r="K725" s="54">
        <f>tkj!$AI$84</f>
        <v>72</v>
      </c>
      <c r="L725" s="55"/>
      <c r="M725" s="53">
        <f>tkj!$AO$84</f>
        <v>73</v>
      </c>
      <c r="N725" s="53">
        <f>tkj!$AU$84</f>
        <v>80</v>
      </c>
      <c r="O725" s="59"/>
      <c r="P725" s="55"/>
      <c r="Q725" s="55"/>
      <c r="R725" s="54">
        <f>tkj!$BQ$84</f>
        <v>75.333333333333329</v>
      </c>
      <c r="S725" s="54">
        <f>tkj!$BU$84</f>
        <v>88</v>
      </c>
      <c r="T725" s="55"/>
      <c r="U725" s="54">
        <f>tkj!$BZ$84</f>
        <v>73</v>
      </c>
      <c r="V725" s="58"/>
      <c r="X725" s="278">
        <v>84</v>
      </c>
    </row>
    <row r="726" spans="1:24" ht="15" thickBot="1">
      <c r="A726" s="268">
        <v>80</v>
      </c>
      <c r="B726" s="271"/>
      <c r="C726" s="274"/>
      <c r="D726" s="62" t="s">
        <v>297</v>
      </c>
      <c r="E726" s="53">
        <f>tkj!$H$84</f>
        <v>84</v>
      </c>
      <c r="F726" s="53">
        <f>tkj!$N$84</f>
        <v>80</v>
      </c>
      <c r="G726" s="53">
        <f>tkj!$T$84</f>
        <v>84</v>
      </c>
      <c r="H726" s="53">
        <f>tkj!$Z$84</f>
        <v>85</v>
      </c>
      <c r="I726" s="53">
        <f>tkj!$AD$84</f>
        <v>85</v>
      </c>
      <c r="J726" s="59"/>
      <c r="K726" s="54">
        <f>tkj!$AJ$84</f>
        <v>85</v>
      </c>
      <c r="L726" s="55"/>
      <c r="M726" s="53">
        <f>tkj!$AP$84</f>
        <v>74</v>
      </c>
      <c r="N726" s="53">
        <f>tkj!$AV$84</f>
        <v>80</v>
      </c>
      <c r="O726" s="59"/>
      <c r="P726" s="55"/>
      <c r="Q726" s="55"/>
      <c r="R726" s="54">
        <f>tkj!$BR$84</f>
        <v>80.666666666666671</v>
      </c>
      <c r="S726" s="54">
        <f>tkj!$BV$84</f>
        <v>83</v>
      </c>
      <c r="T726" s="63"/>
      <c r="U726" s="54">
        <f>tkj!$CA$84</f>
        <v>79</v>
      </c>
      <c r="V726" s="58"/>
      <c r="X726" s="278">
        <v>84</v>
      </c>
    </row>
    <row r="727" spans="1:24">
      <c r="A727" s="268">
        <v>80</v>
      </c>
      <c r="B727" s="271"/>
      <c r="C727" s="274"/>
      <c r="D727" s="62" t="s">
        <v>298</v>
      </c>
      <c r="E727" s="53">
        <f>tkj!$I$84</f>
        <v>92</v>
      </c>
      <c r="F727" s="53">
        <f>tkj!$O$84</f>
        <v>80</v>
      </c>
      <c r="G727" s="53">
        <f>tkj!$U$84</f>
        <v>79</v>
      </c>
      <c r="H727" s="65"/>
      <c r="I727" s="65"/>
      <c r="J727" s="59"/>
      <c r="K727" s="59"/>
      <c r="L727" s="53">
        <f>tkj!$AK$84</f>
        <v>80</v>
      </c>
      <c r="M727" s="53">
        <f>tkj!$AQ$84</f>
        <v>78</v>
      </c>
      <c r="N727" s="53">
        <f>tkj!$AW$84</f>
        <v>80</v>
      </c>
      <c r="O727" s="59"/>
      <c r="P727" s="55"/>
      <c r="Q727" s="55"/>
      <c r="R727" s="54">
        <f>tkj!$BS$84</f>
        <v>78.333333333333329</v>
      </c>
      <c r="S727" s="54">
        <f>tkj!$BW$84</f>
        <v>81</v>
      </c>
      <c r="T727" s="54"/>
      <c r="U727" s="54">
        <f>tkj!$CB$84</f>
        <v>75</v>
      </c>
      <c r="V727" s="58"/>
      <c r="X727" s="278">
        <v>84</v>
      </c>
    </row>
    <row r="728" spans="1:24">
      <c r="A728" s="268">
        <v>80</v>
      </c>
      <c r="B728" s="271"/>
      <c r="C728" s="274"/>
      <c r="D728" s="66" t="s">
        <v>299</v>
      </c>
      <c r="E728" s="67">
        <f>AVERAGE(E723:E727)</f>
        <v>88.2</v>
      </c>
      <c r="F728" s="67">
        <f>AVERAGE(F723:F727)</f>
        <v>80</v>
      </c>
      <c r="G728" s="67">
        <f>AVERAGE(G723:G727)</f>
        <v>84.6</v>
      </c>
      <c r="H728" s="68"/>
      <c r="I728" s="68"/>
      <c r="J728" s="69"/>
      <c r="K728" s="69"/>
      <c r="L728" s="67">
        <f>AVERAGE(L723:L727)</f>
        <v>80</v>
      </c>
      <c r="M728" s="67">
        <f>AVERAGE(M723:M727)</f>
        <v>73.599999999999994</v>
      </c>
      <c r="N728" s="67">
        <f>AVERAGE(N723:N727)</f>
        <v>78.400000000000006</v>
      </c>
      <c r="O728" s="69"/>
      <c r="P728" s="63"/>
      <c r="Q728" s="63"/>
      <c r="R728" s="84">
        <f>AVERAGE(R725:R727)</f>
        <v>78.1111111111111</v>
      </c>
      <c r="S728" s="84">
        <f>AVERAGE(S725:S727)</f>
        <v>84</v>
      </c>
      <c r="T728" s="63"/>
      <c r="U728" s="84">
        <f>AVERAGE(U723:U727)</f>
        <v>75.666666666666671</v>
      </c>
      <c r="V728" s="58"/>
      <c r="X728" s="278">
        <v>84</v>
      </c>
    </row>
    <row r="729" spans="1:24">
      <c r="A729" s="268">
        <v>80</v>
      </c>
      <c r="B729" s="271"/>
      <c r="C729" s="274"/>
      <c r="D729" s="70" t="s">
        <v>300</v>
      </c>
      <c r="E729" s="71">
        <f>tkj!$J$84</f>
        <v>93</v>
      </c>
      <c r="F729" s="71">
        <f>tkj!$P$84</f>
        <v>95</v>
      </c>
      <c r="G729" s="71">
        <f>tkj!$V$84</f>
        <v>84</v>
      </c>
      <c r="H729" s="72"/>
      <c r="I729" s="72"/>
      <c r="J729" s="73"/>
      <c r="K729" s="73"/>
      <c r="L729" s="71">
        <f>tkj!$AL$84</f>
        <v>84</v>
      </c>
      <c r="M729" s="71">
        <f>tkj!$AR$84</f>
        <v>85</v>
      </c>
      <c r="N729" s="71">
        <f>tkj!$AX$84</f>
        <v>85</v>
      </c>
      <c r="O729" s="73"/>
      <c r="P729" s="74"/>
      <c r="Q729" s="74"/>
      <c r="R729" s="85">
        <f>tkj!$BT$84</f>
        <v>90</v>
      </c>
      <c r="S729" s="85">
        <f>tkj!$BX$84</f>
        <v>90</v>
      </c>
      <c r="T729" s="85">
        <f>tkj!$BY$84</f>
        <v>89</v>
      </c>
      <c r="U729" s="75">
        <f>tkj!$CC$84</f>
        <v>85</v>
      </c>
      <c r="V729" s="58"/>
      <c r="X729" s="278">
        <v>84</v>
      </c>
    </row>
    <row r="730" spans="1:24">
      <c r="A730" s="268">
        <v>80</v>
      </c>
      <c r="B730" s="271"/>
      <c r="C730" s="274"/>
      <c r="D730" s="76" t="s">
        <v>301</v>
      </c>
      <c r="E730" s="77">
        <f>tkj!$CD$84</f>
        <v>88</v>
      </c>
      <c r="F730" s="77">
        <f>tkj!$CE$84</f>
        <v>82</v>
      </c>
      <c r="G730" s="77">
        <f>tkj!$CF$84</f>
        <v>78</v>
      </c>
      <c r="H730" s="72"/>
      <c r="I730" s="72"/>
      <c r="J730" s="73"/>
      <c r="K730" s="73"/>
      <c r="L730" s="77">
        <f>tkj!$CG$84</f>
        <v>87</v>
      </c>
      <c r="M730" s="77">
        <f>tkj!$CH$84</f>
        <v>79</v>
      </c>
      <c r="N730" s="77">
        <f>tkj!$CI$84</f>
        <v>80</v>
      </c>
      <c r="O730" s="73"/>
      <c r="P730" s="74"/>
      <c r="Q730" s="74"/>
      <c r="R730" s="86">
        <f>tkj!$CL$84</f>
        <v>82</v>
      </c>
      <c r="S730" s="86">
        <f>tkj!$CK$84</f>
        <v>78</v>
      </c>
      <c r="T730" s="74"/>
      <c r="U730" s="86">
        <f>tkj!$CJ$84</f>
        <v>80</v>
      </c>
      <c r="V730" s="58"/>
      <c r="X730" s="278">
        <v>84</v>
      </c>
    </row>
    <row r="731" spans="1:24" ht="15" thickBot="1">
      <c r="A731" s="269">
        <v>80</v>
      </c>
      <c r="B731" s="272"/>
      <c r="C731" s="275"/>
      <c r="D731" s="78" t="s">
        <v>302</v>
      </c>
      <c r="E731" s="79">
        <f>(E728*4+E729*3+E730*3)/10</f>
        <v>89.58</v>
      </c>
      <c r="F731" s="79">
        <f t="shared" ref="F731:G731" si="155">(F728*4+F729*3+F730*3)/10</f>
        <v>85.1</v>
      </c>
      <c r="G731" s="79">
        <f t="shared" si="155"/>
        <v>82.44</v>
      </c>
      <c r="H731" s="79">
        <f>AVERAGE(H723:H726)</f>
        <v>83.25</v>
      </c>
      <c r="I731" s="79">
        <f>AVERAGE(I723:I726)</f>
        <v>80.75</v>
      </c>
      <c r="J731" s="79">
        <f>AVERAGE(J723:J724)</f>
        <v>82</v>
      </c>
      <c r="K731" s="79">
        <f>AVERAGE(K723:K726)</f>
        <v>80.5</v>
      </c>
      <c r="L731" s="79">
        <f>(L728*4+L729*3+L730*3)/10</f>
        <v>83.3</v>
      </c>
      <c r="M731" s="79">
        <f>(M728*4+M729*3+M730*3)/10</f>
        <v>78.64</v>
      </c>
      <c r="N731" s="79">
        <f>(N728*4+N729*3+N730*3)/10</f>
        <v>80.86</v>
      </c>
      <c r="O731" s="79">
        <f>AVERAGE(O723:O724)</f>
        <v>87.5</v>
      </c>
      <c r="P731" s="79">
        <f>AVERAGE(P723:P724)</f>
        <v>76.5</v>
      </c>
      <c r="Q731" s="79">
        <f>AVERAGE(Q723:Q724)</f>
        <v>77</v>
      </c>
      <c r="R731" s="79">
        <f>(R728*4+R729*3+R730*3)/10</f>
        <v>82.844444444444434</v>
      </c>
      <c r="S731" s="79">
        <f>(S728*4+S729*3+S730*3)/10</f>
        <v>84</v>
      </c>
      <c r="T731" s="79">
        <f>T729</f>
        <v>89</v>
      </c>
      <c r="U731" s="79">
        <f t="shared" ref="U731" si="156">(U728*4+U729*3+U730*3)/10</f>
        <v>79.76666666666668</v>
      </c>
      <c r="V731" s="80">
        <f>AVERAGE(E731:U731)</f>
        <v>82.531241830065369</v>
      </c>
      <c r="X731" s="278">
        <v>84</v>
      </c>
    </row>
    <row r="732" spans="1:24" ht="18" customHeight="1" thickTop="1" thickBot="1">
      <c r="A732" s="268">
        <v>81</v>
      </c>
      <c r="B732" s="270" t="s">
        <v>392</v>
      </c>
      <c r="C732" s="273" t="s">
        <v>215</v>
      </c>
      <c r="D732" s="52" t="s">
        <v>294</v>
      </c>
      <c r="E732" s="53">
        <f>tkj!$E$85</f>
        <v>80</v>
      </c>
      <c r="F732" s="53">
        <f>tkj!$K$85</f>
        <v>83</v>
      </c>
      <c r="G732" s="53">
        <f>tkj!$Q$85</f>
        <v>78</v>
      </c>
      <c r="H732" s="53">
        <f>tkj!$W$85</f>
        <v>81</v>
      </c>
      <c r="I732" s="53">
        <f>tkj!$AA$85</f>
        <v>81</v>
      </c>
      <c r="J732" s="53">
        <f>tkj!$AE$85</f>
        <v>82</v>
      </c>
      <c r="K732" s="54">
        <f>tkj!$AG$85</f>
        <v>78</v>
      </c>
      <c r="L732" s="55"/>
      <c r="M732" s="53">
        <f>tkj!$AM$85</f>
        <v>70</v>
      </c>
      <c r="N732" s="53">
        <f>tkj!$AS$85</f>
        <v>73</v>
      </c>
      <c r="O732" s="53">
        <f>tkj!$AY$85</f>
        <v>72</v>
      </c>
      <c r="P732" s="54">
        <f>tkj!$BA$85</f>
        <v>70</v>
      </c>
      <c r="Q732" s="54">
        <f>tkj!$BC$85</f>
        <v>83</v>
      </c>
      <c r="R732" s="55"/>
      <c r="S732" s="55"/>
      <c r="T732" s="55"/>
      <c r="U732" s="55"/>
      <c r="V732" s="56"/>
      <c r="X732" s="278">
        <v>85</v>
      </c>
    </row>
    <row r="733" spans="1:24" ht="15" thickBot="1">
      <c r="A733" s="268">
        <v>81</v>
      </c>
      <c r="B733" s="271"/>
      <c r="C733" s="274"/>
      <c r="D733" s="52" t="s">
        <v>295</v>
      </c>
      <c r="E733" s="53">
        <f>tkj!$F$85</f>
        <v>82</v>
      </c>
      <c r="F733" s="53">
        <f>tkj!$L$85</f>
        <v>81</v>
      </c>
      <c r="G733" s="53">
        <f>tkj!$R$85</f>
        <v>83</v>
      </c>
      <c r="H733" s="53">
        <f>tkj!$X$85</f>
        <v>84</v>
      </c>
      <c r="I733" s="53">
        <f>tkj!$AB$85</f>
        <v>81</v>
      </c>
      <c r="J733" s="53">
        <f>tkj!$AF$85</f>
        <v>85</v>
      </c>
      <c r="K733" s="54">
        <f>tkj!$AH$85</f>
        <v>80</v>
      </c>
      <c r="L733" s="55"/>
      <c r="M733" s="53">
        <f>tkj!$AN$85</f>
        <v>70</v>
      </c>
      <c r="N733" s="53">
        <f>tkj!$AT$85</f>
        <v>79</v>
      </c>
      <c r="O733" s="53">
        <f>tkj!$AZ$85</f>
        <v>88</v>
      </c>
      <c r="P733" s="54">
        <f>tkj!$BB$85</f>
        <v>82</v>
      </c>
      <c r="Q733" s="54">
        <f>tkj!$BD$85</f>
        <v>80</v>
      </c>
      <c r="R733" s="55"/>
      <c r="S733" s="55"/>
      <c r="T733" s="55"/>
      <c r="U733" s="55"/>
      <c r="V733" s="58"/>
      <c r="X733" s="278">
        <v>85</v>
      </c>
    </row>
    <row r="734" spans="1:24" ht="15" thickBot="1">
      <c r="A734" s="268">
        <v>81</v>
      </c>
      <c r="B734" s="271"/>
      <c r="C734" s="274"/>
      <c r="D734" s="52" t="s">
        <v>296</v>
      </c>
      <c r="E734" s="53">
        <f>tkj!$G$85</f>
        <v>86</v>
      </c>
      <c r="F734" s="53">
        <f>tkj!$M$85</f>
        <v>83</v>
      </c>
      <c r="G734" s="53">
        <f>tkj!$S$85</f>
        <v>78</v>
      </c>
      <c r="H734" s="53">
        <f>tkj!$Y$85</f>
        <v>80</v>
      </c>
      <c r="I734" s="53">
        <f>tkj!$AC$85</f>
        <v>83</v>
      </c>
      <c r="J734" s="59"/>
      <c r="K734" s="54">
        <f>tkj!$AI$85</f>
        <v>77</v>
      </c>
      <c r="L734" s="55"/>
      <c r="M734" s="53">
        <f>tkj!$AO$85</f>
        <v>75</v>
      </c>
      <c r="N734" s="53">
        <f>tkj!$AU$85</f>
        <v>80</v>
      </c>
      <c r="O734" s="59"/>
      <c r="P734" s="55"/>
      <c r="Q734" s="55"/>
      <c r="R734" s="54">
        <f>tkj!$BQ$85</f>
        <v>77.333333333333329</v>
      </c>
      <c r="S734" s="54">
        <f>tkj!$BU$85</f>
        <v>88</v>
      </c>
      <c r="T734" s="55"/>
      <c r="U734" s="54">
        <f>tkj!$BZ$85</f>
        <v>70</v>
      </c>
      <c r="V734" s="58"/>
      <c r="X734" s="278">
        <v>85</v>
      </c>
    </row>
    <row r="735" spans="1:24" ht="15" thickBot="1">
      <c r="A735" s="268">
        <v>81</v>
      </c>
      <c r="B735" s="271"/>
      <c r="C735" s="274"/>
      <c r="D735" s="62" t="s">
        <v>297</v>
      </c>
      <c r="E735" s="53">
        <f>tkj!$H$85</f>
        <v>83</v>
      </c>
      <c r="F735" s="53">
        <f>tkj!$N$85</f>
        <v>87</v>
      </c>
      <c r="G735" s="53">
        <f>tkj!$T$85</f>
        <v>76</v>
      </c>
      <c r="H735" s="53">
        <f>tkj!$Z$85</f>
        <v>85</v>
      </c>
      <c r="I735" s="53">
        <f>tkj!$AD$85</f>
        <v>81</v>
      </c>
      <c r="J735" s="59"/>
      <c r="K735" s="54">
        <f>tkj!$AJ$85</f>
        <v>81</v>
      </c>
      <c r="L735" s="55"/>
      <c r="M735" s="53">
        <f>tkj!$AP$85</f>
        <v>76</v>
      </c>
      <c r="N735" s="53">
        <f>tkj!$AV$85</f>
        <v>80</v>
      </c>
      <c r="O735" s="59"/>
      <c r="P735" s="55"/>
      <c r="Q735" s="55"/>
      <c r="R735" s="54">
        <f>tkj!$BR$85</f>
        <v>80.333333333333329</v>
      </c>
      <c r="S735" s="54">
        <f>tkj!$BV$85</f>
        <v>86</v>
      </c>
      <c r="T735" s="63"/>
      <c r="U735" s="54">
        <f>tkj!$CA$85</f>
        <v>81</v>
      </c>
      <c r="V735" s="58"/>
      <c r="X735" s="278">
        <v>85</v>
      </c>
    </row>
    <row r="736" spans="1:24">
      <c r="A736" s="268">
        <v>81</v>
      </c>
      <c r="B736" s="271"/>
      <c r="C736" s="274"/>
      <c r="D736" s="62" t="s">
        <v>298</v>
      </c>
      <c r="E736" s="53">
        <f>tkj!$I$85</f>
        <v>91</v>
      </c>
      <c r="F736" s="53">
        <f>tkj!$O$85</f>
        <v>88</v>
      </c>
      <c r="G736" s="53">
        <f>tkj!$U$85</f>
        <v>76</v>
      </c>
      <c r="H736" s="65"/>
      <c r="I736" s="65"/>
      <c r="J736" s="59"/>
      <c r="K736" s="59"/>
      <c r="L736" s="53">
        <f>tkj!$AK$85</f>
        <v>80</v>
      </c>
      <c r="M736" s="53">
        <f>tkj!$AQ$85</f>
        <v>79</v>
      </c>
      <c r="N736" s="53">
        <f>tkj!$AW$85</f>
        <v>79</v>
      </c>
      <c r="O736" s="59"/>
      <c r="P736" s="55"/>
      <c r="Q736" s="55"/>
      <c r="R736" s="54">
        <f>tkj!$BS$85</f>
        <v>77</v>
      </c>
      <c r="S736" s="54">
        <f>tkj!$BW$85</f>
        <v>82</v>
      </c>
      <c r="T736" s="54"/>
      <c r="U736" s="54">
        <f>tkj!$CB$85</f>
        <v>74</v>
      </c>
      <c r="V736" s="58"/>
      <c r="X736" s="278">
        <v>85</v>
      </c>
    </row>
    <row r="737" spans="1:24">
      <c r="A737" s="268">
        <v>81</v>
      </c>
      <c r="B737" s="271"/>
      <c r="C737" s="274"/>
      <c r="D737" s="66" t="s">
        <v>299</v>
      </c>
      <c r="E737" s="67">
        <f>AVERAGE(E732:E736)</f>
        <v>84.4</v>
      </c>
      <c r="F737" s="67">
        <f>AVERAGE(F732:F736)</f>
        <v>84.4</v>
      </c>
      <c r="G737" s="67">
        <f>AVERAGE(G732:G736)</f>
        <v>78.2</v>
      </c>
      <c r="H737" s="68"/>
      <c r="I737" s="68"/>
      <c r="J737" s="69"/>
      <c r="K737" s="69"/>
      <c r="L737" s="67">
        <f>AVERAGE(L732:L736)</f>
        <v>80</v>
      </c>
      <c r="M737" s="67">
        <f>AVERAGE(M732:M736)</f>
        <v>74</v>
      </c>
      <c r="N737" s="67">
        <f>AVERAGE(N732:N736)</f>
        <v>78.2</v>
      </c>
      <c r="O737" s="69"/>
      <c r="P737" s="63"/>
      <c r="Q737" s="63"/>
      <c r="R737" s="84">
        <f>AVERAGE(R734:R736)</f>
        <v>78.222222222222214</v>
      </c>
      <c r="S737" s="84">
        <f>AVERAGE(S734:S736)</f>
        <v>85.333333333333329</v>
      </c>
      <c r="T737" s="63"/>
      <c r="U737" s="84">
        <f>AVERAGE(U732:U736)</f>
        <v>75</v>
      </c>
      <c r="V737" s="58"/>
      <c r="X737" s="278">
        <v>85</v>
      </c>
    </row>
    <row r="738" spans="1:24">
      <c r="A738" s="268">
        <v>81</v>
      </c>
      <c r="B738" s="271"/>
      <c r="C738" s="274"/>
      <c r="D738" s="70" t="s">
        <v>300</v>
      </c>
      <c r="E738" s="71">
        <f>tkj!$J$85</f>
        <v>95</v>
      </c>
      <c r="F738" s="71">
        <f>tkj!$P$85</f>
        <v>93</v>
      </c>
      <c r="G738" s="71">
        <f>tkj!$V$85</f>
        <v>91</v>
      </c>
      <c r="H738" s="72"/>
      <c r="I738" s="72"/>
      <c r="J738" s="73"/>
      <c r="K738" s="73"/>
      <c r="L738" s="71">
        <f>tkj!$AL$85</f>
        <v>91</v>
      </c>
      <c r="M738" s="71">
        <f>tkj!$AR$85</f>
        <v>95</v>
      </c>
      <c r="N738" s="71">
        <f>tkj!$AX$85</f>
        <v>95</v>
      </c>
      <c r="O738" s="73"/>
      <c r="P738" s="74"/>
      <c r="Q738" s="74"/>
      <c r="R738" s="85">
        <f>tkj!$BT$85</f>
        <v>95</v>
      </c>
      <c r="S738" s="85">
        <f>tkj!$BX$85</f>
        <v>95</v>
      </c>
      <c r="T738" s="85">
        <f>tkj!$BY$85</f>
        <v>94</v>
      </c>
      <c r="U738" s="75">
        <f>tkj!$CC$85</f>
        <v>95</v>
      </c>
      <c r="V738" s="58"/>
      <c r="X738" s="278">
        <v>85</v>
      </c>
    </row>
    <row r="739" spans="1:24">
      <c r="A739" s="268">
        <v>81</v>
      </c>
      <c r="B739" s="271"/>
      <c r="C739" s="274"/>
      <c r="D739" s="76" t="s">
        <v>301</v>
      </c>
      <c r="E739" s="77">
        <f>tkj!$CD$5</f>
        <v>88</v>
      </c>
      <c r="F739" s="77">
        <f>tkj!$CE$5</f>
        <v>82</v>
      </c>
      <c r="G739" s="77">
        <f>tkj!$CF$5</f>
        <v>87</v>
      </c>
      <c r="H739" s="72"/>
      <c r="I739" s="72"/>
      <c r="J739" s="73"/>
      <c r="K739" s="73"/>
      <c r="L739" s="77">
        <f>tkj!$CG$5</f>
        <v>84</v>
      </c>
      <c r="M739" s="77">
        <f>tkj!$CH$5</f>
        <v>81</v>
      </c>
      <c r="N739" s="77">
        <f>tkj!$CI$5</f>
        <v>82</v>
      </c>
      <c r="O739" s="73"/>
      <c r="P739" s="74"/>
      <c r="Q739" s="74"/>
      <c r="R739" s="86">
        <f>tkj!$CL$5</f>
        <v>95</v>
      </c>
      <c r="S739" s="86">
        <f>tkj!$CK$5</f>
        <v>85</v>
      </c>
      <c r="T739" s="74"/>
      <c r="U739" s="86">
        <f>tkj!$CJ$5</f>
        <v>80</v>
      </c>
      <c r="V739" s="58"/>
      <c r="X739" s="278">
        <v>85</v>
      </c>
    </row>
    <row r="740" spans="1:24" ht="15" thickBot="1">
      <c r="A740" s="269">
        <v>81</v>
      </c>
      <c r="B740" s="272"/>
      <c r="C740" s="275"/>
      <c r="D740" s="78" t="s">
        <v>302</v>
      </c>
      <c r="E740" s="79">
        <f>(E737*4+E738*3+E739*3)/10</f>
        <v>88.66</v>
      </c>
      <c r="F740" s="79">
        <f t="shared" ref="F740:G740" si="157">(F737*4+F738*3+F739*3)/10</f>
        <v>86.26</v>
      </c>
      <c r="G740" s="79">
        <f t="shared" si="157"/>
        <v>84.679999999999993</v>
      </c>
      <c r="H740" s="79">
        <f>AVERAGE(H732:H735)</f>
        <v>82.5</v>
      </c>
      <c r="I740" s="79">
        <f>AVERAGE(I732:I735)</f>
        <v>81.5</v>
      </c>
      <c r="J740" s="79">
        <f>AVERAGE(J732:J733)</f>
        <v>83.5</v>
      </c>
      <c r="K740" s="79">
        <f>AVERAGE(K732:K735)</f>
        <v>79</v>
      </c>
      <c r="L740" s="79">
        <f>(L737*4+L738*3+L739*3)/10</f>
        <v>84.5</v>
      </c>
      <c r="M740" s="79">
        <f>(M737*4+M738*3+M739*3)/10</f>
        <v>82.4</v>
      </c>
      <c r="N740" s="79">
        <f>(N737*4+N738*3+N739*3)/10</f>
        <v>84.38</v>
      </c>
      <c r="O740" s="79">
        <f>AVERAGE(O732:O733)</f>
        <v>80</v>
      </c>
      <c r="P740" s="79">
        <f>AVERAGE(P732:P733)</f>
        <v>76</v>
      </c>
      <c r="Q740" s="79">
        <f>AVERAGE(Q732:Q733)</f>
        <v>81.5</v>
      </c>
      <c r="R740" s="79">
        <f>(R737*4+R738*3+R739*3)/10</f>
        <v>88.288888888888891</v>
      </c>
      <c r="S740" s="79">
        <f>(S737*4+S738*3+S739*3)/10</f>
        <v>88.133333333333326</v>
      </c>
      <c r="T740" s="79">
        <f>T738</f>
        <v>94</v>
      </c>
      <c r="U740" s="79">
        <f t="shared" ref="U740" si="158">(U737*4+U738*3+U739*3)/10</f>
        <v>82.5</v>
      </c>
      <c r="V740" s="80">
        <f>AVERAGE(E740:U740)</f>
        <v>83.988366013071882</v>
      </c>
      <c r="X740" s="278">
        <v>85</v>
      </c>
    </row>
    <row r="741" spans="1:24" ht="15.6" thickTop="1" thickBot="1">
      <c r="A741" s="268">
        <v>82</v>
      </c>
      <c r="B741" s="270" t="s">
        <v>393</v>
      </c>
      <c r="C741" s="273" t="s">
        <v>217</v>
      </c>
      <c r="D741" s="52" t="s">
        <v>294</v>
      </c>
      <c r="E741" s="53">
        <f>tkj!$E$86</f>
        <v>90</v>
      </c>
      <c r="F741" s="53">
        <f>tkj!$K$86</f>
        <v>80</v>
      </c>
      <c r="G741" s="53">
        <f>tkj!$Q$86</f>
        <v>98</v>
      </c>
      <c r="H741" s="53">
        <f>tkj!$W$86</f>
        <v>82</v>
      </c>
      <c r="I741" s="53">
        <f>tkj!$AA$86</f>
        <v>84</v>
      </c>
      <c r="J741" s="53">
        <f>tkj!$AE$86</f>
        <v>84</v>
      </c>
      <c r="K741" s="54">
        <f>tkj!$AG$86</f>
        <v>82</v>
      </c>
      <c r="L741" s="55"/>
      <c r="M741" s="53">
        <f>tkj!$AM$86</f>
        <v>76</v>
      </c>
      <c r="N741" s="53">
        <f>tkj!$AS$86</f>
        <v>85</v>
      </c>
      <c r="O741" s="53">
        <f>tkj!$AY$86</f>
        <v>92</v>
      </c>
      <c r="P741" s="54">
        <f>tkj!$BA$86</f>
        <v>88</v>
      </c>
      <c r="Q741" s="54">
        <f>tkj!$BC$86</f>
        <v>82</v>
      </c>
      <c r="R741" s="55"/>
      <c r="S741" s="55"/>
      <c r="T741" s="55"/>
      <c r="U741" s="55"/>
      <c r="V741" s="56"/>
      <c r="X741" s="278">
        <v>86</v>
      </c>
    </row>
    <row r="742" spans="1:24" ht="15" thickBot="1">
      <c r="A742" s="268">
        <v>82</v>
      </c>
      <c r="B742" s="271"/>
      <c r="C742" s="274"/>
      <c r="D742" s="52" t="s">
        <v>295</v>
      </c>
      <c r="E742" s="53">
        <f>tkj!$F$86</f>
        <v>96</v>
      </c>
      <c r="F742" s="53">
        <f>tkj!$L$86</f>
        <v>93</v>
      </c>
      <c r="G742" s="53">
        <f>tkj!$R$86</f>
        <v>93</v>
      </c>
      <c r="H742" s="53">
        <f>tkj!$X$86</f>
        <v>85</v>
      </c>
      <c r="I742" s="53">
        <f>tkj!$AB$86</f>
        <v>84</v>
      </c>
      <c r="J742" s="53">
        <f>tkj!$AF$86</f>
        <v>85</v>
      </c>
      <c r="K742" s="54">
        <f>tkj!$AH$86</f>
        <v>78</v>
      </c>
      <c r="L742" s="55"/>
      <c r="M742" s="53">
        <f>tkj!$AN$86</f>
        <v>82</v>
      </c>
      <c r="N742" s="53">
        <f>tkj!$AT$86</f>
        <v>88</v>
      </c>
      <c r="O742" s="53">
        <f>tkj!$AZ$86</f>
        <v>93</v>
      </c>
      <c r="P742" s="54">
        <f>tkj!$BB$86</f>
        <v>89</v>
      </c>
      <c r="Q742" s="54">
        <f>tkj!$BD$86</f>
        <v>83</v>
      </c>
      <c r="R742" s="55"/>
      <c r="S742" s="55"/>
      <c r="T742" s="55"/>
      <c r="U742" s="55"/>
      <c r="V742" s="58"/>
      <c r="X742" s="278">
        <v>86</v>
      </c>
    </row>
    <row r="743" spans="1:24" ht="15" thickBot="1">
      <c r="A743" s="268">
        <v>82</v>
      </c>
      <c r="B743" s="271"/>
      <c r="C743" s="274"/>
      <c r="D743" s="52" t="s">
        <v>296</v>
      </c>
      <c r="E743" s="53">
        <f>tkj!$G$86</f>
        <v>87</v>
      </c>
      <c r="F743" s="53">
        <f>tkj!$M$86</f>
        <v>95</v>
      </c>
      <c r="G743" s="53">
        <f>tkj!$S$86</f>
        <v>85</v>
      </c>
      <c r="H743" s="53">
        <f>tkj!$Y$86</f>
        <v>84</v>
      </c>
      <c r="I743" s="53">
        <f>tkj!$AC$86</f>
        <v>83</v>
      </c>
      <c r="J743" s="59"/>
      <c r="K743" s="54">
        <f>tkj!$AI$86</f>
        <v>75</v>
      </c>
      <c r="L743" s="55"/>
      <c r="M743" s="53">
        <f>tkj!$AO$86</f>
        <v>84</v>
      </c>
      <c r="N743" s="53">
        <f>tkj!$AU$86</f>
        <v>88</v>
      </c>
      <c r="O743" s="59"/>
      <c r="P743" s="55"/>
      <c r="Q743" s="55"/>
      <c r="R743" s="54">
        <f>tkj!$BQ$86</f>
        <v>81</v>
      </c>
      <c r="S743" s="54">
        <f>tkj!$BU$86</f>
        <v>87</v>
      </c>
      <c r="T743" s="55"/>
      <c r="U743" s="54">
        <f>tkj!$BZ$86</f>
        <v>79</v>
      </c>
      <c r="V743" s="58"/>
      <c r="X743" s="278">
        <v>86</v>
      </c>
    </row>
    <row r="744" spans="1:24" ht="15" thickBot="1">
      <c r="A744" s="268">
        <v>82</v>
      </c>
      <c r="B744" s="271"/>
      <c r="C744" s="274"/>
      <c r="D744" s="62" t="s">
        <v>297</v>
      </c>
      <c r="E744" s="53">
        <f>tkj!$H$86</f>
        <v>83</v>
      </c>
      <c r="F744" s="53">
        <f>tkj!$N$86</f>
        <v>94</v>
      </c>
      <c r="G744" s="53">
        <f>tkj!$T$86</f>
        <v>86</v>
      </c>
      <c r="H744" s="53">
        <f>tkj!$Z$86</f>
        <v>86</v>
      </c>
      <c r="I744" s="53">
        <f>tkj!$AD$86</f>
        <v>84</v>
      </c>
      <c r="J744" s="59"/>
      <c r="K744" s="54">
        <f>tkj!$AJ$86</f>
        <v>84</v>
      </c>
      <c r="L744" s="55"/>
      <c r="M744" s="53">
        <f>tkj!$AP$86</f>
        <v>85</v>
      </c>
      <c r="N744" s="53">
        <f>tkj!$AV$86</f>
        <v>86</v>
      </c>
      <c r="O744" s="59"/>
      <c r="P744" s="55"/>
      <c r="Q744" s="55"/>
      <c r="R744" s="54">
        <f>tkj!$BR$86</f>
        <v>90</v>
      </c>
      <c r="S744" s="54">
        <f>tkj!$BV$86</f>
        <v>87</v>
      </c>
      <c r="T744" s="63"/>
      <c r="U744" s="54">
        <f>tkj!$CA$86</f>
        <v>91</v>
      </c>
      <c r="V744" s="58"/>
      <c r="X744" s="278">
        <v>86</v>
      </c>
    </row>
    <row r="745" spans="1:24">
      <c r="A745" s="268">
        <v>82</v>
      </c>
      <c r="B745" s="271"/>
      <c r="C745" s="274"/>
      <c r="D745" s="62" t="s">
        <v>298</v>
      </c>
      <c r="E745" s="53">
        <f>tkj!$I$86</f>
        <v>89</v>
      </c>
      <c r="F745" s="53">
        <f>tkj!$O$86</f>
        <v>95</v>
      </c>
      <c r="G745" s="53">
        <f>tkj!$U$86</f>
        <v>86</v>
      </c>
      <c r="H745" s="65"/>
      <c r="I745" s="65"/>
      <c r="J745" s="59"/>
      <c r="K745" s="59"/>
      <c r="L745" s="53">
        <f>tkj!$AK$86</f>
        <v>88</v>
      </c>
      <c r="M745" s="53">
        <f>tkj!$AQ$86</f>
        <v>93</v>
      </c>
      <c r="N745" s="53">
        <f>tkj!$AW$86</f>
        <v>87</v>
      </c>
      <c r="O745" s="59"/>
      <c r="P745" s="55"/>
      <c r="Q745" s="55"/>
      <c r="R745" s="54">
        <f>tkj!$BS$86</f>
        <v>86.333333333333329</v>
      </c>
      <c r="S745" s="54">
        <f>tkj!$BW$86</f>
        <v>86</v>
      </c>
      <c r="T745" s="54"/>
      <c r="U745" s="54">
        <f>tkj!$CB$86</f>
        <v>81</v>
      </c>
      <c r="V745" s="58"/>
      <c r="X745" s="278">
        <v>86</v>
      </c>
    </row>
    <row r="746" spans="1:24">
      <c r="A746" s="268">
        <v>82</v>
      </c>
      <c r="B746" s="271"/>
      <c r="C746" s="274"/>
      <c r="D746" s="66" t="s">
        <v>299</v>
      </c>
      <c r="E746" s="67">
        <f>AVERAGE(E741:E745)</f>
        <v>89</v>
      </c>
      <c r="F746" s="67">
        <f>AVERAGE(F741:F745)</f>
        <v>91.4</v>
      </c>
      <c r="G746" s="67">
        <f>AVERAGE(G741:G745)</f>
        <v>89.6</v>
      </c>
      <c r="H746" s="68"/>
      <c r="I746" s="68"/>
      <c r="J746" s="69"/>
      <c r="K746" s="69"/>
      <c r="L746" s="67">
        <f>AVERAGE(L741:L745)</f>
        <v>88</v>
      </c>
      <c r="M746" s="67">
        <f>AVERAGE(M741:M745)</f>
        <v>84</v>
      </c>
      <c r="N746" s="67">
        <f>AVERAGE(N741:N745)</f>
        <v>86.8</v>
      </c>
      <c r="O746" s="69"/>
      <c r="P746" s="63"/>
      <c r="Q746" s="63"/>
      <c r="R746" s="84">
        <f>AVERAGE(R743:R745)</f>
        <v>85.777777777777771</v>
      </c>
      <c r="S746" s="84">
        <f>AVERAGE(S743:S745)</f>
        <v>86.666666666666671</v>
      </c>
      <c r="T746" s="63"/>
      <c r="U746" s="84">
        <f>AVERAGE(U741:U745)</f>
        <v>83.666666666666671</v>
      </c>
      <c r="V746" s="58"/>
      <c r="X746" s="278">
        <v>86</v>
      </c>
    </row>
    <row r="747" spans="1:24">
      <c r="A747" s="268">
        <v>82</v>
      </c>
      <c r="B747" s="271"/>
      <c r="C747" s="274"/>
      <c r="D747" s="70" t="s">
        <v>300</v>
      </c>
      <c r="E747" s="71">
        <f>tkj!$J$86</f>
        <v>80</v>
      </c>
      <c r="F747" s="71">
        <f>tkj!$P$86</f>
        <v>80</v>
      </c>
      <c r="G747" s="71">
        <f>tkj!$V$86</f>
        <v>78</v>
      </c>
      <c r="H747" s="72"/>
      <c r="I747" s="72"/>
      <c r="J747" s="73"/>
      <c r="K747" s="73"/>
      <c r="L747" s="71">
        <f>tkj!$AL$86</f>
        <v>78</v>
      </c>
      <c r="M747" s="71">
        <f>tkj!$AR$86</f>
        <v>80</v>
      </c>
      <c r="N747" s="71">
        <f>tkj!$AX$86</f>
        <v>80</v>
      </c>
      <c r="O747" s="73"/>
      <c r="P747" s="74"/>
      <c r="Q747" s="74"/>
      <c r="R747" s="85">
        <f>tkj!$BT$86</f>
        <v>80</v>
      </c>
      <c r="S747" s="85">
        <f>tkj!$BX$86</f>
        <v>80</v>
      </c>
      <c r="T747" s="85">
        <f>tkj!$BY$86</f>
        <v>80</v>
      </c>
      <c r="U747" s="75">
        <f>tkj!$CC$86</f>
        <v>80</v>
      </c>
      <c r="V747" s="58"/>
      <c r="X747" s="278">
        <v>86</v>
      </c>
    </row>
    <row r="748" spans="1:24">
      <c r="A748" s="268">
        <v>82</v>
      </c>
      <c r="B748" s="271"/>
      <c r="C748" s="274"/>
      <c r="D748" s="76" t="s">
        <v>301</v>
      </c>
      <c r="E748" s="77">
        <f>tkj!$CD$86</f>
        <v>92</v>
      </c>
      <c r="F748" s="77">
        <f>tkj!$CE$86</f>
        <v>95</v>
      </c>
      <c r="G748" s="77">
        <f>tkj!$CF$86</f>
        <v>82</v>
      </c>
      <c r="H748" s="72"/>
      <c r="I748" s="72"/>
      <c r="J748" s="73"/>
      <c r="K748" s="73"/>
      <c r="L748" s="77">
        <f>tkj!$CG$86</f>
        <v>92</v>
      </c>
      <c r="M748" s="77">
        <f>tkj!$CH$86</f>
        <v>93</v>
      </c>
      <c r="N748" s="77">
        <f>tkj!$CI$86</f>
        <v>90</v>
      </c>
      <c r="O748" s="73"/>
      <c r="P748" s="74"/>
      <c r="Q748" s="74"/>
      <c r="R748" s="86">
        <f>tkj!$CL$86</f>
        <v>92</v>
      </c>
      <c r="S748" s="86">
        <f>tkj!$CK$86</f>
        <v>85</v>
      </c>
      <c r="T748" s="74"/>
      <c r="U748" s="86">
        <f>tkj!$CJ$86</f>
        <v>90</v>
      </c>
      <c r="V748" s="58"/>
      <c r="X748" s="278">
        <v>86</v>
      </c>
    </row>
    <row r="749" spans="1:24" ht="15" thickBot="1">
      <c r="A749" s="269">
        <v>82</v>
      </c>
      <c r="B749" s="272"/>
      <c r="C749" s="275"/>
      <c r="D749" s="78" t="s">
        <v>302</v>
      </c>
      <c r="E749" s="79">
        <f>(E746*4+E747*3+E748*3)/10</f>
        <v>87.2</v>
      </c>
      <c r="F749" s="79">
        <f t="shared" ref="F749:G749" si="159">(F746*4+F747*3+F748*3)/10</f>
        <v>89.06</v>
      </c>
      <c r="G749" s="79">
        <f t="shared" si="159"/>
        <v>83.84</v>
      </c>
      <c r="H749" s="79">
        <f>AVERAGE(H741:H744)</f>
        <v>84.25</v>
      </c>
      <c r="I749" s="79">
        <f>AVERAGE(I741:I744)</f>
        <v>83.75</v>
      </c>
      <c r="J749" s="79">
        <f>AVERAGE(J741:J742)</f>
        <v>84.5</v>
      </c>
      <c r="K749" s="79">
        <f>AVERAGE(K741:K744)</f>
        <v>79.75</v>
      </c>
      <c r="L749" s="79">
        <f>(L746*4+L747*3+L748*3)/10</f>
        <v>86.2</v>
      </c>
      <c r="M749" s="79">
        <f>(M746*4+M747*3+M748*3)/10</f>
        <v>85.5</v>
      </c>
      <c r="N749" s="79">
        <f>(N746*4+N747*3+N748*3)/10</f>
        <v>85.72</v>
      </c>
      <c r="O749" s="79">
        <f>AVERAGE(O741:O742)</f>
        <v>92.5</v>
      </c>
      <c r="P749" s="79">
        <f>AVERAGE(P741:P742)</f>
        <v>88.5</v>
      </c>
      <c r="Q749" s="79">
        <f>AVERAGE(Q741:Q742)</f>
        <v>82.5</v>
      </c>
      <c r="R749" s="79">
        <f>(R746*4+R747*3+R748*3)/10</f>
        <v>85.911111111111111</v>
      </c>
      <c r="S749" s="79">
        <f>(S746*4+S747*3+S748*3)/10</f>
        <v>84.166666666666671</v>
      </c>
      <c r="T749" s="79">
        <f>T747</f>
        <v>80</v>
      </c>
      <c r="U749" s="79">
        <f t="shared" ref="U749" si="160">(U746*4+U747*3+U748*3)/10</f>
        <v>84.466666666666669</v>
      </c>
      <c r="V749" s="80">
        <f>AVERAGE(E749:U749)</f>
        <v>85.165555555555557</v>
      </c>
      <c r="X749" s="278">
        <v>86</v>
      </c>
    </row>
    <row r="750" spans="1:24" ht="15.6" thickTop="1" thickBot="1">
      <c r="A750" s="268">
        <v>83</v>
      </c>
      <c r="B750" s="270" t="s">
        <v>394</v>
      </c>
      <c r="C750" s="273" t="s">
        <v>219</v>
      </c>
      <c r="D750" s="52" t="s">
        <v>294</v>
      </c>
      <c r="E750" s="53">
        <f>tkj!$E$87</f>
        <v>89</v>
      </c>
      <c r="F750" s="53">
        <f>tkj!$K$87</f>
        <v>84</v>
      </c>
      <c r="G750" s="53">
        <f>tkj!$Q$87</f>
        <v>97</v>
      </c>
      <c r="H750" s="53">
        <f>tkj!$W$87</f>
        <v>82</v>
      </c>
      <c r="I750" s="53">
        <f>tkj!$AA$87</f>
        <v>84</v>
      </c>
      <c r="J750" s="53">
        <f>tkj!$AE$87</f>
        <v>84</v>
      </c>
      <c r="K750" s="54">
        <f>tkj!$AG$87</f>
        <v>83</v>
      </c>
      <c r="L750" s="55"/>
      <c r="M750" s="53">
        <f>tkj!$AM$87</f>
        <v>74</v>
      </c>
      <c r="N750" s="53">
        <f>tkj!$AS$87</f>
        <v>77</v>
      </c>
      <c r="O750" s="53">
        <f>tkj!$AY$87</f>
        <v>89</v>
      </c>
      <c r="P750" s="54">
        <f>tkj!$BA$87</f>
        <v>87</v>
      </c>
      <c r="Q750" s="54">
        <f>tkj!$BC$87</f>
        <v>73</v>
      </c>
      <c r="R750" s="55"/>
      <c r="S750" s="55"/>
      <c r="T750" s="55"/>
      <c r="U750" s="55"/>
      <c r="V750" s="56"/>
      <c r="X750" s="278">
        <v>87</v>
      </c>
    </row>
    <row r="751" spans="1:24" ht="15" thickBot="1">
      <c r="A751" s="268">
        <v>83</v>
      </c>
      <c r="B751" s="271"/>
      <c r="C751" s="274"/>
      <c r="D751" s="52" t="s">
        <v>295</v>
      </c>
      <c r="E751" s="53">
        <f>tkj!$F$87</f>
        <v>90</v>
      </c>
      <c r="F751" s="53">
        <f>tkj!$L$87</f>
        <v>83</v>
      </c>
      <c r="G751" s="53">
        <f>tkj!$R$87</f>
        <v>88</v>
      </c>
      <c r="H751" s="53">
        <f>tkj!$X$87</f>
        <v>85</v>
      </c>
      <c r="I751" s="53">
        <f>tkj!$AB$87</f>
        <v>80</v>
      </c>
      <c r="J751" s="53">
        <f>tkj!$AF$87</f>
        <v>85</v>
      </c>
      <c r="K751" s="54">
        <f>tkj!$AH$87</f>
        <v>82</v>
      </c>
      <c r="L751" s="55"/>
      <c r="M751" s="53">
        <f>tkj!$AN$87</f>
        <v>75</v>
      </c>
      <c r="N751" s="53">
        <f>tkj!$AT$87</f>
        <v>80</v>
      </c>
      <c r="O751" s="53">
        <f>tkj!$AZ$87</f>
        <v>84</v>
      </c>
      <c r="P751" s="54">
        <f>tkj!$BB$87</f>
        <v>85</v>
      </c>
      <c r="Q751" s="54">
        <f>tkj!$BD$87</f>
        <v>80</v>
      </c>
      <c r="R751" s="55"/>
      <c r="S751" s="55"/>
      <c r="T751" s="55"/>
      <c r="U751" s="55"/>
      <c r="V751" s="58"/>
      <c r="X751" s="278">
        <v>87</v>
      </c>
    </row>
    <row r="752" spans="1:24" ht="15" thickBot="1">
      <c r="A752" s="268">
        <v>83</v>
      </c>
      <c r="B752" s="271"/>
      <c r="C752" s="274"/>
      <c r="D752" s="52" t="s">
        <v>296</v>
      </c>
      <c r="E752" s="53">
        <f>tkj!$G$87</f>
        <v>89</v>
      </c>
      <c r="F752" s="53">
        <f>tkj!$M$87</f>
        <v>86</v>
      </c>
      <c r="G752" s="53">
        <f>tkj!$S$87</f>
        <v>80</v>
      </c>
      <c r="H752" s="53">
        <f>tkj!$Y$87</f>
        <v>82</v>
      </c>
      <c r="I752" s="53">
        <f>tkj!$AC$87</f>
        <v>83</v>
      </c>
      <c r="J752" s="59"/>
      <c r="K752" s="54">
        <f>tkj!$AI$87</f>
        <v>75</v>
      </c>
      <c r="L752" s="55"/>
      <c r="M752" s="53">
        <f>tkj!$AO$87</f>
        <v>78</v>
      </c>
      <c r="N752" s="53">
        <f>tkj!$AU$87</f>
        <v>80</v>
      </c>
      <c r="O752" s="59"/>
      <c r="P752" s="55"/>
      <c r="Q752" s="55"/>
      <c r="R752" s="54">
        <f>tkj!$BQ$87</f>
        <v>79</v>
      </c>
      <c r="S752" s="54">
        <f>tkj!$BU$87</f>
        <v>87</v>
      </c>
      <c r="T752" s="55"/>
      <c r="U752" s="54">
        <f>tkj!$BZ$87</f>
        <v>71</v>
      </c>
      <c r="V752" s="58"/>
      <c r="X752" s="278">
        <v>87</v>
      </c>
    </row>
    <row r="753" spans="1:24" ht="15" thickBot="1">
      <c r="A753" s="268">
        <v>83</v>
      </c>
      <c r="B753" s="271"/>
      <c r="C753" s="274"/>
      <c r="D753" s="62" t="s">
        <v>297</v>
      </c>
      <c r="E753" s="53">
        <f>tkj!$H$87</f>
        <v>90</v>
      </c>
      <c r="F753" s="53">
        <f>tkj!$N$87</f>
        <v>86</v>
      </c>
      <c r="G753" s="53">
        <f>tkj!$T$87</f>
        <v>87</v>
      </c>
      <c r="H753" s="53">
        <f>tkj!$Z$87</f>
        <v>85</v>
      </c>
      <c r="I753" s="53">
        <f>tkj!$AD$87</f>
        <v>84</v>
      </c>
      <c r="J753" s="59"/>
      <c r="K753" s="54">
        <f>tkj!$AJ$87</f>
        <v>84</v>
      </c>
      <c r="L753" s="55"/>
      <c r="M753" s="53">
        <f>tkj!$AP$87</f>
        <v>79</v>
      </c>
      <c r="N753" s="53">
        <f>tkj!$AV$87</f>
        <v>80</v>
      </c>
      <c r="O753" s="59"/>
      <c r="P753" s="55"/>
      <c r="Q753" s="55"/>
      <c r="R753" s="54">
        <f>tkj!$BR$87</f>
        <v>84</v>
      </c>
      <c r="S753" s="54">
        <f>tkj!$BV$87</f>
        <v>85</v>
      </c>
      <c r="T753" s="63"/>
      <c r="U753" s="54">
        <f>tkj!$CA$87</f>
        <v>83</v>
      </c>
      <c r="V753" s="58"/>
      <c r="X753" s="278">
        <v>87</v>
      </c>
    </row>
    <row r="754" spans="1:24">
      <c r="A754" s="268">
        <v>83</v>
      </c>
      <c r="B754" s="271"/>
      <c r="C754" s="274"/>
      <c r="D754" s="62" t="s">
        <v>298</v>
      </c>
      <c r="E754" s="53">
        <f>tkj!$I$87</f>
        <v>89</v>
      </c>
      <c r="F754" s="53">
        <f>tkj!$O$87</f>
        <v>91</v>
      </c>
      <c r="G754" s="53">
        <f>tkj!$U$87</f>
        <v>80</v>
      </c>
      <c r="H754" s="65"/>
      <c r="I754" s="65"/>
      <c r="J754" s="59"/>
      <c r="K754" s="59"/>
      <c r="L754" s="53">
        <f>tkj!$AK$87</f>
        <v>82</v>
      </c>
      <c r="M754" s="53">
        <f>tkj!$AQ$87</f>
        <v>80</v>
      </c>
      <c r="N754" s="53">
        <f>tkj!$AW$87</f>
        <v>80</v>
      </c>
      <c r="O754" s="59"/>
      <c r="P754" s="55"/>
      <c r="Q754" s="55"/>
      <c r="R754" s="54">
        <f>tkj!$BS$87</f>
        <v>86</v>
      </c>
      <c r="S754" s="54">
        <f>tkj!$BW$87</f>
        <v>85</v>
      </c>
      <c r="T754" s="54"/>
      <c r="U754" s="54">
        <f>tkj!$CB$87</f>
        <v>75</v>
      </c>
      <c r="V754" s="58"/>
      <c r="X754" s="278">
        <v>87</v>
      </c>
    </row>
    <row r="755" spans="1:24">
      <c r="A755" s="268">
        <v>83</v>
      </c>
      <c r="B755" s="271"/>
      <c r="C755" s="274"/>
      <c r="D755" s="66" t="s">
        <v>299</v>
      </c>
      <c r="E755" s="67">
        <f>AVERAGE(E750:E754)</f>
        <v>89.4</v>
      </c>
      <c r="F755" s="67">
        <f>AVERAGE(F750:F754)</f>
        <v>86</v>
      </c>
      <c r="G755" s="67">
        <f>AVERAGE(G750:G754)</f>
        <v>86.4</v>
      </c>
      <c r="H755" s="68"/>
      <c r="I755" s="68"/>
      <c r="J755" s="69"/>
      <c r="K755" s="69"/>
      <c r="L755" s="67">
        <f>AVERAGE(L750:L754)</f>
        <v>82</v>
      </c>
      <c r="M755" s="67">
        <f>AVERAGE(M750:M754)</f>
        <v>77.2</v>
      </c>
      <c r="N755" s="67">
        <f>AVERAGE(N750:N754)</f>
        <v>79.400000000000006</v>
      </c>
      <c r="O755" s="69"/>
      <c r="P755" s="63"/>
      <c r="Q755" s="63"/>
      <c r="R755" s="84">
        <f>AVERAGE(R752:R754)</f>
        <v>83</v>
      </c>
      <c r="S755" s="84">
        <f>AVERAGE(S752:S754)</f>
        <v>85.666666666666671</v>
      </c>
      <c r="T755" s="63"/>
      <c r="U755" s="84">
        <f>AVERAGE(U750:U754)</f>
        <v>76.333333333333329</v>
      </c>
      <c r="V755" s="58"/>
      <c r="X755" s="278">
        <v>87</v>
      </c>
    </row>
    <row r="756" spans="1:24">
      <c r="A756" s="268">
        <v>83</v>
      </c>
      <c r="B756" s="271"/>
      <c r="C756" s="274"/>
      <c r="D756" s="70" t="s">
        <v>300</v>
      </c>
      <c r="E756" s="71">
        <f>tkj!$J$87</f>
        <v>85</v>
      </c>
      <c r="F756" s="71">
        <f>tkj!$P$87</f>
        <v>85</v>
      </c>
      <c r="G756" s="71">
        <f>tkj!$V$87</f>
        <v>78</v>
      </c>
      <c r="H756" s="72"/>
      <c r="I756" s="72"/>
      <c r="J756" s="73"/>
      <c r="K756" s="73"/>
      <c r="L756" s="71">
        <f>tkj!$AL$87</f>
        <v>78</v>
      </c>
      <c r="M756" s="71">
        <f>tkj!$AR$87</f>
        <v>74</v>
      </c>
      <c r="N756" s="71">
        <f>tkj!$AX$87</f>
        <v>74</v>
      </c>
      <c r="O756" s="73"/>
      <c r="P756" s="74"/>
      <c r="Q756" s="74"/>
      <c r="R756" s="85">
        <f>tkj!$BT$87</f>
        <v>82</v>
      </c>
      <c r="S756" s="85">
        <f>tkj!$BX$87</f>
        <v>82</v>
      </c>
      <c r="T756" s="85">
        <f>tkj!$BY$87</f>
        <v>81</v>
      </c>
      <c r="U756" s="75">
        <f>tkj!$CC$87</f>
        <v>74</v>
      </c>
      <c r="V756" s="58"/>
      <c r="X756" s="278">
        <v>87</v>
      </c>
    </row>
    <row r="757" spans="1:24">
      <c r="A757" s="268">
        <v>83</v>
      </c>
      <c r="B757" s="271"/>
      <c r="C757" s="274"/>
      <c r="D757" s="76" t="s">
        <v>301</v>
      </c>
      <c r="E757" s="77">
        <f>tkj!$CD$87</f>
        <v>88</v>
      </c>
      <c r="F757" s="77">
        <f>tkj!$CE$87</f>
        <v>88</v>
      </c>
      <c r="G757" s="77">
        <f>tkj!$CF$87</f>
        <v>84</v>
      </c>
      <c r="H757" s="72"/>
      <c r="I757" s="72"/>
      <c r="J757" s="73"/>
      <c r="K757" s="73"/>
      <c r="L757" s="77">
        <f>tkj!$CG$87</f>
        <v>94</v>
      </c>
      <c r="M757" s="77">
        <f>tkj!$CH$87</f>
        <v>81</v>
      </c>
      <c r="N757" s="77">
        <f>tkj!$CI$87</f>
        <v>83</v>
      </c>
      <c r="O757" s="73"/>
      <c r="P757" s="74"/>
      <c r="Q757" s="74"/>
      <c r="R757" s="86">
        <f>tkj!$CL$87</f>
        <v>70</v>
      </c>
      <c r="S757" s="86">
        <f>tkj!$CK$87</f>
        <v>84</v>
      </c>
      <c r="T757" s="74"/>
      <c r="U757" s="86">
        <f>tkj!$CJ$87</f>
        <v>80</v>
      </c>
      <c r="V757" s="58"/>
      <c r="X757" s="278">
        <v>87</v>
      </c>
    </row>
    <row r="758" spans="1:24" ht="15" thickBot="1">
      <c r="A758" s="269">
        <v>83</v>
      </c>
      <c r="B758" s="272"/>
      <c r="C758" s="275"/>
      <c r="D758" s="78" t="s">
        <v>302</v>
      </c>
      <c r="E758" s="79">
        <f>(E755*4+E756*3+E757*3)/10</f>
        <v>87.66</v>
      </c>
      <c r="F758" s="79">
        <f t="shared" ref="F758:G758" si="161">(F755*4+F756*3+F757*3)/10</f>
        <v>86.3</v>
      </c>
      <c r="G758" s="79">
        <f t="shared" si="161"/>
        <v>83.16</v>
      </c>
      <c r="H758" s="79">
        <f>AVERAGE(H750:H753)</f>
        <v>83.5</v>
      </c>
      <c r="I758" s="79">
        <f>AVERAGE(I750:I753)</f>
        <v>82.75</v>
      </c>
      <c r="J758" s="79">
        <f>AVERAGE(J750:J751)</f>
        <v>84.5</v>
      </c>
      <c r="K758" s="79">
        <f>AVERAGE(K750:K753)</f>
        <v>81</v>
      </c>
      <c r="L758" s="79">
        <f>(L755*4+L756*3+L757*3)/10</f>
        <v>84.4</v>
      </c>
      <c r="M758" s="79">
        <f>(M755*4+M756*3+M757*3)/10</f>
        <v>77.38</v>
      </c>
      <c r="N758" s="79">
        <f>(N755*4+N756*3+N757*3)/10</f>
        <v>78.86</v>
      </c>
      <c r="O758" s="79">
        <f>AVERAGE(O750:O751)</f>
        <v>86.5</v>
      </c>
      <c r="P758" s="79">
        <f>AVERAGE(P750:P751)</f>
        <v>86</v>
      </c>
      <c r="Q758" s="79">
        <f>AVERAGE(Q750:Q751)</f>
        <v>76.5</v>
      </c>
      <c r="R758" s="79">
        <f>(R755*4+R756*3+R757*3)/10</f>
        <v>78.8</v>
      </c>
      <c r="S758" s="79">
        <f>(S755*4+S756*3+S757*3)/10</f>
        <v>84.066666666666677</v>
      </c>
      <c r="T758" s="79">
        <f>T756</f>
        <v>81</v>
      </c>
      <c r="U758" s="79">
        <f t="shared" ref="U758" si="162">(U755*4+U756*3+U757*3)/10</f>
        <v>76.73333333333332</v>
      </c>
      <c r="V758" s="80">
        <f>AVERAGE(E758:U758)</f>
        <v>82.300588235294114</v>
      </c>
      <c r="X758" s="278">
        <v>87</v>
      </c>
    </row>
    <row r="759" spans="1:24" ht="15.6" thickTop="1" thickBot="1">
      <c r="A759" s="268">
        <v>84</v>
      </c>
      <c r="B759" s="270" t="s">
        <v>395</v>
      </c>
      <c r="C759" s="273" t="s">
        <v>221</v>
      </c>
      <c r="D759" s="52" t="s">
        <v>294</v>
      </c>
      <c r="E759" s="53">
        <f>tkj!$E$88</f>
        <v>96</v>
      </c>
      <c r="F759" s="53">
        <f>tkj!$K$88</f>
        <v>86</v>
      </c>
      <c r="G759" s="53">
        <f>tkj!$Q$88</f>
        <v>92</v>
      </c>
      <c r="H759" s="53">
        <f>tkj!$W$88</f>
        <v>80</v>
      </c>
      <c r="I759" s="53">
        <f>tkj!$AA$88</f>
        <v>88</v>
      </c>
      <c r="J759" s="53">
        <f>tkj!$AE$88</f>
        <v>84</v>
      </c>
      <c r="K759" s="54">
        <f>tkj!$AG$88</f>
        <v>87</v>
      </c>
      <c r="L759" s="55"/>
      <c r="M759" s="53">
        <f>tkj!$AM$88</f>
        <v>72</v>
      </c>
      <c r="N759" s="53">
        <f>tkj!$AS$88</f>
        <v>78</v>
      </c>
      <c r="O759" s="53">
        <f>tkj!$AY$88</f>
        <v>92</v>
      </c>
      <c r="P759" s="54">
        <f>tkj!$BA$88</f>
        <v>92</v>
      </c>
      <c r="Q759" s="54">
        <f>tkj!$BC$88</f>
        <v>76</v>
      </c>
      <c r="R759" s="55"/>
      <c r="S759" s="55"/>
      <c r="T759" s="55"/>
      <c r="U759" s="55"/>
      <c r="V759" s="56"/>
      <c r="X759" s="278">
        <v>88</v>
      </c>
    </row>
    <row r="760" spans="1:24" ht="15" thickBot="1">
      <c r="A760" s="268">
        <v>84</v>
      </c>
      <c r="B760" s="271"/>
      <c r="C760" s="274"/>
      <c r="D760" s="52" t="s">
        <v>295</v>
      </c>
      <c r="E760" s="53">
        <f>tkj!$F$88</f>
        <v>92</v>
      </c>
      <c r="F760" s="53">
        <f>tkj!$L$88</f>
        <v>89</v>
      </c>
      <c r="G760" s="53">
        <f>tkj!$R$88</f>
        <v>96</v>
      </c>
      <c r="H760" s="53">
        <f>tkj!$X$88</f>
        <v>84</v>
      </c>
      <c r="I760" s="53">
        <f>tkj!$AB$88</f>
        <v>85</v>
      </c>
      <c r="J760" s="53">
        <f>tkj!$AF$88</f>
        <v>85</v>
      </c>
      <c r="K760" s="54">
        <f>tkj!$AH$88</f>
        <v>83</v>
      </c>
      <c r="L760" s="55"/>
      <c r="M760" s="53">
        <f>tkj!$AN$88</f>
        <v>73</v>
      </c>
      <c r="N760" s="53">
        <f>tkj!$AT$88</f>
        <v>80</v>
      </c>
      <c r="O760" s="53">
        <f>tkj!$AZ$88</f>
        <v>89</v>
      </c>
      <c r="P760" s="54">
        <f>tkj!$BB$88</f>
        <v>87</v>
      </c>
      <c r="Q760" s="54">
        <f>tkj!$BD$88</f>
        <v>80</v>
      </c>
      <c r="R760" s="55"/>
      <c r="S760" s="55"/>
      <c r="T760" s="55"/>
      <c r="U760" s="55"/>
      <c r="V760" s="58"/>
      <c r="X760" s="278">
        <v>88</v>
      </c>
    </row>
    <row r="761" spans="1:24" ht="15" thickBot="1">
      <c r="A761" s="268">
        <v>84</v>
      </c>
      <c r="B761" s="271"/>
      <c r="C761" s="274"/>
      <c r="D761" s="52" t="s">
        <v>296</v>
      </c>
      <c r="E761" s="53">
        <f>tkj!$G$88</f>
        <v>88</v>
      </c>
      <c r="F761" s="53">
        <f>tkj!$M$88</f>
        <v>86</v>
      </c>
      <c r="G761" s="53">
        <f>tkj!$S$88</f>
        <v>87</v>
      </c>
      <c r="H761" s="53">
        <f>tkj!$Y$88</f>
        <v>81</v>
      </c>
      <c r="I761" s="53">
        <f>tkj!$AC$88</f>
        <v>85</v>
      </c>
      <c r="J761" s="59"/>
      <c r="K761" s="54">
        <f>tkj!$AI$88</f>
        <v>81</v>
      </c>
      <c r="L761" s="55"/>
      <c r="M761" s="53">
        <f>tkj!$AO$88</f>
        <v>79</v>
      </c>
      <c r="N761" s="53">
        <f>tkj!$AU$88</f>
        <v>80</v>
      </c>
      <c r="O761" s="59"/>
      <c r="P761" s="55"/>
      <c r="Q761" s="55"/>
      <c r="R761" s="54">
        <f>tkj!$BQ$88</f>
        <v>80</v>
      </c>
      <c r="S761" s="54">
        <f>tkj!$BU$88</f>
        <v>88</v>
      </c>
      <c r="T761" s="55"/>
      <c r="U761" s="54">
        <f>tkj!$BZ$88</f>
        <v>74</v>
      </c>
      <c r="V761" s="58"/>
      <c r="X761" s="278">
        <v>88</v>
      </c>
    </row>
    <row r="762" spans="1:24" ht="15" thickBot="1">
      <c r="A762" s="268">
        <v>84</v>
      </c>
      <c r="B762" s="271"/>
      <c r="C762" s="274"/>
      <c r="D762" s="62" t="s">
        <v>297</v>
      </c>
      <c r="E762" s="53">
        <f>tkj!$H$88</f>
        <v>83</v>
      </c>
      <c r="F762" s="53">
        <f>tkj!$N$88</f>
        <v>89</v>
      </c>
      <c r="G762" s="53">
        <f>tkj!$T$88</f>
        <v>92</v>
      </c>
      <c r="H762" s="53">
        <f>tkj!$Z$88</f>
        <v>84</v>
      </c>
      <c r="I762" s="53">
        <f>tkj!$AD$88</f>
        <v>86</v>
      </c>
      <c r="J762" s="59"/>
      <c r="K762" s="54">
        <f>tkj!$AJ$88</f>
        <v>86</v>
      </c>
      <c r="L762" s="55"/>
      <c r="M762" s="53">
        <f>tkj!$AP$88</f>
        <v>80</v>
      </c>
      <c r="N762" s="53">
        <f>tkj!$AV$88</f>
        <v>84</v>
      </c>
      <c r="O762" s="59"/>
      <c r="P762" s="55"/>
      <c r="Q762" s="55"/>
      <c r="R762" s="54">
        <f>tkj!$BR$88</f>
        <v>83.333333333333329</v>
      </c>
      <c r="S762" s="54">
        <f>tkj!$BV$88</f>
        <v>92</v>
      </c>
      <c r="T762" s="63"/>
      <c r="U762" s="54">
        <f>tkj!$CA$88</f>
        <v>89</v>
      </c>
      <c r="V762" s="58"/>
      <c r="X762" s="278">
        <v>88</v>
      </c>
    </row>
    <row r="763" spans="1:24">
      <c r="A763" s="268">
        <v>84</v>
      </c>
      <c r="B763" s="271"/>
      <c r="C763" s="274"/>
      <c r="D763" s="62" t="s">
        <v>298</v>
      </c>
      <c r="E763" s="53">
        <f>tkj!$I$88</f>
        <v>86</v>
      </c>
      <c r="F763" s="53">
        <f>tkj!$O$88</f>
        <v>93</v>
      </c>
      <c r="G763" s="53">
        <f>tkj!$U$88</f>
        <v>90</v>
      </c>
      <c r="H763" s="65"/>
      <c r="I763" s="65"/>
      <c r="J763" s="59"/>
      <c r="K763" s="59"/>
      <c r="L763" s="53">
        <f>tkj!$AK$88</f>
        <v>84</v>
      </c>
      <c r="M763" s="53">
        <f>tkj!$AQ$88</f>
        <v>82</v>
      </c>
      <c r="N763" s="53">
        <f>tkj!$AW$88</f>
        <v>85</v>
      </c>
      <c r="O763" s="59"/>
      <c r="P763" s="55"/>
      <c r="Q763" s="55"/>
      <c r="R763" s="54">
        <f>tkj!$BS$88</f>
        <v>83.666666666666671</v>
      </c>
      <c r="S763" s="54">
        <f>tkj!$BW$88</f>
        <v>82</v>
      </c>
      <c r="T763" s="54"/>
      <c r="U763" s="54">
        <f>tkj!$CB$88</f>
        <v>75</v>
      </c>
      <c r="V763" s="58"/>
      <c r="X763" s="278">
        <v>88</v>
      </c>
    </row>
    <row r="764" spans="1:24">
      <c r="A764" s="268">
        <v>84</v>
      </c>
      <c r="B764" s="271"/>
      <c r="C764" s="274"/>
      <c r="D764" s="66" t="s">
        <v>299</v>
      </c>
      <c r="E764" s="67">
        <f>AVERAGE(E759:E763)</f>
        <v>89</v>
      </c>
      <c r="F764" s="67">
        <f>AVERAGE(F759:F763)</f>
        <v>88.6</v>
      </c>
      <c r="G764" s="67">
        <f>AVERAGE(G759:G763)</f>
        <v>91.4</v>
      </c>
      <c r="H764" s="68"/>
      <c r="I764" s="68"/>
      <c r="J764" s="69"/>
      <c r="K764" s="69"/>
      <c r="L764" s="67">
        <f>AVERAGE(L759:L763)</f>
        <v>84</v>
      </c>
      <c r="M764" s="67">
        <f>AVERAGE(M759:M763)</f>
        <v>77.2</v>
      </c>
      <c r="N764" s="67">
        <f>AVERAGE(N759:N763)</f>
        <v>81.400000000000006</v>
      </c>
      <c r="O764" s="69"/>
      <c r="P764" s="63"/>
      <c r="Q764" s="63"/>
      <c r="R764" s="84">
        <f>AVERAGE(R761:R763)</f>
        <v>82.333333333333329</v>
      </c>
      <c r="S764" s="84">
        <f>AVERAGE(S761:S763)</f>
        <v>87.333333333333329</v>
      </c>
      <c r="T764" s="63"/>
      <c r="U764" s="84">
        <f>AVERAGE(U759:U763)</f>
        <v>79.333333333333329</v>
      </c>
      <c r="V764" s="58"/>
      <c r="X764" s="278">
        <v>88</v>
      </c>
    </row>
    <row r="765" spans="1:24">
      <c r="A765" s="268">
        <v>84</v>
      </c>
      <c r="B765" s="271"/>
      <c r="C765" s="274"/>
      <c r="D765" s="70" t="s">
        <v>300</v>
      </c>
      <c r="E765" s="71">
        <f>tkj!$J$88</f>
        <v>86</v>
      </c>
      <c r="F765" s="71">
        <f>tkj!$P$88</f>
        <v>87</v>
      </c>
      <c r="G765" s="71">
        <f>tkj!$V$88</f>
        <v>82</v>
      </c>
      <c r="H765" s="72"/>
      <c r="I765" s="72"/>
      <c r="J765" s="73"/>
      <c r="K765" s="73"/>
      <c r="L765" s="71">
        <f>tkj!$AL$88</f>
        <v>82</v>
      </c>
      <c r="M765" s="71">
        <f>tkj!$AR$88</f>
        <v>86</v>
      </c>
      <c r="N765" s="71">
        <f>tkj!$AX$88</f>
        <v>86</v>
      </c>
      <c r="O765" s="73"/>
      <c r="P765" s="74"/>
      <c r="Q765" s="74"/>
      <c r="R765" s="85">
        <f>tkj!$BT$88</f>
        <v>87</v>
      </c>
      <c r="S765" s="85">
        <f>tkj!$BX$88</f>
        <v>87</v>
      </c>
      <c r="T765" s="85">
        <f>tkj!$BY$88</f>
        <v>86</v>
      </c>
      <c r="U765" s="75">
        <f>tkj!$CC$88</f>
        <v>86</v>
      </c>
      <c r="V765" s="58"/>
      <c r="X765" s="278">
        <v>88</v>
      </c>
    </row>
    <row r="766" spans="1:24">
      <c r="A766" s="268">
        <v>84</v>
      </c>
      <c r="B766" s="271"/>
      <c r="C766" s="274"/>
      <c r="D766" s="76" t="s">
        <v>301</v>
      </c>
      <c r="E766" s="77">
        <f>tkj!$CD$88</f>
        <v>88</v>
      </c>
      <c r="F766" s="77">
        <f>tkj!$CE$88</f>
        <v>90</v>
      </c>
      <c r="G766" s="77">
        <f>tkj!$CF$88</f>
        <v>88</v>
      </c>
      <c r="H766" s="72"/>
      <c r="I766" s="72"/>
      <c r="J766" s="73"/>
      <c r="K766" s="73"/>
      <c r="L766" s="77">
        <f>tkj!$CG$88</f>
        <v>90</v>
      </c>
      <c r="M766" s="77">
        <f>tkj!$CH$88</f>
        <v>82</v>
      </c>
      <c r="N766" s="77">
        <f>tkj!$CI$88</f>
        <v>85</v>
      </c>
      <c r="O766" s="73"/>
      <c r="P766" s="74"/>
      <c r="Q766" s="74"/>
      <c r="R766" s="86">
        <f>tkj!$CL$88</f>
        <v>92</v>
      </c>
      <c r="S766" s="86">
        <f>tkj!$CK$88</f>
        <v>89</v>
      </c>
      <c r="T766" s="74"/>
      <c r="U766" s="86">
        <f>tkj!$CJ$88</f>
        <v>80</v>
      </c>
      <c r="V766" s="58"/>
      <c r="X766" s="278">
        <v>88</v>
      </c>
    </row>
    <row r="767" spans="1:24" ht="15" thickBot="1">
      <c r="A767" s="269">
        <v>84</v>
      </c>
      <c r="B767" s="272"/>
      <c r="C767" s="275"/>
      <c r="D767" s="78" t="s">
        <v>302</v>
      </c>
      <c r="E767" s="79">
        <f>(E764*4+E765*3+E766*3)/10</f>
        <v>87.8</v>
      </c>
      <c r="F767" s="79">
        <f t="shared" ref="F767:G767" si="163">(F764*4+F765*3+F766*3)/10</f>
        <v>88.539999999999992</v>
      </c>
      <c r="G767" s="79">
        <f t="shared" si="163"/>
        <v>87.56</v>
      </c>
      <c r="H767" s="79">
        <f>AVERAGE(H759:H762)</f>
        <v>82.25</v>
      </c>
      <c r="I767" s="79">
        <f>AVERAGE(I759:I762)</f>
        <v>86</v>
      </c>
      <c r="J767" s="79">
        <f>AVERAGE(J759:J760)</f>
        <v>84.5</v>
      </c>
      <c r="K767" s="79">
        <f>AVERAGE(K759:K762)</f>
        <v>84.25</v>
      </c>
      <c r="L767" s="79">
        <f>(L764*4+L765*3+L766*3)/10</f>
        <v>85.2</v>
      </c>
      <c r="M767" s="79">
        <f>(M764*4+M765*3+M766*3)/10</f>
        <v>81.28</v>
      </c>
      <c r="N767" s="79">
        <f>(N764*4+N765*3+N766*3)/10</f>
        <v>83.86</v>
      </c>
      <c r="O767" s="79">
        <f>AVERAGE(O759:O760)</f>
        <v>90.5</v>
      </c>
      <c r="P767" s="79">
        <f>AVERAGE(P759:P760)</f>
        <v>89.5</v>
      </c>
      <c r="Q767" s="79">
        <f>AVERAGE(Q759:Q760)</f>
        <v>78</v>
      </c>
      <c r="R767" s="79">
        <f>(R764*4+R765*3+R766*3)/10</f>
        <v>86.633333333333326</v>
      </c>
      <c r="S767" s="79">
        <f>(S764*4+S765*3+S766*3)/10</f>
        <v>87.73333333333332</v>
      </c>
      <c r="T767" s="79">
        <f>T765</f>
        <v>86</v>
      </c>
      <c r="U767" s="79">
        <f t="shared" ref="U767" si="164">(U764*4+U765*3+U766*3)/10</f>
        <v>81.533333333333331</v>
      </c>
      <c r="V767" s="80">
        <f>AVERAGE(E767:U767)</f>
        <v>85.361176470588248</v>
      </c>
      <c r="X767" s="278">
        <v>88</v>
      </c>
    </row>
    <row r="768" spans="1:24" ht="15.6" thickTop="1" thickBot="1">
      <c r="A768" s="268">
        <v>85</v>
      </c>
      <c r="B768" s="270" t="s">
        <v>396</v>
      </c>
      <c r="C768" s="273" t="s">
        <v>223</v>
      </c>
      <c r="D768" s="52" t="s">
        <v>294</v>
      </c>
      <c r="E768" s="53">
        <f>tkj!$E$89</f>
        <v>80</v>
      </c>
      <c r="F768" s="53">
        <f>tkj!$K$89</f>
        <v>84</v>
      </c>
      <c r="G768" s="53">
        <f>tkj!$Q$89</f>
        <v>87</v>
      </c>
      <c r="H768" s="53">
        <f>tkj!$W$89</f>
        <v>82</v>
      </c>
      <c r="I768" s="53">
        <f>tkj!$AA$89</f>
        <v>81</v>
      </c>
      <c r="J768" s="53">
        <f>tkj!$AE$89</f>
        <v>82</v>
      </c>
      <c r="K768" s="54">
        <f>tkj!$AG$89</f>
        <v>78</v>
      </c>
      <c r="L768" s="55"/>
      <c r="M768" s="53">
        <f>tkj!$AM$89</f>
        <v>79</v>
      </c>
      <c r="N768" s="53">
        <f>tkj!$AS$89</f>
        <v>78</v>
      </c>
      <c r="O768" s="53">
        <f>tkj!$AY$89</f>
        <v>92</v>
      </c>
      <c r="P768" s="54">
        <f>tkj!$BA$89</f>
        <v>87</v>
      </c>
      <c r="Q768" s="54">
        <f>tkj!$BC$89</f>
        <v>79</v>
      </c>
      <c r="R768" s="55"/>
      <c r="S768" s="55"/>
      <c r="T768" s="55"/>
      <c r="U768" s="55"/>
      <c r="V768" s="56"/>
      <c r="X768" s="278">
        <v>89</v>
      </c>
    </row>
    <row r="769" spans="1:24" ht="15" thickBot="1">
      <c r="A769" s="268">
        <v>85</v>
      </c>
      <c r="B769" s="271"/>
      <c r="C769" s="274"/>
      <c r="D769" s="52" t="s">
        <v>295</v>
      </c>
      <c r="E769" s="53">
        <f>tkj!$F$89</f>
        <v>81</v>
      </c>
      <c r="F769" s="53">
        <f>tkj!$L$89</f>
        <v>79</v>
      </c>
      <c r="G769" s="53">
        <f>tkj!$R$89</f>
        <v>82</v>
      </c>
      <c r="H769" s="53">
        <f>tkj!$X$89</f>
        <v>84</v>
      </c>
      <c r="I769" s="53">
        <f>tkj!$AB$89</f>
        <v>80</v>
      </c>
      <c r="J769" s="53">
        <f>tkj!$AF$89</f>
        <v>85</v>
      </c>
      <c r="K769" s="54">
        <f>tkj!$AH$89</f>
        <v>78</v>
      </c>
      <c r="L769" s="55"/>
      <c r="M769" s="53">
        <f>tkj!$AN$89</f>
        <v>80</v>
      </c>
      <c r="N769" s="53">
        <f>tkj!$AT$89</f>
        <v>80</v>
      </c>
      <c r="O769" s="53">
        <f>tkj!$AZ$89</f>
        <v>82</v>
      </c>
      <c r="P769" s="54">
        <f>tkj!$BB$89</f>
        <v>86</v>
      </c>
      <c r="Q769" s="54">
        <f>tkj!$BD$89</f>
        <v>80</v>
      </c>
      <c r="R769" s="55"/>
      <c r="S769" s="55"/>
      <c r="T769" s="55"/>
      <c r="U769" s="55"/>
      <c r="V769" s="58"/>
      <c r="X769" s="278">
        <v>89</v>
      </c>
    </row>
    <row r="770" spans="1:24" ht="15" thickBot="1">
      <c r="A770" s="268">
        <v>85</v>
      </c>
      <c r="B770" s="271"/>
      <c r="C770" s="274"/>
      <c r="D770" s="52" t="s">
        <v>296</v>
      </c>
      <c r="E770" s="53">
        <f>tkj!$G$89</f>
        <v>88</v>
      </c>
      <c r="F770" s="53">
        <f>tkj!$M$89</f>
        <v>82</v>
      </c>
      <c r="G770" s="53">
        <f>tkj!$S$89</f>
        <v>76</v>
      </c>
      <c r="H770" s="53">
        <f>tkj!$Y$89</f>
        <v>80</v>
      </c>
      <c r="I770" s="53">
        <f>tkj!$AC$89</f>
        <v>85</v>
      </c>
      <c r="J770" s="59"/>
      <c r="K770" s="54">
        <f>tkj!$AI$89</f>
        <v>76</v>
      </c>
      <c r="L770" s="55"/>
      <c r="M770" s="53">
        <f>tkj!$AO$89</f>
        <v>74</v>
      </c>
      <c r="N770" s="53">
        <f>tkj!$AU$89</f>
        <v>80</v>
      </c>
      <c r="O770" s="59"/>
      <c r="P770" s="55"/>
      <c r="Q770" s="55"/>
      <c r="R770" s="54">
        <f>tkj!$BQ$89</f>
        <v>78</v>
      </c>
      <c r="S770" s="54">
        <f>tkj!$BU$89</f>
        <v>87</v>
      </c>
      <c r="T770" s="55"/>
      <c r="U770" s="54">
        <f>tkj!$BZ$89</f>
        <v>73</v>
      </c>
      <c r="V770" s="58"/>
      <c r="X770" s="278">
        <v>89</v>
      </c>
    </row>
    <row r="771" spans="1:24" ht="15" thickBot="1">
      <c r="A771" s="268">
        <v>85</v>
      </c>
      <c r="B771" s="271"/>
      <c r="C771" s="274"/>
      <c r="D771" s="62" t="s">
        <v>297</v>
      </c>
      <c r="E771" s="53">
        <f>tkj!$H$89</f>
        <v>85</v>
      </c>
      <c r="F771" s="53">
        <f>tkj!$N$89</f>
        <v>84</v>
      </c>
      <c r="G771" s="53">
        <f>tkj!$T$89</f>
        <v>77</v>
      </c>
      <c r="H771" s="53">
        <f>tkj!$Z$89</f>
        <v>84</v>
      </c>
      <c r="I771" s="53">
        <f>tkj!$AD$89</f>
        <v>81</v>
      </c>
      <c r="J771" s="59"/>
      <c r="K771" s="54">
        <f>tkj!$AJ$89</f>
        <v>81</v>
      </c>
      <c r="L771" s="55"/>
      <c r="M771" s="53">
        <f>tkj!$AP$89</f>
        <v>75</v>
      </c>
      <c r="N771" s="53">
        <f>tkj!$AV$89</f>
        <v>80</v>
      </c>
      <c r="O771" s="59"/>
      <c r="P771" s="55"/>
      <c r="Q771" s="55"/>
      <c r="R771" s="54">
        <f>tkj!$BR$89</f>
        <v>83.333333333333329</v>
      </c>
      <c r="S771" s="54">
        <f>tkj!$BV$89</f>
        <v>84</v>
      </c>
      <c r="T771" s="63"/>
      <c r="U771" s="54">
        <f>tkj!$CA$89</f>
        <v>89</v>
      </c>
      <c r="V771" s="58"/>
      <c r="X771" s="278">
        <v>89</v>
      </c>
    </row>
    <row r="772" spans="1:24">
      <c r="A772" s="268">
        <v>85</v>
      </c>
      <c r="B772" s="271"/>
      <c r="C772" s="274"/>
      <c r="D772" s="62" t="s">
        <v>298</v>
      </c>
      <c r="E772" s="53">
        <f>tkj!$I$89</f>
        <v>91</v>
      </c>
      <c r="F772" s="53">
        <f>tkj!$O$89</f>
        <v>89</v>
      </c>
      <c r="G772" s="53">
        <f>tkj!$U$89</f>
        <v>82</v>
      </c>
      <c r="H772" s="65"/>
      <c r="I772" s="65"/>
      <c r="J772" s="59"/>
      <c r="K772" s="59"/>
      <c r="L772" s="53">
        <f>tkj!$AK$89</f>
        <v>80</v>
      </c>
      <c r="M772" s="53">
        <f>tkj!$AQ$89</f>
        <v>79</v>
      </c>
      <c r="N772" s="53">
        <f>tkj!$AW$89</f>
        <v>79</v>
      </c>
      <c r="O772" s="59"/>
      <c r="P772" s="55"/>
      <c r="Q772" s="55"/>
      <c r="R772" s="54">
        <f>tkj!$BS$89</f>
        <v>85.666666666666671</v>
      </c>
      <c r="S772" s="54">
        <f>tkj!$BW$89</f>
        <v>82</v>
      </c>
      <c r="T772" s="54"/>
      <c r="U772" s="54">
        <f>tkj!$CB$89</f>
        <v>73</v>
      </c>
      <c r="V772" s="58"/>
      <c r="X772" s="278">
        <v>89</v>
      </c>
    </row>
    <row r="773" spans="1:24">
      <c r="A773" s="268">
        <v>85</v>
      </c>
      <c r="B773" s="271"/>
      <c r="C773" s="274"/>
      <c r="D773" s="66" t="s">
        <v>299</v>
      </c>
      <c r="E773" s="67">
        <f>AVERAGE(E768:E772)</f>
        <v>85</v>
      </c>
      <c r="F773" s="67">
        <f>AVERAGE(F768:F772)</f>
        <v>83.6</v>
      </c>
      <c r="G773" s="67">
        <f>AVERAGE(G768:G772)</f>
        <v>80.8</v>
      </c>
      <c r="H773" s="68"/>
      <c r="I773" s="68"/>
      <c r="J773" s="69"/>
      <c r="K773" s="69"/>
      <c r="L773" s="67">
        <f>AVERAGE(L768:L772)</f>
        <v>80</v>
      </c>
      <c r="M773" s="67">
        <f>AVERAGE(M768:M772)</f>
        <v>77.400000000000006</v>
      </c>
      <c r="N773" s="67">
        <f>AVERAGE(N768:N772)</f>
        <v>79.400000000000006</v>
      </c>
      <c r="O773" s="69"/>
      <c r="P773" s="63"/>
      <c r="Q773" s="63"/>
      <c r="R773" s="84">
        <f>AVERAGE(R770:R772)</f>
        <v>82.333333333333329</v>
      </c>
      <c r="S773" s="84">
        <f>AVERAGE(S770:S772)</f>
        <v>84.333333333333329</v>
      </c>
      <c r="T773" s="63"/>
      <c r="U773" s="84">
        <f>AVERAGE(U768:U772)</f>
        <v>78.333333333333329</v>
      </c>
      <c r="V773" s="58"/>
      <c r="X773" s="278">
        <v>89</v>
      </c>
    </row>
    <row r="774" spans="1:24">
      <c r="A774" s="268">
        <v>85</v>
      </c>
      <c r="B774" s="271"/>
      <c r="C774" s="274"/>
      <c r="D774" s="70" t="s">
        <v>300</v>
      </c>
      <c r="E774" s="71">
        <f>tkj!$J$89</f>
        <v>70</v>
      </c>
      <c r="F774" s="71">
        <f>tkj!$P$89</f>
        <v>70</v>
      </c>
      <c r="G774" s="71">
        <f>tkj!$V$89</f>
        <v>70</v>
      </c>
      <c r="H774" s="72"/>
      <c r="I774" s="72"/>
      <c r="J774" s="73"/>
      <c r="K774" s="73"/>
      <c r="L774" s="71">
        <f>tkj!$AL$89</f>
        <v>70</v>
      </c>
      <c r="M774" s="71">
        <f>tkj!$AR$89</f>
        <v>75</v>
      </c>
      <c r="N774" s="71">
        <f>tkj!$AX$89</f>
        <v>75</v>
      </c>
      <c r="O774" s="73"/>
      <c r="P774" s="74"/>
      <c r="Q774" s="74"/>
      <c r="R774" s="85">
        <f>tkj!$BT$89</f>
        <v>70</v>
      </c>
      <c r="S774" s="85">
        <f>tkj!$BX$89</f>
        <v>70</v>
      </c>
      <c r="T774" s="85">
        <f>tkj!$BY$89</f>
        <v>71</v>
      </c>
      <c r="U774" s="75">
        <f>tkj!$CC$89</f>
        <v>75</v>
      </c>
      <c r="V774" s="58"/>
      <c r="X774" s="278">
        <v>89</v>
      </c>
    </row>
    <row r="775" spans="1:24">
      <c r="A775" s="268">
        <v>85</v>
      </c>
      <c r="B775" s="271"/>
      <c r="C775" s="274"/>
      <c r="D775" s="76" t="s">
        <v>301</v>
      </c>
      <c r="E775" s="77">
        <f>tkj!$CD$89</f>
        <v>83</v>
      </c>
      <c r="F775" s="77">
        <f>tkj!$CE$89</f>
        <v>85</v>
      </c>
      <c r="G775" s="77">
        <f>tkj!$CF$89</f>
        <v>88</v>
      </c>
      <c r="H775" s="72"/>
      <c r="I775" s="72"/>
      <c r="J775" s="73"/>
      <c r="K775" s="73"/>
      <c r="L775" s="77">
        <f>tkj!$CG$89</f>
        <v>85</v>
      </c>
      <c r="M775" s="77">
        <f>tkj!$CH$89</f>
        <v>79</v>
      </c>
      <c r="N775" s="77">
        <f>tkj!$CI$89</f>
        <v>82</v>
      </c>
      <c r="O775" s="73"/>
      <c r="P775" s="74"/>
      <c r="Q775" s="74"/>
      <c r="R775" s="86">
        <f>tkj!$CL$89</f>
        <v>70</v>
      </c>
      <c r="S775" s="86">
        <f>tkj!$CK$89</f>
        <v>78</v>
      </c>
      <c r="T775" s="74"/>
      <c r="U775" s="86">
        <f>tkj!$CJ$89</f>
        <v>80</v>
      </c>
      <c r="V775" s="58"/>
      <c r="X775" s="278">
        <v>89</v>
      </c>
    </row>
    <row r="776" spans="1:24" ht="15" thickBot="1">
      <c r="A776" s="269">
        <v>85</v>
      </c>
      <c r="B776" s="272"/>
      <c r="C776" s="275"/>
      <c r="D776" s="78" t="s">
        <v>302</v>
      </c>
      <c r="E776" s="79">
        <f>(E773*4+E774*3+E775*3)/10</f>
        <v>79.900000000000006</v>
      </c>
      <c r="F776" s="79">
        <f t="shared" ref="F776:G776" si="165">(F773*4+F774*3+F775*3)/10</f>
        <v>79.94</v>
      </c>
      <c r="G776" s="79">
        <f t="shared" si="165"/>
        <v>79.72</v>
      </c>
      <c r="H776" s="79">
        <f>AVERAGE(H768:H771)</f>
        <v>82.5</v>
      </c>
      <c r="I776" s="79">
        <f>AVERAGE(I768:I771)</f>
        <v>81.75</v>
      </c>
      <c r="J776" s="79">
        <f>AVERAGE(J768:J769)</f>
        <v>83.5</v>
      </c>
      <c r="K776" s="79">
        <f>AVERAGE(K768:K771)</f>
        <v>78.25</v>
      </c>
      <c r="L776" s="79">
        <f>(L773*4+L774*3+L775*3)/10</f>
        <v>78.5</v>
      </c>
      <c r="M776" s="79">
        <f>(M773*4+M774*3+M775*3)/10</f>
        <v>77.16</v>
      </c>
      <c r="N776" s="79">
        <f>(N773*4+N774*3+N775*3)/10</f>
        <v>78.86</v>
      </c>
      <c r="O776" s="79">
        <f>AVERAGE(O768:O769)</f>
        <v>87</v>
      </c>
      <c r="P776" s="79">
        <f>AVERAGE(P768:P769)</f>
        <v>86.5</v>
      </c>
      <c r="Q776" s="79">
        <f>AVERAGE(Q768:Q769)</f>
        <v>79.5</v>
      </c>
      <c r="R776" s="79">
        <f>(R773*4+R774*3+R775*3)/10</f>
        <v>74.933333333333323</v>
      </c>
      <c r="S776" s="79">
        <f>(S773*4+S774*3+S775*3)/10</f>
        <v>78.133333333333326</v>
      </c>
      <c r="T776" s="79">
        <f>T774</f>
        <v>71</v>
      </c>
      <c r="U776" s="79">
        <f t="shared" ref="U776" si="166">(U773*4+U774*3+U775*3)/10</f>
        <v>77.833333333333329</v>
      </c>
      <c r="V776" s="80">
        <f>AVERAGE(E776:U776)</f>
        <v>79.704705882352926</v>
      </c>
      <c r="X776" s="278">
        <v>89</v>
      </c>
    </row>
    <row r="777" spans="1:24" ht="18" customHeight="1" thickTop="1" thickBot="1">
      <c r="A777" s="268">
        <v>86</v>
      </c>
      <c r="B777" s="270" t="s">
        <v>397</v>
      </c>
      <c r="C777" s="273" t="s">
        <v>225</v>
      </c>
      <c r="D777" s="52" t="s">
        <v>294</v>
      </c>
      <c r="E777" s="53">
        <f>tkj!$E$90</f>
        <v>86</v>
      </c>
      <c r="F777" s="53">
        <f>tkj!$K$90</f>
        <v>80</v>
      </c>
      <c r="G777" s="53">
        <f>tkj!$Q$90</f>
        <v>94</v>
      </c>
      <c r="H777" s="53">
        <f>tkj!$W$90</f>
        <v>81</v>
      </c>
      <c r="I777" s="53">
        <f>tkj!$AA$90</f>
        <v>82</v>
      </c>
      <c r="J777" s="53">
        <f>tkj!$AE$90</f>
        <v>85</v>
      </c>
      <c r="K777" s="54">
        <f>tkj!$AG$90</f>
        <v>88</v>
      </c>
      <c r="L777" s="55"/>
      <c r="M777" s="53">
        <f>tkj!$AM$90</f>
        <v>77</v>
      </c>
      <c r="N777" s="53">
        <f>tkj!$AS$90</f>
        <v>76</v>
      </c>
      <c r="O777" s="53">
        <f>tkj!$AY$90</f>
        <v>85</v>
      </c>
      <c r="P777" s="54">
        <f>tkj!$BA$90</f>
        <v>89</v>
      </c>
      <c r="Q777" s="54">
        <f>tkj!$BC$90</f>
        <v>87</v>
      </c>
      <c r="R777" s="55"/>
      <c r="S777" s="55"/>
      <c r="T777" s="55"/>
      <c r="U777" s="55"/>
      <c r="V777" s="56"/>
      <c r="X777" s="278">
        <v>90</v>
      </c>
    </row>
    <row r="778" spans="1:24" ht="15" thickBot="1">
      <c r="A778" s="268">
        <v>86</v>
      </c>
      <c r="B778" s="271"/>
      <c r="C778" s="274"/>
      <c r="D778" s="52" t="s">
        <v>295</v>
      </c>
      <c r="E778" s="53">
        <f>tkj!$F$90</f>
        <v>83</v>
      </c>
      <c r="F778" s="53">
        <f>tkj!$L$90</f>
        <v>88</v>
      </c>
      <c r="G778" s="53">
        <f>tkj!$R$90</f>
        <v>84</v>
      </c>
      <c r="H778" s="53">
        <f>tkj!$X$90</f>
        <v>84</v>
      </c>
      <c r="I778" s="53">
        <f>tkj!$AB$90</f>
        <v>83</v>
      </c>
      <c r="J778" s="53">
        <f>tkj!$AF$90</f>
        <v>85</v>
      </c>
      <c r="K778" s="54">
        <f>tkj!$AH$90</f>
        <v>84</v>
      </c>
      <c r="L778" s="55"/>
      <c r="M778" s="53">
        <f>tkj!$AN$90</f>
        <v>75</v>
      </c>
      <c r="N778" s="53">
        <f>tkj!$AT$90</f>
        <v>84</v>
      </c>
      <c r="O778" s="53">
        <f>tkj!$AZ$90</f>
        <v>91</v>
      </c>
      <c r="P778" s="54">
        <f>tkj!$BB$90</f>
        <v>86</v>
      </c>
      <c r="Q778" s="54">
        <f>tkj!$BD$90</f>
        <v>83</v>
      </c>
      <c r="R778" s="55"/>
      <c r="S778" s="55"/>
      <c r="T778" s="55"/>
      <c r="U778" s="55"/>
      <c r="V778" s="58"/>
      <c r="X778" s="278">
        <v>90</v>
      </c>
    </row>
    <row r="779" spans="1:24" ht="15" thickBot="1">
      <c r="A779" s="268">
        <v>86</v>
      </c>
      <c r="B779" s="271"/>
      <c r="C779" s="274"/>
      <c r="D779" s="52" t="s">
        <v>296</v>
      </c>
      <c r="E779" s="53">
        <f>tkj!$G$90</f>
        <v>90</v>
      </c>
      <c r="F779" s="53">
        <f>tkj!$M$90</f>
        <v>85</v>
      </c>
      <c r="G779" s="53">
        <f>tkj!$S$90</f>
        <v>88</v>
      </c>
      <c r="H779" s="53">
        <f>tkj!$Y$90</f>
        <v>81</v>
      </c>
      <c r="I779" s="53">
        <f>tkj!$AC$90</f>
        <v>84</v>
      </c>
      <c r="J779" s="59"/>
      <c r="K779" s="54">
        <f>tkj!$AI$90</f>
        <v>82</v>
      </c>
      <c r="L779" s="55"/>
      <c r="M779" s="53">
        <f>tkj!$AO$90</f>
        <v>74</v>
      </c>
      <c r="N779" s="53">
        <f>tkj!$AU$90</f>
        <v>82</v>
      </c>
      <c r="O779" s="59"/>
      <c r="P779" s="55"/>
      <c r="Q779" s="55"/>
      <c r="R779" s="54">
        <f>tkj!$BQ$90</f>
        <v>76.666666666666671</v>
      </c>
      <c r="S779" s="54">
        <f>tkj!$BU$90</f>
        <v>88</v>
      </c>
      <c r="T779" s="55"/>
      <c r="U779" s="54">
        <f>tkj!$BZ$90</f>
        <v>75</v>
      </c>
      <c r="V779" s="58"/>
      <c r="X779" s="278">
        <v>90</v>
      </c>
    </row>
    <row r="780" spans="1:24" ht="15" thickBot="1">
      <c r="A780" s="268">
        <v>86</v>
      </c>
      <c r="B780" s="271"/>
      <c r="C780" s="274"/>
      <c r="D780" s="62" t="s">
        <v>297</v>
      </c>
      <c r="E780" s="53">
        <f>tkj!$H$90</f>
        <v>82</v>
      </c>
      <c r="F780" s="53">
        <f>tkj!$N$90</f>
        <v>87</v>
      </c>
      <c r="G780" s="53">
        <f>tkj!$T$90</f>
        <v>83</v>
      </c>
      <c r="H780" s="53">
        <f>tkj!$Z$90</f>
        <v>84</v>
      </c>
      <c r="I780" s="53">
        <f>tkj!$AD$90</f>
        <v>85</v>
      </c>
      <c r="J780" s="59"/>
      <c r="K780" s="54">
        <f>tkj!$AJ$90</f>
        <v>85</v>
      </c>
      <c r="L780" s="55"/>
      <c r="M780" s="53">
        <f>tkj!$AP$90</f>
        <v>76</v>
      </c>
      <c r="N780" s="53">
        <f>tkj!$AV$90</f>
        <v>84</v>
      </c>
      <c r="O780" s="59"/>
      <c r="P780" s="55"/>
      <c r="Q780" s="55"/>
      <c r="R780" s="54">
        <f>tkj!$BR$90</f>
        <v>82</v>
      </c>
      <c r="S780" s="54">
        <f>tkj!$BV$90</f>
        <v>86</v>
      </c>
      <c r="T780" s="63"/>
      <c r="U780" s="54">
        <f>tkj!$CA$90</f>
        <v>86</v>
      </c>
      <c r="V780" s="58"/>
      <c r="X780" s="278">
        <v>90</v>
      </c>
    </row>
    <row r="781" spans="1:24">
      <c r="A781" s="268">
        <v>86</v>
      </c>
      <c r="B781" s="271"/>
      <c r="C781" s="274"/>
      <c r="D781" s="62" t="s">
        <v>298</v>
      </c>
      <c r="E781" s="53">
        <f>tkj!$I$90</f>
        <v>92</v>
      </c>
      <c r="F781" s="53">
        <f>tkj!$O$90</f>
        <v>91</v>
      </c>
      <c r="G781" s="53">
        <f>tkj!$U$90</f>
        <v>81</v>
      </c>
      <c r="H781" s="65"/>
      <c r="I781" s="65"/>
      <c r="J781" s="59"/>
      <c r="K781" s="59"/>
      <c r="L781" s="53">
        <f>tkj!$AK$90</f>
        <v>80</v>
      </c>
      <c r="M781" s="53">
        <f>tkj!$AQ$90</f>
        <v>80</v>
      </c>
      <c r="N781" s="53">
        <f>tkj!$AW$90</f>
        <v>79</v>
      </c>
      <c r="O781" s="59"/>
      <c r="P781" s="55"/>
      <c r="Q781" s="55"/>
      <c r="R781" s="54">
        <f>tkj!$BS$90</f>
        <v>83</v>
      </c>
      <c r="S781" s="54">
        <f>tkj!$BW$90</f>
        <v>84</v>
      </c>
      <c r="T781" s="54"/>
      <c r="U781" s="54">
        <f>tkj!$CB$90</f>
        <v>74</v>
      </c>
      <c r="V781" s="58"/>
      <c r="X781" s="278">
        <v>90</v>
      </c>
    </row>
    <row r="782" spans="1:24">
      <c r="A782" s="268">
        <v>86</v>
      </c>
      <c r="B782" s="271"/>
      <c r="C782" s="274"/>
      <c r="D782" s="66" t="s">
        <v>299</v>
      </c>
      <c r="E782" s="67">
        <f>AVERAGE(E777:E781)</f>
        <v>86.6</v>
      </c>
      <c r="F782" s="67">
        <f>AVERAGE(F777:F781)</f>
        <v>86.2</v>
      </c>
      <c r="G782" s="67">
        <f>AVERAGE(G777:G781)</f>
        <v>86</v>
      </c>
      <c r="H782" s="68"/>
      <c r="I782" s="68"/>
      <c r="J782" s="69"/>
      <c r="K782" s="69"/>
      <c r="L782" s="67">
        <f>AVERAGE(L777:L781)</f>
        <v>80</v>
      </c>
      <c r="M782" s="67">
        <f>AVERAGE(M777:M781)</f>
        <v>76.400000000000006</v>
      </c>
      <c r="N782" s="67">
        <f>AVERAGE(N777:N781)</f>
        <v>81</v>
      </c>
      <c r="O782" s="69"/>
      <c r="P782" s="63"/>
      <c r="Q782" s="63"/>
      <c r="R782" s="84">
        <f>AVERAGE(R779:R781)</f>
        <v>80.555555555555557</v>
      </c>
      <c r="S782" s="84">
        <f>AVERAGE(S779:S781)</f>
        <v>86</v>
      </c>
      <c r="T782" s="63"/>
      <c r="U782" s="84">
        <f>AVERAGE(U777:U781)</f>
        <v>78.333333333333329</v>
      </c>
      <c r="V782" s="58"/>
      <c r="X782" s="278">
        <v>90</v>
      </c>
    </row>
    <row r="783" spans="1:24">
      <c r="A783" s="268">
        <v>86</v>
      </c>
      <c r="B783" s="271"/>
      <c r="C783" s="274"/>
      <c r="D783" s="70" t="s">
        <v>300</v>
      </c>
      <c r="E783" s="71">
        <f>tkj!$J$90</f>
        <v>83</v>
      </c>
      <c r="F783" s="71">
        <f>tkj!$P$90</f>
        <v>89</v>
      </c>
      <c r="G783" s="71">
        <f>tkj!$V$90</f>
        <v>81</v>
      </c>
      <c r="H783" s="72"/>
      <c r="I783" s="72"/>
      <c r="J783" s="73"/>
      <c r="K783" s="73"/>
      <c r="L783" s="71">
        <f>tkj!$AL$90</f>
        <v>81</v>
      </c>
      <c r="M783" s="71">
        <f>tkj!$AR$90</f>
        <v>80</v>
      </c>
      <c r="N783" s="71">
        <f>tkj!$AX$90</f>
        <v>80</v>
      </c>
      <c r="O783" s="73"/>
      <c r="P783" s="74"/>
      <c r="Q783" s="74"/>
      <c r="R783" s="85">
        <f>tkj!$BT$90</f>
        <v>85</v>
      </c>
      <c r="S783" s="85">
        <f>tkj!$BX$90</f>
        <v>85</v>
      </c>
      <c r="T783" s="85">
        <f>tkj!$BY$90</f>
        <v>84</v>
      </c>
      <c r="U783" s="75">
        <f>tkj!$CC$90</f>
        <v>80</v>
      </c>
      <c r="V783" s="58"/>
      <c r="X783" s="278">
        <v>90</v>
      </c>
    </row>
    <row r="784" spans="1:24">
      <c r="A784" s="268">
        <v>86</v>
      </c>
      <c r="B784" s="271"/>
      <c r="C784" s="274"/>
      <c r="D784" s="76" t="s">
        <v>301</v>
      </c>
      <c r="E784" s="77">
        <f>tkj!$CD$90</f>
        <v>83</v>
      </c>
      <c r="F784" s="77">
        <f>tkj!$CE$90</f>
        <v>88</v>
      </c>
      <c r="G784" s="77">
        <f>tkj!$CF$90</f>
        <v>82</v>
      </c>
      <c r="H784" s="72"/>
      <c r="I784" s="72"/>
      <c r="J784" s="73"/>
      <c r="K784" s="73"/>
      <c r="L784" s="77">
        <f>tkj!$CG$90</f>
        <v>90</v>
      </c>
      <c r="M784" s="77">
        <f>tkj!$CH$90</f>
        <v>80</v>
      </c>
      <c r="N784" s="77">
        <f>tkj!$CI$90</f>
        <v>87</v>
      </c>
      <c r="O784" s="73"/>
      <c r="P784" s="74"/>
      <c r="Q784" s="74"/>
      <c r="R784" s="86">
        <f>tkj!$CL$90</f>
        <v>87</v>
      </c>
      <c r="S784" s="86">
        <f>tkj!$CK$90</f>
        <v>88</v>
      </c>
      <c r="T784" s="74"/>
      <c r="U784" s="86">
        <f>tkj!$CJ$90</f>
        <v>84</v>
      </c>
      <c r="V784" s="58"/>
      <c r="X784" s="278">
        <v>90</v>
      </c>
    </row>
    <row r="785" spans="1:24" ht="15" thickBot="1">
      <c r="A785" s="269">
        <v>86</v>
      </c>
      <c r="B785" s="272"/>
      <c r="C785" s="275"/>
      <c r="D785" s="78" t="s">
        <v>302</v>
      </c>
      <c r="E785" s="79">
        <f>(E782*4+E783*3+E784*3)/10</f>
        <v>84.44</v>
      </c>
      <c r="F785" s="79">
        <f t="shared" ref="F785:G785" si="167">(F782*4+F783*3+F784*3)/10</f>
        <v>87.58</v>
      </c>
      <c r="G785" s="79">
        <f t="shared" si="167"/>
        <v>83.3</v>
      </c>
      <c r="H785" s="79">
        <f>AVERAGE(H777:H780)</f>
        <v>82.5</v>
      </c>
      <c r="I785" s="79">
        <f>AVERAGE(I777:I780)</f>
        <v>83.5</v>
      </c>
      <c r="J785" s="79">
        <f>AVERAGE(J777:J778)</f>
        <v>85</v>
      </c>
      <c r="K785" s="79">
        <f>AVERAGE(K777:K780)</f>
        <v>84.75</v>
      </c>
      <c r="L785" s="79">
        <f>(L782*4+L783*3+L784*3)/10</f>
        <v>83.3</v>
      </c>
      <c r="M785" s="79">
        <f>(M782*4+M783*3+M784*3)/10</f>
        <v>78.56</v>
      </c>
      <c r="N785" s="79">
        <f>(N782*4+N783*3+N784*3)/10</f>
        <v>82.5</v>
      </c>
      <c r="O785" s="79">
        <f>AVERAGE(O777:O778)</f>
        <v>88</v>
      </c>
      <c r="P785" s="79">
        <f>AVERAGE(P777:P778)</f>
        <v>87.5</v>
      </c>
      <c r="Q785" s="79">
        <f>AVERAGE(Q777:Q778)</f>
        <v>85</v>
      </c>
      <c r="R785" s="79">
        <f>(R782*4+R783*3+R784*3)/10</f>
        <v>83.822222222222223</v>
      </c>
      <c r="S785" s="79">
        <f>(S782*4+S783*3+S784*3)/10</f>
        <v>86.3</v>
      </c>
      <c r="T785" s="79">
        <f>T783</f>
        <v>84</v>
      </c>
      <c r="U785" s="79">
        <f t="shared" ref="U785" si="168">(U782*4+U783*3+U784*3)/10</f>
        <v>80.533333333333331</v>
      </c>
      <c r="V785" s="80">
        <f>AVERAGE(E785:U785)</f>
        <v>84.152091503267968</v>
      </c>
      <c r="X785" s="278">
        <v>90</v>
      </c>
    </row>
    <row r="786" spans="1:24" ht="15.6" thickTop="1" thickBot="1">
      <c r="A786" s="268">
        <v>87</v>
      </c>
      <c r="B786" s="270" t="s">
        <v>398</v>
      </c>
      <c r="C786" s="273" t="s">
        <v>227</v>
      </c>
      <c r="D786" s="52" t="s">
        <v>294</v>
      </c>
      <c r="E786" s="53">
        <f>tkj!$E$91</f>
        <v>79</v>
      </c>
      <c r="F786" s="53">
        <f>tkj!$K$91</f>
        <v>80</v>
      </c>
      <c r="G786" s="53">
        <f>tkj!$Q$91</f>
        <v>88</v>
      </c>
      <c r="H786" s="53">
        <f>tkj!$W$91</f>
        <v>85</v>
      </c>
      <c r="I786" s="53">
        <f>tkj!$AA$91</f>
        <v>77</v>
      </c>
      <c r="J786" s="53">
        <f>tkj!$AE$91</f>
        <v>83</v>
      </c>
      <c r="K786" s="54">
        <f>tkj!$AG$91</f>
        <v>80</v>
      </c>
      <c r="L786" s="55"/>
      <c r="M786" s="53">
        <f>tkj!$AM$91</f>
        <v>78</v>
      </c>
      <c r="N786" s="53">
        <f>tkj!$AS$91</f>
        <v>76</v>
      </c>
      <c r="O786" s="53">
        <f>tkj!$AY$91</f>
        <v>92</v>
      </c>
      <c r="P786" s="54">
        <f>tkj!$BA$91</f>
        <v>78</v>
      </c>
      <c r="Q786" s="54">
        <f>tkj!$BC$91</f>
        <v>82</v>
      </c>
      <c r="R786" s="55"/>
      <c r="S786" s="55"/>
      <c r="T786" s="55"/>
      <c r="U786" s="55"/>
      <c r="V786" s="56"/>
      <c r="X786" s="278">
        <v>91</v>
      </c>
    </row>
    <row r="787" spans="1:24" ht="15" thickBot="1">
      <c r="A787" s="268">
        <v>87</v>
      </c>
      <c r="B787" s="271"/>
      <c r="C787" s="274"/>
      <c r="D787" s="52" t="s">
        <v>295</v>
      </c>
      <c r="E787" s="53">
        <f>tkj!$F$91</f>
        <v>82</v>
      </c>
      <c r="F787" s="53">
        <f>tkj!$L$91</f>
        <v>79</v>
      </c>
      <c r="G787" s="53">
        <f>tkj!$R$91</f>
        <v>86</v>
      </c>
      <c r="H787" s="53">
        <f>tkj!$X$91</f>
        <v>86</v>
      </c>
      <c r="I787" s="53">
        <f>tkj!$AB$91</f>
        <v>83</v>
      </c>
      <c r="J787" s="53">
        <f>tkj!$AF$91</f>
        <v>83</v>
      </c>
      <c r="K787" s="54">
        <f>tkj!$AH$91</f>
        <v>79</v>
      </c>
      <c r="L787" s="55"/>
      <c r="M787" s="53">
        <f>tkj!$AN$91</f>
        <v>80</v>
      </c>
      <c r="N787" s="53">
        <f>tkj!$AT$91</f>
        <v>83</v>
      </c>
      <c r="O787" s="53">
        <f>tkj!$AZ$91</f>
        <v>90</v>
      </c>
      <c r="P787" s="54">
        <f>tkj!$BB$91</f>
        <v>81</v>
      </c>
      <c r="Q787" s="54">
        <f>tkj!$BD$91</f>
        <v>80</v>
      </c>
      <c r="R787" s="55"/>
      <c r="S787" s="55"/>
      <c r="T787" s="55"/>
      <c r="U787" s="55"/>
      <c r="V787" s="58"/>
      <c r="X787" s="278">
        <v>91</v>
      </c>
    </row>
    <row r="788" spans="1:24" ht="15" thickBot="1">
      <c r="A788" s="268">
        <v>87</v>
      </c>
      <c r="B788" s="271"/>
      <c r="C788" s="274"/>
      <c r="D788" s="52" t="s">
        <v>296</v>
      </c>
      <c r="E788" s="53">
        <f>tkj!$G$91</f>
        <v>85</v>
      </c>
      <c r="F788" s="53">
        <f>tkj!$M$91</f>
        <v>88</v>
      </c>
      <c r="G788" s="53">
        <f>tkj!$S$91</f>
        <v>81</v>
      </c>
      <c r="H788" s="53">
        <f>tkj!$Y$91</f>
        <v>82</v>
      </c>
      <c r="I788" s="53">
        <f>tkj!$AC$91</f>
        <v>81</v>
      </c>
      <c r="J788" s="59"/>
      <c r="K788" s="54">
        <f>tkj!$AI$91</f>
        <v>74</v>
      </c>
      <c r="L788" s="55"/>
      <c r="M788" s="53">
        <f>tkj!$AO$91</f>
        <v>86</v>
      </c>
      <c r="N788" s="53">
        <f>tkj!$AU$91</f>
        <v>85</v>
      </c>
      <c r="O788" s="59"/>
      <c r="P788" s="55"/>
      <c r="Q788" s="55"/>
      <c r="R788" s="54">
        <f>tkj!$BQ$91</f>
        <v>80.666666666666671</v>
      </c>
      <c r="S788" s="54">
        <f>tkj!$BU$91</f>
        <v>87</v>
      </c>
      <c r="T788" s="55"/>
      <c r="U788" s="54">
        <f>tkj!$BZ$91</f>
        <v>82</v>
      </c>
      <c r="V788" s="58"/>
      <c r="X788" s="278">
        <v>91</v>
      </c>
    </row>
    <row r="789" spans="1:24" ht="15" thickBot="1">
      <c r="A789" s="268">
        <v>87</v>
      </c>
      <c r="B789" s="271"/>
      <c r="C789" s="274"/>
      <c r="D789" s="62" t="s">
        <v>297</v>
      </c>
      <c r="E789" s="53">
        <f>tkj!$H$91</f>
        <v>83</v>
      </c>
      <c r="F789" s="53">
        <f>tkj!$N$91</f>
        <v>92</v>
      </c>
      <c r="G789" s="53">
        <f>tkj!$T$91</f>
        <v>90</v>
      </c>
      <c r="H789" s="53">
        <f>tkj!$Z$91</f>
        <v>86</v>
      </c>
      <c r="I789" s="53">
        <f>tkj!$AD$91</f>
        <v>84</v>
      </c>
      <c r="J789" s="59"/>
      <c r="K789" s="54">
        <f>tkj!$AJ$91</f>
        <v>84</v>
      </c>
      <c r="L789" s="55"/>
      <c r="M789" s="53">
        <f>tkj!$AP$91</f>
        <v>87</v>
      </c>
      <c r="N789" s="53">
        <f>tkj!$AV$91</f>
        <v>82</v>
      </c>
      <c r="O789" s="59"/>
      <c r="P789" s="55"/>
      <c r="Q789" s="55"/>
      <c r="R789" s="54">
        <f>tkj!$BR$91</f>
        <v>91.333333333333329</v>
      </c>
      <c r="S789" s="54">
        <f>tkj!$BV$91</f>
        <v>87</v>
      </c>
      <c r="T789" s="63"/>
      <c r="U789" s="54">
        <f>tkj!$CA$91</f>
        <v>86</v>
      </c>
      <c r="V789" s="58"/>
      <c r="X789" s="278">
        <v>91</v>
      </c>
    </row>
    <row r="790" spans="1:24">
      <c r="A790" s="268">
        <v>87</v>
      </c>
      <c r="B790" s="271"/>
      <c r="C790" s="274"/>
      <c r="D790" s="62" t="s">
        <v>298</v>
      </c>
      <c r="E790" s="53">
        <f>tkj!$I$91</f>
        <v>84</v>
      </c>
      <c r="F790" s="53">
        <f>tkj!$O$91</f>
        <v>95</v>
      </c>
      <c r="G790" s="53">
        <f>tkj!$U$91</f>
        <v>80</v>
      </c>
      <c r="H790" s="65"/>
      <c r="I790" s="65"/>
      <c r="J790" s="59"/>
      <c r="K790" s="59"/>
      <c r="L790" s="53">
        <f>tkj!$AK$91</f>
        <v>88</v>
      </c>
      <c r="M790" s="53">
        <f>tkj!$AQ$91</f>
        <v>90</v>
      </c>
      <c r="N790" s="53">
        <f>tkj!$AW$91</f>
        <v>81</v>
      </c>
      <c r="O790" s="59"/>
      <c r="P790" s="55"/>
      <c r="Q790" s="55"/>
      <c r="R790" s="54">
        <f>tkj!$BS$91</f>
        <v>85.666666666666671</v>
      </c>
      <c r="S790" s="54">
        <f>tkj!$BW$91</f>
        <v>84</v>
      </c>
      <c r="T790" s="54"/>
      <c r="U790" s="54">
        <f>tkj!$CB$91</f>
        <v>79</v>
      </c>
      <c r="V790" s="58"/>
      <c r="X790" s="278">
        <v>91</v>
      </c>
    </row>
    <row r="791" spans="1:24">
      <c r="A791" s="268">
        <v>87</v>
      </c>
      <c r="B791" s="271"/>
      <c r="C791" s="274"/>
      <c r="D791" s="66" t="s">
        <v>299</v>
      </c>
      <c r="E791" s="67">
        <f>AVERAGE(E786:E790)</f>
        <v>82.6</v>
      </c>
      <c r="F791" s="67">
        <f>AVERAGE(F786:F790)</f>
        <v>86.8</v>
      </c>
      <c r="G791" s="67">
        <f>AVERAGE(G786:G790)</f>
        <v>85</v>
      </c>
      <c r="H791" s="68"/>
      <c r="I791" s="68"/>
      <c r="J791" s="69"/>
      <c r="K791" s="69"/>
      <c r="L791" s="67">
        <f>AVERAGE(L786:L790)</f>
        <v>88</v>
      </c>
      <c r="M791" s="67">
        <f>AVERAGE(M786:M790)</f>
        <v>84.2</v>
      </c>
      <c r="N791" s="67">
        <f>AVERAGE(N786:N790)</f>
        <v>81.400000000000006</v>
      </c>
      <c r="O791" s="69"/>
      <c r="P791" s="63"/>
      <c r="Q791" s="63"/>
      <c r="R791" s="84">
        <f>AVERAGE(R788:R790)</f>
        <v>85.8888888888889</v>
      </c>
      <c r="S791" s="84">
        <f>AVERAGE(S788:S790)</f>
        <v>86</v>
      </c>
      <c r="T791" s="63"/>
      <c r="U791" s="84">
        <f>AVERAGE(U786:U790)</f>
        <v>82.333333333333329</v>
      </c>
      <c r="V791" s="58"/>
      <c r="X791" s="278">
        <v>91</v>
      </c>
    </row>
    <row r="792" spans="1:24">
      <c r="A792" s="268">
        <v>87</v>
      </c>
      <c r="B792" s="271"/>
      <c r="C792" s="274"/>
      <c r="D792" s="70" t="s">
        <v>300</v>
      </c>
      <c r="E792" s="71">
        <f>tkj!$J$91</f>
        <v>88</v>
      </c>
      <c r="F792" s="71">
        <f>tkj!$P$91</f>
        <v>70</v>
      </c>
      <c r="G792" s="71">
        <f>tkj!$V$91</f>
        <v>79</v>
      </c>
      <c r="H792" s="72"/>
      <c r="I792" s="72"/>
      <c r="J792" s="73"/>
      <c r="K792" s="73"/>
      <c r="L792" s="71">
        <f>tkj!$AL$91</f>
        <v>79</v>
      </c>
      <c r="M792" s="71">
        <f>tkj!$AR$91</f>
        <v>88</v>
      </c>
      <c r="N792" s="71">
        <f>tkj!$AX$91</f>
        <v>88</v>
      </c>
      <c r="O792" s="73"/>
      <c r="P792" s="74"/>
      <c r="Q792" s="74"/>
      <c r="R792" s="85">
        <f>tkj!$BT$91</f>
        <v>81</v>
      </c>
      <c r="S792" s="85">
        <f>tkj!$BX$91</f>
        <v>81</v>
      </c>
      <c r="T792" s="85">
        <f>tkj!$BY$91</f>
        <v>81</v>
      </c>
      <c r="U792" s="75">
        <f>tkj!$CC$91</f>
        <v>88</v>
      </c>
      <c r="V792" s="58"/>
      <c r="X792" s="278">
        <v>91</v>
      </c>
    </row>
    <row r="793" spans="1:24">
      <c r="A793" s="268">
        <v>87</v>
      </c>
      <c r="B793" s="271"/>
      <c r="C793" s="274"/>
      <c r="D793" s="76" t="s">
        <v>301</v>
      </c>
      <c r="E793" s="77">
        <f>tkj!$CD$91</f>
        <v>88</v>
      </c>
      <c r="F793" s="77">
        <f>tkj!$CE$91</f>
        <v>95</v>
      </c>
      <c r="G793" s="77">
        <f>tkj!$CF$91</f>
        <v>72</v>
      </c>
      <c r="H793" s="72"/>
      <c r="I793" s="72"/>
      <c r="J793" s="73"/>
      <c r="K793" s="73"/>
      <c r="L793" s="77">
        <f>tkj!$CG$91</f>
        <v>70</v>
      </c>
      <c r="M793" s="77">
        <f>tkj!$CH$91</f>
        <v>91</v>
      </c>
      <c r="N793" s="77">
        <f>tkj!$CI$91</f>
        <v>83</v>
      </c>
      <c r="O793" s="73"/>
      <c r="P793" s="74"/>
      <c r="Q793" s="74"/>
      <c r="R793" s="86">
        <f>tkj!$CL$91</f>
        <v>85</v>
      </c>
      <c r="S793" s="86">
        <f>tkj!$CK$91</f>
        <v>85</v>
      </c>
      <c r="T793" s="74"/>
      <c r="U793" s="86">
        <f>tkj!$CJ$91</f>
        <v>84</v>
      </c>
      <c r="V793" s="58"/>
      <c r="X793" s="278">
        <v>91</v>
      </c>
    </row>
    <row r="794" spans="1:24" ht="15" thickBot="1">
      <c r="A794" s="269">
        <v>87</v>
      </c>
      <c r="B794" s="272"/>
      <c r="C794" s="275"/>
      <c r="D794" s="78" t="s">
        <v>302</v>
      </c>
      <c r="E794" s="79">
        <f>(E791*4+E792*3+E793*3)/10</f>
        <v>85.84</v>
      </c>
      <c r="F794" s="79">
        <f t="shared" ref="F794:G794" si="169">(F791*4+F792*3+F793*3)/10</f>
        <v>84.22</v>
      </c>
      <c r="G794" s="79">
        <f t="shared" si="169"/>
        <v>79.3</v>
      </c>
      <c r="H794" s="79">
        <f>AVERAGE(H786:H789)</f>
        <v>84.75</v>
      </c>
      <c r="I794" s="79">
        <f>AVERAGE(I786:I789)</f>
        <v>81.25</v>
      </c>
      <c r="J794" s="79">
        <f>AVERAGE(J786:J787)</f>
        <v>83</v>
      </c>
      <c r="K794" s="79">
        <f>AVERAGE(K786:K789)</f>
        <v>79.25</v>
      </c>
      <c r="L794" s="79">
        <f>(L791*4+L792*3+L793*3)/10</f>
        <v>79.900000000000006</v>
      </c>
      <c r="M794" s="79">
        <f>(M791*4+M792*3+M793*3)/10</f>
        <v>87.38</v>
      </c>
      <c r="N794" s="79">
        <f>(N791*4+N792*3+N793*3)/10</f>
        <v>83.86</v>
      </c>
      <c r="O794" s="79">
        <f>AVERAGE(O786:O787)</f>
        <v>91</v>
      </c>
      <c r="P794" s="79">
        <f>AVERAGE(P786:P787)</f>
        <v>79.5</v>
      </c>
      <c r="Q794" s="79">
        <f>AVERAGE(Q786:Q787)</f>
        <v>81</v>
      </c>
      <c r="R794" s="79">
        <f>(R791*4+R792*3+R793*3)/10</f>
        <v>84.155555555555566</v>
      </c>
      <c r="S794" s="79">
        <f>(S791*4+S792*3+S793*3)/10</f>
        <v>84.2</v>
      </c>
      <c r="T794" s="79">
        <f>T792</f>
        <v>81</v>
      </c>
      <c r="U794" s="79">
        <f t="shared" ref="U794" si="170">(U791*4+U792*3+U793*3)/10</f>
        <v>84.533333333333331</v>
      </c>
      <c r="V794" s="80">
        <f>AVERAGE(E794:U794)</f>
        <v>83.184640522875824</v>
      </c>
      <c r="X794" s="278">
        <v>91</v>
      </c>
    </row>
    <row r="795" spans="1:24" ht="15.6" thickTop="1" thickBot="1">
      <c r="A795" s="268">
        <v>88</v>
      </c>
      <c r="B795" s="270" t="s">
        <v>399</v>
      </c>
      <c r="C795" s="273" t="s">
        <v>229</v>
      </c>
      <c r="D795" s="52" t="s">
        <v>294</v>
      </c>
      <c r="E795" s="53">
        <f>tkj!$E$92</f>
        <v>91</v>
      </c>
      <c r="F795" s="53">
        <f>tkj!$K$92</f>
        <v>80</v>
      </c>
      <c r="G795" s="53">
        <f>tkj!$Q$92</f>
        <v>81</v>
      </c>
      <c r="H795" s="53">
        <f>tkj!$W$92</f>
        <v>83</v>
      </c>
      <c r="I795" s="53">
        <f>tkj!$AA$92</f>
        <v>83</v>
      </c>
      <c r="J795" s="53">
        <f>tkj!$AE$92</f>
        <v>81</v>
      </c>
      <c r="K795" s="54">
        <f>tkj!$AG$92</f>
        <v>81</v>
      </c>
      <c r="L795" s="55"/>
      <c r="M795" s="53">
        <f>tkj!$AM$92</f>
        <v>70</v>
      </c>
      <c r="N795" s="53">
        <f>tkj!$AS$92</f>
        <v>76</v>
      </c>
      <c r="O795" s="53">
        <f>tkj!$AY$92</f>
        <v>89</v>
      </c>
      <c r="P795" s="54">
        <f>tkj!$BA$92</f>
        <v>75</v>
      </c>
      <c r="Q795" s="54">
        <f>tkj!$BC$92</f>
        <v>77</v>
      </c>
      <c r="R795" s="55"/>
      <c r="S795" s="55"/>
      <c r="T795" s="55"/>
      <c r="U795" s="55"/>
      <c r="V795" s="56"/>
      <c r="X795" s="278">
        <v>92</v>
      </c>
    </row>
    <row r="796" spans="1:24" ht="15" thickBot="1">
      <c r="A796" s="268">
        <v>88</v>
      </c>
      <c r="B796" s="271"/>
      <c r="C796" s="274"/>
      <c r="D796" s="52" t="s">
        <v>295</v>
      </c>
      <c r="E796" s="53">
        <f>tkj!$F$92</f>
        <v>84</v>
      </c>
      <c r="F796" s="53">
        <f>tkj!$L$92</f>
        <v>80</v>
      </c>
      <c r="G796" s="53">
        <f>tkj!$R$92</f>
        <v>80</v>
      </c>
      <c r="H796" s="53">
        <f>tkj!$X$92</f>
        <v>84</v>
      </c>
      <c r="I796" s="53">
        <f>tkj!$AB$92</f>
        <v>83</v>
      </c>
      <c r="J796" s="53">
        <f>tkj!$AF$92</f>
        <v>84</v>
      </c>
      <c r="K796" s="54">
        <f>tkj!$AH$92</f>
        <v>78</v>
      </c>
      <c r="L796" s="55"/>
      <c r="M796" s="53">
        <f>tkj!$AN$92</f>
        <v>72</v>
      </c>
      <c r="N796" s="53">
        <f>tkj!$AT$92</f>
        <v>80</v>
      </c>
      <c r="O796" s="53">
        <f>tkj!$AZ$92</f>
        <v>94</v>
      </c>
      <c r="P796" s="54">
        <f>tkj!$BB$92</f>
        <v>84</v>
      </c>
      <c r="Q796" s="54">
        <f>tkj!$BD$92</f>
        <v>87</v>
      </c>
      <c r="R796" s="55"/>
      <c r="S796" s="55"/>
      <c r="T796" s="55"/>
      <c r="U796" s="55"/>
      <c r="V796" s="58"/>
      <c r="X796" s="278">
        <v>92</v>
      </c>
    </row>
    <row r="797" spans="1:24" ht="15" thickBot="1">
      <c r="A797" s="268">
        <v>88</v>
      </c>
      <c r="B797" s="271"/>
      <c r="C797" s="274"/>
      <c r="D797" s="52" t="s">
        <v>296</v>
      </c>
      <c r="E797" s="53">
        <f>tkj!$G$92</f>
        <v>85</v>
      </c>
      <c r="F797" s="53">
        <f>tkj!$M$92</f>
        <v>80</v>
      </c>
      <c r="G797" s="53">
        <f>tkj!$S$92</f>
        <v>85</v>
      </c>
      <c r="H797" s="53">
        <f>tkj!$Y$92</f>
        <v>80</v>
      </c>
      <c r="I797" s="53">
        <f>tkj!$AC$92</f>
        <v>80</v>
      </c>
      <c r="J797" s="59"/>
      <c r="K797" s="54">
        <f>tkj!$AI$92</f>
        <v>75</v>
      </c>
      <c r="L797" s="55"/>
      <c r="M797" s="53">
        <f>tkj!$AO$92</f>
        <v>82</v>
      </c>
      <c r="N797" s="53">
        <f>tkj!$AU$92</f>
        <v>82</v>
      </c>
      <c r="O797" s="59"/>
      <c r="P797" s="55"/>
      <c r="Q797" s="55"/>
      <c r="R797" s="54">
        <f>tkj!$BQ$92</f>
        <v>78</v>
      </c>
      <c r="S797" s="54">
        <f>tkj!$BU$92</f>
        <v>87</v>
      </c>
      <c r="T797" s="55"/>
      <c r="U797" s="54">
        <f>tkj!$BZ$92</f>
        <v>76</v>
      </c>
      <c r="V797" s="58"/>
      <c r="X797" s="278">
        <v>92</v>
      </c>
    </row>
    <row r="798" spans="1:24" ht="15" thickBot="1">
      <c r="A798" s="268">
        <v>88</v>
      </c>
      <c r="B798" s="271"/>
      <c r="C798" s="274"/>
      <c r="D798" s="62" t="s">
        <v>297</v>
      </c>
      <c r="E798" s="53">
        <f>tkj!$H$92</f>
        <v>83</v>
      </c>
      <c r="F798" s="53">
        <f>tkj!$N$92</f>
        <v>81</v>
      </c>
      <c r="G798" s="53">
        <f>tkj!$T$92</f>
        <v>83</v>
      </c>
      <c r="H798" s="53">
        <f>tkj!$Z$92</f>
        <v>84</v>
      </c>
      <c r="I798" s="53">
        <f>tkj!$AD$92</f>
        <v>84</v>
      </c>
      <c r="J798" s="59"/>
      <c r="K798" s="54">
        <f>tkj!$AJ$92</f>
        <v>84</v>
      </c>
      <c r="L798" s="55"/>
      <c r="M798" s="53">
        <f>tkj!$AP$92</f>
        <v>82</v>
      </c>
      <c r="N798" s="53">
        <f>tkj!$AV$92</f>
        <v>80</v>
      </c>
      <c r="O798" s="59"/>
      <c r="P798" s="55"/>
      <c r="Q798" s="55"/>
      <c r="R798" s="54">
        <f>tkj!$BR$92</f>
        <v>81.333333333333329</v>
      </c>
      <c r="S798" s="54">
        <f>tkj!$BV$92</f>
        <v>87</v>
      </c>
      <c r="T798" s="63"/>
      <c r="U798" s="54">
        <f>tkj!$CA$92</f>
        <v>83</v>
      </c>
      <c r="V798" s="58"/>
      <c r="X798" s="278">
        <v>92</v>
      </c>
    </row>
    <row r="799" spans="1:24">
      <c r="A799" s="268">
        <v>88</v>
      </c>
      <c r="B799" s="271"/>
      <c r="C799" s="274"/>
      <c r="D799" s="62" t="s">
        <v>298</v>
      </c>
      <c r="E799" s="53">
        <f>tkj!$I$92</f>
        <v>84</v>
      </c>
      <c r="F799" s="53">
        <f>tkj!$O$92</f>
        <v>90</v>
      </c>
      <c r="G799" s="53">
        <f>tkj!$U$92</f>
        <v>71</v>
      </c>
      <c r="H799" s="65"/>
      <c r="I799" s="65"/>
      <c r="J799" s="59"/>
      <c r="K799" s="59"/>
      <c r="L799" s="53">
        <f>tkj!$AK$92</f>
        <v>82</v>
      </c>
      <c r="M799" s="53">
        <f>tkj!$AQ$92</f>
        <v>82</v>
      </c>
      <c r="N799" s="53">
        <f>tkj!$AW$92</f>
        <v>79</v>
      </c>
      <c r="O799" s="59"/>
      <c r="P799" s="55"/>
      <c r="Q799" s="55"/>
      <c r="R799" s="54">
        <f>tkj!$BS$92</f>
        <v>84.666666666666671</v>
      </c>
      <c r="S799" s="54">
        <f>tkj!$BW$92</f>
        <v>82</v>
      </c>
      <c r="T799" s="54"/>
      <c r="U799" s="54">
        <f>tkj!$CB$92</f>
        <v>73</v>
      </c>
      <c r="V799" s="58"/>
      <c r="X799" s="278">
        <v>92</v>
      </c>
    </row>
    <row r="800" spans="1:24">
      <c r="A800" s="268">
        <v>88</v>
      </c>
      <c r="B800" s="271"/>
      <c r="C800" s="274"/>
      <c r="D800" s="66" t="s">
        <v>299</v>
      </c>
      <c r="E800" s="67">
        <f>AVERAGE(E795:E799)</f>
        <v>85.4</v>
      </c>
      <c r="F800" s="67">
        <f>AVERAGE(F795:F799)</f>
        <v>82.2</v>
      </c>
      <c r="G800" s="67">
        <f>AVERAGE(G795:G799)</f>
        <v>80</v>
      </c>
      <c r="H800" s="68"/>
      <c r="I800" s="68"/>
      <c r="J800" s="69"/>
      <c r="K800" s="69"/>
      <c r="L800" s="67">
        <f>AVERAGE(L795:L799)</f>
        <v>82</v>
      </c>
      <c r="M800" s="67">
        <f>AVERAGE(M795:M799)</f>
        <v>77.599999999999994</v>
      </c>
      <c r="N800" s="67">
        <f>AVERAGE(N795:N799)</f>
        <v>79.400000000000006</v>
      </c>
      <c r="O800" s="69"/>
      <c r="P800" s="63"/>
      <c r="Q800" s="63"/>
      <c r="R800" s="84">
        <f>AVERAGE(R797:R799)</f>
        <v>81.333333333333329</v>
      </c>
      <c r="S800" s="84">
        <f>AVERAGE(S797:S799)</f>
        <v>85.333333333333329</v>
      </c>
      <c r="T800" s="63"/>
      <c r="U800" s="84">
        <f>AVERAGE(U795:U799)</f>
        <v>77.333333333333329</v>
      </c>
      <c r="V800" s="58"/>
      <c r="X800" s="278">
        <v>92</v>
      </c>
    </row>
    <row r="801" spans="1:24">
      <c r="A801" s="268">
        <v>88</v>
      </c>
      <c r="B801" s="271"/>
      <c r="C801" s="274"/>
      <c r="D801" s="70" t="s">
        <v>300</v>
      </c>
      <c r="E801" s="71">
        <f>tkj!$J$92</f>
        <v>77</v>
      </c>
      <c r="F801" s="71">
        <f>tkj!$P$92</f>
        <v>82</v>
      </c>
      <c r="G801" s="71">
        <f>tkj!$V$92</f>
        <v>78</v>
      </c>
      <c r="H801" s="72"/>
      <c r="I801" s="72"/>
      <c r="J801" s="73"/>
      <c r="K801" s="73"/>
      <c r="L801" s="71">
        <f>tkj!$AL$92</f>
        <v>78</v>
      </c>
      <c r="M801" s="71">
        <f>tkj!$AR$92</f>
        <v>80</v>
      </c>
      <c r="N801" s="71">
        <f>tkj!$AX$92</f>
        <v>80</v>
      </c>
      <c r="O801" s="73"/>
      <c r="P801" s="74"/>
      <c r="Q801" s="74"/>
      <c r="R801" s="85">
        <f>tkj!$BT$92</f>
        <v>80</v>
      </c>
      <c r="S801" s="85">
        <f>tkj!$BX$92</f>
        <v>80</v>
      </c>
      <c r="T801" s="85">
        <f>tkj!$BY$92</f>
        <v>79</v>
      </c>
      <c r="U801" s="75">
        <f>tkj!$CC$92</f>
        <v>80</v>
      </c>
      <c r="V801" s="58"/>
      <c r="X801" s="278">
        <v>92</v>
      </c>
    </row>
    <row r="802" spans="1:24">
      <c r="A802" s="268">
        <v>88</v>
      </c>
      <c r="B802" s="271"/>
      <c r="C802" s="274"/>
      <c r="D802" s="76" t="s">
        <v>301</v>
      </c>
      <c r="E802" s="77">
        <f>tkj!$CD$92</f>
        <v>82</v>
      </c>
      <c r="F802" s="77">
        <f>tkj!$CE$92</f>
        <v>92</v>
      </c>
      <c r="G802" s="77">
        <f>tkj!$CF$92</f>
        <v>70</v>
      </c>
      <c r="H802" s="72"/>
      <c r="I802" s="72"/>
      <c r="J802" s="73"/>
      <c r="K802" s="73"/>
      <c r="L802" s="77">
        <f>tkj!$CG$92</f>
        <v>90</v>
      </c>
      <c r="M802" s="77">
        <f>tkj!$CH$92</f>
        <v>80</v>
      </c>
      <c r="N802" s="77">
        <f>tkj!$CI$92</f>
        <v>81</v>
      </c>
      <c r="O802" s="73"/>
      <c r="P802" s="74"/>
      <c r="Q802" s="74"/>
      <c r="R802" s="86">
        <f>tkj!$CL$92</f>
        <v>70</v>
      </c>
      <c r="S802" s="86">
        <f>tkj!$CK$92</f>
        <v>84</v>
      </c>
      <c r="T802" s="74"/>
      <c r="U802" s="86">
        <f>tkj!$CJ$92</f>
        <v>80</v>
      </c>
      <c r="V802" s="58"/>
      <c r="X802" s="278">
        <v>92</v>
      </c>
    </row>
    <row r="803" spans="1:24" ht="15" thickBot="1">
      <c r="A803" s="269">
        <v>88</v>
      </c>
      <c r="B803" s="272"/>
      <c r="C803" s="275"/>
      <c r="D803" s="78" t="s">
        <v>302</v>
      </c>
      <c r="E803" s="79">
        <f>(E800*4+E801*3+E802*3)/10</f>
        <v>81.86</v>
      </c>
      <c r="F803" s="79">
        <f t="shared" ref="F803:G803" si="171">(F800*4+F801*3+F802*3)/10</f>
        <v>85.08</v>
      </c>
      <c r="G803" s="79">
        <f t="shared" si="171"/>
        <v>76.400000000000006</v>
      </c>
      <c r="H803" s="79">
        <f>AVERAGE(H795:H798)</f>
        <v>82.75</v>
      </c>
      <c r="I803" s="79">
        <f>AVERAGE(I795:I798)</f>
        <v>82.5</v>
      </c>
      <c r="J803" s="79">
        <f>AVERAGE(J795:J796)</f>
        <v>82.5</v>
      </c>
      <c r="K803" s="79">
        <f>AVERAGE(K795:K798)</f>
        <v>79.5</v>
      </c>
      <c r="L803" s="79">
        <f>(L800*4+L801*3+L802*3)/10</f>
        <v>83.2</v>
      </c>
      <c r="M803" s="79">
        <f>(M800*4+M801*3+M802*3)/10</f>
        <v>79.039999999999992</v>
      </c>
      <c r="N803" s="79">
        <f>(N800*4+N801*3+N802*3)/10</f>
        <v>80.06</v>
      </c>
      <c r="O803" s="79">
        <f>AVERAGE(O795:O796)</f>
        <v>91.5</v>
      </c>
      <c r="P803" s="79">
        <f>AVERAGE(P795:P796)</f>
        <v>79.5</v>
      </c>
      <c r="Q803" s="79">
        <f>AVERAGE(Q795:Q796)</f>
        <v>82</v>
      </c>
      <c r="R803" s="79">
        <f>(R800*4+R801*3+R802*3)/10</f>
        <v>77.533333333333331</v>
      </c>
      <c r="S803" s="79">
        <f>(S800*4+S801*3+S802*3)/10</f>
        <v>83.333333333333329</v>
      </c>
      <c r="T803" s="79">
        <f>T801</f>
        <v>79</v>
      </c>
      <c r="U803" s="79">
        <f t="shared" ref="U803" si="172">(U800*4+U801*3+U802*3)/10</f>
        <v>78.933333333333323</v>
      </c>
      <c r="V803" s="80">
        <f>AVERAGE(E803:U803)</f>
        <v>81.452352941176471</v>
      </c>
      <c r="X803" s="278">
        <v>92</v>
      </c>
    </row>
    <row r="804" spans="1:24" ht="15.6" thickTop="1" thickBot="1">
      <c r="A804" s="268">
        <v>89</v>
      </c>
      <c r="B804" s="270" t="s">
        <v>400</v>
      </c>
      <c r="C804" s="273" t="s">
        <v>231</v>
      </c>
      <c r="D804" s="52" t="s">
        <v>294</v>
      </c>
      <c r="E804" s="53">
        <f>tkj!$E$93</f>
        <v>93</v>
      </c>
      <c r="F804" s="53">
        <f>tkj!$K$93</f>
        <v>86</v>
      </c>
      <c r="G804" s="53">
        <f>tkj!$Q$93</f>
        <v>98</v>
      </c>
      <c r="H804" s="53">
        <f>tkj!$W$93</f>
        <v>82</v>
      </c>
      <c r="I804" s="53">
        <f>tkj!$AA$93</f>
        <v>90</v>
      </c>
      <c r="J804" s="53">
        <f>tkj!$AE$93</f>
        <v>83</v>
      </c>
      <c r="K804" s="54">
        <f>tkj!$AG$93</f>
        <v>78</v>
      </c>
      <c r="L804" s="55"/>
      <c r="M804" s="53">
        <f>tkj!$AM$93</f>
        <v>78</v>
      </c>
      <c r="N804" s="53">
        <f>tkj!$AS$93</f>
        <v>77</v>
      </c>
      <c r="O804" s="53">
        <f>tkj!$AY$93</f>
        <v>89</v>
      </c>
      <c r="P804" s="54">
        <f>tkj!$BA$93</f>
        <v>88</v>
      </c>
      <c r="Q804" s="54">
        <f>tkj!$BC$93</f>
        <v>78</v>
      </c>
      <c r="R804" s="55"/>
      <c r="S804" s="55"/>
      <c r="T804" s="55"/>
      <c r="U804" s="55"/>
      <c r="V804" s="56"/>
      <c r="X804" s="278">
        <v>93</v>
      </c>
    </row>
    <row r="805" spans="1:24" ht="15" thickBot="1">
      <c r="A805" s="268">
        <v>89</v>
      </c>
      <c r="B805" s="271"/>
      <c r="C805" s="274"/>
      <c r="D805" s="52" t="s">
        <v>295</v>
      </c>
      <c r="E805" s="53">
        <f>tkj!$F$93</f>
        <v>92</v>
      </c>
      <c r="F805" s="53">
        <f>tkj!$L$93</f>
        <v>89</v>
      </c>
      <c r="G805" s="53">
        <f>tkj!$R$93</f>
        <v>85</v>
      </c>
      <c r="H805" s="53">
        <f>tkj!$X$93</f>
        <v>85</v>
      </c>
      <c r="I805" s="53">
        <f>tkj!$AB$93</f>
        <v>85</v>
      </c>
      <c r="J805" s="53">
        <f>tkj!$AF$93</f>
        <v>85</v>
      </c>
      <c r="K805" s="54">
        <f>tkj!$AH$93</f>
        <v>73</v>
      </c>
      <c r="L805" s="55"/>
      <c r="M805" s="53">
        <f>tkj!$AN$93</f>
        <v>83</v>
      </c>
      <c r="N805" s="53">
        <f>tkj!$AT$93</f>
        <v>85</v>
      </c>
      <c r="O805" s="53">
        <f>tkj!$AZ$93</f>
        <v>86</v>
      </c>
      <c r="P805" s="54">
        <f>tkj!$BB$93</f>
        <v>91</v>
      </c>
      <c r="Q805" s="54">
        <f>tkj!$BD$93</f>
        <v>73</v>
      </c>
      <c r="R805" s="55"/>
      <c r="S805" s="55"/>
      <c r="T805" s="55"/>
      <c r="U805" s="55"/>
      <c r="V805" s="58"/>
      <c r="X805" s="278">
        <v>93</v>
      </c>
    </row>
    <row r="806" spans="1:24" ht="15" thickBot="1">
      <c r="A806" s="268">
        <v>89</v>
      </c>
      <c r="B806" s="271"/>
      <c r="C806" s="274"/>
      <c r="D806" s="52" t="s">
        <v>296</v>
      </c>
      <c r="E806" s="53">
        <f>tkj!$G$93</f>
        <v>87</v>
      </c>
      <c r="F806" s="53">
        <f>tkj!$M$93</f>
        <v>95</v>
      </c>
      <c r="G806" s="53">
        <f>tkj!$S$93</f>
        <v>87</v>
      </c>
      <c r="H806" s="53">
        <f>tkj!$Y$93</f>
        <v>82</v>
      </c>
      <c r="I806" s="53">
        <f>tkj!$AC$93</f>
        <v>83</v>
      </c>
      <c r="J806" s="59"/>
      <c r="K806" s="54">
        <f>tkj!$AI$93</f>
        <v>71</v>
      </c>
      <c r="L806" s="55"/>
      <c r="M806" s="53">
        <f>tkj!$AO$93</f>
        <v>86</v>
      </c>
      <c r="N806" s="53">
        <f>tkj!$AU$93</f>
        <v>87</v>
      </c>
      <c r="O806" s="59"/>
      <c r="P806" s="55"/>
      <c r="Q806" s="55"/>
      <c r="R806" s="54">
        <f>tkj!$BQ$93</f>
        <v>84</v>
      </c>
      <c r="S806" s="54">
        <f>tkj!$BU$93</f>
        <v>87</v>
      </c>
      <c r="T806" s="55"/>
      <c r="U806" s="54">
        <f>tkj!$BZ$93</f>
        <v>76</v>
      </c>
      <c r="V806" s="58"/>
      <c r="X806" s="278">
        <v>93</v>
      </c>
    </row>
    <row r="807" spans="1:24" ht="15" thickBot="1">
      <c r="A807" s="268">
        <v>89</v>
      </c>
      <c r="B807" s="271"/>
      <c r="C807" s="274"/>
      <c r="D807" s="62" t="s">
        <v>297</v>
      </c>
      <c r="E807" s="53">
        <f>tkj!$H$93</f>
        <v>85</v>
      </c>
      <c r="F807" s="53">
        <f>tkj!$N$93</f>
        <v>88</v>
      </c>
      <c r="G807" s="53">
        <f>tkj!$T$93</f>
        <v>87</v>
      </c>
      <c r="H807" s="53">
        <f>tkj!$Z$93</f>
        <v>85</v>
      </c>
      <c r="I807" s="53">
        <f>tkj!$AD$93</f>
        <v>85</v>
      </c>
      <c r="J807" s="59"/>
      <c r="K807" s="54">
        <f>tkj!$AJ$93</f>
        <v>85</v>
      </c>
      <c r="L807" s="55"/>
      <c r="M807" s="53">
        <f>tkj!$AP$93</f>
        <v>87</v>
      </c>
      <c r="N807" s="53">
        <f>tkj!$AV$93</f>
        <v>86</v>
      </c>
      <c r="O807" s="59"/>
      <c r="P807" s="55"/>
      <c r="Q807" s="55"/>
      <c r="R807" s="54">
        <f>tkj!$BR$93</f>
        <v>86.666666666666671</v>
      </c>
      <c r="S807" s="54">
        <f>tkj!$BV$93</f>
        <v>85</v>
      </c>
      <c r="T807" s="63"/>
      <c r="U807" s="54">
        <f>tkj!$CA$93</f>
        <v>89</v>
      </c>
      <c r="V807" s="58"/>
      <c r="X807" s="278">
        <v>93</v>
      </c>
    </row>
    <row r="808" spans="1:24">
      <c r="A808" s="268">
        <v>89</v>
      </c>
      <c r="B808" s="271"/>
      <c r="C808" s="274"/>
      <c r="D808" s="62" t="s">
        <v>298</v>
      </c>
      <c r="E808" s="53">
        <f>tkj!$I$93</f>
        <v>89</v>
      </c>
      <c r="F808" s="53">
        <f>tkj!$O$93</f>
        <v>92</v>
      </c>
      <c r="G808" s="53">
        <f>tkj!$U$93</f>
        <v>77</v>
      </c>
      <c r="H808" s="65"/>
      <c r="I808" s="65"/>
      <c r="J808" s="59"/>
      <c r="K808" s="59"/>
      <c r="L808" s="53">
        <f>tkj!$AK$93</f>
        <v>86</v>
      </c>
      <c r="M808" s="53">
        <f>tkj!$AQ$93</f>
        <v>83</v>
      </c>
      <c r="N808" s="53">
        <f>tkj!$AW$93</f>
        <v>87</v>
      </c>
      <c r="O808" s="59"/>
      <c r="P808" s="55"/>
      <c r="Q808" s="55"/>
      <c r="R808" s="54">
        <f>tkj!$BS$93</f>
        <v>86.333333333333329</v>
      </c>
      <c r="S808" s="54">
        <f>tkj!$BW$93</f>
        <v>83</v>
      </c>
      <c r="T808" s="54"/>
      <c r="U808" s="54">
        <f>tkj!$CB$93</f>
        <v>75</v>
      </c>
      <c r="V808" s="58"/>
      <c r="X808" s="278">
        <v>93</v>
      </c>
    </row>
    <row r="809" spans="1:24">
      <c r="A809" s="268">
        <v>89</v>
      </c>
      <c r="B809" s="271"/>
      <c r="C809" s="274"/>
      <c r="D809" s="66" t="s">
        <v>299</v>
      </c>
      <c r="E809" s="67">
        <f>AVERAGE(E804:E808)</f>
        <v>89.2</v>
      </c>
      <c r="F809" s="67">
        <f>AVERAGE(F804:F808)</f>
        <v>90</v>
      </c>
      <c r="G809" s="67">
        <f>AVERAGE(G804:G808)</f>
        <v>86.8</v>
      </c>
      <c r="H809" s="68"/>
      <c r="I809" s="68"/>
      <c r="J809" s="69"/>
      <c r="K809" s="69"/>
      <c r="L809" s="67">
        <f>AVERAGE(L804:L808)</f>
        <v>86</v>
      </c>
      <c r="M809" s="67">
        <f>AVERAGE(M804:M808)</f>
        <v>83.4</v>
      </c>
      <c r="N809" s="67">
        <f>AVERAGE(N804:N808)</f>
        <v>84.4</v>
      </c>
      <c r="O809" s="69"/>
      <c r="P809" s="63"/>
      <c r="Q809" s="63"/>
      <c r="R809" s="84">
        <f>AVERAGE(R806:R808)</f>
        <v>85.666666666666671</v>
      </c>
      <c r="S809" s="84">
        <f>AVERAGE(S806:S808)</f>
        <v>85</v>
      </c>
      <c r="T809" s="63"/>
      <c r="U809" s="84">
        <f>AVERAGE(U804:U808)</f>
        <v>80</v>
      </c>
      <c r="V809" s="58"/>
      <c r="X809" s="278">
        <v>93</v>
      </c>
    </row>
    <row r="810" spans="1:24">
      <c r="A810" s="268">
        <v>89</v>
      </c>
      <c r="B810" s="271"/>
      <c r="C810" s="274"/>
      <c r="D810" s="70" t="s">
        <v>300</v>
      </c>
      <c r="E810" s="71">
        <f>tkj!$J$93</f>
        <v>92</v>
      </c>
      <c r="F810" s="71">
        <f>tkj!$P$93</f>
        <v>93</v>
      </c>
      <c r="G810" s="71">
        <f>tkj!$V$93</f>
        <v>86</v>
      </c>
      <c r="H810" s="72"/>
      <c r="I810" s="72"/>
      <c r="J810" s="73"/>
      <c r="K810" s="73"/>
      <c r="L810" s="71">
        <f>tkj!$AL$93</f>
        <v>86</v>
      </c>
      <c r="M810" s="71">
        <f>tkj!$AR$93</f>
        <v>92</v>
      </c>
      <c r="N810" s="71">
        <f>tkj!$AX$93</f>
        <v>92</v>
      </c>
      <c r="O810" s="73"/>
      <c r="P810" s="74"/>
      <c r="Q810" s="74"/>
      <c r="R810" s="85">
        <f>tkj!$BT$93</f>
        <v>94</v>
      </c>
      <c r="S810" s="85">
        <f>tkj!$BX$93</f>
        <v>94</v>
      </c>
      <c r="T810" s="85">
        <f>tkj!$BY$93</f>
        <v>91</v>
      </c>
      <c r="U810" s="75">
        <f>tkj!$CC$93</f>
        <v>92</v>
      </c>
      <c r="V810" s="58"/>
      <c r="X810" s="278">
        <v>93</v>
      </c>
    </row>
    <row r="811" spans="1:24">
      <c r="A811" s="268">
        <v>89</v>
      </c>
      <c r="B811" s="271"/>
      <c r="C811" s="274"/>
      <c r="D811" s="76" t="s">
        <v>301</v>
      </c>
      <c r="E811" s="77">
        <f>tkj!$CD$93</f>
        <v>90</v>
      </c>
      <c r="F811" s="77">
        <f>tkj!$CE$93</f>
        <v>95</v>
      </c>
      <c r="G811" s="77">
        <f>tkj!$CF$93</f>
        <v>80</v>
      </c>
      <c r="H811" s="72"/>
      <c r="I811" s="72"/>
      <c r="J811" s="73"/>
      <c r="K811" s="73"/>
      <c r="L811" s="77">
        <f>tkj!$CG$93</f>
        <v>92</v>
      </c>
      <c r="M811" s="77">
        <f>tkj!$CH$93</f>
        <v>84</v>
      </c>
      <c r="N811" s="77">
        <f>tkj!$CI$93</f>
        <v>85</v>
      </c>
      <c r="O811" s="73"/>
      <c r="P811" s="74"/>
      <c r="Q811" s="74"/>
      <c r="R811" s="86">
        <f>tkj!$CL$93</f>
        <v>87</v>
      </c>
      <c r="S811" s="86">
        <f>tkj!$CK$93</f>
        <v>88</v>
      </c>
      <c r="T811" s="74"/>
      <c r="U811" s="86">
        <f>tkj!$CJ$93</f>
        <v>85</v>
      </c>
      <c r="V811" s="58"/>
      <c r="X811" s="278">
        <v>93</v>
      </c>
    </row>
    <row r="812" spans="1:24" ht="15" thickBot="1">
      <c r="A812" s="269">
        <v>89</v>
      </c>
      <c r="B812" s="272"/>
      <c r="C812" s="275"/>
      <c r="D812" s="78" t="s">
        <v>302</v>
      </c>
      <c r="E812" s="79">
        <f>(E809*4+E810*3+E811*3)/10</f>
        <v>90.28</v>
      </c>
      <c r="F812" s="79">
        <f t="shared" ref="F812:G812" si="173">(F809*4+F810*3+F811*3)/10</f>
        <v>92.4</v>
      </c>
      <c r="G812" s="79">
        <f t="shared" si="173"/>
        <v>84.52000000000001</v>
      </c>
      <c r="H812" s="79">
        <f>AVERAGE(H804:H807)</f>
        <v>83.5</v>
      </c>
      <c r="I812" s="79">
        <f>AVERAGE(I804:I807)</f>
        <v>85.75</v>
      </c>
      <c r="J812" s="79">
        <f>AVERAGE(J804:J805)</f>
        <v>84</v>
      </c>
      <c r="K812" s="79">
        <f>AVERAGE(K804:K807)</f>
        <v>76.75</v>
      </c>
      <c r="L812" s="79">
        <f>(L809*4+L810*3+L811*3)/10</f>
        <v>87.8</v>
      </c>
      <c r="M812" s="79">
        <f>(M809*4+M810*3+M811*3)/10</f>
        <v>86.16</v>
      </c>
      <c r="N812" s="79">
        <f>(N809*4+N810*3+N811*3)/10</f>
        <v>86.86</v>
      </c>
      <c r="O812" s="79">
        <f>AVERAGE(O804:O805)</f>
        <v>87.5</v>
      </c>
      <c r="P812" s="79">
        <f>AVERAGE(P804:P805)</f>
        <v>89.5</v>
      </c>
      <c r="Q812" s="79">
        <f>AVERAGE(Q804:Q805)</f>
        <v>75.5</v>
      </c>
      <c r="R812" s="79">
        <f>(R809*4+R810*3+R811*3)/10</f>
        <v>88.566666666666677</v>
      </c>
      <c r="S812" s="79">
        <f>(S809*4+S810*3+S811*3)/10</f>
        <v>88.6</v>
      </c>
      <c r="T812" s="79">
        <f>T810</f>
        <v>91</v>
      </c>
      <c r="U812" s="79">
        <f t="shared" ref="U812" si="174">(U809*4+U810*3+U811*3)/10</f>
        <v>85.1</v>
      </c>
      <c r="V812" s="80">
        <f>AVERAGE(E812:U812)</f>
        <v>86.105098039215676</v>
      </c>
      <c r="X812" s="278">
        <v>93</v>
      </c>
    </row>
    <row r="813" spans="1:24" ht="15.6" thickTop="1" thickBot="1">
      <c r="A813" s="268">
        <v>90</v>
      </c>
      <c r="B813" s="270" t="s">
        <v>401</v>
      </c>
      <c r="C813" s="273" t="s">
        <v>233</v>
      </c>
      <c r="D813" s="52" t="s">
        <v>294</v>
      </c>
      <c r="E813" s="53">
        <f>tkj!$E$94</f>
        <v>97</v>
      </c>
      <c r="F813" s="53">
        <f>tkj!$K$94</f>
        <v>81</v>
      </c>
      <c r="G813" s="53">
        <f>tkj!$Q$94</f>
        <v>99</v>
      </c>
      <c r="H813" s="53">
        <f>tkj!$W$94</f>
        <v>85</v>
      </c>
      <c r="I813" s="53">
        <f>tkj!$AA$94</f>
        <v>83</v>
      </c>
      <c r="J813" s="53">
        <f>tkj!$AE$94</f>
        <v>83</v>
      </c>
      <c r="K813" s="54">
        <f>tkj!$AG$94</f>
        <v>78</v>
      </c>
      <c r="L813" s="55"/>
      <c r="M813" s="53">
        <f>tkj!$AM$94</f>
        <v>90</v>
      </c>
      <c r="N813" s="53">
        <f>tkj!$AS$94</f>
        <v>78</v>
      </c>
      <c r="O813" s="53">
        <f>tkj!$AY$94</f>
        <v>92</v>
      </c>
      <c r="P813" s="54">
        <f>tkj!$BA$94</f>
        <v>95</v>
      </c>
      <c r="Q813" s="54">
        <f>tkj!$BC$94</f>
        <v>84</v>
      </c>
      <c r="R813" s="55"/>
      <c r="S813" s="55"/>
      <c r="T813" s="55"/>
      <c r="U813" s="55"/>
      <c r="V813" s="56"/>
      <c r="X813" s="278">
        <v>94</v>
      </c>
    </row>
    <row r="814" spans="1:24" ht="15" thickBot="1">
      <c r="A814" s="268">
        <v>90</v>
      </c>
      <c r="B814" s="271"/>
      <c r="C814" s="274"/>
      <c r="D814" s="52" t="s">
        <v>295</v>
      </c>
      <c r="E814" s="53">
        <f>tkj!$F$94</f>
        <v>98</v>
      </c>
      <c r="F814" s="53">
        <f>tkj!$L$94</f>
        <v>93</v>
      </c>
      <c r="G814" s="53">
        <f>tkj!$R$94</f>
        <v>95</v>
      </c>
      <c r="H814" s="53">
        <f>tkj!$X$94</f>
        <v>86</v>
      </c>
      <c r="I814" s="53">
        <f>tkj!$AB$94</f>
        <v>88</v>
      </c>
      <c r="J814" s="53">
        <f>tkj!$AF$94</f>
        <v>86</v>
      </c>
      <c r="K814" s="54">
        <f>tkj!$AH$94</f>
        <v>78</v>
      </c>
      <c r="L814" s="55"/>
      <c r="M814" s="53">
        <f>tkj!$AN$94</f>
        <v>91</v>
      </c>
      <c r="N814" s="53">
        <f>tkj!$AT$94</f>
        <v>85</v>
      </c>
      <c r="O814" s="53">
        <f>tkj!$AZ$94</f>
        <v>96</v>
      </c>
      <c r="P814" s="54">
        <f>tkj!$BB$94</f>
        <v>94</v>
      </c>
      <c r="Q814" s="54">
        <f>tkj!$BD$94</f>
        <v>88</v>
      </c>
      <c r="R814" s="55"/>
      <c r="S814" s="55"/>
      <c r="T814" s="55"/>
      <c r="U814" s="55"/>
      <c r="V814" s="58"/>
      <c r="X814" s="278">
        <v>94</v>
      </c>
    </row>
    <row r="815" spans="1:24" ht="15" thickBot="1">
      <c r="A815" s="268">
        <v>90</v>
      </c>
      <c r="B815" s="271"/>
      <c r="C815" s="274"/>
      <c r="D815" s="52" t="s">
        <v>296</v>
      </c>
      <c r="E815" s="53">
        <f>tkj!$G$94</f>
        <v>90</v>
      </c>
      <c r="F815" s="53">
        <f>tkj!$M$94</f>
        <v>95</v>
      </c>
      <c r="G815" s="53">
        <f>tkj!$S$94</f>
        <v>92</v>
      </c>
      <c r="H815" s="53">
        <f>tkj!$Y$94</f>
        <v>83</v>
      </c>
      <c r="I815" s="53">
        <f>tkj!$AC$94</f>
        <v>85</v>
      </c>
      <c r="J815" s="59"/>
      <c r="K815" s="54">
        <f>tkj!$AI$94</f>
        <v>72</v>
      </c>
      <c r="L815" s="55"/>
      <c r="M815" s="53">
        <f>tkj!$AO$94</f>
        <v>97</v>
      </c>
      <c r="N815" s="53">
        <f>tkj!$AU$94</f>
        <v>87</v>
      </c>
      <c r="O815" s="59"/>
      <c r="P815" s="55"/>
      <c r="Q815" s="55"/>
      <c r="R815" s="54">
        <f>tkj!$BQ$94</f>
        <v>87</v>
      </c>
      <c r="S815" s="54">
        <f>tkj!$BU$94</f>
        <v>87</v>
      </c>
      <c r="T815" s="55"/>
      <c r="U815" s="54">
        <f>tkj!$BZ$94</f>
        <v>90</v>
      </c>
      <c r="V815" s="58"/>
      <c r="X815" s="278">
        <v>94</v>
      </c>
    </row>
    <row r="816" spans="1:24" ht="15" thickBot="1">
      <c r="A816" s="268">
        <v>90</v>
      </c>
      <c r="B816" s="271"/>
      <c r="C816" s="274"/>
      <c r="D816" s="62" t="s">
        <v>297</v>
      </c>
      <c r="E816" s="53">
        <f>tkj!$H$94</f>
        <v>89</v>
      </c>
      <c r="F816" s="53">
        <f>tkj!$N$94</f>
        <v>95</v>
      </c>
      <c r="G816" s="53">
        <f>tkj!$T$94</f>
        <v>94</v>
      </c>
      <c r="H816" s="53">
        <f>tkj!$Z$94</f>
        <v>86</v>
      </c>
      <c r="I816" s="53">
        <f>tkj!$AD$94</f>
        <v>86</v>
      </c>
      <c r="J816" s="59"/>
      <c r="K816" s="54">
        <f>tkj!$AJ$94</f>
        <v>86</v>
      </c>
      <c r="L816" s="55"/>
      <c r="M816" s="53">
        <f>tkj!$AP$94</f>
        <v>97</v>
      </c>
      <c r="N816" s="53">
        <f>tkj!$AV$94</f>
        <v>88</v>
      </c>
      <c r="O816" s="59"/>
      <c r="P816" s="55"/>
      <c r="Q816" s="55"/>
      <c r="R816" s="54">
        <f>tkj!$BR$94</f>
        <v>92.666666666666671</v>
      </c>
      <c r="S816" s="54">
        <f>tkj!$BV$94</f>
        <v>92</v>
      </c>
      <c r="T816" s="63"/>
      <c r="U816" s="54">
        <f>tkj!$CA$94</f>
        <v>94</v>
      </c>
      <c r="V816" s="58"/>
      <c r="X816" s="278">
        <v>94</v>
      </c>
    </row>
    <row r="817" spans="1:24">
      <c r="A817" s="268">
        <v>90</v>
      </c>
      <c r="B817" s="271"/>
      <c r="C817" s="274"/>
      <c r="D817" s="62" t="s">
        <v>298</v>
      </c>
      <c r="E817" s="53">
        <f>tkj!$I$94</f>
        <v>90</v>
      </c>
      <c r="F817" s="53">
        <f>tkj!$O$94</f>
        <v>95</v>
      </c>
      <c r="G817" s="53">
        <f>tkj!$U$94</f>
        <v>90</v>
      </c>
      <c r="H817" s="65"/>
      <c r="I817" s="65"/>
      <c r="J817" s="59"/>
      <c r="K817" s="59"/>
      <c r="L817" s="53">
        <f>tkj!$AK$94</f>
        <v>82</v>
      </c>
      <c r="M817" s="53">
        <f>tkj!$AQ$94</f>
        <v>91</v>
      </c>
      <c r="N817" s="53">
        <f>tkj!$AW$94</f>
        <v>89</v>
      </c>
      <c r="O817" s="59"/>
      <c r="P817" s="55"/>
      <c r="Q817" s="55"/>
      <c r="R817" s="54">
        <f>tkj!$BS$94</f>
        <v>87</v>
      </c>
      <c r="S817" s="54">
        <f>tkj!$BW$94</f>
        <v>85</v>
      </c>
      <c r="T817" s="54"/>
      <c r="U817" s="54">
        <f>tkj!$CB$94</f>
        <v>88</v>
      </c>
      <c r="V817" s="58"/>
      <c r="X817" s="278">
        <v>94</v>
      </c>
    </row>
    <row r="818" spans="1:24">
      <c r="A818" s="268">
        <v>90</v>
      </c>
      <c r="B818" s="271"/>
      <c r="C818" s="274"/>
      <c r="D818" s="66" t="s">
        <v>299</v>
      </c>
      <c r="E818" s="67">
        <f>AVERAGE(E813:E817)</f>
        <v>92.8</v>
      </c>
      <c r="F818" s="67">
        <f>AVERAGE(F813:F817)</f>
        <v>91.8</v>
      </c>
      <c r="G818" s="67">
        <f>AVERAGE(G813:G817)</f>
        <v>94</v>
      </c>
      <c r="H818" s="68"/>
      <c r="I818" s="68"/>
      <c r="J818" s="69"/>
      <c r="K818" s="69"/>
      <c r="L818" s="67">
        <f>AVERAGE(L813:L817)</f>
        <v>82</v>
      </c>
      <c r="M818" s="67">
        <f>AVERAGE(M813:M817)</f>
        <v>93.2</v>
      </c>
      <c r="N818" s="67">
        <f>AVERAGE(N813:N817)</f>
        <v>85.4</v>
      </c>
      <c r="O818" s="69"/>
      <c r="P818" s="63"/>
      <c r="Q818" s="63"/>
      <c r="R818" s="84">
        <f>AVERAGE(R815:R817)</f>
        <v>88.8888888888889</v>
      </c>
      <c r="S818" s="84">
        <f>AVERAGE(S815:S817)</f>
        <v>88</v>
      </c>
      <c r="T818" s="63"/>
      <c r="U818" s="84">
        <f>AVERAGE(U813:U817)</f>
        <v>90.666666666666671</v>
      </c>
      <c r="V818" s="58"/>
      <c r="X818" s="278">
        <v>94</v>
      </c>
    </row>
    <row r="819" spans="1:24">
      <c r="A819" s="268">
        <v>90</v>
      </c>
      <c r="B819" s="271"/>
      <c r="C819" s="274"/>
      <c r="D819" s="70" t="s">
        <v>300</v>
      </c>
      <c r="E819" s="71">
        <f>tkj!$J$94</f>
        <v>80</v>
      </c>
      <c r="F819" s="71">
        <f>tkj!$P$94</f>
        <v>90</v>
      </c>
      <c r="G819" s="71">
        <f>tkj!$V$94</f>
        <v>87</v>
      </c>
      <c r="H819" s="72"/>
      <c r="I819" s="72"/>
      <c r="J819" s="73"/>
      <c r="K819" s="73"/>
      <c r="L819" s="71">
        <f>tkj!$AL$94</f>
        <v>87</v>
      </c>
      <c r="M819" s="71">
        <f>tkj!$AR$94</f>
        <v>91</v>
      </c>
      <c r="N819" s="71">
        <f>tkj!$AX$94</f>
        <v>91</v>
      </c>
      <c r="O819" s="73"/>
      <c r="P819" s="74"/>
      <c r="Q819" s="74"/>
      <c r="R819" s="85">
        <f>tkj!$BT$94</f>
        <v>93</v>
      </c>
      <c r="S819" s="85">
        <f>tkj!$BX$94</f>
        <v>93</v>
      </c>
      <c r="T819" s="85">
        <f>tkj!$BY$94</f>
        <v>88</v>
      </c>
      <c r="U819" s="75">
        <f>tkj!$CC$94</f>
        <v>91</v>
      </c>
      <c r="V819" s="58"/>
      <c r="X819" s="278">
        <v>94</v>
      </c>
    </row>
    <row r="820" spans="1:24">
      <c r="A820" s="268">
        <v>90</v>
      </c>
      <c r="B820" s="271"/>
      <c r="C820" s="274"/>
      <c r="D820" s="76" t="s">
        <v>301</v>
      </c>
      <c r="E820" s="77">
        <f>tkj!$CD$94</f>
        <v>94</v>
      </c>
      <c r="F820" s="77">
        <f>tkj!$CE$94</f>
        <v>95</v>
      </c>
      <c r="G820" s="77">
        <f>tkj!$CF$94</f>
        <v>90</v>
      </c>
      <c r="H820" s="72"/>
      <c r="I820" s="72"/>
      <c r="J820" s="73"/>
      <c r="K820" s="73"/>
      <c r="L820" s="77">
        <f>tkj!$CG$94</f>
        <v>95</v>
      </c>
      <c r="M820" s="77">
        <f>tkj!$CH$94</f>
        <v>92</v>
      </c>
      <c r="N820" s="77">
        <f>tkj!$CI$94</f>
        <v>89</v>
      </c>
      <c r="O820" s="73"/>
      <c r="P820" s="74"/>
      <c r="Q820" s="74"/>
      <c r="R820" s="86">
        <f>tkj!$CL$94</f>
        <v>92</v>
      </c>
      <c r="S820" s="86">
        <f>tkj!$CK$94</f>
        <v>78</v>
      </c>
      <c r="T820" s="74"/>
      <c r="U820" s="86">
        <f>tkj!$CJ$94</f>
        <v>88</v>
      </c>
      <c r="V820" s="58"/>
      <c r="X820" s="278">
        <v>94</v>
      </c>
    </row>
    <row r="821" spans="1:24" ht="15" thickBot="1">
      <c r="A821" s="269">
        <v>90</v>
      </c>
      <c r="B821" s="272"/>
      <c r="C821" s="275"/>
      <c r="D821" s="78" t="s">
        <v>302</v>
      </c>
      <c r="E821" s="79">
        <f>(E818*4+E819*3+E820*3)/10</f>
        <v>89.320000000000007</v>
      </c>
      <c r="F821" s="79">
        <f t="shared" ref="F821:G821" si="175">(F818*4+F819*3+F820*3)/10</f>
        <v>92.22</v>
      </c>
      <c r="G821" s="79">
        <f t="shared" si="175"/>
        <v>90.7</v>
      </c>
      <c r="H821" s="79">
        <f>AVERAGE(H813:H816)</f>
        <v>85</v>
      </c>
      <c r="I821" s="79">
        <f>AVERAGE(I813:I816)</f>
        <v>85.5</v>
      </c>
      <c r="J821" s="79">
        <f>AVERAGE(J813:J814)</f>
        <v>84.5</v>
      </c>
      <c r="K821" s="79">
        <f>AVERAGE(K813:K816)</f>
        <v>78.5</v>
      </c>
      <c r="L821" s="79">
        <f>(L818*4+L819*3+L820*3)/10</f>
        <v>87.4</v>
      </c>
      <c r="M821" s="79">
        <f>(M818*4+M819*3+M820*3)/10</f>
        <v>92.179999999999993</v>
      </c>
      <c r="N821" s="79">
        <f>(N818*4+N819*3+N820*3)/10</f>
        <v>88.16</v>
      </c>
      <c r="O821" s="79">
        <f>AVERAGE(O813:O814)</f>
        <v>94</v>
      </c>
      <c r="P821" s="79">
        <f>AVERAGE(P813:P814)</f>
        <v>94.5</v>
      </c>
      <c r="Q821" s="79">
        <f>AVERAGE(Q813:Q814)</f>
        <v>86</v>
      </c>
      <c r="R821" s="79">
        <f>(R818*4+R819*3+R820*3)/10</f>
        <v>91.055555555555571</v>
      </c>
      <c r="S821" s="79">
        <f>(S818*4+S819*3+S820*3)/10</f>
        <v>86.5</v>
      </c>
      <c r="T821" s="79">
        <f>T819</f>
        <v>88</v>
      </c>
      <c r="U821" s="79">
        <f t="shared" ref="U821" si="176">(U818*4+U819*3+U820*3)/10</f>
        <v>89.966666666666669</v>
      </c>
      <c r="V821" s="80">
        <f>AVERAGE(E821:U821)</f>
        <v>88.441307189542499</v>
      </c>
      <c r="X821" s="278">
        <v>94</v>
      </c>
    </row>
    <row r="822" spans="1:24" ht="18" customHeight="1" thickTop="1" thickBot="1">
      <c r="A822" s="268">
        <v>91</v>
      </c>
      <c r="B822" s="270" t="s">
        <v>402</v>
      </c>
      <c r="C822" s="273" t="s">
        <v>235</v>
      </c>
      <c r="D822" s="52" t="s">
        <v>294</v>
      </c>
      <c r="E822" s="53">
        <f>tkj!$E$95</f>
        <v>83</v>
      </c>
      <c r="F822" s="53">
        <f>tkj!$K$95</f>
        <v>85</v>
      </c>
      <c r="G822" s="53">
        <f>tkj!$Q$95</f>
        <v>85</v>
      </c>
      <c r="H822" s="53">
        <f>tkj!$W$95</f>
        <v>81</v>
      </c>
      <c r="I822" s="53">
        <f>tkj!$AA$95</f>
        <v>80</v>
      </c>
      <c r="J822" s="53">
        <f>tkj!$AE$95</f>
        <v>87</v>
      </c>
      <c r="K822" s="54">
        <f>tkj!$AG$95</f>
        <v>83</v>
      </c>
      <c r="L822" s="55"/>
      <c r="M822" s="53">
        <f>tkj!$AM$95</f>
        <v>71</v>
      </c>
      <c r="N822" s="53">
        <f>tkj!$AS$95</f>
        <v>78</v>
      </c>
      <c r="O822" s="53">
        <f>tkj!$AY$95</f>
        <v>89</v>
      </c>
      <c r="P822" s="54">
        <f>tkj!$BA$95</f>
        <v>90</v>
      </c>
      <c r="Q822" s="54">
        <f>tkj!$BC$95</f>
        <v>87</v>
      </c>
      <c r="R822" s="55"/>
      <c r="S822" s="55"/>
      <c r="T822" s="55"/>
      <c r="U822" s="55"/>
      <c r="V822" s="56"/>
      <c r="X822" s="278">
        <v>95</v>
      </c>
    </row>
    <row r="823" spans="1:24" ht="15" thickBot="1">
      <c r="A823" s="268">
        <v>91</v>
      </c>
      <c r="B823" s="271"/>
      <c r="C823" s="274"/>
      <c r="D823" s="52" t="s">
        <v>295</v>
      </c>
      <c r="E823" s="53">
        <f>tkj!$F$95</f>
        <v>90</v>
      </c>
      <c r="F823" s="53">
        <f>tkj!$L$95</f>
        <v>81</v>
      </c>
      <c r="G823" s="53">
        <f>tkj!$R$95</f>
        <v>87</v>
      </c>
      <c r="H823" s="53">
        <f>tkj!$X$95</f>
        <v>84</v>
      </c>
      <c r="I823" s="53">
        <f>tkj!$AB$95</f>
        <v>85</v>
      </c>
      <c r="J823" s="53">
        <f>tkj!$AF$95</f>
        <v>84</v>
      </c>
      <c r="K823" s="54">
        <f>tkj!$AH$95</f>
        <v>79</v>
      </c>
      <c r="L823" s="55"/>
      <c r="M823" s="53">
        <f>tkj!$AN$95</f>
        <v>74</v>
      </c>
      <c r="N823" s="53">
        <f>tkj!$AT$95</f>
        <v>80</v>
      </c>
      <c r="O823" s="53">
        <f>tkj!$AZ$95</f>
        <v>88</v>
      </c>
      <c r="P823" s="54">
        <f>tkj!$BB$95</f>
        <v>87</v>
      </c>
      <c r="Q823" s="54">
        <f>tkj!$BD$95</f>
        <v>80</v>
      </c>
      <c r="R823" s="55"/>
      <c r="S823" s="55"/>
      <c r="T823" s="55"/>
      <c r="U823" s="55"/>
      <c r="V823" s="58"/>
      <c r="X823" s="278">
        <v>95</v>
      </c>
    </row>
    <row r="824" spans="1:24" ht="15" thickBot="1">
      <c r="A824" s="268">
        <v>91</v>
      </c>
      <c r="B824" s="271"/>
      <c r="C824" s="274"/>
      <c r="D824" s="52" t="s">
        <v>296</v>
      </c>
      <c r="E824" s="53">
        <f>tkj!$G$95</f>
        <v>88</v>
      </c>
      <c r="F824" s="53">
        <f>tkj!$M$95</f>
        <v>95</v>
      </c>
      <c r="G824" s="53">
        <f>tkj!$S$95</f>
        <v>88</v>
      </c>
      <c r="H824" s="53">
        <f>tkj!$Y$95</f>
        <v>80</v>
      </c>
      <c r="I824" s="53">
        <f>tkj!$AC$95</f>
        <v>85</v>
      </c>
      <c r="J824" s="59"/>
      <c r="K824" s="54">
        <f>tkj!$AI$95</f>
        <v>79</v>
      </c>
      <c r="L824" s="55"/>
      <c r="M824" s="53">
        <f>tkj!$AO$95</f>
        <v>78</v>
      </c>
      <c r="N824" s="53">
        <f>tkj!$AU$95</f>
        <v>83</v>
      </c>
      <c r="O824" s="59"/>
      <c r="P824" s="55"/>
      <c r="Q824" s="55"/>
      <c r="R824" s="54">
        <f>tkj!$BQ$95</f>
        <v>80</v>
      </c>
      <c r="S824" s="54">
        <f>tkj!$BU$95</f>
        <v>88</v>
      </c>
      <c r="T824" s="55"/>
      <c r="U824" s="54">
        <f>tkj!$BZ$95</f>
        <v>77</v>
      </c>
      <c r="V824" s="58"/>
      <c r="X824" s="278">
        <v>95</v>
      </c>
    </row>
    <row r="825" spans="1:24" ht="15" thickBot="1">
      <c r="A825" s="268">
        <v>91</v>
      </c>
      <c r="B825" s="271"/>
      <c r="C825" s="274"/>
      <c r="D825" s="62" t="s">
        <v>297</v>
      </c>
      <c r="E825" s="53">
        <f>tkj!$H$95</f>
        <v>87</v>
      </c>
      <c r="F825" s="53">
        <f>tkj!$N$95</f>
        <v>95</v>
      </c>
      <c r="G825" s="53">
        <f>tkj!$T$95</f>
        <v>83</v>
      </c>
      <c r="H825" s="53">
        <f>tkj!$Z$95</f>
        <v>85</v>
      </c>
      <c r="I825" s="53">
        <f>tkj!$AD$95</f>
        <v>83</v>
      </c>
      <c r="J825" s="59"/>
      <c r="K825" s="54">
        <f>tkj!$AJ$95</f>
        <v>83</v>
      </c>
      <c r="L825" s="55"/>
      <c r="M825" s="53">
        <f>tkj!$AP$95</f>
        <v>79</v>
      </c>
      <c r="N825" s="53">
        <f>tkj!$AV$95</f>
        <v>86</v>
      </c>
      <c r="O825" s="59"/>
      <c r="P825" s="55"/>
      <c r="Q825" s="55"/>
      <c r="R825" s="54">
        <f>tkj!$BR$95</f>
        <v>85.333333333333329</v>
      </c>
      <c r="S825" s="54">
        <f>tkj!$BV$95</f>
        <v>88</v>
      </c>
      <c r="T825" s="63"/>
      <c r="U825" s="54">
        <f>tkj!$CA$95</f>
        <v>90</v>
      </c>
      <c r="V825" s="58"/>
      <c r="X825" s="278">
        <v>95</v>
      </c>
    </row>
    <row r="826" spans="1:24">
      <c r="A826" s="268">
        <v>91</v>
      </c>
      <c r="B826" s="271"/>
      <c r="C826" s="274"/>
      <c r="D826" s="62" t="s">
        <v>298</v>
      </c>
      <c r="E826" s="53">
        <f>tkj!$I$95</f>
        <v>88</v>
      </c>
      <c r="F826" s="53">
        <f>tkj!$O$95</f>
        <v>95</v>
      </c>
      <c r="G826" s="53">
        <f>tkj!$U$95</f>
        <v>87</v>
      </c>
      <c r="H826" s="65"/>
      <c r="I826" s="65"/>
      <c r="J826" s="59"/>
      <c r="K826" s="59"/>
      <c r="L826" s="53">
        <f>tkj!$AK$95</f>
        <v>83</v>
      </c>
      <c r="M826" s="53">
        <f>tkj!$AQ$95</f>
        <v>80</v>
      </c>
      <c r="N826" s="53">
        <f>tkj!$AW$95</f>
        <v>82</v>
      </c>
      <c r="O826" s="59"/>
      <c r="P826" s="55"/>
      <c r="Q826" s="55"/>
      <c r="R826" s="54">
        <f>tkj!$BS$95</f>
        <v>85.666666666666671</v>
      </c>
      <c r="S826" s="54">
        <f>tkj!$BW$95</f>
        <v>84</v>
      </c>
      <c r="T826" s="54"/>
      <c r="U826" s="54">
        <f>tkj!$CB$95</f>
        <v>75</v>
      </c>
      <c r="V826" s="58"/>
      <c r="X826" s="278">
        <v>95</v>
      </c>
    </row>
    <row r="827" spans="1:24">
      <c r="A827" s="268">
        <v>91</v>
      </c>
      <c r="B827" s="271"/>
      <c r="C827" s="274"/>
      <c r="D827" s="66" t="s">
        <v>299</v>
      </c>
      <c r="E827" s="67">
        <f>AVERAGE(E822:E826)</f>
        <v>87.2</v>
      </c>
      <c r="F827" s="67">
        <f>AVERAGE(F822:F826)</f>
        <v>90.2</v>
      </c>
      <c r="G827" s="67">
        <f>AVERAGE(G822:G826)</f>
        <v>86</v>
      </c>
      <c r="H827" s="68"/>
      <c r="I827" s="68"/>
      <c r="J827" s="69"/>
      <c r="K827" s="69"/>
      <c r="L827" s="67">
        <f>AVERAGE(L822:L826)</f>
        <v>83</v>
      </c>
      <c r="M827" s="67">
        <f>AVERAGE(M822:M826)</f>
        <v>76.400000000000006</v>
      </c>
      <c r="N827" s="67">
        <f>AVERAGE(N822:N826)</f>
        <v>81.8</v>
      </c>
      <c r="O827" s="69"/>
      <c r="P827" s="63"/>
      <c r="Q827" s="63"/>
      <c r="R827" s="84">
        <f>AVERAGE(R824:R826)</f>
        <v>83.666666666666671</v>
      </c>
      <c r="S827" s="84">
        <f>AVERAGE(S824:S826)</f>
        <v>86.666666666666671</v>
      </c>
      <c r="T827" s="63"/>
      <c r="U827" s="84">
        <f>AVERAGE(U822:U826)</f>
        <v>80.666666666666671</v>
      </c>
      <c r="V827" s="58"/>
      <c r="X827" s="278">
        <v>95</v>
      </c>
    </row>
    <row r="828" spans="1:24">
      <c r="A828" s="268">
        <v>91</v>
      </c>
      <c r="B828" s="271"/>
      <c r="C828" s="274"/>
      <c r="D828" s="70" t="s">
        <v>300</v>
      </c>
      <c r="E828" s="71">
        <f>tkj!$J$95</f>
        <v>90</v>
      </c>
      <c r="F828" s="71">
        <f>tkj!$P$95</f>
        <v>81</v>
      </c>
      <c r="G828" s="71">
        <f>tkj!$V$95</f>
        <v>80</v>
      </c>
      <c r="H828" s="72"/>
      <c r="I828" s="72"/>
      <c r="J828" s="73"/>
      <c r="K828" s="73"/>
      <c r="L828" s="71">
        <f>tkj!$AL$95</f>
        <v>80</v>
      </c>
      <c r="M828" s="71">
        <f>tkj!$AR$95</f>
        <v>80</v>
      </c>
      <c r="N828" s="71">
        <f>tkj!$AX$95</f>
        <v>80</v>
      </c>
      <c r="O828" s="73"/>
      <c r="P828" s="74"/>
      <c r="Q828" s="74"/>
      <c r="R828" s="85">
        <f>tkj!$BT$95</f>
        <v>81</v>
      </c>
      <c r="S828" s="85">
        <f>tkj!$BX$95</f>
        <v>81</v>
      </c>
      <c r="T828" s="85">
        <f>tkj!$BY$95</f>
        <v>82</v>
      </c>
      <c r="U828" s="75">
        <f>tkj!$CC$95</f>
        <v>80</v>
      </c>
      <c r="V828" s="58"/>
      <c r="X828" s="278">
        <v>95</v>
      </c>
    </row>
    <row r="829" spans="1:24">
      <c r="A829" s="268">
        <v>91</v>
      </c>
      <c r="B829" s="271"/>
      <c r="C829" s="274"/>
      <c r="D829" s="76" t="s">
        <v>301</v>
      </c>
      <c r="E829" s="77">
        <f>tkj!$CD$95</f>
        <v>89</v>
      </c>
      <c r="F829" s="77">
        <f>tkj!$CE$95</f>
        <v>93</v>
      </c>
      <c r="G829" s="77">
        <f>tkj!$CF$95</f>
        <v>78</v>
      </c>
      <c r="H829" s="72"/>
      <c r="I829" s="72"/>
      <c r="J829" s="73"/>
      <c r="K829" s="73"/>
      <c r="L829" s="77">
        <f>tkj!$CG$95</f>
        <v>87</v>
      </c>
      <c r="M829" s="77">
        <f>tkj!$CH$95</f>
        <v>81</v>
      </c>
      <c r="N829" s="77">
        <f>tkj!$CI$95</f>
        <v>82</v>
      </c>
      <c r="O829" s="73"/>
      <c r="P829" s="74"/>
      <c r="Q829" s="74"/>
      <c r="R829" s="86">
        <f>tkj!$CL$95</f>
        <v>80</v>
      </c>
      <c r="S829" s="86">
        <f>tkj!$CK$95</f>
        <v>89</v>
      </c>
      <c r="T829" s="74"/>
      <c r="U829" s="86">
        <f>tkj!$CJ$95</f>
        <v>80</v>
      </c>
      <c r="V829" s="58"/>
      <c r="X829" s="278">
        <v>95</v>
      </c>
    </row>
    <row r="830" spans="1:24" ht="15" thickBot="1">
      <c r="A830" s="269">
        <v>91</v>
      </c>
      <c r="B830" s="272"/>
      <c r="C830" s="275"/>
      <c r="D830" s="78" t="s">
        <v>302</v>
      </c>
      <c r="E830" s="79">
        <f>(E827*4+E828*3+E829*3)/10</f>
        <v>88.58</v>
      </c>
      <c r="F830" s="79">
        <f t="shared" ref="F830:G830" si="177">(F827*4+F828*3+F829*3)/10</f>
        <v>88.28</v>
      </c>
      <c r="G830" s="79">
        <f t="shared" si="177"/>
        <v>81.8</v>
      </c>
      <c r="H830" s="79">
        <f>AVERAGE(H822:H825)</f>
        <v>82.5</v>
      </c>
      <c r="I830" s="79">
        <f>AVERAGE(I822:I825)</f>
        <v>83.25</v>
      </c>
      <c r="J830" s="79">
        <f>AVERAGE(J822:J823)</f>
        <v>85.5</v>
      </c>
      <c r="K830" s="79">
        <f>AVERAGE(K822:K825)</f>
        <v>81</v>
      </c>
      <c r="L830" s="79">
        <f>(L827*4+L828*3+L829*3)/10</f>
        <v>83.3</v>
      </c>
      <c r="M830" s="79">
        <f>(M827*4+M828*3+M829*3)/10</f>
        <v>78.86</v>
      </c>
      <c r="N830" s="79">
        <f>(N827*4+N828*3+N829*3)/10</f>
        <v>81.320000000000007</v>
      </c>
      <c r="O830" s="79">
        <f>AVERAGE(O822:O823)</f>
        <v>88.5</v>
      </c>
      <c r="P830" s="79">
        <f>AVERAGE(P822:P823)</f>
        <v>88.5</v>
      </c>
      <c r="Q830" s="79">
        <f>AVERAGE(Q822:Q823)</f>
        <v>83.5</v>
      </c>
      <c r="R830" s="79">
        <f>(R827*4+R828*3+R829*3)/10</f>
        <v>81.76666666666668</v>
      </c>
      <c r="S830" s="79">
        <f>(S827*4+S828*3+S829*3)/10</f>
        <v>85.666666666666671</v>
      </c>
      <c r="T830" s="79">
        <f>T828</f>
        <v>82</v>
      </c>
      <c r="U830" s="79">
        <f t="shared" ref="U830" si="178">(U827*4+U828*3+U829*3)/10</f>
        <v>80.26666666666668</v>
      </c>
      <c r="V830" s="80">
        <f>AVERAGE(E830:U830)</f>
        <v>83.799411764705894</v>
      </c>
      <c r="X830" s="278">
        <v>95</v>
      </c>
    </row>
    <row r="831" spans="1:24" ht="15.6" thickTop="1" thickBot="1">
      <c r="A831" s="268">
        <v>92</v>
      </c>
      <c r="B831" s="270" t="s">
        <v>403</v>
      </c>
      <c r="C831" s="273" t="s">
        <v>237</v>
      </c>
      <c r="D831" s="52" t="s">
        <v>294</v>
      </c>
      <c r="E831" s="53">
        <f>tkj!$E$96</f>
        <v>90</v>
      </c>
      <c r="F831" s="53">
        <f>tkj!$K$96</f>
        <v>85</v>
      </c>
      <c r="G831" s="53">
        <f>tkj!$Q$96</f>
        <v>94</v>
      </c>
      <c r="H831" s="53">
        <f>tkj!$W$96</f>
        <v>84</v>
      </c>
      <c r="I831" s="53">
        <f>tkj!$AA$96</f>
        <v>83</v>
      </c>
      <c r="J831" s="53">
        <f>tkj!$AE$96</f>
        <v>83</v>
      </c>
      <c r="K831" s="54">
        <f>tkj!$AG$96</f>
        <v>78</v>
      </c>
      <c r="L831" s="55"/>
      <c r="M831" s="53">
        <f>tkj!$AM$96</f>
        <v>86</v>
      </c>
      <c r="N831" s="53">
        <f>tkj!$AS$96</f>
        <v>79</v>
      </c>
      <c r="O831" s="53">
        <f>tkj!$AY$96</f>
        <v>92</v>
      </c>
      <c r="P831" s="54">
        <f>tkj!$BA$96</f>
        <v>82</v>
      </c>
      <c r="Q831" s="54">
        <f>tkj!$BC$96</f>
        <v>81</v>
      </c>
      <c r="R831" s="55"/>
      <c r="S831" s="55"/>
      <c r="T831" s="55"/>
      <c r="U831" s="55"/>
      <c r="V831" s="56"/>
      <c r="X831" s="278">
        <v>96</v>
      </c>
    </row>
    <row r="832" spans="1:24" ht="15" thickBot="1">
      <c r="A832" s="268">
        <v>92</v>
      </c>
      <c r="B832" s="271"/>
      <c r="C832" s="274"/>
      <c r="D832" s="52" t="s">
        <v>295</v>
      </c>
      <c r="E832" s="53">
        <f>tkj!$F$96</f>
        <v>81</v>
      </c>
      <c r="F832" s="53">
        <f>tkj!$L$96</f>
        <v>81</v>
      </c>
      <c r="G832" s="53">
        <f>tkj!$R$96</f>
        <v>81</v>
      </c>
      <c r="H832" s="53">
        <f>tkj!$X$96</f>
        <v>85</v>
      </c>
      <c r="I832" s="53">
        <f>tkj!$AB$96</f>
        <v>88</v>
      </c>
      <c r="J832" s="53">
        <f>tkj!$AF$96</f>
        <v>82</v>
      </c>
      <c r="K832" s="54">
        <f>tkj!$AH$96</f>
        <v>77</v>
      </c>
      <c r="L832" s="55"/>
      <c r="M832" s="53">
        <f>tkj!$AN$96</f>
        <v>86</v>
      </c>
      <c r="N832" s="53">
        <f>tkj!$AT$96</f>
        <v>85</v>
      </c>
      <c r="O832" s="53">
        <f>tkj!$AZ$96</f>
        <v>94</v>
      </c>
      <c r="P832" s="54">
        <f>tkj!$BB$96</f>
        <v>83</v>
      </c>
      <c r="Q832" s="54">
        <f>tkj!$BD$96</f>
        <v>80</v>
      </c>
      <c r="R832" s="55"/>
      <c r="S832" s="55"/>
      <c r="T832" s="55"/>
      <c r="U832" s="55"/>
      <c r="V832" s="58"/>
      <c r="X832" s="278">
        <v>96</v>
      </c>
    </row>
    <row r="833" spans="1:24" ht="15" thickBot="1">
      <c r="A833" s="268">
        <v>92</v>
      </c>
      <c r="B833" s="271"/>
      <c r="C833" s="274"/>
      <c r="D833" s="52" t="s">
        <v>296</v>
      </c>
      <c r="E833" s="53">
        <f>tkj!$G$96</f>
        <v>88</v>
      </c>
      <c r="F833" s="53">
        <f>tkj!$M$96</f>
        <v>95</v>
      </c>
      <c r="G833" s="53">
        <f>tkj!$S$96</f>
        <v>88</v>
      </c>
      <c r="H833" s="53">
        <f>tkj!$Y$96</f>
        <v>82</v>
      </c>
      <c r="I833" s="53">
        <f>tkj!$AC$96</f>
        <v>85</v>
      </c>
      <c r="J833" s="59"/>
      <c r="K833" s="54">
        <f>tkj!$AI$96</f>
        <v>72</v>
      </c>
      <c r="L833" s="55"/>
      <c r="M833" s="53">
        <f>tkj!$AO$96</f>
        <v>86</v>
      </c>
      <c r="N833" s="53">
        <f>tkj!$AU$96</f>
        <v>85</v>
      </c>
      <c r="O833" s="59"/>
      <c r="P833" s="55"/>
      <c r="Q833" s="55"/>
      <c r="R833" s="54">
        <f>tkj!$BQ$96</f>
        <v>77.333333333333329</v>
      </c>
      <c r="S833" s="54">
        <f>tkj!$BU$96</f>
        <v>87</v>
      </c>
      <c r="T833" s="55"/>
      <c r="U833" s="54">
        <f>tkj!$BZ$96</f>
        <v>76</v>
      </c>
      <c r="V833" s="58"/>
      <c r="X833" s="278">
        <v>96</v>
      </c>
    </row>
    <row r="834" spans="1:24" ht="15" thickBot="1">
      <c r="A834" s="268">
        <v>92</v>
      </c>
      <c r="B834" s="271"/>
      <c r="C834" s="274"/>
      <c r="D834" s="62" t="s">
        <v>297</v>
      </c>
      <c r="E834" s="53">
        <f>tkj!$H$96</f>
        <v>86</v>
      </c>
      <c r="F834" s="53">
        <f>tkj!$N$96</f>
        <v>95</v>
      </c>
      <c r="G834" s="53">
        <f>tkj!$T$96</f>
        <v>73</v>
      </c>
      <c r="H834" s="53">
        <f>tkj!$Z$96</f>
        <v>85</v>
      </c>
      <c r="I834" s="53">
        <f>tkj!$AD$96</f>
        <v>83</v>
      </c>
      <c r="J834" s="59"/>
      <c r="K834" s="54">
        <f>tkj!$AJ$96</f>
        <v>83</v>
      </c>
      <c r="L834" s="55"/>
      <c r="M834" s="53">
        <f>tkj!$AP$96</f>
        <v>88</v>
      </c>
      <c r="N834" s="53">
        <f>tkj!$AV$96</f>
        <v>80</v>
      </c>
      <c r="O834" s="59"/>
      <c r="P834" s="55"/>
      <c r="Q834" s="55"/>
      <c r="R834" s="54">
        <f>tkj!$BR$96</f>
        <v>80.666666666666671</v>
      </c>
      <c r="S834" s="54">
        <f>tkj!$BV$96</f>
        <v>85</v>
      </c>
      <c r="T834" s="63"/>
      <c r="U834" s="54">
        <f>tkj!$CA$96</f>
        <v>87</v>
      </c>
      <c r="V834" s="58"/>
      <c r="X834" s="278">
        <v>96</v>
      </c>
    </row>
    <row r="835" spans="1:24">
      <c r="A835" s="268">
        <v>92</v>
      </c>
      <c r="B835" s="271"/>
      <c r="C835" s="274"/>
      <c r="D835" s="62" t="s">
        <v>298</v>
      </c>
      <c r="E835" s="53">
        <f>tkj!$I$96</f>
        <v>88</v>
      </c>
      <c r="F835" s="53">
        <f>tkj!$O$96</f>
        <v>95</v>
      </c>
      <c r="G835" s="53">
        <f>tkj!$U$96</f>
        <v>79</v>
      </c>
      <c r="H835" s="65"/>
      <c r="I835" s="65"/>
      <c r="J835" s="59"/>
      <c r="K835" s="59"/>
      <c r="L835" s="53">
        <f>tkj!$AK$96</f>
        <v>83</v>
      </c>
      <c r="M835" s="53">
        <f>tkj!$AQ$96</f>
        <v>82</v>
      </c>
      <c r="N835" s="53">
        <f>tkj!$AW$96</f>
        <v>80</v>
      </c>
      <c r="O835" s="59"/>
      <c r="P835" s="55"/>
      <c r="Q835" s="55"/>
      <c r="R835" s="54">
        <f>tkj!$BS$96</f>
        <v>78</v>
      </c>
      <c r="S835" s="54">
        <f>tkj!$BW$96</f>
        <v>84</v>
      </c>
      <c r="T835" s="54"/>
      <c r="U835" s="54">
        <f>tkj!$CB$96</f>
        <v>80</v>
      </c>
      <c r="V835" s="58"/>
      <c r="X835" s="278">
        <v>96</v>
      </c>
    </row>
    <row r="836" spans="1:24">
      <c r="A836" s="268">
        <v>92</v>
      </c>
      <c r="B836" s="271"/>
      <c r="C836" s="274"/>
      <c r="D836" s="66" t="s">
        <v>299</v>
      </c>
      <c r="E836" s="67">
        <f>AVERAGE(E831:E835)</f>
        <v>86.6</v>
      </c>
      <c r="F836" s="67">
        <f>AVERAGE(F831:F835)</f>
        <v>90.2</v>
      </c>
      <c r="G836" s="67">
        <f>AVERAGE(G831:G835)</f>
        <v>83</v>
      </c>
      <c r="H836" s="68"/>
      <c r="I836" s="68"/>
      <c r="J836" s="69"/>
      <c r="K836" s="69"/>
      <c r="L836" s="67">
        <f>AVERAGE(L831:L835)</f>
        <v>83</v>
      </c>
      <c r="M836" s="67">
        <f>AVERAGE(M831:M835)</f>
        <v>85.6</v>
      </c>
      <c r="N836" s="67">
        <f>AVERAGE(N831:N835)</f>
        <v>81.8</v>
      </c>
      <c r="O836" s="69"/>
      <c r="P836" s="63"/>
      <c r="Q836" s="63"/>
      <c r="R836" s="84">
        <f>AVERAGE(R833:R835)</f>
        <v>78.666666666666671</v>
      </c>
      <c r="S836" s="84">
        <f>AVERAGE(S833:S835)</f>
        <v>85.333333333333329</v>
      </c>
      <c r="T836" s="63"/>
      <c r="U836" s="84">
        <f>AVERAGE(U831:U835)</f>
        <v>81</v>
      </c>
      <c r="V836" s="58"/>
      <c r="X836" s="278">
        <v>96</v>
      </c>
    </row>
    <row r="837" spans="1:24">
      <c r="A837" s="268">
        <v>92</v>
      </c>
      <c r="B837" s="271"/>
      <c r="C837" s="274"/>
      <c r="D837" s="70" t="s">
        <v>300</v>
      </c>
      <c r="E837" s="71">
        <f>tkj!$J$96</f>
        <v>84</v>
      </c>
      <c r="F837" s="71">
        <f>tkj!$P$96</f>
        <v>80</v>
      </c>
      <c r="G837" s="71">
        <f>tkj!$V$96</f>
        <v>81</v>
      </c>
      <c r="H837" s="72"/>
      <c r="I837" s="72"/>
      <c r="J837" s="73"/>
      <c r="K837" s="73"/>
      <c r="L837" s="71">
        <f>tkj!$AL$96</f>
        <v>81</v>
      </c>
      <c r="M837" s="71">
        <f>tkj!$AR$96</f>
        <v>82</v>
      </c>
      <c r="N837" s="71">
        <f>tkj!$AX$96</f>
        <v>82</v>
      </c>
      <c r="O837" s="73"/>
      <c r="P837" s="74"/>
      <c r="Q837" s="74"/>
      <c r="R837" s="85">
        <f>tkj!$BT$96</f>
        <v>83</v>
      </c>
      <c r="S837" s="85">
        <f>tkj!$BX$96</f>
        <v>83</v>
      </c>
      <c r="T837" s="85">
        <f>tkj!$BY$96</f>
        <v>82</v>
      </c>
      <c r="U837" s="75">
        <f>tkj!$CC$96</f>
        <v>82</v>
      </c>
      <c r="V837" s="58"/>
      <c r="X837" s="278">
        <v>96</v>
      </c>
    </row>
    <row r="838" spans="1:24">
      <c r="A838" s="268">
        <v>92</v>
      </c>
      <c r="B838" s="271"/>
      <c r="C838" s="274"/>
      <c r="D838" s="76" t="s">
        <v>301</v>
      </c>
      <c r="E838" s="77">
        <f>tkj!$CD$96</f>
        <v>85</v>
      </c>
      <c r="F838" s="77">
        <f>tkj!$CE$96</f>
        <v>93</v>
      </c>
      <c r="G838" s="77">
        <f>tkj!$CF$96</f>
        <v>82</v>
      </c>
      <c r="H838" s="72"/>
      <c r="I838" s="72"/>
      <c r="J838" s="73"/>
      <c r="K838" s="73"/>
      <c r="L838" s="77">
        <f>tkj!$CG$96</f>
        <v>75</v>
      </c>
      <c r="M838" s="77">
        <f>tkj!$CH$96</f>
        <v>80</v>
      </c>
      <c r="N838" s="77">
        <f>tkj!$CI$96</f>
        <v>80</v>
      </c>
      <c r="O838" s="73"/>
      <c r="P838" s="74"/>
      <c r="Q838" s="74"/>
      <c r="R838" s="86">
        <f>tkj!$CL$96</f>
        <v>90</v>
      </c>
      <c r="S838" s="86">
        <f>tkj!$CK$96</f>
        <v>84</v>
      </c>
      <c r="T838" s="74"/>
      <c r="U838" s="86">
        <f>tkj!$CJ$96</f>
        <v>80</v>
      </c>
      <c r="V838" s="58"/>
      <c r="X838" s="278">
        <v>96</v>
      </c>
    </row>
    <row r="839" spans="1:24" ht="15" thickBot="1">
      <c r="A839" s="269">
        <v>92</v>
      </c>
      <c r="B839" s="272"/>
      <c r="C839" s="275"/>
      <c r="D839" s="78" t="s">
        <v>302</v>
      </c>
      <c r="E839" s="79">
        <f>(E836*4+E837*3+E838*3)/10</f>
        <v>85.34</v>
      </c>
      <c r="F839" s="79">
        <f t="shared" ref="F839:G839" si="179">(F836*4+F837*3+F838*3)/10</f>
        <v>87.97999999999999</v>
      </c>
      <c r="G839" s="79">
        <f t="shared" si="179"/>
        <v>82.1</v>
      </c>
      <c r="H839" s="79">
        <f>AVERAGE(H831:H834)</f>
        <v>84</v>
      </c>
      <c r="I839" s="79">
        <f>AVERAGE(I831:I834)</f>
        <v>84.75</v>
      </c>
      <c r="J839" s="79">
        <f>AVERAGE(J831:J832)</f>
        <v>82.5</v>
      </c>
      <c r="K839" s="79">
        <f>AVERAGE(K831:K834)</f>
        <v>77.5</v>
      </c>
      <c r="L839" s="79">
        <f>(L836*4+L837*3+L838*3)/10</f>
        <v>80</v>
      </c>
      <c r="M839" s="79">
        <f>(M836*4+M837*3+M838*3)/10</f>
        <v>82.84</v>
      </c>
      <c r="N839" s="79">
        <f>(N836*4+N837*3+N838*3)/10</f>
        <v>81.320000000000007</v>
      </c>
      <c r="O839" s="79">
        <f>AVERAGE(O831:O832)</f>
        <v>93</v>
      </c>
      <c r="P839" s="79">
        <f>AVERAGE(P831:P832)</f>
        <v>82.5</v>
      </c>
      <c r="Q839" s="79">
        <f>AVERAGE(Q831:Q832)</f>
        <v>80.5</v>
      </c>
      <c r="R839" s="79">
        <f>(R836*4+R837*3+R838*3)/10</f>
        <v>83.366666666666674</v>
      </c>
      <c r="S839" s="79">
        <f>(S836*4+S837*3+S838*3)/10</f>
        <v>84.23333333333332</v>
      </c>
      <c r="T839" s="79">
        <f>T837</f>
        <v>82</v>
      </c>
      <c r="U839" s="79">
        <f t="shared" ref="U839" si="180">(U836*4+U837*3+U838*3)/10</f>
        <v>81</v>
      </c>
      <c r="V839" s="80">
        <f>AVERAGE(E839:U839)</f>
        <v>83.231176470588238</v>
      </c>
      <c r="X839" s="278">
        <v>96</v>
      </c>
    </row>
    <row r="840" spans="1:24" ht="15.6" thickTop="1" thickBot="1">
      <c r="A840" s="268">
        <v>93</v>
      </c>
      <c r="B840" s="270" t="s">
        <v>404</v>
      </c>
      <c r="C840" s="273" t="s">
        <v>239</v>
      </c>
      <c r="D840" s="52" t="s">
        <v>294</v>
      </c>
      <c r="E840" s="53">
        <f>tkj!$E$97</f>
        <v>91</v>
      </c>
      <c r="F840" s="53">
        <f>tkj!$K$97</f>
        <v>84</v>
      </c>
      <c r="G840" s="53">
        <f>tkj!$Q$97</f>
        <v>87</v>
      </c>
      <c r="H840" s="53">
        <f>tkj!$W$97</f>
        <v>80</v>
      </c>
      <c r="I840" s="53">
        <f>tkj!$AA$97</f>
        <v>81</v>
      </c>
      <c r="J840" s="53">
        <f>tkj!$AE$97</f>
        <v>83</v>
      </c>
      <c r="K840" s="54">
        <f>tkj!$AG$97</f>
        <v>84</v>
      </c>
      <c r="L840" s="55"/>
      <c r="M840" s="53">
        <f>tkj!$AM$97</f>
        <v>73</v>
      </c>
      <c r="N840" s="53">
        <f>tkj!$AS$97</f>
        <v>81</v>
      </c>
      <c r="O840" s="53">
        <f>tkj!$AY$97</f>
        <v>76</v>
      </c>
      <c r="P840" s="54">
        <f>tkj!$BA$97</f>
        <v>73</v>
      </c>
      <c r="Q840" s="54">
        <f>tkj!$BC$97</f>
        <v>78</v>
      </c>
      <c r="R840" s="55"/>
      <c r="S840" s="55"/>
      <c r="T840" s="55"/>
      <c r="U840" s="55"/>
      <c r="V840" s="56"/>
      <c r="X840" s="278">
        <v>97</v>
      </c>
    </row>
    <row r="841" spans="1:24" ht="15" thickBot="1">
      <c r="A841" s="268">
        <v>93</v>
      </c>
      <c r="B841" s="271"/>
      <c r="C841" s="274"/>
      <c r="D841" s="52" t="s">
        <v>295</v>
      </c>
      <c r="E841" s="53">
        <f>tkj!$F$97</f>
        <v>89</v>
      </c>
      <c r="F841" s="53">
        <f>tkj!$L$97</f>
        <v>82</v>
      </c>
      <c r="G841" s="53">
        <f>tkj!$R$97</f>
        <v>85</v>
      </c>
      <c r="H841" s="53">
        <f>tkj!$X$97</f>
        <v>84</v>
      </c>
      <c r="I841" s="53">
        <f>tkj!$AB$97</f>
        <v>88</v>
      </c>
      <c r="J841" s="53">
        <f>tkj!$AF$97</f>
        <v>84</v>
      </c>
      <c r="K841" s="54">
        <f>tkj!$AH$97</f>
        <v>82</v>
      </c>
      <c r="L841" s="55"/>
      <c r="M841" s="53">
        <f>tkj!$AN$97</f>
        <v>76</v>
      </c>
      <c r="N841" s="53">
        <f>tkj!$AT$97</f>
        <v>84</v>
      </c>
      <c r="O841" s="53">
        <f>tkj!$AZ$97</f>
        <v>87</v>
      </c>
      <c r="P841" s="54">
        <f>tkj!$BB$97</f>
        <v>84</v>
      </c>
      <c r="Q841" s="54">
        <f>tkj!$BD$97</f>
        <v>83</v>
      </c>
      <c r="R841" s="55"/>
      <c r="S841" s="55"/>
      <c r="T841" s="55"/>
      <c r="U841" s="55"/>
      <c r="V841" s="58"/>
      <c r="X841" s="278">
        <v>97</v>
      </c>
    </row>
    <row r="842" spans="1:24" ht="15" thickBot="1">
      <c r="A842" s="268">
        <v>93</v>
      </c>
      <c r="B842" s="271"/>
      <c r="C842" s="274"/>
      <c r="D842" s="52" t="s">
        <v>296</v>
      </c>
      <c r="E842" s="53">
        <f>tkj!$G$97</f>
        <v>87</v>
      </c>
      <c r="F842" s="53">
        <f>tkj!$M$97</f>
        <v>84</v>
      </c>
      <c r="G842" s="53">
        <f>tkj!$S$97</f>
        <v>86</v>
      </c>
      <c r="H842" s="53">
        <f>tkj!$Y$97</f>
        <v>80</v>
      </c>
      <c r="I842" s="53">
        <f>tkj!$AC$97</f>
        <v>86</v>
      </c>
      <c r="J842" s="59"/>
      <c r="K842" s="54">
        <f>tkj!$AI$97</f>
        <v>80</v>
      </c>
      <c r="L842" s="55"/>
      <c r="M842" s="53">
        <f>tkj!$AO$97</f>
        <v>80</v>
      </c>
      <c r="N842" s="53">
        <f>tkj!$AU$97</f>
        <v>85</v>
      </c>
      <c r="O842" s="59"/>
      <c r="P842" s="55"/>
      <c r="Q842" s="55"/>
      <c r="R842" s="54">
        <f>tkj!$BQ$97</f>
        <v>82</v>
      </c>
      <c r="S842" s="54">
        <f>tkj!$BU$97</f>
        <v>88</v>
      </c>
      <c r="T842" s="55"/>
      <c r="U842" s="54">
        <f>tkj!$BZ$97</f>
        <v>77</v>
      </c>
      <c r="V842" s="58"/>
      <c r="X842" s="278">
        <v>97</v>
      </c>
    </row>
    <row r="843" spans="1:24" ht="15" thickBot="1">
      <c r="A843" s="268">
        <v>93</v>
      </c>
      <c r="B843" s="271"/>
      <c r="C843" s="274"/>
      <c r="D843" s="62" t="s">
        <v>297</v>
      </c>
      <c r="E843" s="53">
        <f>tkj!$H$97</f>
        <v>90</v>
      </c>
      <c r="F843" s="53">
        <f>tkj!$N$97</f>
        <v>86</v>
      </c>
      <c r="G843" s="53">
        <f>tkj!$T$97</f>
        <v>87</v>
      </c>
      <c r="H843" s="53">
        <f>tkj!$Z$97</f>
        <v>84</v>
      </c>
      <c r="I843" s="53">
        <f>tkj!$AD$97</f>
        <v>84</v>
      </c>
      <c r="J843" s="59"/>
      <c r="K843" s="54">
        <f>tkj!$AJ$97</f>
        <v>84</v>
      </c>
      <c r="L843" s="55"/>
      <c r="M843" s="53">
        <f>tkj!$AP$97</f>
        <v>81</v>
      </c>
      <c r="N843" s="53">
        <f>tkj!$AV$97</f>
        <v>86</v>
      </c>
      <c r="O843" s="59"/>
      <c r="P843" s="55"/>
      <c r="Q843" s="55"/>
      <c r="R843" s="54">
        <f>tkj!$BR$97</f>
        <v>82</v>
      </c>
      <c r="S843" s="54">
        <f>tkj!$BV$97</f>
        <v>88</v>
      </c>
      <c r="T843" s="63"/>
      <c r="U843" s="54">
        <f>tkj!$CA$97</f>
        <v>90</v>
      </c>
      <c r="V843" s="58"/>
      <c r="X843" s="278">
        <v>97</v>
      </c>
    </row>
    <row r="844" spans="1:24">
      <c r="A844" s="268">
        <v>93</v>
      </c>
      <c r="B844" s="271"/>
      <c r="C844" s="274"/>
      <c r="D844" s="62" t="s">
        <v>298</v>
      </c>
      <c r="E844" s="53">
        <f>tkj!$I$97</f>
        <v>87</v>
      </c>
      <c r="F844" s="53">
        <f>tkj!$O$97</f>
        <v>90</v>
      </c>
      <c r="G844" s="53">
        <f>tkj!$U$97</f>
        <v>87</v>
      </c>
      <c r="H844" s="65"/>
      <c r="I844" s="65"/>
      <c r="J844" s="59"/>
      <c r="K844" s="59"/>
      <c r="L844" s="53">
        <f>tkj!$AK$97</f>
        <v>86</v>
      </c>
      <c r="M844" s="53">
        <f>tkj!$AQ$97</f>
        <v>85</v>
      </c>
      <c r="N844" s="53">
        <f>tkj!$AW$97</f>
        <v>85</v>
      </c>
      <c r="O844" s="59"/>
      <c r="P844" s="55"/>
      <c r="Q844" s="55"/>
      <c r="R844" s="54">
        <f>tkj!$BS$97</f>
        <v>83.666666666666671</v>
      </c>
      <c r="S844" s="54">
        <f>tkj!$BW$97</f>
        <v>84</v>
      </c>
      <c r="T844" s="54"/>
      <c r="U844" s="54">
        <f>tkj!$CB$97</f>
        <v>76</v>
      </c>
      <c r="V844" s="58"/>
      <c r="X844" s="278">
        <v>97</v>
      </c>
    </row>
    <row r="845" spans="1:24">
      <c r="A845" s="268">
        <v>93</v>
      </c>
      <c r="B845" s="271"/>
      <c r="C845" s="274"/>
      <c r="D845" s="66" t="s">
        <v>299</v>
      </c>
      <c r="E845" s="67">
        <f>AVERAGE(E840:E844)</f>
        <v>88.8</v>
      </c>
      <c r="F845" s="67">
        <f>AVERAGE(F840:F844)</f>
        <v>85.2</v>
      </c>
      <c r="G845" s="67">
        <f>AVERAGE(G840:G844)</f>
        <v>86.4</v>
      </c>
      <c r="H845" s="68"/>
      <c r="I845" s="68"/>
      <c r="J845" s="69"/>
      <c r="K845" s="69"/>
      <c r="L845" s="67">
        <f>AVERAGE(L840:L844)</f>
        <v>86</v>
      </c>
      <c r="M845" s="67">
        <f>AVERAGE(M840:M844)</f>
        <v>79</v>
      </c>
      <c r="N845" s="67">
        <f>AVERAGE(N840:N844)</f>
        <v>84.2</v>
      </c>
      <c r="O845" s="69"/>
      <c r="P845" s="63"/>
      <c r="Q845" s="63"/>
      <c r="R845" s="84">
        <f>AVERAGE(R842:R844)</f>
        <v>82.555555555555557</v>
      </c>
      <c r="S845" s="84">
        <f>AVERAGE(S842:S844)</f>
        <v>86.666666666666671</v>
      </c>
      <c r="T845" s="63"/>
      <c r="U845" s="84">
        <f>AVERAGE(U840:U844)</f>
        <v>81</v>
      </c>
      <c r="V845" s="58"/>
      <c r="X845" s="278">
        <v>97</v>
      </c>
    </row>
    <row r="846" spans="1:24">
      <c r="A846" s="268">
        <v>93</v>
      </c>
      <c r="B846" s="271"/>
      <c r="C846" s="274"/>
      <c r="D846" s="70" t="s">
        <v>300</v>
      </c>
      <c r="E846" s="71">
        <f>tkj!$J$97</f>
        <v>89</v>
      </c>
      <c r="F846" s="71">
        <f>tkj!$P$97</f>
        <v>89</v>
      </c>
      <c r="G846" s="71">
        <f>tkj!$V$97</f>
        <v>84</v>
      </c>
      <c r="H846" s="72"/>
      <c r="I846" s="72"/>
      <c r="J846" s="73"/>
      <c r="K846" s="73"/>
      <c r="L846" s="71">
        <f>tkj!$AL$97</f>
        <v>84</v>
      </c>
      <c r="M846" s="71">
        <f>tkj!$AR$97</f>
        <v>89</v>
      </c>
      <c r="N846" s="71">
        <f>tkj!$AX$97</f>
        <v>89</v>
      </c>
      <c r="O846" s="73"/>
      <c r="P846" s="74"/>
      <c r="Q846" s="74"/>
      <c r="R846" s="85">
        <f>tkj!$BT$97</f>
        <v>89</v>
      </c>
      <c r="S846" s="85">
        <f>tkj!$BX$97</f>
        <v>89</v>
      </c>
      <c r="T846" s="85">
        <f>tkj!$BY$97</f>
        <v>88</v>
      </c>
      <c r="U846" s="75">
        <f>tkj!$CC$97</f>
        <v>89</v>
      </c>
      <c r="V846" s="58"/>
      <c r="X846" s="278">
        <v>97</v>
      </c>
    </row>
    <row r="847" spans="1:24">
      <c r="A847" s="268">
        <v>93</v>
      </c>
      <c r="B847" s="271"/>
      <c r="C847" s="274"/>
      <c r="D847" s="76" t="s">
        <v>301</v>
      </c>
      <c r="E847" s="77">
        <f>tkj!$CD$97</f>
        <v>90</v>
      </c>
      <c r="F847" s="77">
        <f>tkj!$CE$97</f>
        <v>88</v>
      </c>
      <c r="G847" s="77">
        <f>tkj!$CF$97</f>
        <v>85</v>
      </c>
      <c r="H847" s="72"/>
      <c r="I847" s="72"/>
      <c r="J847" s="73"/>
      <c r="K847" s="73"/>
      <c r="L847" s="77">
        <f>tkj!$CG$97</f>
        <v>94</v>
      </c>
      <c r="M847" s="77">
        <f>tkj!$CH$97</f>
        <v>81</v>
      </c>
      <c r="N847" s="77">
        <f>tkj!$CI$97</f>
        <v>88</v>
      </c>
      <c r="O847" s="73"/>
      <c r="P847" s="74"/>
      <c r="Q847" s="74"/>
      <c r="R847" s="86">
        <f>tkj!$CL$97</f>
        <v>92</v>
      </c>
      <c r="S847" s="86">
        <f>tkj!$CK$97</f>
        <v>90</v>
      </c>
      <c r="T847" s="74"/>
      <c r="U847" s="86">
        <f>tkj!$CJ$97</f>
        <v>85</v>
      </c>
      <c r="V847" s="58"/>
      <c r="X847" s="278">
        <v>97</v>
      </c>
    </row>
    <row r="848" spans="1:24" ht="15" thickBot="1">
      <c r="A848" s="269">
        <v>93</v>
      </c>
      <c r="B848" s="272"/>
      <c r="C848" s="275"/>
      <c r="D848" s="78" t="s">
        <v>302</v>
      </c>
      <c r="E848" s="79">
        <f>(E845*4+E846*3+E847*3)/10</f>
        <v>89.22</v>
      </c>
      <c r="F848" s="79">
        <f t="shared" ref="F848:G848" si="181">(F845*4+F846*3+F847*3)/10</f>
        <v>87.179999999999993</v>
      </c>
      <c r="G848" s="79">
        <f t="shared" si="181"/>
        <v>85.26</v>
      </c>
      <c r="H848" s="79">
        <f>AVERAGE(H840:H843)</f>
        <v>82</v>
      </c>
      <c r="I848" s="79">
        <f>AVERAGE(I840:I843)</f>
        <v>84.75</v>
      </c>
      <c r="J848" s="79">
        <f>AVERAGE(J840:J841)</f>
        <v>83.5</v>
      </c>
      <c r="K848" s="79">
        <f>AVERAGE(K840:K843)</f>
        <v>82.5</v>
      </c>
      <c r="L848" s="79">
        <f>(L845*4+L846*3+L847*3)/10</f>
        <v>87.8</v>
      </c>
      <c r="M848" s="79">
        <f>(M845*4+M846*3+M847*3)/10</f>
        <v>82.6</v>
      </c>
      <c r="N848" s="79">
        <f>(N845*4+N846*3+N847*3)/10</f>
        <v>86.78</v>
      </c>
      <c r="O848" s="79">
        <f>AVERAGE(O840:O841)</f>
        <v>81.5</v>
      </c>
      <c r="P848" s="79">
        <f>AVERAGE(P840:P841)</f>
        <v>78.5</v>
      </c>
      <c r="Q848" s="79">
        <f>AVERAGE(Q840:Q841)</f>
        <v>80.5</v>
      </c>
      <c r="R848" s="79">
        <f>(R845*4+R846*3+R847*3)/10</f>
        <v>87.322222222222223</v>
      </c>
      <c r="S848" s="79">
        <f>(S845*4+S846*3+S847*3)/10</f>
        <v>88.366666666666674</v>
      </c>
      <c r="T848" s="79">
        <f>T846</f>
        <v>88</v>
      </c>
      <c r="U848" s="79">
        <f t="shared" ref="U848" si="182">(U845*4+U846*3+U847*3)/10</f>
        <v>84.6</v>
      </c>
      <c r="V848" s="80">
        <f>AVERAGE(E848:U848)</f>
        <v>84.728169934640519</v>
      </c>
      <c r="X848" s="278">
        <v>97</v>
      </c>
    </row>
    <row r="849" spans="1:24" ht="15.6" thickTop="1" thickBot="1">
      <c r="A849" s="268">
        <v>94</v>
      </c>
      <c r="B849" s="270" t="s">
        <v>405</v>
      </c>
      <c r="C849" s="273" t="s">
        <v>241</v>
      </c>
      <c r="D849" s="52" t="s">
        <v>294</v>
      </c>
      <c r="E849" s="53">
        <f>tkj!$E$98</f>
        <v>90</v>
      </c>
      <c r="F849" s="53">
        <f>tkj!$K$98</f>
        <v>85</v>
      </c>
      <c r="G849" s="53">
        <f>tkj!$Q$98</f>
        <v>85</v>
      </c>
      <c r="H849" s="53">
        <f>tkj!$W$98</f>
        <v>80</v>
      </c>
      <c r="I849" s="53">
        <f>tkj!$AA$98</f>
        <v>85</v>
      </c>
      <c r="J849" s="53">
        <f>tkj!$AE$98</f>
        <v>84</v>
      </c>
      <c r="K849" s="54">
        <f>tkj!$AG$98</f>
        <v>87</v>
      </c>
      <c r="L849" s="55"/>
      <c r="M849" s="53">
        <f>tkj!$AM$98</f>
        <v>80</v>
      </c>
      <c r="N849" s="53">
        <f>tkj!$AS$98</f>
        <v>78</v>
      </c>
      <c r="O849" s="53">
        <f>tkj!$AY$98</f>
        <v>89</v>
      </c>
      <c r="P849" s="54">
        <f>tkj!$BA$98</f>
        <v>86</v>
      </c>
      <c r="Q849" s="54">
        <f>tkj!$BC$98</f>
        <v>76</v>
      </c>
      <c r="R849" s="55"/>
      <c r="S849" s="55"/>
      <c r="T849" s="55"/>
      <c r="U849" s="55"/>
      <c r="V849" s="56"/>
      <c r="X849" s="278">
        <v>98</v>
      </c>
    </row>
    <row r="850" spans="1:24" ht="15" thickBot="1">
      <c r="A850" s="268">
        <v>94</v>
      </c>
      <c r="B850" s="271"/>
      <c r="C850" s="274"/>
      <c r="D850" s="52" t="s">
        <v>295</v>
      </c>
      <c r="E850" s="53">
        <f>tkj!$F$98</f>
        <v>88</v>
      </c>
      <c r="F850" s="53">
        <f>tkj!$L$98</f>
        <v>85</v>
      </c>
      <c r="G850" s="53">
        <f>tkj!$R$98</f>
        <v>90</v>
      </c>
      <c r="H850" s="53">
        <f>tkj!$X$98</f>
        <v>85</v>
      </c>
      <c r="I850" s="53">
        <f>tkj!$AB$98</f>
        <v>85</v>
      </c>
      <c r="J850" s="53">
        <f>tkj!$AF$98</f>
        <v>86</v>
      </c>
      <c r="K850" s="54">
        <f>tkj!$AH$98</f>
        <v>82</v>
      </c>
      <c r="L850" s="55"/>
      <c r="M850" s="53">
        <f>tkj!$AN$98</f>
        <v>87</v>
      </c>
      <c r="N850" s="53">
        <f>tkj!$AT$98</f>
        <v>83</v>
      </c>
      <c r="O850" s="53">
        <f>tkj!$AZ$98</f>
        <v>91</v>
      </c>
      <c r="P850" s="54">
        <f>tkj!$BB$98</f>
        <v>90</v>
      </c>
      <c r="Q850" s="54">
        <f>tkj!$BD$98</f>
        <v>83</v>
      </c>
      <c r="R850" s="55"/>
      <c r="S850" s="55"/>
      <c r="T850" s="55"/>
      <c r="U850" s="55"/>
      <c r="V850" s="58"/>
      <c r="X850" s="278">
        <v>98</v>
      </c>
    </row>
    <row r="851" spans="1:24" ht="15" thickBot="1">
      <c r="A851" s="268">
        <v>94</v>
      </c>
      <c r="B851" s="271"/>
      <c r="C851" s="274"/>
      <c r="D851" s="52" t="s">
        <v>296</v>
      </c>
      <c r="E851" s="53">
        <f>tkj!$G$98</f>
        <v>87</v>
      </c>
      <c r="F851" s="53">
        <f>tkj!$M$98</f>
        <v>95</v>
      </c>
      <c r="G851" s="53">
        <f>tkj!$S$98</f>
        <v>92</v>
      </c>
      <c r="H851" s="53">
        <f>tkj!$Y$98</f>
        <v>80</v>
      </c>
      <c r="I851" s="53">
        <f>tkj!$AC$98</f>
        <v>85</v>
      </c>
      <c r="J851" s="59"/>
      <c r="K851" s="54">
        <f>tkj!$AI$98</f>
        <v>80</v>
      </c>
      <c r="L851" s="55"/>
      <c r="M851" s="53">
        <f>tkj!$AO$98</f>
        <v>80</v>
      </c>
      <c r="N851" s="53">
        <f>tkj!$AU$98</f>
        <v>83</v>
      </c>
      <c r="O851" s="59"/>
      <c r="P851" s="55"/>
      <c r="Q851" s="55"/>
      <c r="R851" s="54">
        <f>tkj!$BQ$98</f>
        <v>84.666666666666671</v>
      </c>
      <c r="S851" s="54">
        <f>tkj!$BU$98</f>
        <v>87</v>
      </c>
      <c r="T851" s="55"/>
      <c r="U851" s="54">
        <f>tkj!$BZ$98</f>
        <v>80</v>
      </c>
      <c r="V851" s="58"/>
      <c r="X851" s="278">
        <v>98</v>
      </c>
    </row>
    <row r="852" spans="1:24" ht="15" thickBot="1">
      <c r="A852" s="268">
        <v>94</v>
      </c>
      <c r="B852" s="271"/>
      <c r="C852" s="274"/>
      <c r="D852" s="62" t="s">
        <v>297</v>
      </c>
      <c r="E852" s="53">
        <f>tkj!$H$98</f>
        <v>86</v>
      </c>
      <c r="F852" s="53">
        <f>tkj!$N$98</f>
        <v>95</v>
      </c>
      <c r="G852" s="53">
        <f>tkj!$T$98</f>
        <v>93</v>
      </c>
      <c r="H852" s="53">
        <f>tkj!$Z$98</f>
        <v>84</v>
      </c>
      <c r="I852" s="53">
        <f>tkj!$AD$98</f>
        <v>86</v>
      </c>
      <c r="J852" s="59"/>
      <c r="K852" s="54">
        <f>tkj!$AJ$98</f>
        <v>86</v>
      </c>
      <c r="L852" s="55"/>
      <c r="M852" s="53">
        <f>tkj!$AP$98</f>
        <v>81</v>
      </c>
      <c r="N852" s="53">
        <f>tkj!$AV$98</f>
        <v>86</v>
      </c>
      <c r="O852" s="59"/>
      <c r="P852" s="55"/>
      <c r="Q852" s="55"/>
      <c r="R852" s="54">
        <f>tkj!$BR$98</f>
        <v>88</v>
      </c>
      <c r="S852" s="54">
        <f>tkj!$BV$98</f>
        <v>84</v>
      </c>
      <c r="T852" s="63"/>
      <c r="U852" s="54">
        <f>tkj!$CA$98</f>
        <v>91</v>
      </c>
      <c r="V852" s="58"/>
      <c r="X852" s="278">
        <v>98</v>
      </c>
    </row>
    <row r="853" spans="1:24">
      <c r="A853" s="268">
        <v>94</v>
      </c>
      <c r="B853" s="271"/>
      <c r="C853" s="274"/>
      <c r="D853" s="62" t="s">
        <v>298</v>
      </c>
      <c r="E853" s="53">
        <f>tkj!$I$98</f>
        <v>91</v>
      </c>
      <c r="F853" s="53">
        <f>tkj!$O$98</f>
        <v>95</v>
      </c>
      <c r="G853" s="53">
        <f>tkj!$U$98</f>
        <v>90</v>
      </c>
      <c r="H853" s="65"/>
      <c r="I853" s="65"/>
      <c r="J853" s="59"/>
      <c r="K853" s="59"/>
      <c r="L853" s="53">
        <f>tkj!$AK$98</f>
        <v>88</v>
      </c>
      <c r="M853" s="53">
        <f>tkj!$AQ$98</f>
        <v>89</v>
      </c>
      <c r="N853" s="53">
        <f>tkj!$AW$98</f>
        <v>85</v>
      </c>
      <c r="O853" s="59"/>
      <c r="P853" s="55"/>
      <c r="Q853" s="55"/>
      <c r="R853" s="54">
        <f>tkj!$BS$98</f>
        <v>85.333333333333329</v>
      </c>
      <c r="S853" s="54">
        <f>tkj!$BW$98</f>
        <v>85</v>
      </c>
      <c r="T853" s="54"/>
      <c r="U853" s="54">
        <f>tkj!$CB$98</f>
        <v>77</v>
      </c>
      <c r="V853" s="58"/>
      <c r="X853" s="278">
        <v>98</v>
      </c>
    </row>
    <row r="854" spans="1:24">
      <c r="A854" s="268">
        <v>94</v>
      </c>
      <c r="B854" s="271"/>
      <c r="C854" s="274"/>
      <c r="D854" s="66" t="s">
        <v>299</v>
      </c>
      <c r="E854" s="67">
        <f>AVERAGE(E849:E853)</f>
        <v>88.4</v>
      </c>
      <c r="F854" s="67">
        <f>AVERAGE(F849:F853)</f>
        <v>91</v>
      </c>
      <c r="G854" s="67">
        <f>AVERAGE(G849:G853)</f>
        <v>90</v>
      </c>
      <c r="H854" s="68"/>
      <c r="I854" s="68"/>
      <c r="J854" s="69"/>
      <c r="K854" s="69"/>
      <c r="L854" s="67">
        <f>AVERAGE(L849:L853)</f>
        <v>88</v>
      </c>
      <c r="M854" s="67">
        <f>AVERAGE(M849:M853)</f>
        <v>83.4</v>
      </c>
      <c r="N854" s="67">
        <f>AVERAGE(N849:N853)</f>
        <v>83</v>
      </c>
      <c r="O854" s="69"/>
      <c r="P854" s="63"/>
      <c r="Q854" s="63"/>
      <c r="R854" s="84">
        <f>AVERAGE(R851:R853)</f>
        <v>86</v>
      </c>
      <c r="S854" s="84">
        <f>AVERAGE(S851:S853)</f>
        <v>85.333333333333329</v>
      </c>
      <c r="T854" s="63"/>
      <c r="U854" s="84">
        <f>AVERAGE(U849:U853)</f>
        <v>82.666666666666671</v>
      </c>
      <c r="V854" s="58"/>
      <c r="X854" s="278">
        <v>98</v>
      </c>
    </row>
    <row r="855" spans="1:24">
      <c r="A855" s="268">
        <v>94</v>
      </c>
      <c r="B855" s="271"/>
      <c r="C855" s="274"/>
      <c r="D855" s="70" t="s">
        <v>300</v>
      </c>
      <c r="E855" s="71">
        <f>tkj!$J$98</f>
        <v>85</v>
      </c>
      <c r="F855" s="71">
        <f>tkj!$P$98</f>
        <v>85</v>
      </c>
      <c r="G855" s="71">
        <f>tkj!$V$98</f>
        <v>85</v>
      </c>
      <c r="H855" s="72"/>
      <c r="I855" s="72"/>
      <c r="J855" s="73"/>
      <c r="K855" s="73"/>
      <c r="L855" s="71">
        <f>tkj!$AL$98</f>
        <v>85</v>
      </c>
      <c r="M855" s="71">
        <f>tkj!$AR$98</f>
        <v>85</v>
      </c>
      <c r="N855" s="71">
        <f>tkj!$AX$98</f>
        <v>85</v>
      </c>
      <c r="O855" s="73"/>
      <c r="P855" s="74"/>
      <c r="Q855" s="74"/>
      <c r="R855" s="85">
        <f>tkj!$BT$98</f>
        <v>85</v>
      </c>
      <c r="S855" s="85">
        <f>tkj!$BX$98</f>
        <v>85</v>
      </c>
      <c r="T855" s="85">
        <f>tkj!$BY$98</f>
        <v>85</v>
      </c>
      <c r="U855" s="75">
        <f>tkj!$CC$98</f>
        <v>85</v>
      </c>
      <c r="V855" s="58"/>
      <c r="X855" s="278">
        <v>98</v>
      </c>
    </row>
    <row r="856" spans="1:24">
      <c r="A856" s="268">
        <v>94</v>
      </c>
      <c r="B856" s="271"/>
      <c r="C856" s="274"/>
      <c r="D856" s="76" t="s">
        <v>301</v>
      </c>
      <c r="E856" s="77">
        <f>tkj!$CD$98</f>
        <v>92</v>
      </c>
      <c r="F856" s="77">
        <f>tkj!$CE$98</f>
        <v>90</v>
      </c>
      <c r="G856" s="77">
        <f>tkj!$CF$98</f>
        <v>88</v>
      </c>
      <c r="H856" s="72"/>
      <c r="I856" s="72"/>
      <c r="J856" s="73"/>
      <c r="K856" s="73"/>
      <c r="L856" s="77">
        <f>tkj!$CG$98</f>
        <v>94</v>
      </c>
      <c r="M856" s="77">
        <f>tkj!$CH$98</f>
        <v>90</v>
      </c>
      <c r="N856" s="77">
        <f>tkj!$CI$98</f>
        <v>88</v>
      </c>
      <c r="O856" s="73"/>
      <c r="P856" s="74"/>
      <c r="Q856" s="74"/>
      <c r="R856" s="86">
        <f>tkj!$CL$98</f>
        <v>85</v>
      </c>
      <c r="S856" s="86">
        <f>tkj!$CK$98</f>
        <v>89</v>
      </c>
      <c r="T856" s="74"/>
      <c r="U856" s="86">
        <f>tkj!$CJ$98</f>
        <v>85</v>
      </c>
      <c r="V856" s="58"/>
      <c r="X856" s="278">
        <v>98</v>
      </c>
    </row>
    <row r="857" spans="1:24" ht="15" thickBot="1">
      <c r="A857" s="269">
        <v>94</v>
      </c>
      <c r="B857" s="272"/>
      <c r="C857" s="275"/>
      <c r="D857" s="78" t="s">
        <v>302</v>
      </c>
      <c r="E857" s="79">
        <f>(E854*4+E855*3+E856*3)/10</f>
        <v>88.460000000000008</v>
      </c>
      <c r="F857" s="79">
        <f t="shared" ref="F857:G857" si="183">(F854*4+F855*3+F856*3)/10</f>
        <v>88.9</v>
      </c>
      <c r="G857" s="79">
        <f t="shared" si="183"/>
        <v>87.9</v>
      </c>
      <c r="H857" s="79">
        <f>AVERAGE(H849:H852)</f>
        <v>82.25</v>
      </c>
      <c r="I857" s="79">
        <f>AVERAGE(I849:I852)</f>
        <v>85.25</v>
      </c>
      <c r="J857" s="79">
        <f>AVERAGE(J849:J850)</f>
        <v>85</v>
      </c>
      <c r="K857" s="79">
        <f>AVERAGE(K849:K852)</f>
        <v>83.75</v>
      </c>
      <c r="L857" s="79">
        <f>(L854*4+L855*3+L856*3)/10</f>
        <v>88.9</v>
      </c>
      <c r="M857" s="79">
        <f>(M854*4+M855*3+M856*3)/10</f>
        <v>85.86</v>
      </c>
      <c r="N857" s="79">
        <f>(N854*4+N855*3+N856*3)/10</f>
        <v>85.1</v>
      </c>
      <c r="O857" s="79">
        <f>AVERAGE(O849:O850)</f>
        <v>90</v>
      </c>
      <c r="P857" s="79">
        <f>AVERAGE(P849:P850)</f>
        <v>88</v>
      </c>
      <c r="Q857" s="79">
        <f>AVERAGE(Q849:Q850)</f>
        <v>79.5</v>
      </c>
      <c r="R857" s="79">
        <f>(R854*4+R855*3+R856*3)/10</f>
        <v>85.4</v>
      </c>
      <c r="S857" s="79">
        <f>(S854*4+S855*3+S856*3)/10</f>
        <v>86.333333333333329</v>
      </c>
      <c r="T857" s="79">
        <f>T855</f>
        <v>85</v>
      </c>
      <c r="U857" s="79">
        <f t="shared" ref="U857" si="184">(U854*4+U855*3+U856*3)/10</f>
        <v>84.066666666666677</v>
      </c>
      <c r="V857" s="80">
        <f>AVERAGE(E857:U857)</f>
        <v>85.862941176470585</v>
      </c>
      <c r="X857" s="278">
        <v>98</v>
      </c>
    </row>
    <row r="858" spans="1:24" ht="15.6" thickTop="1" thickBot="1">
      <c r="A858" s="268">
        <v>95</v>
      </c>
      <c r="B858" s="270" t="s">
        <v>406</v>
      </c>
      <c r="C858" s="273" t="s">
        <v>243</v>
      </c>
      <c r="D858" s="52" t="s">
        <v>294</v>
      </c>
      <c r="E858" s="53">
        <f>tkj!$E$99</f>
        <v>79</v>
      </c>
      <c r="F858" s="53">
        <f>tkj!$K$99</f>
        <v>82</v>
      </c>
      <c r="G858" s="53">
        <f>tkj!$Q$99</f>
        <v>80</v>
      </c>
      <c r="H858" s="53">
        <f>tkj!$W$99</f>
        <v>81</v>
      </c>
      <c r="I858" s="53">
        <f>tkj!$AA$99</f>
        <v>74</v>
      </c>
      <c r="J858" s="53">
        <f>tkj!$AE$99</f>
        <v>82</v>
      </c>
      <c r="K858" s="54">
        <f>tkj!$AG$99</f>
        <v>86</v>
      </c>
      <c r="L858" s="55"/>
      <c r="M858" s="53">
        <f>tkj!$AM$99</f>
        <v>75</v>
      </c>
      <c r="N858" s="53">
        <f>tkj!$AS$99</f>
        <v>77</v>
      </c>
      <c r="O858" s="53">
        <f>tkj!$AY$99</f>
        <v>83</v>
      </c>
      <c r="P858" s="54">
        <f>tkj!$BA$99</f>
        <v>81</v>
      </c>
      <c r="Q858" s="54">
        <f>tkj!$BC$99</f>
        <v>80</v>
      </c>
      <c r="R858" s="55"/>
      <c r="S858" s="55"/>
      <c r="T858" s="55"/>
      <c r="U858" s="55"/>
      <c r="V858" s="56"/>
      <c r="X858" s="278">
        <v>99</v>
      </c>
    </row>
    <row r="859" spans="1:24" ht="15" thickBot="1">
      <c r="A859" s="268">
        <v>95</v>
      </c>
      <c r="B859" s="271"/>
      <c r="C859" s="274"/>
      <c r="D859" s="52" t="s">
        <v>295</v>
      </c>
      <c r="E859" s="53">
        <f>tkj!$F$99</f>
        <v>83</v>
      </c>
      <c r="F859" s="53">
        <f>tkj!$L$99</f>
        <v>83</v>
      </c>
      <c r="G859" s="53">
        <f>tkj!$R$99</f>
        <v>83</v>
      </c>
      <c r="H859" s="53">
        <f>tkj!$X$99</f>
        <v>84</v>
      </c>
      <c r="I859" s="53">
        <f>tkj!$AB$99</f>
        <v>82</v>
      </c>
      <c r="J859" s="53">
        <f>tkj!$AF$99</f>
        <v>85</v>
      </c>
      <c r="K859" s="54">
        <f>tkj!$AH$99</f>
        <v>75</v>
      </c>
      <c r="L859" s="55"/>
      <c r="M859" s="53">
        <f>tkj!$AN$99</f>
        <v>77</v>
      </c>
      <c r="N859" s="53">
        <f>tkj!$AT$99</f>
        <v>80</v>
      </c>
      <c r="O859" s="53">
        <f>tkj!$AZ$99</f>
        <v>86</v>
      </c>
      <c r="P859" s="54">
        <f>tkj!$BB$99</f>
        <v>84</v>
      </c>
      <c r="Q859" s="54">
        <f>tkj!$BD$99</f>
        <v>80</v>
      </c>
      <c r="R859" s="55"/>
      <c r="S859" s="55"/>
      <c r="T859" s="55"/>
      <c r="U859" s="55"/>
      <c r="V859" s="58"/>
      <c r="X859" s="278">
        <v>99</v>
      </c>
    </row>
    <row r="860" spans="1:24" ht="15" thickBot="1">
      <c r="A860" s="268">
        <v>95</v>
      </c>
      <c r="B860" s="271"/>
      <c r="C860" s="274"/>
      <c r="D860" s="52" t="s">
        <v>296</v>
      </c>
      <c r="E860" s="53">
        <f>tkj!$G$99</f>
        <v>88</v>
      </c>
      <c r="F860" s="53">
        <f>tkj!$M$99</f>
        <v>86</v>
      </c>
      <c r="G860" s="53">
        <f>tkj!$S$99</f>
        <v>88</v>
      </c>
      <c r="H860" s="53">
        <f>tkj!$Y$99</f>
        <v>80</v>
      </c>
      <c r="I860" s="53">
        <f>tkj!$AC$99</f>
        <v>83</v>
      </c>
      <c r="J860" s="59"/>
      <c r="K860" s="54">
        <f>tkj!$AI$99</f>
        <v>80</v>
      </c>
      <c r="L860" s="55"/>
      <c r="M860" s="53">
        <f>tkj!$AO$99</f>
        <v>76</v>
      </c>
      <c r="N860" s="53">
        <f>tkj!$AU$99</f>
        <v>80</v>
      </c>
      <c r="O860" s="59"/>
      <c r="P860" s="55"/>
      <c r="Q860" s="55"/>
      <c r="R860" s="54">
        <f>tkj!$BQ$99</f>
        <v>80</v>
      </c>
      <c r="S860" s="54">
        <f>tkj!$BU$99</f>
        <v>88</v>
      </c>
      <c r="T860" s="55"/>
      <c r="U860" s="54">
        <f>tkj!$BZ$99</f>
        <v>81</v>
      </c>
      <c r="V860" s="58"/>
      <c r="X860" s="278">
        <v>99</v>
      </c>
    </row>
    <row r="861" spans="1:24" ht="15" thickBot="1">
      <c r="A861" s="268">
        <v>95</v>
      </c>
      <c r="B861" s="271"/>
      <c r="C861" s="274"/>
      <c r="D861" s="62" t="s">
        <v>297</v>
      </c>
      <c r="E861" s="53">
        <f>tkj!$H$99</f>
        <v>83</v>
      </c>
      <c r="F861" s="53">
        <f>tkj!$N$99</f>
        <v>88</v>
      </c>
      <c r="G861" s="53">
        <f>tkj!$T$99</f>
        <v>87</v>
      </c>
      <c r="H861" s="53">
        <f>tkj!$Z$99</f>
        <v>84</v>
      </c>
      <c r="I861" s="53">
        <f>tkj!$AD$99</f>
        <v>85</v>
      </c>
      <c r="J861" s="59"/>
      <c r="K861" s="54">
        <f>tkj!$AJ$99</f>
        <v>85</v>
      </c>
      <c r="L861" s="55"/>
      <c r="M861" s="53">
        <f>tkj!$AP$99</f>
        <v>77</v>
      </c>
      <c r="N861" s="53">
        <f>tkj!$AV$99</f>
        <v>82</v>
      </c>
      <c r="O861" s="59"/>
      <c r="P861" s="55"/>
      <c r="Q861" s="55"/>
      <c r="R861" s="54">
        <f>tkj!$BR$99</f>
        <v>80.666666666666671</v>
      </c>
      <c r="S861" s="54">
        <f>tkj!$BV$99</f>
        <v>86</v>
      </c>
      <c r="T861" s="63"/>
      <c r="U861" s="54">
        <f>tkj!$CA$99</f>
        <v>90</v>
      </c>
      <c r="V861" s="58"/>
      <c r="X861" s="278">
        <v>99</v>
      </c>
    </row>
    <row r="862" spans="1:24">
      <c r="A862" s="268">
        <v>95</v>
      </c>
      <c r="B862" s="271"/>
      <c r="C862" s="274"/>
      <c r="D862" s="62" t="s">
        <v>298</v>
      </c>
      <c r="E862" s="53">
        <f>tkj!$I$99</f>
        <v>91</v>
      </c>
      <c r="F862" s="53">
        <f>tkj!$O$99</f>
        <v>92</v>
      </c>
      <c r="G862" s="53">
        <f>tkj!$U$99</f>
        <v>88</v>
      </c>
      <c r="H862" s="65"/>
      <c r="I862" s="65"/>
      <c r="J862" s="59"/>
      <c r="K862" s="59"/>
      <c r="L862" s="53">
        <f>tkj!$AK$99</f>
        <v>82</v>
      </c>
      <c r="M862" s="53">
        <f>tkj!$AQ$99</f>
        <v>82</v>
      </c>
      <c r="N862" s="53">
        <f>tkj!$AW$99</f>
        <v>82</v>
      </c>
      <c r="O862" s="59"/>
      <c r="P862" s="55"/>
      <c r="Q862" s="55"/>
      <c r="R862" s="54">
        <f>tkj!$BS$99</f>
        <v>78.333333333333329</v>
      </c>
      <c r="S862" s="54">
        <f>tkj!$BW$99</f>
        <v>83</v>
      </c>
      <c r="T862" s="54"/>
      <c r="U862" s="54">
        <f>tkj!$CB$99</f>
        <v>75</v>
      </c>
      <c r="V862" s="58"/>
      <c r="X862" s="278">
        <v>99</v>
      </c>
    </row>
    <row r="863" spans="1:24">
      <c r="A863" s="268">
        <v>95</v>
      </c>
      <c r="B863" s="271"/>
      <c r="C863" s="274"/>
      <c r="D863" s="66" t="s">
        <v>299</v>
      </c>
      <c r="E863" s="67">
        <f>AVERAGE(E858:E862)</f>
        <v>84.8</v>
      </c>
      <c r="F863" s="67">
        <f>AVERAGE(F858:F862)</f>
        <v>86.2</v>
      </c>
      <c r="G863" s="67">
        <f>AVERAGE(G858:G862)</f>
        <v>85.2</v>
      </c>
      <c r="H863" s="68"/>
      <c r="I863" s="68"/>
      <c r="J863" s="69"/>
      <c r="K863" s="69"/>
      <c r="L863" s="67">
        <f>AVERAGE(L858:L862)</f>
        <v>82</v>
      </c>
      <c r="M863" s="67">
        <f>AVERAGE(M858:M862)</f>
        <v>77.400000000000006</v>
      </c>
      <c r="N863" s="67">
        <f>AVERAGE(N858:N862)</f>
        <v>80.2</v>
      </c>
      <c r="O863" s="69"/>
      <c r="P863" s="63"/>
      <c r="Q863" s="63"/>
      <c r="R863" s="84">
        <f>AVERAGE(R860:R862)</f>
        <v>79.666666666666671</v>
      </c>
      <c r="S863" s="84">
        <f>AVERAGE(S860:S862)</f>
        <v>85.666666666666671</v>
      </c>
      <c r="T863" s="63"/>
      <c r="U863" s="84">
        <f>AVERAGE(U858:U862)</f>
        <v>82</v>
      </c>
      <c r="V863" s="58"/>
      <c r="X863" s="278">
        <v>99</v>
      </c>
    </row>
    <row r="864" spans="1:24">
      <c r="A864" s="268">
        <v>95</v>
      </c>
      <c r="B864" s="271"/>
      <c r="C864" s="274"/>
      <c r="D864" s="70" t="s">
        <v>300</v>
      </c>
      <c r="E864" s="71">
        <f>tkj!$J$99</f>
        <v>93</v>
      </c>
      <c r="F864" s="71">
        <f>tkj!$P$99</f>
        <v>95</v>
      </c>
      <c r="G864" s="71">
        <f>tkj!$V$99</f>
        <v>87</v>
      </c>
      <c r="H864" s="72"/>
      <c r="I864" s="72"/>
      <c r="J864" s="73"/>
      <c r="K864" s="73"/>
      <c r="L864" s="71">
        <f>tkj!$AL$99</f>
        <v>87</v>
      </c>
      <c r="M864" s="71">
        <f>tkj!$AR$99</f>
        <v>93</v>
      </c>
      <c r="N864" s="71">
        <f>tkj!$AX$99</f>
        <v>93</v>
      </c>
      <c r="O864" s="73"/>
      <c r="P864" s="74"/>
      <c r="Q864" s="74"/>
      <c r="R864" s="85">
        <f>tkj!$BT$99</f>
        <v>95</v>
      </c>
      <c r="S864" s="85">
        <f>tkj!$BX$99</f>
        <v>95</v>
      </c>
      <c r="T864" s="85">
        <f>tkj!$BY$99</f>
        <v>93</v>
      </c>
      <c r="U864" s="75">
        <f>tkj!$CC$99</f>
        <v>93</v>
      </c>
      <c r="V864" s="58"/>
      <c r="X864" s="278">
        <v>99</v>
      </c>
    </row>
    <row r="865" spans="1:24">
      <c r="A865" s="268">
        <v>95</v>
      </c>
      <c r="B865" s="271"/>
      <c r="C865" s="274"/>
      <c r="D865" s="76" t="s">
        <v>301</v>
      </c>
      <c r="E865" s="77">
        <f>tkj!$CD$99</f>
        <v>82</v>
      </c>
      <c r="F865" s="77">
        <f>tkj!$CE$99</f>
        <v>85</v>
      </c>
      <c r="G865" s="77">
        <f>tkj!$CF$99</f>
        <v>78</v>
      </c>
      <c r="H865" s="72"/>
      <c r="I865" s="72"/>
      <c r="J865" s="73"/>
      <c r="K865" s="73"/>
      <c r="L865" s="77">
        <f>tkj!$CG$99</f>
        <v>92</v>
      </c>
      <c r="M865" s="77">
        <f>tkj!$CH$99</f>
        <v>80</v>
      </c>
      <c r="N865" s="77">
        <f>tkj!$CI$99</f>
        <v>82</v>
      </c>
      <c r="O865" s="73"/>
      <c r="P865" s="74"/>
      <c r="Q865" s="74"/>
      <c r="R865" s="86">
        <f>tkj!$CL$99</f>
        <v>92</v>
      </c>
      <c r="S865" s="86">
        <f>tkj!$CK$99</f>
        <v>94</v>
      </c>
      <c r="T865" s="74"/>
      <c r="U865" s="86">
        <f>tkj!$CJ$99</f>
        <v>80</v>
      </c>
      <c r="V865" s="58"/>
      <c r="X865" s="278">
        <v>99</v>
      </c>
    </row>
    <row r="866" spans="1:24" ht="15" thickBot="1">
      <c r="A866" s="269">
        <v>95</v>
      </c>
      <c r="B866" s="272"/>
      <c r="C866" s="275"/>
      <c r="D866" s="78" t="s">
        <v>302</v>
      </c>
      <c r="E866" s="79">
        <f>(E863*4+E864*3+E865*3)/10</f>
        <v>86.42</v>
      </c>
      <c r="F866" s="79">
        <f t="shared" ref="F866:G866" si="185">(F863*4+F864*3+F865*3)/10</f>
        <v>88.47999999999999</v>
      </c>
      <c r="G866" s="79">
        <f t="shared" si="185"/>
        <v>83.58</v>
      </c>
      <c r="H866" s="79">
        <f>AVERAGE(H858:H861)</f>
        <v>82.25</v>
      </c>
      <c r="I866" s="79">
        <f>AVERAGE(I858:I861)</f>
        <v>81</v>
      </c>
      <c r="J866" s="79">
        <f>AVERAGE(J858:J859)</f>
        <v>83.5</v>
      </c>
      <c r="K866" s="79">
        <f>AVERAGE(K858:K861)</f>
        <v>81.5</v>
      </c>
      <c r="L866" s="79">
        <f>(L863*4+L864*3+L865*3)/10</f>
        <v>86.5</v>
      </c>
      <c r="M866" s="79">
        <f>(M863*4+M864*3+M865*3)/10</f>
        <v>82.86</v>
      </c>
      <c r="N866" s="79">
        <f>(N863*4+N864*3+N865*3)/10</f>
        <v>84.58</v>
      </c>
      <c r="O866" s="79">
        <f>AVERAGE(O858:O859)</f>
        <v>84.5</v>
      </c>
      <c r="P866" s="79">
        <f>AVERAGE(P858:P859)</f>
        <v>82.5</v>
      </c>
      <c r="Q866" s="79">
        <f>AVERAGE(Q858:Q859)</f>
        <v>80</v>
      </c>
      <c r="R866" s="79">
        <f>(R863*4+R864*3+R865*3)/10</f>
        <v>87.966666666666669</v>
      </c>
      <c r="S866" s="79">
        <f>(S863*4+S864*3+S865*3)/10</f>
        <v>90.966666666666669</v>
      </c>
      <c r="T866" s="79">
        <f>T864</f>
        <v>93</v>
      </c>
      <c r="U866" s="79">
        <f t="shared" ref="U866" si="186">(U863*4+U864*3+U865*3)/10</f>
        <v>84.7</v>
      </c>
      <c r="V866" s="80">
        <f>AVERAGE(E866:U866)</f>
        <v>84.959019607843146</v>
      </c>
      <c r="X866" s="278">
        <v>99</v>
      </c>
    </row>
    <row r="867" spans="1:24" ht="18" customHeight="1" thickTop="1" thickBot="1">
      <c r="A867" s="268">
        <v>96</v>
      </c>
      <c r="B867" s="270" t="s">
        <v>407</v>
      </c>
      <c r="C867" s="273" t="s">
        <v>245</v>
      </c>
      <c r="D867" s="52" t="s">
        <v>294</v>
      </c>
      <c r="E867" s="53">
        <f>tkj!$E$100</f>
        <v>88</v>
      </c>
      <c r="F867" s="53">
        <f>tkj!$K$100</f>
        <v>81</v>
      </c>
      <c r="G867" s="53">
        <f>tkj!$Q$100</f>
        <v>82</v>
      </c>
      <c r="H867" s="53">
        <f>tkj!$W$100</f>
        <v>82</v>
      </c>
      <c r="I867" s="53">
        <f>tkj!$AA$100</f>
        <v>90</v>
      </c>
      <c r="J867" s="53">
        <f>tkj!$AE$100</f>
        <v>83</v>
      </c>
      <c r="K867" s="54">
        <f>tkj!$AG$100</f>
        <v>85</v>
      </c>
      <c r="L867" s="55"/>
      <c r="M867" s="53">
        <f>tkj!$AM$100</f>
        <v>73</v>
      </c>
      <c r="N867" s="53">
        <f>tkj!$AS$100</f>
        <v>74</v>
      </c>
      <c r="O867" s="53">
        <f>tkj!$AY$100</f>
        <v>83</v>
      </c>
      <c r="P867" s="54">
        <f>tkj!$BA$100</f>
        <v>80</v>
      </c>
      <c r="Q867" s="54">
        <f>tkj!$BC$100</f>
        <v>76</v>
      </c>
      <c r="R867" s="55"/>
      <c r="S867" s="55"/>
      <c r="T867" s="55"/>
      <c r="U867" s="55"/>
      <c r="V867" s="56"/>
      <c r="X867" s="278">
        <v>100</v>
      </c>
    </row>
    <row r="868" spans="1:24" ht="15" thickBot="1">
      <c r="A868" s="268">
        <v>96</v>
      </c>
      <c r="B868" s="271"/>
      <c r="C868" s="274"/>
      <c r="D868" s="52" t="s">
        <v>295</v>
      </c>
      <c r="E868" s="53">
        <f>tkj!$F$100</f>
        <v>80</v>
      </c>
      <c r="F868" s="53">
        <f>tkj!$L$100</f>
        <v>82</v>
      </c>
      <c r="G868" s="53">
        <f>tkj!$R$100</f>
        <v>84</v>
      </c>
      <c r="H868" s="53">
        <f>tkj!$X$100</f>
        <v>85</v>
      </c>
      <c r="I868" s="53">
        <f>tkj!$AB$100</f>
        <v>80</v>
      </c>
      <c r="J868" s="53">
        <f>tkj!$AF$100</f>
        <v>83</v>
      </c>
      <c r="K868" s="54">
        <f>tkj!$AH$100</f>
        <v>80</v>
      </c>
      <c r="L868" s="55"/>
      <c r="M868" s="53">
        <f>tkj!$AN$100</f>
        <v>79</v>
      </c>
      <c r="N868" s="53">
        <f>tkj!$AT$100</f>
        <v>79</v>
      </c>
      <c r="O868" s="53">
        <f>tkj!$AZ$100</f>
        <v>91</v>
      </c>
      <c r="P868" s="54">
        <f>tkj!$BB$100</f>
        <v>86</v>
      </c>
      <c r="Q868" s="54">
        <f>tkj!$BD$100</f>
        <v>83</v>
      </c>
      <c r="R868" s="55"/>
      <c r="S868" s="55"/>
      <c r="T868" s="55"/>
      <c r="U868" s="55"/>
      <c r="V868" s="58"/>
      <c r="X868" s="278">
        <v>100</v>
      </c>
    </row>
    <row r="869" spans="1:24" ht="15" thickBot="1">
      <c r="A869" s="268">
        <v>96</v>
      </c>
      <c r="B869" s="271"/>
      <c r="C869" s="274"/>
      <c r="D869" s="52" t="s">
        <v>296</v>
      </c>
      <c r="E869" s="53">
        <f>tkj!$G$100</f>
        <v>88</v>
      </c>
      <c r="F869" s="53">
        <f>tkj!$M$100</f>
        <v>90</v>
      </c>
      <c r="G869" s="53">
        <f>tkj!$S$100</f>
        <v>80</v>
      </c>
      <c r="H869" s="53">
        <f>tkj!$Y$100</f>
        <v>81</v>
      </c>
      <c r="I869" s="53">
        <f>tkj!$AC$100</f>
        <v>83</v>
      </c>
      <c r="J869" s="59"/>
      <c r="K869" s="54">
        <f>tkj!$AI$100</f>
        <v>76</v>
      </c>
      <c r="L869" s="55"/>
      <c r="M869" s="53">
        <f>tkj!$AO$100</f>
        <v>79</v>
      </c>
      <c r="N869" s="53">
        <f>tkj!$AU$100</f>
        <v>84</v>
      </c>
      <c r="O869" s="59"/>
      <c r="P869" s="55"/>
      <c r="Q869" s="55"/>
      <c r="R869" s="54">
        <f>tkj!$BQ$100</f>
        <v>83.333333333333329</v>
      </c>
      <c r="S869" s="54">
        <f>tkj!$BU$100</f>
        <v>87</v>
      </c>
      <c r="T869" s="55"/>
      <c r="U869" s="54">
        <f>tkj!$BZ$100</f>
        <v>77</v>
      </c>
      <c r="V869" s="58"/>
      <c r="X869" s="278">
        <v>100</v>
      </c>
    </row>
    <row r="870" spans="1:24" ht="15" thickBot="1">
      <c r="A870" s="268">
        <v>96</v>
      </c>
      <c r="B870" s="271"/>
      <c r="C870" s="274"/>
      <c r="D870" s="62" t="s">
        <v>297</v>
      </c>
      <c r="E870" s="53">
        <f>tkj!$H$100</f>
        <v>85</v>
      </c>
      <c r="F870" s="53">
        <f>tkj!$N$100</f>
        <v>88</v>
      </c>
      <c r="G870" s="53">
        <f>tkj!$T$100</f>
        <v>82</v>
      </c>
      <c r="H870" s="53">
        <f>tkj!$Z$100</f>
        <v>85</v>
      </c>
      <c r="I870" s="53">
        <f>tkj!$AD$100</f>
        <v>85</v>
      </c>
      <c r="J870" s="59"/>
      <c r="K870" s="54">
        <f>tkj!$AJ$100</f>
        <v>85</v>
      </c>
      <c r="L870" s="55"/>
      <c r="M870" s="53">
        <f>tkj!$AP$100</f>
        <v>83</v>
      </c>
      <c r="N870" s="53">
        <f>tkj!$AV$100</f>
        <v>86</v>
      </c>
      <c r="O870" s="59"/>
      <c r="P870" s="55"/>
      <c r="Q870" s="55"/>
      <c r="R870" s="54">
        <f>tkj!$BR$100</f>
        <v>86.333333333333329</v>
      </c>
      <c r="S870" s="54">
        <f>tkj!$BV$100</f>
        <v>84</v>
      </c>
      <c r="T870" s="63"/>
      <c r="U870" s="54">
        <f>tkj!$CA$100</f>
        <v>89</v>
      </c>
      <c r="V870" s="58"/>
      <c r="X870" s="278">
        <v>100</v>
      </c>
    </row>
    <row r="871" spans="1:24">
      <c r="A871" s="268">
        <v>96</v>
      </c>
      <c r="B871" s="271"/>
      <c r="C871" s="274"/>
      <c r="D871" s="62" t="s">
        <v>298</v>
      </c>
      <c r="E871" s="53">
        <f>tkj!$I$100</f>
        <v>95</v>
      </c>
      <c r="F871" s="53">
        <f>tkj!$O$100</f>
        <v>94</v>
      </c>
      <c r="G871" s="53">
        <f>tkj!$U$100</f>
        <v>84</v>
      </c>
      <c r="H871" s="65"/>
      <c r="I871" s="65"/>
      <c r="J871" s="59"/>
      <c r="K871" s="59"/>
      <c r="L871" s="53">
        <f>tkj!$AK$100</f>
        <v>84</v>
      </c>
      <c r="M871" s="53">
        <f>tkj!$AQ$100</f>
        <v>86</v>
      </c>
      <c r="N871" s="53">
        <f>tkj!$AW$100</f>
        <v>83</v>
      </c>
      <c r="O871" s="59"/>
      <c r="P871" s="55"/>
      <c r="Q871" s="55"/>
      <c r="R871" s="54">
        <f>tkj!$BS$100</f>
        <v>88</v>
      </c>
      <c r="S871" s="54">
        <f>tkj!$BW$100</f>
        <v>85</v>
      </c>
      <c r="T871" s="54"/>
      <c r="U871" s="54">
        <f>tkj!$CB$100</f>
        <v>78</v>
      </c>
      <c r="V871" s="58"/>
      <c r="X871" s="278">
        <v>100</v>
      </c>
    </row>
    <row r="872" spans="1:24">
      <c r="A872" s="268">
        <v>96</v>
      </c>
      <c r="B872" s="271"/>
      <c r="C872" s="274"/>
      <c r="D872" s="66" t="s">
        <v>299</v>
      </c>
      <c r="E872" s="67">
        <f>AVERAGE(E867:E871)</f>
        <v>87.2</v>
      </c>
      <c r="F872" s="67">
        <f>AVERAGE(F867:F871)</f>
        <v>87</v>
      </c>
      <c r="G872" s="67">
        <f>AVERAGE(G867:G871)</f>
        <v>82.4</v>
      </c>
      <c r="H872" s="68"/>
      <c r="I872" s="68"/>
      <c r="J872" s="69"/>
      <c r="K872" s="69"/>
      <c r="L872" s="67">
        <f>AVERAGE(L867:L871)</f>
        <v>84</v>
      </c>
      <c r="M872" s="67">
        <f>AVERAGE(M867:M871)</f>
        <v>80</v>
      </c>
      <c r="N872" s="67">
        <f>AVERAGE(N867:N871)</f>
        <v>81.2</v>
      </c>
      <c r="O872" s="69"/>
      <c r="P872" s="63"/>
      <c r="Q872" s="63"/>
      <c r="R872" s="84">
        <f>AVERAGE(R869:R871)</f>
        <v>85.888888888888872</v>
      </c>
      <c r="S872" s="84">
        <f>AVERAGE(S869:S871)</f>
        <v>85.333333333333329</v>
      </c>
      <c r="T872" s="63"/>
      <c r="U872" s="84">
        <f>AVERAGE(U867:U871)</f>
        <v>81.333333333333329</v>
      </c>
      <c r="V872" s="58"/>
      <c r="X872" s="278">
        <v>100</v>
      </c>
    </row>
    <row r="873" spans="1:24">
      <c r="A873" s="268">
        <v>96</v>
      </c>
      <c r="B873" s="271"/>
      <c r="C873" s="274"/>
      <c r="D873" s="70" t="s">
        <v>300</v>
      </c>
      <c r="E873" s="71">
        <f>tkj!$J$100</f>
        <v>85</v>
      </c>
      <c r="F873" s="71">
        <f>tkj!$P$100</f>
        <v>82</v>
      </c>
      <c r="G873" s="71">
        <f>tkj!$V$100</f>
        <v>85</v>
      </c>
      <c r="H873" s="72"/>
      <c r="I873" s="72"/>
      <c r="J873" s="73"/>
      <c r="K873" s="73"/>
      <c r="L873" s="71">
        <f>tkj!$AL$100</f>
        <v>85</v>
      </c>
      <c r="M873" s="71">
        <f>tkj!$AR$100</f>
        <v>74</v>
      </c>
      <c r="N873" s="71">
        <f>tkj!$AX$100</f>
        <v>74</v>
      </c>
      <c r="O873" s="73"/>
      <c r="P873" s="74"/>
      <c r="Q873" s="74"/>
      <c r="R873" s="85">
        <f>tkj!$BT$100</f>
        <v>82</v>
      </c>
      <c r="S873" s="85">
        <f>tkj!$BX$100</f>
        <v>82</v>
      </c>
      <c r="T873" s="85">
        <f>tkj!$BY$100</f>
        <v>82</v>
      </c>
      <c r="U873" s="75">
        <f>tkj!$CC$100</f>
        <v>74</v>
      </c>
      <c r="V873" s="58"/>
      <c r="X873" s="278">
        <v>100</v>
      </c>
    </row>
    <row r="874" spans="1:24">
      <c r="A874" s="268">
        <v>96</v>
      </c>
      <c r="B874" s="271"/>
      <c r="C874" s="274"/>
      <c r="D874" s="76" t="s">
        <v>301</v>
      </c>
      <c r="E874" s="77">
        <f>tkj!$CD$100</f>
        <v>90</v>
      </c>
      <c r="F874" s="77">
        <f>tkj!$CE$100</f>
        <v>90</v>
      </c>
      <c r="G874" s="77">
        <f>tkj!$CF$100</f>
        <v>87</v>
      </c>
      <c r="H874" s="72"/>
      <c r="I874" s="72"/>
      <c r="J874" s="73"/>
      <c r="K874" s="73"/>
      <c r="L874" s="77">
        <f>tkj!$CG$100</f>
        <v>93</v>
      </c>
      <c r="M874" s="77">
        <f>tkj!$CH$100</f>
        <v>85</v>
      </c>
      <c r="N874" s="77">
        <f>tkj!$CI$100</f>
        <v>88</v>
      </c>
      <c r="O874" s="73"/>
      <c r="P874" s="74"/>
      <c r="Q874" s="74"/>
      <c r="R874" s="86">
        <f>tkj!$CL$100</f>
        <v>95</v>
      </c>
      <c r="S874" s="86">
        <f>tkj!$CK$100</f>
        <v>79</v>
      </c>
      <c r="T874" s="74"/>
      <c r="U874" s="86">
        <f>tkj!$CJ$100</f>
        <v>90</v>
      </c>
      <c r="V874" s="58"/>
      <c r="X874" s="278">
        <v>100</v>
      </c>
    </row>
    <row r="875" spans="1:24" ht="15" thickBot="1">
      <c r="A875" s="269">
        <v>96</v>
      </c>
      <c r="B875" s="272"/>
      <c r="C875" s="275"/>
      <c r="D875" s="78" t="s">
        <v>302</v>
      </c>
      <c r="E875" s="79">
        <f>(E872*4+E873*3+E874*3)/10</f>
        <v>87.38</v>
      </c>
      <c r="F875" s="79">
        <f t="shared" ref="F875:G875" si="187">(F872*4+F873*3+F874*3)/10</f>
        <v>86.4</v>
      </c>
      <c r="G875" s="79">
        <f t="shared" si="187"/>
        <v>84.56</v>
      </c>
      <c r="H875" s="79">
        <f>AVERAGE(H867:H870)</f>
        <v>83.25</v>
      </c>
      <c r="I875" s="79">
        <f>AVERAGE(I867:I870)</f>
        <v>84.5</v>
      </c>
      <c r="J875" s="79">
        <f>AVERAGE(J867:J868)</f>
        <v>83</v>
      </c>
      <c r="K875" s="79">
        <f>AVERAGE(K867:K870)</f>
        <v>81.5</v>
      </c>
      <c r="L875" s="79">
        <f>(L872*4+L873*3+L874*3)/10</f>
        <v>87</v>
      </c>
      <c r="M875" s="79">
        <f>(M872*4+M873*3+M874*3)/10</f>
        <v>79.7</v>
      </c>
      <c r="N875" s="79">
        <f>(N872*4+N873*3+N874*3)/10</f>
        <v>81.08</v>
      </c>
      <c r="O875" s="79">
        <f>AVERAGE(O867:O868)</f>
        <v>87</v>
      </c>
      <c r="P875" s="79">
        <f>AVERAGE(P867:P868)</f>
        <v>83</v>
      </c>
      <c r="Q875" s="79">
        <f>AVERAGE(Q867:Q868)</f>
        <v>79.5</v>
      </c>
      <c r="R875" s="79">
        <f>(R872*4+R873*3+R874*3)/10</f>
        <v>87.455555555555549</v>
      </c>
      <c r="S875" s="79">
        <f>(S872*4+S873*3+S874*3)/10</f>
        <v>82.433333333333323</v>
      </c>
      <c r="T875" s="79">
        <f>T873</f>
        <v>82</v>
      </c>
      <c r="U875" s="79">
        <f t="shared" ref="U875" si="188">(U872*4+U873*3+U874*3)/10</f>
        <v>81.73333333333332</v>
      </c>
      <c r="V875" s="80">
        <f>AVERAGE(E875:U875)</f>
        <v>83.617189542483672</v>
      </c>
      <c r="X875" s="278">
        <v>100</v>
      </c>
    </row>
    <row r="876" spans="1:24" ht="15.6" thickTop="1" thickBot="1">
      <c r="A876" s="268">
        <v>97</v>
      </c>
      <c r="B876" s="270" t="s">
        <v>408</v>
      </c>
      <c r="C876" s="273" t="s">
        <v>247</v>
      </c>
      <c r="D876" s="52" t="s">
        <v>294</v>
      </c>
      <c r="E876" s="53">
        <f>tkj!$E$101</f>
        <v>85</v>
      </c>
      <c r="F876" s="53">
        <f>tkj!$K$101</f>
        <v>82</v>
      </c>
      <c r="G876" s="53">
        <f>tkj!$Q$101</f>
        <v>78</v>
      </c>
      <c r="H876" s="53">
        <f>tkj!$W$101</f>
        <v>82</v>
      </c>
      <c r="I876" s="53">
        <f>tkj!$AA$101</f>
        <v>87</v>
      </c>
      <c r="J876" s="53">
        <f>tkj!$AE$101</f>
        <v>83</v>
      </c>
      <c r="K876" s="54">
        <f>tkj!$AG$101</f>
        <v>78</v>
      </c>
      <c r="L876" s="55"/>
      <c r="M876" s="53">
        <f>tkj!$AM$101</f>
        <v>71</v>
      </c>
      <c r="N876" s="53">
        <f>tkj!$AS$101</f>
        <v>78</v>
      </c>
      <c r="O876" s="53">
        <f>tkj!$AY$101</f>
        <v>87</v>
      </c>
      <c r="P876" s="54">
        <f>tkj!$BA$101</f>
        <v>77</v>
      </c>
      <c r="Q876" s="54">
        <f>tkj!$BC$101</f>
        <v>76</v>
      </c>
      <c r="R876" s="55"/>
      <c r="S876" s="55"/>
      <c r="T876" s="55"/>
      <c r="U876" s="55"/>
      <c r="V876" s="56"/>
      <c r="X876" s="278">
        <v>101</v>
      </c>
    </row>
    <row r="877" spans="1:24" ht="15" thickBot="1">
      <c r="A877" s="268">
        <v>97</v>
      </c>
      <c r="B877" s="271"/>
      <c r="C877" s="274"/>
      <c r="D877" s="52" t="s">
        <v>295</v>
      </c>
      <c r="E877" s="53">
        <f>tkj!$F$101</f>
        <v>80</v>
      </c>
      <c r="F877" s="53">
        <f>tkj!$L$101</f>
        <v>80</v>
      </c>
      <c r="G877" s="53">
        <f>tkj!$R$101</f>
        <v>85</v>
      </c>
      <c r="H877" s="53">
        <f>tkj!$X$101</f>
        <v>84</v>
      </c>
      <c r="I877" s="53">
        <f>tkj!$AB$101</f>
        <v>82</v>
      </c>
      <c r="J877" s="53">
        <f>tkj!$AF$101</f>
        <v>82</v>
      </c>
      <c r="K877" s="54">
        <f>tkj!$AH$101</f>
        <v>74</v>
      </c>
      <c r="L877" s="55"/>
      <c r="M877" s="53">
        <f>tkj!$AN$101</f>
        <v>73</v>
      </c>
      <c r="N877" s="53">
        <f>tkj!$AT$101</f>
        <v>79</v>
      </c>
      <c r="O877" s="53">
        <f>tkj!$AZ$101</f>
        <v>86</v>
      </c>
      <c r="P877" s="54">
        <f>tkj!$BB$101</f>
        <v>80</v>
      </c>
      <c r="Q877" s="54">
        <f>tkj!$BD$101</f>
        <v>80</v>
      </c>
      <c r="R877" s="55"/>
      <c r="S877" s="55"/>
      <c r="T877" s="55"/>
      <c r="U877" s="55"/>
      <c r="V877" s="58"/>
      <c r="X877" s="278">
        <v>101</v>
      </c>
    </row>
    <row r="878" spans="1:24" ht="15" thickBot="1">
      <c r="A878" s="268">
        <v>97</v>
      </c>
      <c r="B878" s="271"/>
      <c r="C878" s="274"/>
      <c r="D878" s="52" t="s">
        <v>296</v>
      </c>
      <c r="E878" s="53">
        <f>tkj!$G$101</f>
        <v>88</v>
      </c>
      <c r="F878" s="53">
        <f>tkj!$M$101</f>
        <v>85</v>
      </c>
      <c r="G878" s="53">
        <f>tkj!$S$101</f>
        <v>82</v>
      </c>
      <c r="H878" s="53">
        <f>tkj!$Y$101</f>
        <v>80</v>
      </c>
      <c r="I878" s="53">
        <f>tkj!$AC$101</f>
        <v>82</v>
      </c>
      <c r="J878" s="59"/>
      <c r="K878" s="54">
        <f>tkj!$AI$101</f>
        <v>75</v>
      </c>
      <c r="L878" s="55"/>
      <c r="M878" s="53">
        <f>tkj!$AO$101</f>
        <v>77</v>
      </c>
      <c r="N878" s="53">
        <f>tkj!$AU$101</f>
        <v>80</v>
      </c>
      <c r="O878" s="59"/>
      <c r="P878" s="55"/>
      <c r="Q878" s="55"/>
      <c r="R878" s="54">
        <f>tkj!$BQ$101</f>
        <v>78.333333333333329</v>
      </c>
      <c r="S878" s="54">
        <f>tkj!$BU$101</f>
        <v>87</v>
      </c>
      <c r="T878" s="55"/>
      <c r="U878" s="54">
        <f>tkj!$BZ$101</f>
        <v>73</v>
      </c>
      <c r="V878" s="58"/>
      <c r="X878" s="278">
        <v>101</v>
      </c>
    </row>
    <row r="879" spans="1:24" ht="15" thickBot="1">
      <c r="A879" s="268">
        <v>97</v>
      </c>
      <c r="B879" s="271"/>
      <c r="C879" s="274"/>
      <c r="D879" s="62" t="s">
        <v>297</v>
      </c>
      <c r="E879" s="53">
        <f>tkj!$H$101</f>
        <v>84</v>
      </c>
      <c r="F879" s="53">
        <f>tkj!$N$101</f>
        <v>88</v>
      </c>
      <c r="G879" s="53">
        <f>tkj!$T$101</f>
        <v>80</v>
      </c>
      <c r="H879" s="53">
        <f>tkj!$Z$101</f>
        <v>84</v>
      </c>
      <c r="I879" s="53">
        <f>tkj!$AD$101</f>
        <v>82</v>
      </c>
      <c r="J879" s="59"/>
      <c r="K879" s="54">
        <f>tkj!$AJ$101</f>
        <v>82</v>
      </c>
      <c r="L879" s="55"/>
      <c r="M879" s="53">
        <f>tkj!$AP$101</f>
        <v>78</v>
      </c>
      <c r="N879" s="53">
        <f>tkj!$AV$101</f>
        <v>82</v>
      </c>
      <c r="O879" s="59"/>
      <c r="P879" s="55"/>
      <c r="Q879" s="55"/>
      <c r="R879" s="54">
        <f>tkj!$BR$101</f>
        <v>78</v>
      </c>
      <c r="S879" s="54">
        <f>tkj!$BV$101</f>
        <v>84</v>
      </c>
      <c r="T879" s="63"/>
      <c r="U879" s="54">
        <f>tkj!$CA$101</f>
        <v>86</v>
      </c>
      <c r="V879" s="58"/>
      <c r="X879" s="278">
        <v>101</v>
      </c>
    </row>
    <row r="880" spans="1:24">
      <c r="A880" s="268">
        <v>97</v>
      </c>
      <c r="B880" s="271"/>
      <c r="C880" s="274"/>
      <c r="D880" s="62" t="s">
        <v>298</v>
      </c>
      <c r="E880" s="53">
        <f>tkj!$I$101</f>
        <v>83</v>
      </c>
      <c r="F880" s="53">
        <f>tkj!$O$101</f>
        <v>90</v>
      </c>
      <c r="G880" s="53">
        <f>tkj!$U$101</f>
        <v>75</v>
      </c>
      <c r="H880" s="65"/>
      <c r="I880" s="65"/>
      <c r="J880" s="59"/>
      <c r="K880" s="59"/>
      <c r="L880" s="53">
        <f>tkj!$AK$101</f>
        <v>80</v>
      </c>
      <c r="M880" s="53">
        <f>tkj!$AQ$101</f>
        <v>78</v>
      </c>
      <c r="N880" s="53">
        <f>tkj!$AW$101</f>
        <v>79</v>
      </c>
      <c r="O880" s="59"/>
      <c r="P880" s="55"/>
      <c r="Q880" s="55"/>
      <c r="R880" s="54">
        <f>tkj!$BS$101</f>
        <v>78.666666666666671</v>
      </c>
      <c r="S880" s="54">
        <f>tkj!$BW$101</f>
        <v>83</v>
      </c>
      <c r="T880" s="54"/>
      <c r="U880" s="54">
        <f>tkj!$CB$101</f>
        <v>76</v>
      </c>
      <c r="V880" s="58"/>
      <c r="X880" s="278">
        <v>101</v>
      </c>
    </row>
    <row r="881" spans="1:24">
      <c r="A881" s="268">
        <v>97</v>
      </c>
      <c r="B881" s="271"/>
      <c r="C881" s="274"/>
      <c r="D881" s="66" t="s">
        <v>299</v>
      </c>
      <c r="E881" s="67">
        <f>AVERAGE(E876:E880)</f>
        <v>84</v>
      </c>
      <c r="F881" s="67">
        <f>AVERAGE(F876:F880)</f>
        <v>85</v>
      </c>
      <c r="G881" s="67">
        <f>AVERAGE(G876:G880)</f>
        <v>80</v>
      </c>
      <c r="H881" s="68"/>
      <c r="I881" s="68"/>
      <c r="J881" s="69"/>
      <c r="K881" s="69"/>
      <c r="L881" s="67">
        <f>AVERAGE(L876:L880)</f>
        <v>80</v>
      </c>
      <c r="M881" s="67">
        <f>AVERAGE(M876:M880)</f>
        <v>75.400000000000006</v>
      </c>
      <c r="N881" s="67">
        <f>AVERAGE(N876:N880)</f>
        <v>79.599999999999994</v>
      </c>
      <c r="O881" s="69"/>
      <c r="P881" s="63"/>
      <c r="Q881" s="63"/>
      <c r="R881" s="84">
        <f>AVERAGE(R878:R880)</f>
        <v>78.333333333333329</v>
      </c>
      <c r="S881" s="84">
        <f>AVERAGE(S878:S880)</f>
        <v>84.666666666666671</v>
      </c>
      <c r="T881" s="63"/>
      <c r="U881" s="84">
        <f>AVERAGE(U876:U880)</f>
        <v>78.333333333333329</v>
      </c>
      <c r="V881" s="58"/>
      <c r="X881" s="278">
        <v>101</v>
      </c>
    </row>
    <row r="882" spans="1:24">
      <c r="A882" s="268">
        <v>97</v>
      </c>
      <c r="B882" s="271"/>
      <c r="C882" s="274"/>
      <c r="D882" s="70" t="s">
        <v>300</v>
      </c>
      <c r="E882" s="71">
        <f>tkj!$J$101</f>
        <v>85</v>
      </c>
      <c r="F882" s="71">
        <f>tkj!$P$101</f>
        <v>80</v>
      </c>
      <c r="G882" s="71">
        <f>tkj!$V$101</f>
        <v>83</v>
      </c>
      <c r="H882" s="72"/>
      <c r="I882" s="72"/>
      <c r="J882" s="73"/>
      <c r="K882" s="73"/>
      <c r="L882" s="71">
        <f>tkj!$AL$101</f>
        <v>83</v>
      </c>
      <c r="M882" s="71">
        <f>tkj!$AR$101</f>
        <v>85</v>
      </c>
      <c r="N882" s="71">
        <f>tkj!$AX$101</f>
        <v>85</v>
      </c>
      <c r="O882" s="73"/>
      <c r="P882" s="74"/>
      <c r="Q882" s="74"/>
      <c r="R882" s="85">
        <f>tkj!$BT$101</f>
        <v>80</v>
      </c>
      <c r="S882" s="85">
        <f>tkj!$BX$101</f>
        <v>80</v>
      </c>
      <c r="T882" s="85">
        <f>tkj!$BY$101</f>
        <v>83</v>
      </c>
      <c r="U882" s="75">
        <f>tkj!$CC$101</f>
        <v>85</v>
      </c>
      <c r="V882" s="58"/>
      <c r="X882" s="278">
        <v>101</v>
      </c>
    </row>
    <row r="883" spans="1:24">
      <c r="A883" s="268">
        <v>97</v>
      </c>
      <c r="B883" s="271"/>
      <c r="C883" s="274"/>
      <c r="D883" s="76" t="s">
        <v>301</v>
      </c>
      <c r="E883" s="77">
        <f>tkj!$CD$101</f>
        <v>81</v>
      </c>
      <c r="F883" s="77">
        <f>tkj!$CE$101</f>
        <v>80</v>
      </c>
      <c r="G883" s="77">
        <f>tkj!$CF$101</f>
        <v>75</v>
      </c>
      <c r="H883" s="72"/>
      <c r="I883" s="72"/>
      <c r="J883" s="73"/>
      <c r="K883" s="73"/>
      <c r="L883" s="77">
        <f>tkj!$CG$101</f>
        <v>70</v>
      </c>
      <c r="M883" s="77">
        <f>tkj!$CH$101</f>
        <v>78</v>
      </c>
      <c r="N883" s="77">
        <f>tkj!$CI$101</f>
        <v>80</v>
      </c>
      <c r="O883" s="73"/>
      <c r="P883" s="74"/>
      <c r="Q883" s="74"/>
      <c r="R883" s="86">
        <f>tkj!$CL$101</f>
        <v>85</v>
      </c>
      <c r="S883" s="86">
        <f>tkj!$CK$101</f>
        <v>78</v>
      </c>
      <c r="T883" s="74"/>
      <c r="U883" s="86">
        <f>tkj!$CJ$101</f>
        <v>80</v>
      </c>
      <c r="V883" s="58"/>
      <c r="X883" s="278">
        <v>101</v>
      </c>
    </row>
    <row r="884" spans="1:24" ht="15" thickBot="1">
      <c r="A884" s="269">
        <v>97</v>
      </c>
      <c r="B884" s="272"/>
      <c r="C884" s="275"/>
      <c r="D884" s="78" t="s">
        <v>302</v>
      </c>
      <c r="E884" s="79">
        <f>(E881*4+E882*3+E883*3)/10</f>
        <v>83.4</v>
      </c>
      <c r="F884" s="79">
        <f t="shared" ref="F884:G884" si="189">(F881*4+F882*3+F883*3)/10</f>
        <v>82</v>
      </c>
      <c r="G884" s="79">
        <f t="shared" si="189"/>
        <v>79.400000000000006</v>
      </c>
      <c r="H884" s="79">
        <f>AVERAGE(H876:H879)</f>
        <v>82.5</v>
      </c>
      <c r="I884" s="79">
        <f>AVERAGE(I876:I879)</f>
        <v>83.25</v>
      </c>
      <c r="J884" s="79">
        <f>AVERAGE(J876:J877)</f>
        <v>82.5</v>
      </c>
      <c r="K884" s="79">
        <f>AVERAGE(K876:K879)</f>
        <v>77.25</v>
      </c>
      <c r="L884" s="79">
        <f>(L881*4+L882*3+L883*3)/10</f>
        <v>77.900000000000006</v>
      </c>
      <c r="M884" s="79">
        <f>(M881*4+M882*3+M883*3)/10</f>
        <v>79.06</v>
      </c>
      <c r="N884" s="79">
        <f>(N881*4+N882*3+N883*3)/10</f>
        <v>81.34</v>
      </c>
      <c r="O884" s="79">
        <f>AVERAGE(O876:O877)</f>
        <v>86.5</v>
      </c>
      <c r="P884" s="79">
        <f>AVERAGE(P876:P877)</f>
        <v>78.5</v>
      </c>
      <c r="Q884" s="79">
        <f>AVERAGE(Q876:Q877)</f>
        <v>78</v>
      </c>
      <c r="R884" s="79">
        <f>(R881*4+R882*3+R883*3)/10</f>
        <v>80.833333333333329</v>
      </c>
      <c r="S884" s="79">
        <f>(S881*4+S882*3+S883*3)/10</f>
        <v>81.26666666666668</v>
      </c>
      <c r="T884" s="79">
        <f>T882</f>
        <v>83</v>
      </c>
      <c r="U884" s="79">
        <f t="shared" ref="U884" si="190">(U881*4+U882*3+U883*3)/10</f>
        <v>80.833333333333329</v>
      </c>
      <c r="V884" s="80">
        <f>AVERAGE(E884:U884)</f>
        <v>81.031372549019594</v>
      </c>
      <c r="X884" s="278">
        <v>101</v>
      </c>
    </row>
    <row r="885" spans="1:24" ht="15.6" thickTop="1" thickBot="1">
      <c r="A885" s="268">
        <v>98</v>
      </c>
      <c r="B885" s="270" t="s">
        <v>409</v>
      </c>
      <c r="C885" s="273" t="s">
        <v>249</v>
      </c>
      <c r="D885" s="52" t="s">
        <v>294</v>
      </c>
      <c r="E885" s="53">
        <f>tkj!$E$102</f>
        <v>90</v>
      </c>
      <c r="F885" s="53">
        <f>tkj!$K$102</f>
        <v>84</v>
      </c>
      <c r="G885" s="53">
        <f>tkj!$Q$102</f>
        <v>94</v>
      </c>
      <c r="H885" s="53">
        <f>tkj!$W$102</f>
        <v>81</v>
      </c>
      <c r="I885" s="53">
        <f>tkj!$AA$102</f>
        <v>84</v>
      </c>
      <c r="J885" s="53">
        <f>tkj!$AE$102</f>
        <v>83</v>
      </c>
      <c r="K885" s="54">
        <f>tkj!$AG$102</f>
        <v>88</v>
      </c>
      <c r="L885" s="55"/>
      <c r="M885" s="53">
        <f>tkj!$AM$102</f>
        <v>78</v>
      </c>
      <c r="N885" s="53">
        <f>tkj!$AS$102</f>
        <v>80</v>
      </c>
      <c r="O885" s="53">
        <f>tkj!$AY$102</f>
        <v>92</v>
      </c>
      <c r="P885" s="54">
        <f>tkj!$BA$102</f>
        <v>92</v>
      </c>
      <c r="Q885" s="54">
        <f>tkj!$BC$102</f>
        <v>88</v>
      </c>
      <c r="R885" s="55"/>
      <c r="S885" s="55"/>
      <c r="T885" s="55"/>
      <c r="U885" s="55"/>
      <c r="V885" s="56"/>
      <c r="X885" s="278">
        <v>102</v>
      </c>
    </row>
    <row r="886" spans="1:24" ht="15" thickBot="1">
      <c r="A886" s="268">
        <v>98</v>
      </c>
      <c r="B886" s="271"/>
      <c r="C886" s="274"/>
      <c r="D886" s="52" t="s">
        <v>295</v>
      </c>
      <c r="E886" s="53">
        <f>tkj!$F$102</f>
        <v>91</v>
      </c>
      <c r="F886" s="53">
        <f>tkj!$L$102</f>
        <v>87</v>
      </c>
      <c r="G886" s="53">
        <f>tkj!$R$102</f>
        <v>84</v>
      </c>
      <c r="H886" s="53">
        <f>tkj!$X$102</f>
        <v>84</v>
      </c>
      <c r="I886" s="53">
        <f>tkj!$AB$102</f>
        <v>88</v>
      </c>
      <c r="J886" s="53">
        <f>tkj!$AF$102</f>
        <v>85</v>
      </c>
      <c r="K886" s="54">
        <f>tkj!$AH$102</f>
        <v>84</v>
      </c>
      <c r="L886" s="55"/>
      <c r="M886" s="53">
        <f>tkj!$AN$102</f>
        <v>81</v>
      </c>
      <c r="N886" s="53">
        <f>tkj!$AT$102</f>
        <v>86</v>
      </c>
      <c r="O886" s="53">
        <f>tkj!$AZ$102</f>
        <v>97</v>
      </c>
      <c r="P886" s="54">
        <f>tkj!$BB$102</f>
        <v>95</v>
      </c>
      <c r="Q886" s="54">
        <f>tkj!$BD$102</f>
        <v>83</v>
      </c>
      <c r="R886" s="55"/>
      <c r="S886" s="55"/>
      <c r="T886" s="55"/>
      <c r="U886" s="55"/>
      <c r="V886" s="58"/>
      <c r="X886" s="278">
        <v>102</v>
      </c>
    </row>
    <row r="887" spans="1:24" ht="15" thickBot="1">
      <c r="A887" s="268">
        <v>98</v>
      </c>
      <c r="B887" s="271"/>
      <c r="C887" s="274"/>
      <c r="D887" s="52" t="s">
        <v>296</v>
      </c>
      <c r="E887" s="53">
        <f>tkj!$G$102</f>
        <v>88</v>
      </c>
      <c r="F887" s="53">
        <f>tkj!$M$102</f>
        <v>92</v>
      </c>
      <c r="G887" s="53">
        <f>tkj!$S$102</f>
        <v>89</v>
      </c>
      <c r="H887" s="53">
        <f>tkj!$Y$102</f>
        <v>80</v>
      </c>
      <c r="I887" s="53">
        <f>tkj!$AC$102</f>
        <v>82</v>
      </c>
      <c r="J887" s="59"/>
      <c r="K887" s="54">
        <f>tkj!$AI$102</f>
        <v>81</v>
      </c>
      <c r="L887" s="55"/>
      <c r="M887" s="53">
        <f>tkj!$AO$102</f>
        <v>80</v>
      </c>
      <c r="N887" s="53">
        <f>tkj!$AU$102</f>
        <v>82</v>
      </c>
      <c r="O887" s="59"/>
      <c r="P887" s="55"/>
      <c r="Q887" s="55"/>
      <c r="R887" s="54">
        <f>tkj!$BQ$102</f>
        <v>83.666666666666671</v>
      </c>
      <c r="S887" s="54">
        <f>tkj!$BU$102</f>
        <v>87</v>
      </c>
      <c r="T887" s="55"/>
      <c r="U887" s="54">
        <f>tkj!$BZ$102</f>
        <v>79</v>
      </c>
      <c r="V887" s="58"/>
      <c r="X887" s="278">
        <v>102</v>
      </c>
    </row>
    <row r="888" spans="1:24" ht="15" thickBot="1">
      <c r="A888" s="268">
        <v>98</v>
      </c>
      <c r="B888" s="271"/>
      <c r="C888" s="274"/>
      <c r="D888" s="62" t="s">
        <v>297</v>
      </c>
      <c r="E888" s="53">
        <f>tkj!$H$102</f>
        <v>83</v>
      </c>
      <c r="F888" s="53">
        <f>tkj!$N$102</f>
        <v>85</v>
      </c>
      <c r="G888" s="53">
        <f>tkj!$T$102</f>
        <v>88</v>
      </c>
      <c r="H888" s="53">
        <f>tkj!$Z$102</f>
        <v>84</v>
      </c>
      <c r="I888" s="53">
        <f>tkj!$AD$102</f>
        <v>87</v>
      </c>
      <c r="J888" s="59"/>
      <c r="K888" s="54">
        <f>tkj!$AJ$102</f>
        <v>87</v>
      </c>
      <c r="L888" s="55"/>
      <c r="M888" s="53">
        <f>tkj!$AP$102</f>
        <v>81</v>
      </c>
      <c r="N888" s="53">
        <f>tkj!$AV$102</f>
        <v>86</v>
      </c>
      <c r="O888" s="59"/>
      <c r="P888" s="55"/>
      <c r="Q888" s="55"/>
      <c r="R888" s="54">
        <f>tkj!$BR$102</f>
        <v>89.333333333333329</v>
      </c>
      <c r="S888" s="54">
        <f>tkj!$BV$102</f>
        <v>84</v>
      </c>
      <c r="T888" s="63"/>
      <c r="U888" s="54">
        <f>tkj!$CA$102</f>
        <v>87</v>
      </c>
      <c r="V888" s="58"/>
      <c r="X888" s="278">
        <v>102</v>
      </c>
    </row>
    <row r="889" spans="1:24">
      <c r="A889" s="268">
        <v>98</v>
      </c>
      <c r="B889" s="271"/>
      <c r="C889" s="274"/>
      <c r="D889" s="62" t="s">
        <v>298</v>
      </c>
      <c r="E889" s="53">
        <f>tkj!$I$102</f>
        <v>90</v>
      </c>
      <c r="F889" s="53">
        <f>tkj!$O$102</f>
        <v>90</v>
      </c>
      <c r="G889" s="53">
        <f>tkj!$U$102</f>
        <v>84</v>
      </c>
      <c r="H889" s="65"/>
      <c r="I889" s="65"/>
      <c r="J889" s="59"/>
      <c r="K889" s="59"/>
      <c r="L889" s="53">
        <f>tkj!$AK$102</f>
        <v>84</v>
      </c>
      <c r="M889" s="53">
        <f>tkj!$AQ$102</f>
        <v>84</v>
      </c>
      <c r="N889" s="53">
        <f>tkj!$AW$102</f>
        <v>85</v>
      </c>
      <c r="O889" s="59"/>
      <c r="P889" s="55"/>
      <c r="Q889" s="55"/>
      <c r="R889" s="54">
        <f>tkj!$BS$102</f>
        <v>85.333333333333329</v>
      </c>
      <c r="S889" s="54">
        <f>tkj!$BW$102</f>
        <v>85</v>
      </c>
      <c r="T889" s="54"/>
      <c r="U889" s="54">
        <f>tkj!$CB$102</f>
        <v>75</v>
      </c>
      <c r="V889" s="58"/>
      <c r="X889" s="278">
        <v>102</v>
      </c>
    </row>
    <row r="890" spans="1:24">
      <c r="A890" s="268">
        <v>98</v>
      </c>
      <c r="B890" s="271"/>
      <c r="C890" s="274"/>
      <c r="D890" s="66" t="s">
        <v>299</v>
      </c>
      <c r="E890" s="67">
        <f>AVERAGE(E885:E889)</f>
        <v>88.4</v>
      </c>
      <c r="F890" s="67">
        <f>AVERAGE(F885:F889)</f>
        <v>87.6</v>
      </c>
      <c r="G890" s="67">
        <f>AVERAGE(G885:G889)</f>
        <v>87.8</v>
      </c>
      <c r="H890" s="68"/>
      <c r="I890" s="68"/>
      <c r="J890" s="69"/>
      <c r="K890" s="69"/>
      <c r="L890" s="67">
        <f>AVERAGE(L885:L889)</f>
        <v>84</v>
      </c>
      <c r="M890" s="67">
        <f>AVERAGE(M885:M889)</f>
        <v>80.8</v>
      </c>
      <c r="N890" s="67">
        <f>AVERAGE(N885:N889)</f>
        <v>83.8</v>
      </c>
      <c r="O890" s="69"/>
      <c r="P890" s="63"/>
      <c r="Q890" s="63"/>
      <c r="R890" s="84">
        <f>AVERAGE(R887:R889)</f>
        <v>86.1111111111111</v>
      </c>
      <c r="S890" s="84">
        <f>AVERAGE(S887:S889)</f>
        <v>85.333333333333329</v>
      </c>
      <c r="T890" s="63"/>
      <c r="U890" s="84">
        <f>AVERAGE(U885:U889)</f>
        <v>80.333333333333329</v>
      </c>
      <c r="V890" s="58"/>
      <c r="X890" s="278">
        <v>102</v>
      </c>
    </row>
    <row r="891" spans="1:24">
      <c r="A891" s="268">
        <v>98</v>
      </c>
      <c r="B891" s="271"/>
      <c r="C891" s="274"/>
      <c r="D891" s="70" t="s">
        <v>300</v>
      </c>
      <c r="E891" s="71">
        <f>tkj!$J$102</f>
        <v>73</v>
      </c>
      <c r="F891" s="71">
        <f>tkj!$P$102</f>
        <v>82</v>
      </c>
      <c r="G891" s="71">
        <f>tkj!$V$102</f>
        <v>86</v>
      </c>
      <c r="H891" s="72"/>
      <c r="I891" s="72"/>
      <c r="J891" s="73"/>
      <c r="K891" s="73"/>
      <c r="L891" s="71">
        <f>tkj!$AL$102</f>
        <v>86</v>
      </c>
      <c r="M891" s="71">
        <f>tkj!$AR$102</f>
        <v>83</v>
      </c>
      <c r="N891" s="71">
        <f>tkj!$AX$102</f>
        <v>83</v>
      </c>
      <c r="O891" s="73"/>
      <c r="P891" s="74"/>
      <c r="Q891" s="74"/>
      <c r="R891" s="85">
        <f>tkj!$BT$102</f>
        <v>79</v>
      </c>
      <c r="S891" s="85">
        <f>tkj!$BX$102</f>
        <v>79</v>
      </c>
      <c r="T891" s="85">
        <f>tkj!$BY$102</f>
        <v>81</v>
      </c>
      <c r="U891" s="75">
        <f>tkj!$CC$102</f>
        <v>83</v>
      </c>
      <c r="V891" s="58"/>
      <c r="X891" s="278">
        <v>102</v>
      </c>
    </row>
    <row r="892" spans="1:24">
      <c r="A892" s="268">
        <v>98</v>
      </c>
      <c r="B892" s="271"/>
      <c r="C892" s="274"/>
      <c r="D892" s="76" t="s">
        <v>301</v>
      </c>
      <c r="E892" s="77">
        <f>tkj!$CD$102</f>
        <v>87</v>
      </c>
      <c r="F892" s="77">
        <f>tkj!$CE$102</f>
        <v>94</v>
      </c>
      <c r="G892" s="77">
        <f>tkj!$CF$102</f>
        <v>80</v>
      </c>
      <c r="H892" s="72"/>
      <c r="I892" s="72"/>
      <c r="J892" s="73"/>
      <c r="K892" s="73"/>
      <c r="L892" s="77">
        <f>tkj!$CG$102</f>
        <v>87</v>
      </c>
      <c r="M892" s="77">
        <f>tkj!$CH$102</f>
        <v>84</v>
      </c>
      <c r="N892" s="77">
        <f>tkj!$CI$102</f>
        <v>88</v>
      </c>
      <c r="O892" s="73"/>
      <c r="P892" s="74"/>
      <c r="Q892" s="74"/>
      <c r="R892" s="86">
        <f>tkj!$CL$102</f>
        <v>90</v>
      </c>
      <c r="S892" s="86">
        <f>tkj!$CK$102</f>
        <v>78</v>
      </c>
      <c r="T892" s="74"/>
      <c r="U892" s="86">
        <f>tkj!$CJ$102</f>
        <v>90</v>
      </c>
      <c r="V892" s="58"/>
      <c r="X892" s="278">
        <v>102</v>
      </c>
    </row>
    <row r="893" spans="1:24" ht="15" thickBot="1">
      <c r="A893" s="269">
        <v>98</v>
      </c>
      <c r="B893" s="272"/>
      <c r="C893" s="275"/>
      <c r="D893" s="78" t="s">
        <v>302</v>
      </c>
      <c r="E893" s="79">
        <f>(E890*4+E891*3+E892*3)/10</f>
        <v>83.36</v>
      </c>
      <c r="F893" s="79">
        <f t="shared" ref="F893:G893" si="191">(F890*4+F891*3+F892*3)/10</f>
        <v>87.84</v>
      </c>
      <c r="G893" s="79">
        <f t="shared" si="191"/>
        <v>84.92</v>
      </c>
      <c r="H893" s="79">
        <f>AVERAGE(H885:H888)</f>
        <v>82.25</v>
      </c>
      <c r="I893" s="79">
        <f>AVERAGE(I885:I888)</f>
        <v>85.25</v>
      </c>
      <c r="J893" s="79">
        <f>AVERAGE(J885:J886)</f>
        <v>84</v>
      </c>
      <c r="K893" s="79">
        <f>AVERAGE(K885:K888)</f>
        <v>85</v>
      </c>
      <c r="L893" s="79">
        <f>(L890*4+L891*3+L892*3)/10</f>
        <v>85.5</v>
      </c>
      <c r="M893" s="79">
        <f>(M890*4+M891*3+M892*3)/10</f>
        <v>82.42</v>
      </c>
      <c r="N893" s="79">
        <f>(N890*4+N891*3+N892*3)/10</f>
        <v>84.820000000000007</v>
      </c>
      <c r="O893" s="79">
        <f>AVERAGE(O885:O886)</f>
        <v>94.5</v>
      </c>
      <c r="P893" s="79">
        <f>AVERAGE(P885:P886)</f>
        <v>93.5</v>
      </c>
      <c r="Q893" s="79">
        <f>AVERAGE(Q885:Q886)</f>
        <v>85.5</v>
      </c>
      <c r="R893" s="79">
        <f>(R890*4+R891*3+R892*3)/10</f>
        <v>85.144444444444431</v>
      </c>
      <c r="S893" s="79">
        <f>(S890*4+S891*3+S892*3)/10</f>
        <v>81.23333333333332</v>
      </c>
      <c r="T893" s="79">
        <f>T891</f>
        <v>81</v>
      </c>
      <c r="U893" s="79">
        <f t="shared" ref="U893" si="192">(U890*4+U891*3+U892*3)/10</f>
        <v>84.033333333333331</v>
      </c>
      <c r="V893" s="80">
        <f>AVERAGE(E893:U893)</f>
        <v>85.310065359477122</v>
      </c>
      <c r="X893" s="278">
        <v>102</v>
      </c>
    </row>
    <row r="894" spans="1:24" ht="15.6" thickTop="1" thickBot="1">
      <c r="A894" s="268">
        <v>99</v>
      </c>
      <c r="B894" s="270" t="s">
        <v>410</v>
      </c>
      <c r="C894" s="273" t="s">
        <v>251</v>
      </c>
      <c r="D894" s="52" t="s">
        <v>294</v>
      </c>
      <c r="E894" s="53">
        <f>tkj!$E$103</f>
        <v>79</v>
      </c>
      <c r="F894" s="53">
        <f>tkj!$K$103</f>
        <v>80</v>
      </c>
      <c r="G894" s="53">
        <f>tkj!$Q$103</f>
        <v>87</v>
      </c>
      <c r="H894" s="53">
        <f>tkj!$W$103</f>
        <v>81</v>
      </c>
      <c r="I894" s="53">
        <f>tkj!$AA$103</f>
        <v>81</v>
      </c>
      <c r="J894" s="53">
        <f>tkj!$AE$103</f>
        <v>83</v>
      </c>
      <c r="K894" s="54">
        <f>tkj!$AG$103</f>
        <v>81</v>
      </c>
      <c r="L894" s="55"/>
      <c r="M894" s="53">
        <f>tkj!$AM$103</f>
        <v>70</v>
      </c>
      <c r="N894" s="53">
        <f>tkj!$AS$103</f>
        <v>77</v>
      </c>
      <c r="O894" s="53">
        <f>tkj!$AY$103</f>
        <v>79</v>
      </c>
      <c r="P894" s="54">
        <f>tkj!$BA$103</f>
        <v>74</v>
      </c>
      <c r="Q894" s="54">
        <f>tkj!$BC$103</f>
        <v>77</v>
      </c>
      <c r="R894" s="55"/>
      <c r="S894" s="55"/>
      <c r="T894" s="55"/>
      <c r="U894" s="55"/>
      <c r="V894" s="56"/>
      <c r="X894" s="278">
        <v>103</v>
      </c>
    </row>
    <row r="895" spans="1:24" ht="15" thickBot="1">
      <c r="A895" s="268">
        <v>99</v>
      </c>
      <c r="B895" s="271"/>
      <c r="C895" s="274"/>
      <c r="D895" s="52" t="s">
        <v>295</v>
      </c>
      <c r="E895" s="53">
        <f>tkj!$F$103</f>
        <v>80</v>
      </c>
      <c r="F895" s="53">
        <f>tkj!$L$103</f>
        <v>80</v>
      </c>
      <c r="G895" s="53">
        <f>tkj!$R$103</f>
        <v>85</v>
      </c>
      <c r="H895" s="53">
        <f>tkj!$X$103</f>
        <v>85</v>
      </c>
      <c r="I895" s="53">
        <f>tkj!$AB$103</f>
        <v>84</v>
      </c>
      <c r="J895" s="53">
        <f>tkj!$AF$103</f>
        <v>84</v>
      </c>
      <c r="K895" s="54">
        <f>tkj!$AH$103</f>
        <v>79</v>
      </c>
      <c r="L895" s="55"/>
      <c r="M895" s="53">
        <f>tkj!$AN$103</f>
        <v>70</v>
      </c>
      <c r="N895" s="53">
        <f>tkj!$AT$103</f>
        <v>79</v>
      </c>
      <c r="O895" s="53">
        <f>tkj!$AZ$103</f>
        <v>85</v>
      </c>
      <c r="P895" s="54">
        <f>tkj!$BB$103</f>
        <v>82</v>
      </c>
      <c r="Q895" s="54">
        <f>tkj!$BD$103</f>
        <v>87</v>
      </c>
      <c r="R895" s="55"/>
      <c r="S895" s="55"/>
      <c r="T895" s="55"/>
      <c r="U895" s="55"/>
      <c r="V895" s="58"/>
      <c r="X895" s="278">
        <v>103</v>
      </c>
    </row>
    <row r="896" spans="1:24" ht="15" thickBot="1">
      <c r="A896" s="268">
        <v>99</v>
      </c>
      <c r="B896" s="271"/>
      <c r="C896" s="274"/>
      <c r="D896" s="52" t="s">
        <v>296</v>
      </c>
      <c r="E896" s="53">
        <f>tkj!$G$103</f>
        <v>87</v>
      </c>
      <c r="F896" s="53">
        <f>tkj!$M$103</f>
        <v>81</v>
      </c>
      <c r="G896" s="53">
        <f>tkj!$S$103</f>
        <v>78</v>
      </c>
      <c r="H896" s="53">
        <f>tkj!$Y$103</f>
        <v>81</v>
      </c>
      <c r="I896" s="53">
        <f>tkj!$AC$103</f>
        <v>82</v>
      </c>
      <c r="J896" s="59"/>
      <c r="K896" s="54">
        <f>tkj!$AI$103</f>
        <v>75</v>
      </c>
      <c r="L896" s="55"/>
      <c r="M896" s="53">
        <f>tkj!$AO$103</f>
        <v>81</v>
      </c>
      <c r="N896" s="53">
        <f>tkj!$AU$103</f>
        <v>79</v>
      </c>
      <c r="O896" s="59"/>
      <c r="P896" s="55"/>
      <c r="Q896" s="55"/>
      <c r="R896" s="54">
        <f>tkj!$BQ$103</f>
        <v>80.666666666666671</v>
      </c>
      <c r="S896" s="54">
        <f>tkj!$BU$103</f>
        <v>87</v>
      </c>
      <c r="T896" s="55"/>
      <c r="U896" s="54">
        <f>tkj!$BZ$103</f>
        <v>72</v>
      </c>
      <c r="V896" s="58"/>
      <c r="X896" s="278">
        <v>103</v>
      </c>
    </row>
    <row r="897" spans="1:24" ht="15" thickBot="1">
      <c r="A897" s="268">
        <v>99</v>
      </c>
      <c r="B897" s="271"/>
      <c r="C897" s="274"/>
      <c r="D897" s="62" t="s">
        <v>297</v>
      </c>
      <c r="E897" s="53">
        <f>tkj!$H$103</f>
        <v>88</v>
      </c>
      <c r="F897" s="53">
        <f>tkj!$N$103</f>
        <v>83</v>
      </c>
      <c r="G897" s="53">
        <f>tkj!$T$103</f>
        <v>78</v>
      </c>
      <c r="H897" s="53">
        <f>tkj!$Z$103</f>
        <v>85</v>
      </c>
      <c r="I897" s="53">
        <f>tkj!$AD$103</f>
        <v>84</v>
      </c>
      <c r="J897" s="59"/>
      <c r="K897" s="54">
        <f>tkj!$AJ$103</f>
        <v>84</v>
      </c>
      <c r="L897" s="55"/>
      <c r="M897" s="53">
        <f>tkj!$AP$103</f>
        <v>82</v>
      </c>
      <c r="N897" s="53">
        <f>tkj!$AV$103</f>
        <v>80</v>
      </c>
      <c r="O897" s="59"/>
      <c r="P897" s="55"/>
      <c r="Q897" s="55"/>
      <c r="R897" s="54">
        <f>tkj!$BR$103</f>
        <v>82</v>
      </c>
      <c r="S897" s="54">
        <f>tkj!$BV$103</f>
        <v>84</v>
      </c>
      <c r="T897" s="63"/>
      <c r="U897" s="54">
        <f>tkj!$CA$103</f>
        <v>84</v>
      </c>
      <c r="V897" s="58"/>
      <c r="X897" s="278">
        <v>103</v>
      </c>
    </row>
    <row r="898" spans="1:24">
      <c r="A898" s="268">
        <v>99</v>
      </c>
      <c r="B898" s="271"/>
      <c r="C898" s="274"/>
      <c r="D898" s="62" t="s">
        <v>298</v>
      </c>
      <c r="E898" s="53">
        <f>tkj!$I$103</f>
        <v>88</v>
      </c>
      <c r="F898" s="53">
        <f>tkj!$O$103</f>
        <v>90</v>
      </c>
      <c r="G898" s="53">
        <f>tkj!$U$103</f>
        <v>80</v>
      </c>
      <c r="H898" s="65"/>
      <c r="I898" s="65"/>
      <c r="J898" s="59"/>
      <c r="K898" s="59"/>
      <c r="L898" s="53">
        <f>tkj!$AK$103</f>
        <v>82</v>
      </c>
      <c r="M898" s="53">
        <f>tkj!$AQ$103</f>
        <v>81</v>
      </c>
      <c r="N898" s="53">
        <f>tkj!$AW$103</f>
        <v>80</v>
      </c>
      <c r="O898" s="59"/>
      <c r="P898" s="55"/>
      <c r="Q898" s="55"/>
      <c r="R898" s="54">
        <f>tkj!$BS$103</f>
        <v>84.333333333333329</v>
      </c>
      <c r="S898" s="54">
        <f>tkj!$BW$103</f>
        <v>83</v>
      </c>
      <c r="T898" s="54"/>
      <c r="U898" s="54">
        <f>tkj!$CB$103</f>
        <v>72</v>
      </c>
      <c r="V898" s="58"/>
      <c r="X898" s="278">
        <v>103</v>
      </c>
    </row>
    <row r="899" spans="1:24">
      <c r="A899" s="268">
        <v>99</v>
      </c>
      <c r="B899" s="271"/>
      <c r="C899" s="274"/>
      <c r="D899" s="66" t="s">
        <v>299</v>
      </c>
      <c r="E899" s="67">
        <f>AVERAGE(E894:E898)</f>
        <v>84.4</v>
      </c>
      <c r="F899" s="67">
        <f>AVERAGE(F894:F898)</f>
        <v>82.8</v>
      </c>
      <c r="G899" s="67">
        <f>AVERAGE(G894:G898)</f>
        <v>81.599999999999994</v>
      </c>
      <c r="H899" s="68"/>
      <c r="I899" s="68"/>
      <c r="J899" s="69"/>
      <c r="K899" s="69"/>
      <c r="L899" s="67">
        <f>AVERAGE(L894:L898)</f>
        <v>82</v>
      </c>
      <c r="M899" s="67">
        <f>AVERAGE(M894:M898)</f>
        <v>76.8</v>
      </c>
      <c r="N899" s="67">
        <f>AVERAGE(N894:N898)</f>
        <v>79</v>
      </c>
      <c r="O899" s="69"/>
      <c r="P899" s="63"/>
      <c r="Q899" s="63"/>
      <c r="R899" s="84">
        <f>AVERAGE(R896:R898)</f>
        <v>82.333333333333329</v>
      </c>
      <c r="S899" s="84">
        <f>AVERAGE(S896:S898)</f>
        <v>84.666666666666671</v>
      </c>
      <c r="T899" s="63"/>
      <c r="U899" s="84">
        <f>AVERAGE(U894:U898)</f>
        <v>76</v>
      </c>
      <c r="V899" s="58"/>
      <c r="X899" s="278">
        <v>103</v>
      </c>
    </row>
    <row r="900" spans="1:24">
      <c r="A900" s="268">
        <v>99</v>
      </c>
      <c r="B900" s="271"/>
      <c r="C900" s="274"/>
      <c r="D900" s="70" t="s">
        <v>300</v>
      </c>
      <c r="E900" s="71">
        <f>tkj!$J$103</f>
        <v>75</v>
      </c>
      <c r="F900" s="71">
        <f>tkj!$P$103</f>
        <v>78</v>
      </c>
      <c r="G900" s="71">
        <f>tkj!$V$103</f>
        <v>76</v>
      </c>
      <c r="H900" s="72"/>
      <c r="I900" s="72"/>
      <c r="J900" s="73"/>
      <c r="K900" s="73"/>
      <c r="L900" s="71">
        <f>tkj!$AL$103</f>
        <v>76</v>
      </c>
      <c r="M900" s="71">
        <f>tkj!$AR$103</f>
        <v>77</v>
      </c>
      <c r="N900" s="71">
        <f>tkj!$AX$103</f>
        <v>77</v>
      </c>
      <c r="O900" s="73"/>
      <c r="P900" s="74"/>
      <c r="Q900" s="74"/>
      <c r="R900" s="85">
        <f>tkj!$BT$103</f>
        <v>78</v>
      </c>
      <c r="S900" s="85">
        <f>tkj!$BX$103</f>
        <v>78</v>
      </c>
      <c r="T900" s="85">
        <f>tkj!$BY$103</f>
        <v>77</v>
      </c>
      <c r="U900" s="75">
        <f>tkj!$CC$103</f>
        <v>77</v>
      </c>
      <c r="V900" s="58"/>
      <c r="X900" s="278">
        <v>103</v>
      </c>
    </row>
    <row r="901" spans="1:24">
      <c r="A901" s="268">
        <v>99</v>
      </c>
      <c r="B901" s="271"/>
      <c r="C901" s="274"/>
      <c r="D901" s="76" t="s">
        <v>301</v>
      </c>
      <c r="E901" s="77">
        <f>tkj!$CD$103</f>
        <v>87</v>
      </c>
      <c r="F901" s="77">
        <f>tkj!$CE$103</f>
        <v>80</v>
      </c>
      <c r="G901" s="77">
        <f>tkj!$CF$103</f>
        <v>80</v>
      </c>
      <c r="H901" s="72"/>
      <c r="I901" s="72"/>
      <c r="J901" s="73"/>
      <c r="K901" s="73"/>
      <c r="L901" s="77">
        <f>tkj!$CG$103</f>
        <v>75</v>
      </c>
      <c r="M901" s="77">
        <f>tkj!$CH$103</f>
        <v>79</v>
      </c>
      <c r="N901" s="77">
        <f>tkj!$CI$103</f>
        <v>83</v>
      </c>
      <c r="O901" s="73"/>
      <c r="P901" s="74"/>
      <c r="Q901" s="74"/>
      <c r="R901" s="86">
        <f>tkj!$CL$103</f>
        <v>77</v>
      </c>
      <c r="S901" s="86">
        <f>tkj!$CK$103</f>
        <v>78</v>
      </c>
      <c r="T901" s="74"/>
      <c r="U901" s="86">
        <f>tkj!$CJ$103</f>
        <v>80</v>
      </c>
      <c r="V901" s="58"/>
      <c r="X901" s="278">
        <v>103</v>
      </c>
    </row>
    <row r="902" spans="1:24" ht="15" thickBot="1">
      <c r="A902" s="269">
        <v>99</v>
      </c>
      <c r="B902" s="272"/>
      <c r="C902" s="275"/>
      <c r="D902" s="78" t="s">
        <v>302</v>
      </c>
      <c r="E902" s="79">
        <f>(E899*4+E900*3+E901*3)/10</f>
        <v>82.36</v>
      </c>
      <c r="F902" s="79">
        <f t="shared" ref="F902:G902" si="193">(F899*4+F900*3+F901*3)/10</f>
        <v>80.52000000000001</v>
      </c>
      <c r="G902" s="79">
        <f t="shared" si="193"/>
        <v>79.44</v>
      </c>
      <c r="H902" s="79">
        <f>AVERAGE(H894:H897)</f>
        <v>83</v>
      </c>
      <c r="I902" s="79">
        <f>AVERAGE(I894:I897)</f>
        <v>82.75</v>
      </c>
      <c r="J902" s="79">
        <f>AVERAGE(J894:J895)</f>
        <v>83.5</v>
      </c>
      <c r="K902" s="79">
        <f>AVERAGE(K894:K897)</f>
        <v>79.75</v>
      </c>
      <c r="L902" s="79">
        <f>(L899*4+L900*3+L901*3)/10</f>
        <v>78.099999999999994</v>
      </c>
      <c r="M902" s="79">
        <f>(M899*4+M900*3+M901*3)/10</f>
        <v>77.52000000000001</v>
      </c>
      <c r="N902" s="79">
        <f>(N899*4+N900*3+N901*3)/10</f>
        <v>79.599999999999994</v>
      </c>
      <c r="O902" s="79">
        <f>AVERAGE(O894:O895)</f>
        <v>82</v>
      </c>
      <c r="P902" s="79">
        <f>AVERAGE(P894:P895)</f>
        <v>78</v>
      </c>
      <c r="Q902" s="79">
        <f>AVERAGE(Q894:Q895)</f>
        <v>82</v>
      </c>
      <c r="R902" s="79">
        <f>(R899*4+R900*3+R901*3)/10</f>
        <v>79.433333333333323</v>
      </c>
      <c r="S902" s="79">
        <f>(S899*4+S900*3+S901*3)/10</f>
        <v>80.666666666666671</v>
      </c>
      <c r="T902" s="79">
        <f>T900</f>
        <v>77</v>
      </c>
      <c r="U902" s="79">
        <f t="shared" ref="U902" si="194">(U899*4+U900*3+U901*3)/10</f>
        <v>77.5</v>
      </c>
      <c r="V902" s="80">
        <f>AVERAGE(E902:U902)</f>
        <v>80.184705882352944</v>
      </c>
      <c r="X902" s="278">
        <v>103</v>
      </c>
    </row>
    <row r="903" spans="1:24" ht="15.6" thickTop="1" thickBot="1">
      <c r="A903" s="268">
        <v>100</v>
      </c>
      <c r="B903" s="270" t="s">
        <v>411</v>
      </c>
      <c r="C903" s="273" t="s">
        <v>253</v>
      </c>
      <c r="D903" s="52" t="s">
        <v>294</v>
      </c>
      <c r="E903" s="53">
        <f>tkj!$E$104</f>
        <v>83</v>
      </c>
      <c r="F903" s="53">
        <f>tkj!$K$104</f>
        <v>80</v>
      </c>
      <c r="G903" s="53">
        <f>tkj!$Q$104</f>
        <v>80</v>
      </c>
      <c r="H903" s="53">
        <f>tkj!$W$104</f>
        <v>80</v>
      </c>
      <c r="I903" s="53">
        <f>tkj!$AA$104</f>
        <v>81</v>
      </c>
      <c r="J903" s="53">
        <f>tkj!$AE$104</f>
        <v>82</v>
      </c>
      <c r="K903" s="54">
        <f>tkj!$AG$104</f>
        <v>84</v>
      </c>
      <c r="L903" s="55"/>
      <c r="M903" s="53">
        <f>tkj!$AM$104</f>
        <v>71</v>
      </c>
      <c r="N903" s="53">
        <f>tkj!$AS$104</f>
        <v>75</v>
      </c>
      <c r="O903" s="53">
        <f>tkj!$AY$104</f>
        <v>92</v>
      </c>
      <c r="P903" s="54">
        <f>tkj!$BA$104</f>
        <v>84</v>
      </c>
      <c r="Q903" s="54">
        <f>tkj!$BC$104</f>
        <v>82</v>
      </c>
      <c r="R903" s="55"/>
      <c r="S903" s="55"/>
      <c r="T903" s="55"/>
      <c r="U903" s="55"/>
      <c r="V903" s="56"/>
      <c r="X903" s="278">
        <v>104</v>
      </c>
    </row>
    <row r="904" spans="1:24" ht="15" thickBot="1">
      <c r="A904" s="268">
        <v>100</v>
      </c>
      <c r="B904" s="271"/>
      <c r="C904" s="274"/>
      <c r="D904" s="52" t="s">
        <v>295</v>
      </c>
      <c r="E904" s="53">
        <f>tkj!$F$104</f>
        <v>82</v>
      </c>
      <c r="F904" s="53">
        <f>tkj!$L$104</f>
        <v>89</v>
      </c>
      <c r="G904" s="53">
        <f>tkj!$R$104</f>
        <v>85</v>
      </c>
      <c r="H904" s="53">
        <f>tkj!$X$104</f>
        <v>84</v>
      </c>
      <c r="I904" s="53">
        <f>tkj!$AB$104</f>
        <v>85</v>
      </c>
      <c r="J904" s="53">
        <f>tkj!$AF$104</f>
        <v>83</v>
      </c>
      <c r="K904" s="54">
        <f>tkj!$AH$104</f>
        <v>76</v>
      </c>
      <c r="L904" s="55"/>
      <c r="M904" s="53">
        <f>tkj!$AN$104</f>
        <v>73</v>
      </c>
      <c r="N904" s="53">
        <f>tkj!$AT$104</f>
        <v>78</v>
      </c>
      <c r="O904" s="53">
        <f>tkj!$AZ$104</f>
        <v>83</v>
      </c>
      <c r="P904" s="54">
        <f>tkj!$BB$104</f>
        <v>86</v>
      </c>
      <c r="Q904" s="54">
        <f>tkj!$BD$104</f>
        <v>83</v>
      </c>
      <c r="R904" s="55"/>
      <c r="S904" s="55"/>
      <c r="T904" s="55"/>
      <c r="U904" s="55"/>
      <c r="V904" s="58"/>
      <c r="X904" s="278">
        <v>104</v>
      </c>
    </row>
    <row r="905" spans="1:24" ht="15" thickBot="1">
      <c r="A905" s="268">
        <v>100</v>
      </c>
      <c r="B905" s="271"/>
      <c r="C905" s="274"/>
      <c r="D905" s="52" t="s">
        <v>296</v>
      </c>
      <c r="E905" s="53">
        <f>tkj!$G$104</f>
        <v>89</v>
      </c>
      <c r="F905" s="53">
        <f>tkj!$M$104</f>
        <v>83</v>
      </c>
      <c r="G905" s="53">
        <f>tkj!$S$104</f>
        <v>80</v>
      </c>
      <c r="H905" s="53">
        <f>tkj!$Y$104</f>
        <v>81</v>
      </c>
      <c r="I905" s="53">
        <f>tkj!$AC$104</f>
        <v>82</v>
      </c>
      <c r="J905" s="59"/>
      <c r="K905" s="54">
        <f>tkj!$AI$104</f>
        <v>72</v>
      </c>
      <c r="L905" s="55"/>
      <c r="M905" s="53">
        <f>tkj!$AO$104</f>
        <v>75</v>
      </c>
      <c r="N905" s="53">
        <f>tkj!$AU$104</f>
        <v>80</v>
      </c>
      <c r="O905" s="59"/>
      <c r="P905" s="55"/>
      <c r="Q905" s="55"/>
      <c r="R905" s="54">
        <f>tkj!$BQ$104</f>
        <v>75</v>
      </c>
      <c r="S905" s="54">
        <f>tkj!$BU$104</f>
        <v>88</v>
      </c>
      <c r="T905" s="55"/>
      <c r="U905" s="54">
        <f>tkj!$BZ$104</f>
        <v>75</v>
      </c>
      <c r="V905" s="58"/>
      <c r="X905" s="278">
        <v>104</v>
      </c>
    </row>
    <row r="906" spans="1:24" ht="15" thickBot="1">
      <c r="A906" s="268">
        <v>100</v>
      </c>
      <c r="B906" s="271"/>
      <c r="C906" s="274"/>
      <c r="D906" s="62" t="s">
        <v>297</v>
      </c>
      <c r="E906" s="53">
        <f>tkj!$H$104</f>
        <v>83</v>
      </c>
      <c r="F906" s="53">
        <f>tkj!$N$104</f>
        <v>84</v>
      </c>
      <c r="G906" s="53">
        <f>tkj!$T$104</f>
        <v>83</v>
      </c>
      <c r="H906" s="53">
        <f>tkj!$Z$104</f>
        <v>84</v>
      </c>
      <c r="I906" s="53">
        <f>tkj!$AD$104</f>
        <v>81</v>
      </c>
      <c r="J906" s="59"/>
      <c r="K906" s="54">
        <f>tkj!$AJ$104</f>
        <v>81</v>
      </c>
      <c r="L906" s="55"/>
      <c r="M906" s="53">
        <f>tkj!$AP$104</f>
        <v>76</v>
      </c>
      <c r="N906" s="53">
        <f>tkj!$AV$104</f>
        <v>80</v>
      </c>
      <c r="O906" s="59"/>
      <c r="P906" s="55"/>
      <c r="Q906" s="55"/>
      <c r="R906" s="54">
        <f>tkj!$BR$104</f>
        <v>78.666666666666671</v>
      </c>
      <c r="S906" s="54">
        <f>tkj!$BV$104</f>
        <v>86</v>
      </c>
      <c r="T906" s="63"/>
      <c r="U906" s="54">
        <f>tkj!$CA$104</f>
        <v>83</v>
      </c>
      <c r="V906" s="58"/>
      <c r="X906" s="278">
        <v>104</v>
      </c>
    </row>
    <row r="907" spans="1:24">
      <c r="A907" s="268">
        <v>100</v>
      </c>
      <c r="B907" s="271"/>
      <c r="C907" s="274"/>
      <c r="D907" s="62" t="s">
        <v>298</v>
      </c>
      <c r="E907" s="53">
        <f>tkj!$I$104</f>
        <v>89</v>
      </c>
      <c r="F907" s="53">
        <f>tkj!$O$104</f>
        <v>85</v>
      </c>
      <c r="G907" s="53">
        <f>tkj!$U$104</f>
        <v>73</v>
      </c>
      <c r="H907" s="65"/>
      <c r="I907" s="65"/>
      <c r="J907" s="59"/>
      <c r="K907" s="59"/>
      <c r="L907" s="53">
        <f>tkj!$AK$104</f>
        <v>80</v>
      </c>
      <c r="M907" s="53">
        <f>tkj!$AQ$104</f>
        <v>80</v>
      </c>
      <c r="N907" s="53">
        <f>tkj!$AW$104</f>
        <v>78</v>
      </c>
      <c r="O907" s="59"/>
      <c r="P907" s="55"/>
      <c r="Q907" s="55"/>
      <c r="R907" s="54">
        <f>tkj!$BS$104</f>
        <v>85</v>
      </c>
      <c r="S907" s="54">
        <f>tkj!$BW$104</f>
        <v>82</v>
      </c>
      <c r="T907" s="54"/>
      <c r="U907" s="54">
        <f>tkj!$CB$104</f>
        <v>71</v>
      </c>
      <c r="V907" s="58"/>
      <c r="X907" s="278">
        <v>104</v>
      </c>
    </row>
    <row r="908" spans="1:24">
      <c r="A908" s="268">
        <v>100</v>
      </c>
      <c r="B908" s="271"/>
      <c r="C908" s="274"/>
      <c r="D908" s="66" t="s">
        <v>299</v>
      </c>
      <c r="E908" s="67">
        <f>AVERAGE(E903:E907)</f>
        <v>85.2</v>
      </c>
      <c r="F908" s="67">
        <f>AVERAGE(F903:F907)</f>
        <v>84.2</v>
      </c>
      <c r="G908" s="67">
        <f>AVERAGE(G903:G907)</f>
        <v>80.2</v>
      </c>
      <c r="H908" s="68"/>
      <c r="I908" s="68"/>
      <c r="J908" s="69"/>
      <c r="K908" s="69"/>
      <c r="L908" s="67">
        <f>AVERAGE(L903:L907)</f>
        <v>80</v>
      </c>
      <c r="M908" s="67">
        <f>AVERAGE(M903:M907)</f>
        <v>75</v>
      </c>
      <c r="N908" s="67">
        <f>AVERAGE(N903:N907)</f>
        <v>78.2</v>
      </c>
      <c r="O908" s="69"/>
      <c r="P908" s="63"/>
      <c r="Q908" s="63"/>
      <c r="R908" s="84">
        <f>AVERAGE(R905:R907)</f>
        <v>79.555555555555557</v>
      </c>
      <c r="S908" s="84">
        <f>AVERAGE(S905:S907)</f>
        <v>85.333333333333329</v>
      </c>
      <c r="T908" s="63"/>
      <c r="U908" s="84">
        <f>AVERAGE(U903:U907)</f>
        <v>76.333333333333329</v>
      </c>
      <c r="V908" s="58"/>
      <c r="X908" s="278">
        <v>104</v>
      </c>
    </row>
    <row r="909" spans="1:24">
      <c r="A909" s="268">
        <v>100</v>
      </c>
      <c r="B909" s="271"/>
      <c r="C909" s="274"/>
      <c r="D909" s="70" t="s">
        <v>300</v>
      </c>
      <c r="E909" s="71">
        <f>tkj!$J$104</f>
        <v>85</v>
      </c>
      <c r="F909" s="71">
        <f>tkj!$P$104</f>
        <v>85</v>
      </c>
      <c r="G909" s="71">
        <f>tkj!$V$104</f>
        <v>82</v>
      </c>
      <c r="H909" s="72"/>
      <c r="I909" s="72"/>
      <c r="J909" s="73"/>
      <c r="K909" s="73"/>
      <c r="L909" s="71">
        <f>tkj!$AL$104</f>
        <v>82</v>
      </c>
      <c r="M909" s="71">
        <f>tkj!$AR$104</f>
        <v>85</v>
      </c>
      <c r="N909" s="71">
        <f>tkj!$AX$104</f>
        <v>85</v>
      </c>
      <c r="O909" s="73"/>
      <c r="P909" s="74"/>
      <c r="Q909" s="74"/>
      <c r="R909" s="85">
        <f>tkj!$BT$104</f>
        <v>85</v>
      </c>
      <c r="S909" s="85">
        <f>tkj!$BX$104</f>
        <v>85</v>
      </c>
      <c r="T909" s="85">
        <f>tkj!$BY$104</f>
        <v>84</v>
      </c>
      <c r="U909" s="75">
        <f>tkj!$CC$104</f>
        <v>85</v>
      </c>
      <c r="V909" s="58"/>
      <c r="X909" s="278">
        <v>104</v>
      </c>
    </row>
    <row r="910" spans="1:24">
      <c r="A910" s="268">
        <v>100</v>
      </c>
      <c r="B910" s="271"/>
      <c r="C910" s="274"/>
      <c r="D910" s="76" t="s">
        <v>301</v>
      </c>
      <c r="E910" s="77">
        <f>tkj!$CD$104</f>
        <v>86</v>
      </c>
      <c r="F910" s="77">
        <f>tkj!$CE$104</f>
        <v>85</v>
      </c>
      <c r="G910" s="77">
        <f>tkj!$CF$104</f>
        <v>80</v>
      </c>
      <c r="H910" s="72"/>
      <c r="I910" s="72"/>
      <c r="J910" s="73"/>
      <c r="K910" s="73"/>
      <c r="L910" s="77">
        <f>tkj!$CG$104</f>
        <v>82</v>
      </c>
      <c r="M910" s="77">
        <f>tkj!$CH$104</f>
        <v>79</v>
      </c>
      <c r="N910" s="77">
        <f>tkj!$CI$104</f>
        <v>80</v>
      </c>
      <c r="O910" s="73"/>
      <c r="P910" s="74"/>
      <c r="Q910" s="74"/>
      <c r="R910" s="86">
        <f>tkj!$CL$104</f>
        <v>95</v>
      </c>
      <c r="S910" s="86">
        <f>tkj!$CK$104</f>
        <v>88</v>
      </c>
      <c r="T910" s="74"/>
      <c r="U910" s="86">
        <f>tkj!$CJ$104</f>
        <v>80</v>
      </c>
      <c r="V910" s="58"/>
      <c r="X910" s="278">
        <v>104</v>
      </c>
    </row>
    <row r="911" spans="1:24" ht="15" thickBot="1">
      <c r="A911" s="269">
        <v>100</v>
      </c>
      <c r="B911" s="272"/>
      <c r="C911" s="275"/>
      <c r="D911" s="78" t="s">
        <v>302</v>
      </c>
      <c r="E911" s="79">
        <f>(E908*4+E909*3+E910*3)/10</f>
        <v>85.38</v>
      </c>
      <c r="F911" s="79">
        <f t="shared" ref="F911:G911" si="195">(F908*4+F909*3+F910*3)/10</f>
        <v>84.679999999999993</v>
      </c>
      <c r="G911" s="79">
        <f t="shared" si="195"/>
        <v>80.679999999999993</v>
      </c>
      <c r="H911" s="79">
        <f>AVERAGE(H903:H906)</f>
        <v>82.25</v>
      </c>
      <c r="I911" s="79">
        <f>AVERAGE(I903:I906)</f>
        <v>82.25</v>
      </c>
      <c r="J911" s="79">
        <f>AVERAGE(J903:J904)</f>
        <v>82.5</v>
      </c>
      <c r="K911" s="79">
        <f>AVERAGE(K903:K906)</f>
        <v>78.25</v>
      </c>
      <c r="L911" s="79">
        <f>(L908*4+L909*3+L910*3)/10</f>
        <v>81.2</v>
      </c>
      <c r="M911" s="79">
        <f>(M908*4+M909*3+M910*3)/10</f>
        <v>79.2</v>
      </c>
      <c r="N911" s="79">
        <f>(N908*4+N909*3+N910*3)/10</f>
        <v>80.78</v>
      </c>
      <c r="O911" s="79">
        <f>AVERAGE(O903:O904)</f>
        <v>87.5</v>
      </c>
      <c r="P911" s="79">
        <f>AVERAGE(P903:P904)</f>
        <v>85</v>
      </c>
      <c r="Q911" s="79">
        <f>AVERAGE(Q903:Q904)</f>
        <v>82.5</v>
      </c>
      <c r="R911" s="79">
        <f>(R908*4+R909*3+R910*3)/10</f>
        <v>85.822222222222223</v>
      </c>
      <c r="S911" s="79">
        <f>(S908*4+S909*3+S910*3)/10</f>
        <v>86.033333333333331</v>
      </c>
      <c r="T911" s="79">
        <f>T909</f>
        <v>84</v>
      </c>
      <c r="U911" s="79">
        <f t="shared" ref="U911" si="196">(U908*4+U909*3+U910*3)/10</f>
        <v>80.033333333333331</v>
      </c>
      <c r="V911" s="80">
        <f>AVERAGE(E911:U911)</f>
        <v>82.826993464052293</v>
      </c>
      <c r="X911" s="278">
        <v>104</v>
      </c>
    </row>
    <row r="912" spans="1:24" ht="18" customHeight="1" thickTop="1" thickBot="1">
      <c r="A912" s="268">
        <v>101</v>
      </c>
      <c r="B912" s="270" t="s">
        <v>412</v>
      </c>
      <c r="C912" s="273" t="s">
        <v>255</v>
      </c>
      <c r="D912" s="52" t="s">
        <v>294</v>
      </c>
      <c r="E912" s="53">
        <f>tkj!$E$105</f>
        <v>78</v>
      </c>
      <c r="F912" s="53">
        <f>tkj!$K$105</f>
        <v>76</v>
      </c>
      <c r="G912" s="53">
        <f>tkj!$Q$105</f>
        <v>80</v>
      </c>
      <c r="H912" s="53">
        <f>tkj!$W$105</f>
        <v>80</v>
      </c>
      <c r="I912" s="53">
        <f>tkj!$AA$105</f>
        <v>79</v>
      </c>
      <c r="J912" s="53">
        <f>tkj!$AE$105</f>
        <v>83</v>
      </c>
      <c r="K912" s="54">
        <f>tkj!$AG$105</f>
        <v>76</v>
      </c>
      <c r="L912" s="55"/>
      <c r="M912" s="53">
        <f>tkj!$AM$105</f>
        <v>70</v>
      </c>
      <c r="N912" s="53">
        <f>tkj!$AS$105</f>
        <v>75</v>
      </c>
      <c r="O912" s="53">
        <f>tkj!$AY$105</f>
        <v>76</v>
      </c>
      <c r="P912" s="54">
        <f>tkj!$BA$105</f>
        <v>75</v>
      </c>
      <c r="Q912" s="54">
        <f>tkj!$BC$105</f>
        <v>76</v>
      </c>
      <c r="R912" s="55"/>
      <c r="S912" s="55"/>
      <c r="T912" s="55"/>
      <c r="U912" s="55"/>
      <c r="V912" s="56"/>
      <c r="X912" s="278">
        <v>105</v>
      </c>
    </row>
    <row r="913" spans="1:24" ht="15" thickBot="1">
      <c r="A913" s="268">
        <v>101</v>
      </c>
      <c r="B913" s="271"/>
      <c r="C913" s="274"/>
      <c r="D913" s="52" t="s">
        <v>295</v>
      </c>
      <c r="E913" s="53">
        <f>tkj!$F$105</f>
        <v>80</v>
      </c>
      <c r="F913" s="53">
        <f>tkj!$L$105</f>
        <v>86</v>
      </c>
      <c r="G913" s="53">
        <f>tkj!$R$105</f>
        <v>82</v>
      </c>
      <c r="H913" s="53">
        <f>tkj!$X$105</f>
        <v>84</v>
      </c>
      <c r="I913" s="53">
        <f>tkj!$AB$105</f>
        <v>81</v>
      </c>
      <c r="J913" s="53">
        <f>tkj!$AF$105</f>
        <v>84</v>
      </c>
      <c r="K913" s="54">
        <f>tkj!$AH$105</f>
        <v>75</v>
      </c>
      <c r="L913" s="55"/>
      <c r="M913" s="53">
        <f>tkj!$AN$105</f>
        <v>70</v>
      </c>
      <c r="N913" s="53">
        <f>tkj!$AT$105</f>
        <v>78</v>
      </c>
      <c r="O913" s="53">
        <f>tkj!$AZ$105</f>
        <v>76</v>
      </c>
      <c r="P913" s="54">
        <f>tkj!$BB$105</f>
        <v>82</v>
      </c>
      <c r="Q913" s="54">
        <f>tkj!$BD$105</f>
        <v>83</v>
      </c>
      <c r="R913" s="55"/>
      <c r="S913" s="55"/>
      <c r="T913" s="55"/>
      <c r="U913" s="55"/>
      <c r="V913" s="58"/>
      <c r="X913" s="278">
        <v>105</v>
      </c>
    </row>
    <row r="914" spans="1:24" ht="15" thickBot="1">
      <c r="A914" s="268">
        <v>101</v>
      </c>
      <c r="B914" s="271"/>
      <c r="C914" s="274"/>
      <c r="D914" s="52" t="s">
        <v>296</v>
      </c>
      <c r="E914" s="53">
        <f>tkj!$G$105</f>
        <v>89</v>
      </c>
      <c r="F914" s="53">
        <f>tkj!$M$105</f>
        <v>80</v>
      </c>
      <c r="G914" s="53">
        <f>tkj!$S$105</f>
        <v>72</v>
      </c>
      <c r="H914" s="53">
        <f>tkj!$Y$105</f>
        <v>80</v>
      </c>
      <c r="I914" s="53">
        <f>tkj!$AC$105</f>
        <v>81</v>
      </c>
      <c r="J914" s="59"/>
      <c r="K914" s="54">
        <f>tkj!$AI$105</f>
        <v>70</v>
      </c>
      <c r="L914" s="55"/>
      <c r="M914" s="53">
        <f>tkj!$AO$105</f>
        <v>72</v>
      </c>
      <c r="N914" s="53">
        <f>tkj!$AU$105</f>
        <v>80</v>
      </c>
      <c r="O914" s="59"/>
      <c r="P914" s="55"/>
      <c r="Q914" s="55"/>
      <c r="R914" s="54">
        <f>tkj!$BQ$105</f>
        <v>74.333333333333329</v>
      </c>
      <c r="S914" s="54">
        <f>tkj!$BU$105</f>
        <v>88</v>
      </c>
      <c r="T914" s="55"/>
      <c r="U914" s="54">
        <f>tkj!$BZ$105</f>
        <v>74</v>
      </c>
      <c r="V914" s="58"/>
      <c r="X914" s="278">
        <v>105</v>
      </c>
    </row>
    <row r="915" spans="1:24" ht="15" thickBot="1">
      <c r="A915" s="268">
        <v>101</v>
      </c>
      <c r="B915" s="271"/>
      <c r="C915" s="274"/>
      <c r="D915" s="62" t="s">
        <v>297</v>
      </c>
      <c r="E915" s="53">
        <f>tkj!$H$105</f>
        <v>82</v>
      </c>
      <c r="F915" s="53">
        <f>tkj!$N$105</f>
        <v>83</v>
      </c>
      <c r="G915" s="53">
        <f>tkj!$T$105</f>
        <v>77</v>
      </c>
      <c r="H915" s="53">
        <f>tkj!$Z$105</f>
        <v>83</v>
      </c>
      <c r="I915" s="53">
        <f>tkj!$AD$105</f>
        <v>80</v>
      </c>
      <c r="J915" s="59"/>
      <c r="K915" s="54">
        <f>tkj!$AJ$105</f>
        <v>80</v>
      </c>
      <c r="L915" s="55"/>
      <c r="M915" s="53">
        <f>tkj!$AP$105</f>
        <v>73</v>
      </c>
      <c r="N915" s="53">
        <f>tkj!$AV$105</f>
        <v>80</v>
      </c>
      <c r="O915" s="59"/>
      <c r="P915" s="55"/>
      <c r="Q915" s="55"/>
      <c r="R915" s="54">
        <f>tkj!$BR$105</f>
        <v>71.333333333333329</v>
      </c>
      <c r="S915" s="54">
        <f>tkj!$BV$105</f>
        <v>87</v>
      </c>
      <c r="T915" s="63"/>
      <c r="U915" s="54">
        <f>tkj!$CA$105</f>
        <v>79</v>
      </c>
      <c r="V915" s="58"/>
      <c r="X915" s="278">
        <v>105</v>
      </c>
    </row>
    <row r="916" spans="1:24">
      <c r="A916" s="268">
        <v>101</v>
      </c>
      <c r="B916" s="271"/>
      <c r="C916" s="274"/>
      <c r="D916" s="62" t="s">
        <v>298</v>
      </c>
      <c r="E916" s="53">
        <f>tkj!$I$105</f>
        <v>87</v>
      </c>
      <c r="F916" s="53">
        <f>tkj!$O$105</f>
        <v>90</v>
      </c>
      <c r="G916" s="53">
        <f>tkj!$U$105</f>
        <v>74</v>
      </c>
      <c r="H916" s="65"/>
      <c r="I916" s="65"/>
      <c r="J916" s="59"/>
      <c r="K916" s="59"/>
      <c r="L916" s="53">
        <f>tkj!$AK$105</f>
        <v>82</v>
      </c>
      <c r="M916" s="53">
        <f>tkj!$AQ$105</f>
        <v>80</v>
      </c>
      <c r="N916" s="53">
        <f>tkj!$AW$105</f>
        <v>78</v>
      </c>
      <c r="O916" s="59"/>
      <c r="P916" s="55"/>
      <c r="Q916" s="55"/>
      <c r="R916" s="54">
        <f>tkj!$BS$105</f>
        <v>77</v>
      </c>
      <c r="S916" s="54">
        <f>tkj!$BW$105</f>
        <v>81</v>
      </c>
      <c r="T916" s="54"/>
      <c r="U916" s="54">
        <f>tkj!$CB$105</f>
        <v>74</v>
      </c>
      <c r="V916" s="58"/>
      <c r="X916" s="278">
        <v>105</v>
      </c>
    </row>
    <row r="917" spans="1:24">
      <c r="A917" s="268">
        <v>101</v>
      </c>
      <c r="B917" s="271"/>
      <c r="C917" s="274"/>
      <c r="D917" s="66" t="s">
        <v>299</v>
      </c>
      <c r="E917" s="67">
        <f>AVERAGE(E912:E916)</f>
        <v>83.2</v>
      </c>
      <c r="F917" s="67">
        <f>AVERAGE(F912:F916)</f>
        <v>83</v>
      </c>
      <c r="G917" s="67">
        <f>AVERAGE(G912:G916)</f>
        <v>77</v>
      </c>
      <c r="H917" s="68"/>
      <c r="I917" s="68"/>
      <c r="J917" s="69"/>
      <c r="K917" s="69"/>
      <c r="L917" s="67">
        <f>AVERAGE(L912:L916)</f>
        <v>82</v>
      </c>
      <c r="M917" s="67">
        <f>AVERAGE(M912:M916)</f>
        <v>73</v>
      </c>
      <c r="N917" s="67">
        <f>AVERAGE(N912:N916)</f>
        <v>78.2</v>
      </c>
      <c r="O917" s="69"/>
      <c r="P917" s="63"/>
      <c r="Q917" s="63"/>
      <c r="R917" s="84">
        <f>AVERAGE(R914:R916)</f>
        <v>74.222222222222214</v>
      </c>
      <c r="S917" s="84">
        <f>AVERAGE(S914:S916)</f>
        <v>85.333333333333329</v>
      </c>
      <c r="T917" s="63"/>
      <c r="U917" s="84">
        <f>AVERAGE(U912:U916)</f>
        <v>75.666666666666671</v>
      </c>
      <c r="V917" s="58"/>
      <c r="X917" s="278">
        <v>105</v>
      </c>
    </row>
    <row r="918" spans="1:24">
      <c r="A918" s="268">
        <v>101</v>
      </c>
      <c r="B918" s="271"/>
      <c r="C918" s="274"/>
      <c r="D918" s="70" t="s">
        <v>300</v>
      </c>
      <c r="E918" s="71">
        <f>tkj!$J$105</f>
        <v>80</v>
      </c>
      <c r="F918" s="71">
        <f>tkj!$P$105</f>
        <v>88</v>
      </c>
      <c r="G918" s="71">
        <f>tkj!$V$105</f>
        <v>79</v>
      </c>
      <c r="H918" s="72"/>
      <c r="I918" s="72"/>
      <c r="J918" s="73"/>
      <c r="K918" s="73"/>
      <c r="L918" s="71">
        <f>tkj!$AL$105</f>
        <v>79</v>
      </c>
      <c r="M918" s="71">
        <f>tkj!$AR$105</f>
        <v>80</v>
      </c>
      <c r="N918" s="71">
        <f>tkj!$AX$105</f>
        <v>80</v>
      </c>
      <c r="O918" s="73"/>
      <c r="P918" s="74"/>
      <c r="Q918" s="74"/>
      <c r="R918" s="85">
        <f>tkj!$BT$105</f>
        <v>79</v>
      </c>
      <c r="S918" s="85">
        <f>tkj!$BX$105</f>
        <v>79</v>
      </c>
      <c r="T918" s="85">
        <f>tkj!$BY$105</f>
        <v>81</v>
      </c>
      <c r="U918" s="75">
        <f>tkj!$CC$105</f>
        <v>80</v>
      </c>
      <c r="V918" s="58"/>
      <c r="X918" s="278">
        <v>105</v>
      </c>
    </row>
    <row r="919" spans="1:24">
      <c r="A919" s="268">
        <v>101</v>
      </c>
      <c r="B919" s="271"/>
      <c r="C919" s="274"/>
      <c r="D919" s="76" t="s">
        <v>301</v>
      </c>
      <c r="E919" s="77">
        <f>tkj!$CD$105</f>
        <v>84</v>
      </c>
      <c r="F919" s="77">
        <f>tkj!$CE$105</f>
        <v>90</v>
      </c>
      <c r="G919" s="77">
        <f>tkj!$CF$105</f>
        <v>78</v>
      </c>
      <c r="H919" s="72"/>
      <c r="I919" s="72"/>
      <c r="J919" s="73"/>
      <c r="K919" s="73"/>
      <c r="L919" s="77">
        <f>tkj!$CG$105</f>
        <v>92</v>
      </c>
      <c r="M919" s="77">
        <f>tkj!$CH$105</f>
        <v>79</v>
      </c>
      <c r="N919" s="77">
        <f>tkj!$CI$105</f>
        <v>80</v>
      </c>
      <c r="O919" s="73"/>
      <c r="P919" s="74"/>
      <c r="Q919" s="74"/>
      <c r="R919" s="86">
        <f>tkj!$CL$105</f>
        <v>72</v>
      </c>
      <c r="S919" s="86">
        <f>tkj!$CK$105</f>
        <v>78</v>
      </c>
      <c r="T919" s="74"/>
      <c r="U919" s="86">
        <f>tkj!$CJ$105</f>
        <v>80</v>
      </c>
      <c r="V919" s="58"/>
      <c r="X919" s="278">
        <v>105</v>
      </c>
    </row>
    <row r="920" spans="1:24" ht="15" thickBot="1">
      <c r="A920" s="269">
        <v>101</v>
      </c>
      <c r="B920" s="272"/>
      <c r="C920" s="275"/>
      <c r="D920" s="78" t="s">
        <v>302</v>
      </c>
      <c r="E920" s="79">
        <f>(E917*4+E918*3+E919*3)/10</f>
        <v>82.47999999999999</v>
      </c>
      <c r="F920" s="79">
        <f t="shared" ref="F920:G920" si="197">(F917*4+F918*3+F919*3)/10</f>
        <v>86.6</v>
      </c>
      <c r="G920" s="79">
        <f t="shared" si="197"/>
        <v>77.900000000000006</v>
      </c>
      <c r="H920" s="79">
        <f>AVERAGE(H912:H915)</f>
        <v>81.75</v>
      </c>
      <c r="I920" s="79">
        <f>AVERAGE(I912:I915)</f>
        <v>80.25</v>
      </c>
      <c r="J920" s="79">
        <f>AVERAGE(J912:J913)</f>
        <v>83.5</v>
      </c>
      <c r="K920" s="79">
        <f>AVERAGE(K912:K915)</f>
        <v>75.25</v>
      </c>
      <c r="L920" s="79">
        <f>(L917*4+L918*3+L919*3)/10</f>
        <v>84.1</v>
      </c>
      <c r="M920" s="79">
        <f>(M917*4+M918*3+M919*3)/10</f>
        <v>76.900000000000006</v>
      </c>
      <c r="N920" s="79">
        <f>(N917*4+N918*3+N919*3)/10</f>
        <v>79.28</v>
      </c>
      <c r="O920" s="79">
        <f>AVERAGE(O912:O913)</f>
        <v>76</v>
      </c>
      <c r="P920" s="79">
        <f>AVERAGE(P912:P913)</f>
        <v>78.5</v>
      </c>
      <c r="Q920" s="79">
        <f>AVERAGE(Q912:Q913)</f>
        <v>79.5</v>
      </c>
      <c r="R920" s="79">
        <f>(R917*4+R918*3+R919*3)/10</f>
        <v>74.988888888888894</v>
      </c>
      <c r="S920" s="79">
        <f>(S917*4+S918*3+S919*3)/10</f>
        <v>81.23333333333332</v>
      </c>
      <c r="T920" s="79">
        <f>T918</f>
        <v>81</v>
      </c>
      <c r="U920" s="79">
        <f t="shared" ref="U920" si="198">(U917*4+U918*3+U919*3)/10</f>
        <v>78.26666666666668</v>
      </c>
      <c r="V920" s="80">
        <f>AVERAGE(E920:U920)</f>
        <v>79.85287581699346</v>
      </c>
      <c r="X920" s="278">
        <v>105</v>
      </c>
    </row>
    <row r="921" spans="1:24" ht="15.6" thickTop="1" thickBot="1">
      <c r="A921" s="268">
        <v>102</v>
      </c>
      <c r="B921" s="270" t="s">
        <v>413</v>
      </c>
      <c r="C921" s="273" t="s">
        <v>257</v>
      </c>
      <c r="D921" s="52" t="s">
        <v>294</v>
      </c>
      <c r="E921" s="53">
        <f>tkj!$E$106</f>
        <v>90</v>
      </c>
      <c r="F921" s="53">
        <f>tkj!$K$106</f>
        <v>79</v>
      </c>
      <c r="G921" s="53">
        <f>tkj!$Q$106</f>
        <v>90</v>
      </c>
      <c r="H921" s="53">
        <f>tkj!$W$106</f>
        <v>82</v>
      </c>
      <c r="I921" s="53">
        <f>tkj!$AA$106</f>
        <v>78</v>
      </c>
      <c r="J921" s="53">
        <f>tkj!$AE$106</f>
        <v>82</v>
      </c>
      <c r="K921" s="54">
        <f>tkj!$AG$106</f>
        <v>86</v>
      </c>
      <c r="L921" s="55"/>
      <c r="M921" s="53">
        <f>tkj!$AM$106</f>
        <v>72</v>
      </c>
      <c r="N921" s="53">
        <f>tkj!$AS$106</f>
        <v>76</v>
      </c>
      <c r="O921" s="53">
        <f>tkj!$AY$106</f>
        <v>92</v>
      </c>
      <c r="P921" s="54">
        <f>tkj!$BA$106</f>
        <v>75</v>
      </c>
      <c r="Q921" s="54">
        <f>tkj!$BC$106</f>
        <v>92</v>
      </c>
      <c r="R921" s="55"/>
      <c r="S921" s="55"/>
      <c r="T921" s="55"/>
      <c r="U921" s="55"/>
      <c r="V921" s="56"/>
      <c r="X921" s="278">
        <v>106</v>
      </c>
    </row>
    <row r="922" spans="1:24" ht="15" thickBot="1">
      <c r="A922" s="268">
        <v>102</v>
      </c>
      <c r="B922" s="271"/>
      <c r="C922" s="274"/>
      <c r="D922" s="52" t="s">
        <v>295</v>
      </c>
      <c r="E922" s="53">
        <f>tkj!$F$106</f>
        <v>81</v>
      </c>
      <c r="F922" s="53">
        <f>tkj!$L$106</f>
        <v>79</v>
      </c>
      <c r="G922" s="53">
        <f>tkj!$R$106</f>
        <v>84</v>
      </c>
      <c r="H922" s="53">
        <f>tkj!$X$106</f>
        <v>84</v>
      </c>
      <c r="I922" s="53">
        <f>tkj!$AB$106</f>
        <v>80</v>
      </c>
      <c r="J922" s="53">
        <f>tkj!$AF$106</f>
        <v>81</v>
      </c>
      <c r="K922" s="54">
        <f>tkj!$AH$106</f>
        <v>73</v>
      </c>
      <c r="L922" s="55"/>
      <c r="M922" s="53">
        <f>tkj!$AN$106</f>
        <v>72</v>
      </c>
      <c r="N922" s="53">
        <f>tkj!$AT$106</f>
        <v>78</v>
      </c>
      <c r="O922" s="53">
        <f>tkj!$AZ$106</f>
        <v>89</v>
      </c>
      <c r="P922" s="54">
        <f>tkj!$BB$106</f>
        <v>80</v>
      </c>
      <c r="Q922" s="54">
        <f>tkj!$BD$106</f>
        <v>83</v>
      </c>
      <c r="R922" s="55"/>
      <c r="S922" s="55"/>
      <c r="T922" s="55"/>
      <c r="U922" s="55"/>
      <c r="V922" s="58"/>
      <c r="X922" s="278">
        <v>106</v>
      </c>
    </row>
    <row r="923" spans="1:24" ht="15" thickBot="1">
      <c r="A923" s="268">
        <v>102</v>
      </c>
      <c r="B923" s="271"/>
      <c r="C923" s="274"/>
      <c r="D923" s="52" t="s">
        <v>296</v>
      </c>
      <c r="E923" s="53">
        <f>tkj!$G$106</f>
        <v>85</v>
      </c>
      <c r="F923" s="53">
        <f>tkj!$M$106</f>
        <v>87</v>
      </c>
      <c r="G923" s="53">
        <f>tkj!$S$106</f>
        <v>80</v>
      </c>
      <c r="H923" s="53">
        <f>tkj!$Y$106</f>
        <v>80</v>
      </c>
      <c r="I923" s="53">
        <f>tkj!$AC$106</f>
        <v>80</v>
      </c>
      <c r="J923" s="59"/>
      <c r="K923" s="54">
        <f>tkj!$AI$106</f>
        <v>77</v>
      </c>
      <c r="L923" s="55"/>
      <c r="M923" s="53">
        <f>tkj!$AO$106</f>
        <v>79</v>
      </c>
      <c r="N923" s="53">
        <f>tkj!$AU$106</f>
        <v>78</v>
      </c>
      <c r="O923" s="59"/>
      <c r="P923" s="55"/>
      <c r="Q923" s="55"/>
      <c r="R923" s="54">
        <f>tkj!$BQ$106</f>
        <v>73.333333333333329</v>
      </c>
      <c r="S923" s="54">
        <f>tkj!$BU$106</f>
        <v>86</v>
      </c>
      <c r="T923" s="55"/>
      <c r="U923" s="54">
        <f>tkj!$BZ$106</f>
        <v>76</v>
      </c>
      <c r="V923" s="58"/>
      <c r="X923" s="278">
        <v>106</v>
      </c>
    </row>
    <row r="924" spans="1:24" ht="15" thickBot="1">
      <c r="A924" s="268">
        <v>102</v>
      </c>
      <c r="B924" s="271"/>
      <c r="C924" s="274"/>
      <c r="D924" s="62" t="s">
        <v>297</v>
      </c>
      <c r="E924" s="53">
        <f>tkj!$H$106</f>
        <v>82</v>
      </c>
      <c r="F924" s="53">
        <f>tkj!$N$106</f>
        <v>87</v>
      </c>
      <c r="G924" s="53">
        <f>tkj!$T$106</f>
        <v>82</v>
      </c>
      <c r="H924" s="53">
        <f>tkj!$Z$106</f>
        <v>84</v>
      </c>
      <c r="I924" s="53">
        <f>tkj!$AD$106</f>
        <v>85</v>
      </c>
      <c r="J924" s="59"/>
      <c r="K924" s="54">
        <f>tkj!$AJ$106</f>
        <v>85</v>
      </c>
      <c r="L924" s="55"/>
      <c r="M924" s="53">
        <f>tkj!$AP$106</f>
        <v>80</v>
      </c>
      <c r="N924" s="53">
        <f>tkj!$AV$106</f>
        <v>80</v>
      </c>
      <c r="O924" s="59"/>
      <c r="P924" s="55"/>
      <c r="Q924" s="55"/>
      <c r="R924" s="54">
        <f>tkj!$BR$106</f>
        <v>79</v>
      </c>
      <c r="S924" s="54">
        <f>tkj!$BV$106</f>
        <v>82</v>
      </c>
      <c r="T924" s="63"/>
      <c r="U924" s="54">
        <f>tkj!$CA$106</f>
        <v>80</v>
      </c>
      <c r="V924" s="58"/>
      <c r="X924" s="278">
        <v>106</v>
      </c>
    </row>
    <row r="925" spans="1:24">
      <c r="A925" s="268">
        <v>102</v>
      </c>
      <c r="B925" s="271"/>
      <c r="C925" s="274"/>
      <c r="D925" s="62" t="s">
        <v>298</v>
      </c>
      <c r="E925" s="53">
        <f>tkj!$I$106</f>
        <v>84</v>
      </c>
      <c r="F925" s="53">
        <f>tkj!$O$106</f>
        <v>87</v>
      </c>
      <c r="G925" s="53">
        <f>tkj!$U$106</f>
        <v>80</v>
      </c>
      <c r="H925" s="65"/>
      <c r="I925" s="65"/>
      <c r="J925" s="59"/>
      <c r="K925" s="59"/>
      <c r="L925" s="53">
        <f>tkj!$AK$106</f>
        <v>83</v>
      </c>
      <c r="M925" s="53">
        <f>tkj!$AQ$106</f>
        <v>81</v>
      </c>
      <c r="N925" s="53">
        <f>tkj!$AW$106</f>
        <v>80</v>
      </c>
      <c r="O925" s="59"/>
      <c r="P925" s="55"/>
      <c r="Q925" s="55"/>
      <c r="R925" s="54">
        <f>tkj!$BS$106</f>
        <v>83.666666666666671</v>
      </c>
      <c r="S925" s="54">
        <f>tkj!$BW$106</f>
        <v>84</v>
      </c>
      <c r="T925" s="54"/>
      <c r="U925" s="54">
        <f>tkj!$CB$106</f>
        <v>74</v>
      </c>
      <c r="V925" s="58"/>
      <c r="X925" s="278">
        <v>106</v>
      </c>
    </row>
    <row r="926" spans="1:24">
      <c r="A926" s="268">
        <v>102</v>
      </c>
      <c r="B926" s="271"/>
      <c r="C926" s="274"/>
      <c r="D926" s="66" t="s">
        <v>299</v>
      </c>
      <c r="E926" s="67">
        <f>AVERAGE(E921:E925)</f>
        <v>84.4</v>
      </c>
      <c r="F926" s="67">
        <f>AVERAGE(F921:F925)</f>
        <v>83.8</v>
      </c>
      <c r="G926" s="67">
        <f>AVERAGE(G921:G925)</f>
        <v>83.2</v>
      </c>
      <c r="H926" s="68"/>
      <c r="I926" s="68"/>
      <c r="J926" s="69"/>
      <c r="K926" s="69"/>
      <c r="L926" s="67">
        <f>AVERAGE(L921:L925)</f>
        <v>83</v>
      </c>
      <c r="M926" s="67">
        <f>AVERAGE(M921:M925)</f>
        <v>76.8</v>
      </c>
      <c r="N926" s="67">
        <f>AVERAGE(N921:N925)</f>
        <v>78.400000000000006</v>
      </c>
      <c r="O926" s="69"/>
      <c r="P926" s="63"/>
      <c r="Q926" s="63"/>
      <c r="R926" s="84">
        <f>AVERAGE(R923:R925)</f>
        <v>78.666666666666671</v>
      </c>
      <c r="S926" s="84">
        <f>AVERAGE(S923:S925)</f>
        <v>84</v>
      </c>
      <c r="T926" s="63"/>
      <c r="U926" s="84">
        <f>AVERAGE(U921:U925)</f>
        <v>76.666666666666671</v>
      </c>
      <c r="V926" s="58"/>
      <c r="X926" s="278">
        <v>106</v>
      </c>
    </row>
    <row r="927" spans="1:24">
      <c r="A927" s="268">
        <v>102</v>
      </c>
      <c r="B927" s="271"/>
      <c r="C927" s="274"/>
      <c r="D927" s="70" t="s">
        <v>300</v>
      </c>
      <c r="E927" s="71">
        <f>tkj!$J$106</f>
        <v>79</v>
      </c>
      <c r="F927" s="71">
        <f>tkj!$P$106</f>
        <v>79</v>
      </c>
      <c r="G927" s="71">
        <f>tkj!$V$106</f>
        <v>77</v>
      </c>
      <c r="H927" s="72"/>
      <c r="I927" s="72"/>
      <c r="J927" s="73"/>
      <c r="K927" s="73"/>
      <c r="L927" s="71">
        <f>tkj!$AL$106</f>
        <v>77</v>
      </c>
      <c r="M927" s="71">
        <f>tkj!$AR$106</f>
        <v>78</v>
      </c>
      <c r="N927" s="71">
        <f>tkj!$AX$106</f>
        <v>78</v>
      </c>
      <c r="O927" s="73"/>
      <c r="P927" s="74"/>
      <c r="Q927" s="74"/>
      <c r="R927" s="85">
        <f>tkj!$BT$106</f>
        <v>77</v>
      </c>
      <c r="S927" s="85">
        <f>tkj!$BX$106</f>
        <v>77</v>
      </c>
      <c r="T927" s="85">
        <f>tkj!$BY$106</f>
        <v>78</v>
      </c>
      <c r="U927" s="75">
        <f>tkj!$CC$106</f>
        <v>78</v>
      </c>
      <c r="V927" s="58"/>
      <c r="X927" s="278">
        <v>106</v>
      </c>
    </row>
    <row r="928" spans="1:24">
      <c r="A928" s="268">
        <v>102</v>
      </c>
      <c r="B928" s="271"/>
      <c r="C928" s="274"/>
      <c r="D928" s="76" t="s">
        <v>301</v>
      </c>
      <c r="E928" s="77">
        <f>tkj!$CD$106</f>
        <v>83</v>
      </c>
      <c r="F928" s="77">
        <f>tkj!$CE$106</f>
        <v>94</v>
      </c>
      <c r="G928" s="77">
        <f>tkj!$CF$106</f>
        <v>80</v>
      </c>
      <c r="H928" s="72"/>
      <c r="I928" s="72"/>
      <c r="J928" s="73"/>
      <c r="K928" s="73"/>
      <c r="L928" s="77">
        <f>tkj!$CG$106</f>
        <v>90</v>
      </c>
      <c r="M928" s="77">
        <f>tkj!$CH$106</f>
        <v>80</v>
      </c>
      <c r="N928" s="77">
        <f>tkj!$CI$106</f>
        <v>80</v>
      </c>
      <c r="O928" s="73"/>
      <c r="P928" s="74"/>
      <c r="Q928" s="74"/>
      <c r="R928" s="86">
        <f>tkj!$CL$106</f>
        <v>85</v>
      </c>
      <c r="S928" s="86">
        <f>tkj!$CK$106</f>
        <v>84</v>
      </c>
      <c r="T928" s="74"/>
      <c r="U928" s="86">
        <f>tkj!$CJ$106</f>
        <v>80</v>
      </c>
      <c r="V928" s="58"/>
      <c r="X928" s="278">
        <v>106</v>
      </c>
    </row>
    <row r="929" spans="1:24" ht="15" thickBot="1">
      <c r="A929" s="269">
        <v>102</v>
      </c>
      <c r="B929" s="272"/>
      <c r="C929" s="275"/>
      <c r="D929" s="78" t="s">
        <v>302</v>
      </c>
      <c r="E929" s="79">
        <f>(E926*4+E927*3+E928*3)/10</f>
        <v>82.36</v>
      </c>
      <c r="F929" s="79">
        <f t="shared" ref="F929:G929" si="199">(F926*4+F927*3+F928*3)/10</f>
        <v>85.42</v>
      </c>
      <c r="G929" s="79">
        <f t="shared" si="199"/>
        <v>80.38</v>
      </c>
      <c r="H929" s="79">
        <f>AVERAGE(H921:H924)</f>
        <v>82.5</v>
      </c>
      <c r="I929" s="79">
        <f>AVERAGE(I921:I924)</f>
        <v>80.75</v>
      </c>
      <c r="J929" s="79">
        <f>AVERAGE(J921:J922)</f>
        <v>81.5</v>
      </c>
      <c r="K929" s="79">
        <f>AVERAGE(K921:K924)</f>
        <v>80.25</v>
      </c>
      <c r="L929" s="79">
        <f>(L926*4+L927*3+L928*3)/10</f>
        <v>83.3</v>
      </c>
      <c r="M929" s="79">
        <f>(M926*4+M927*3+M928*3)/10</f>
        <v>78.12</v>
      </c>
      <c r="N929" s="79">
        <f>(N926*4+N927*3+N928*3)/10</f>
        <v>78.760000000000005</v>
      </c>
      <c r="O929" s="79">
        <f>AVERAGE(O921:O922)</f>
        <v>90.5</v>
      </c>
      <c r="P929" s="79">
        <f>AVERAGE(P921:P922)</f>
        <v>77.5</v>
      </c>
      <c r="Q929" s="79">
        <f>AVERAGE(Q921:Q922)</f>
        <v>87.5</v>
      </c>
      <c r="R929" s="79">
        <f>(R926*4+R927*3+R928*3)/10</f>
        <v>80.066666666666677</v>
      </c>
      <c r="S929" s="79">
        <f>(S926*4+S927*3+S928*3)/10</f>
        <v>81.900000000000006</v>
      </c>
      <c r="T929" s="79">
        <f>T927</f>
        <v>78</v>
      </c>
      <c r="U929" s="79">
        <f t="shared" ref="U929" si="200">(U926*4+U927*3+U928*3)/10</f>
        <v>78.066666666666677</v>
      </c>
      <c r="V929" s="80">
        <f>AVERAGE(E929:U929)</f>
        <v>81.580784313725488</v>
      </c>
      <c r="X929" s="278">
        <v>106</v>
      </c>
    </row>
    <row r="930" spans="1:24" ht="15.6" thickTop="1" thickBot="1">
      <c r="A930" s="268">
        <v>103</v>
      </c>
      <c r="B930" s="270" t="s">
        <v>414</v>
      </c>
      <c r="C930" s="273" t="s">
        <v>259</v>
      </c>
      <c r="D930" s="52" t="s">
        <v>294</v>
      </c>
      <c r="E930" s="53">
        <f>tkj!$E$107</f>
        <v>83</v>
      </c>
      <c r="F930" s="53">
        <f>tkj!$K$107</f>
        <v>81</v>
      </c>
      <c r="G930" s="53">
        <f>tkj!$Q$107</f>
        <v>80</v>
      </c>
      <c r="H930" s="53">
        <f>tkj!$W$107</f>
        <v>81</v>
      </c>
      <c r="I930" s="53">
        <f>tkj!$AA$107</f>
        <v>80</v>
      </c>
      <c r="J930" s="53">
        <f>tkj!$AE$107</f>
        <v>82</v>
      </c>
      <c r="K930" s="54">
        <f>tkj!$AG$107</f>
        <v>82</v>
      </c>
      <c r="L930" s="55"/>
      <c r="M930" s="53">
        <f>tkj!$AM$107</f>
        <v>70</v>
      </c>
      <c r="N930" s="53">
        <f>tkj!$AS$107</f>
        <v>76</v>
      </c>
      <c r="O930" s="53">
        <f>tkj!$AY$107</f>
        <v>83</v>
      </c>
      <c r="P930" s="54">
        <f>tkj!$BA$107</f>
        <v>76</v>
      </c>
      <c r="Q930" s="54">
        <f>tkj!$BC$107</f>
        <v>86</v>
      </c>
      <c r="R930" s="55"/>
      <c r="S930" s="55"/>
      <c r="T930" s="55"/>
      <c r="U930" s="55"/>
      <c r="V930" s="56"/>
      <c r="X930" s="278">
        <v>107</v>
      </c>
    </row>
    <row r="931" spans="1:24" ht="15" thickBot="1">
      <c r="A931" s="268">
        <v>103</v>
      </c>
      <c r="B931" s="271"/>
      <c r="C931" s="274"/>
      <c r="D931" s="52" t="s">
        <v>295</v>
      </c>
      <c r="E931" s="53">
        <f>tkj!$F$107</f>
        <v>80</v>
      </c>
      <c r="F931" s="53">
        <f>tkj!$L$107</f>
        <v>82</v>
      </c>
      <c r="G931" s="53">
        <f>tkj!$R$107</f>
        <v>83</v>
      </c>
      <c r="H931" s="53">
        <f>tkj!$X$107</f>
        <v>84</v>
      </c>
      <c r="I931" s="53">
        <f>tkj!$AB$107</f>
        <v>85</v>
      </c>
      <c r="J931" s="53">
        <f>tkj!$AF$107</f>
        <v>85</v>
      </c>
      <c r="K931" s="54">
        <f>tkj!$AH$107</f>
        <v>80</v>
      </c>
      <c r="L931" s="55"/>
      <c r="M931" s="53">
        <f>tkj!$AN$107</f>
        <v>72</v>
      </c>
      <c r="N931" s="53">
        <f>tkj!$AT$107</f>
        <v>78</v>
      </c>
      <c r="O931" s="53">
        <f>tkj!$AZ$107</f>
        <v>84</v>
      </c>
      <c r="P931" s="54">
        <f>tkj!$BB$107</f>
        <v>80</v>
      </c>
      <c r="Q931" s="54">
        <f>tkj!$BD$107</f>
        <v>80</v>
      </c>
      <c r="R931" s="55"/>
      <c r="S931" s="55"/>
      <c r="T931" s="55"/>
      <c r="U931" s="55"/>
      <c r="V931" s="58"/>
      <c r="X931" s="278">
        <v>107</v>
      </c>
    </row>
    <row r="932" spans="1:24" ht="15" thickBot="1">
      <c r="A932" s="268">
        <v>103</v>
      </c>
      <c r="B932" s="271"/>
      <c r="C932" s="274"/>
      <c r="D932" s="52" t="s">
        <v>296</v>
      </c>
      <c r="E932" s="53">
        <f>tkj!$G$107</f>
        <v>86</v>
      </c>
      <c r="F932" s="53">
        <f>tkj!$M$107</f>
        <v>81</v>
      </c>
      <c r="G932" s="53">
        <f>tkj!$S$107</f>
        <v>81</v>
      </c>
      <c r="H932" s="53">
        <f>tkj!$Y$107</f>
        <v>80</v>
      </c>
      <c r="I932" s="53">
        <f>tkj!$AC$107</f>
        <v>83</v>
      </c>
      <c r="J932" s="59"/>
      <c r="K932" s="54">
        <f>tkj!$AI$107</f>
        <v>75</v>
      </c>
      <c r="L932" s="55"/>
      <c r="M932" s="53">
        <f>tkj!$AO$107</f>
        <v>74</v>
      </c>
      <c r="N932" s="53">
        <f>tkj!$AU$107</f>
        <v>80</v>
      </c>
      <c r="O932" s="59"/>
      <c r="P932" s="55"/>
      <c r="Q932" s="55"/>
      <c r="R932" s="54">
        <f>tkj!$BQ$107</f>
        <v>78.333333333333329</v>
      </c>
      <c r="S932" s="54">
        <f>tkj!$BU$107</f>
        <v>88</v>
      </c>
      <c r="T932" s="55"/>
      <c r="U932" s="54">
        <f>tkj!$BZ$107</f>
        <v>73</v>
      </c>
      <c r="V932" s="58"/>
      <c r="X932" s="278">
        <v>107</v>
      </c>
    </row>
    <row r="933" spans="1:24" ht="15" thickBot="1">
      <c r="A933" s="268">
        <v>103</v>
      </c>
      <c r="B933" s="271"/>
      <c r="C933" s="274"/>
      <c r="D933" s="62" t="s">
        <v>297</v>
      </c>
      <c r="E933" s="53">
        <f>tkj!$H$107</f>
        <v>84</v>
      </c>
      <c r="F933" s="53">
        <f>tkj!$N$107</f>
        <v>83</v>
      </c>
      <c r="G933" s="53">
        <f>tkj!$T$107</f>
        <v>83</v>
      </c>
      <c r="H933" s="53">
        <f>tkj!$Z$107</f>
        <v>84</v>
      </c>
      <c r="I933" s="53">
        <f>tkj!$AD$107</f>
        <v>84</v>
      </c>
      <c r="J933" s="59"/>
      <c r="K933" s="54">
        <f>tkj!$AJ$107</f>
        <v>84</v>
      </c>
      <c r="L933" s="55"/>
      <c r="M933" s="53">
        <f>tkj!$AP$107</f>
        <v>75</v>
      </c>
      <c r="N933" s="53">
        <f>tkj!$AV$107</f>
        <v>80</v>
      </c>
      <c r="O933" s="59"/>
      <c r="P933" s="55"/>
      <c r="Q933" s="55"/>
      <c r="R933" s="54">
        <f>tkj!$BR$107</f>
        <v>79</v>
      </c>
      <c r="S933" s="54">
        <f>tkj!$BV$107</f>
        <v>86</v>
      </c>
      <c r="T933" s="63"/>
      <c r="U933" s="54">
        <f>tkj!$CA$107</f>
        <v>85</v>
      </c>
      <c r="V933" s="58"/>
      <c r="X933" s="278">
        <v>107</v>
      </c>
    </row>
    <row r="934" spans="1:24">
      <c r="A934" s="268">
        <v>103</v>
      </c>
      <c r="B934" s="271"/>
      <c r="C934" s="274"/>
      <c r="D934" s="62" t="s">
        <v>298</v>
      </c>
      <c r="E934" s="53">
        <f>tkj!$I$107</f>
        <v>85</v>
      </c>
      <c r="F934" s="53">
        <f>tkj!$O$107</f>
        <v>85</v>
      </c>
      <c r="G934" s="53">
        <f>tkj!$U$107</f>
        <v>85</v>
      </c>
      <c r="H934" s="65"/>
      <c r="I934" s="65"/>
      <c r="J934" s="59"/>
      <c r="K934" s="59"/>
      <c r="L934" s="53">
        <f>tkj!$AK$107</f>
        <v>82</v>
      </c>
      <c r="M934" s="53">
        <f>tkj!$AQ$107</f>
        <v>80</v>
      </c>
      <c r="N934" s="53">
        <f>tkj!$AW$107</f>
        <v>80</v>
      </c>
      <c r="O934" s="59"/>
      <c r="P934" s="55"/>
      <c r="Q934" s="55"/>
      <c r="R934" s="54">
        <f>tkj!$BS$107</f>
        <v>82.666666666666671</v>
      </c>
      <c r="S934" s="54">
        <f>tkj!$BW$107</f>
        <v>82</v>
      </c>
      <c r="T934" s="54"/>
      <c r="U934" s="54">
        <f>tkj!$CB$107</f>
        <v>75</v>
      </c>
      <c r="V934" s="58"/>
      <c r="X934" s="278">
        <v>107</v>
      </c>
    </row>
    <row r="935" spans="1:24">
      <c r="A935" s="268">
        <v>103</v>
      </c>
      <c r="B935" s="271"/>
      <c r="C935" s="274"/>
      <c r="D935" s="66" t="s">
        <v>299</v>
      </c>
      <c r="E935" s="67">
        <f>AVERAGE(E930:E934)</f>
        <v>83.6</v>
      </c>
      <c r="F935" s="67">
        <f>AVERAGE(F930:F934)</f>
        <v>82.4</v>
      </c>
      <c r="G935" s="67">
        <f>AVERAGE(G930:G934)</f>
        <v>82.4</v>
      </c>
      <c r="H935" s="68"/>
      <c r="I935" s="68"/>
      <c r="J935" s="69"/>
      <c r="K935" s="69"/>
      <c r="L935" s="67">
        <f>AVERAGE(L930:L934)</f>
        <v>82</v>
      </c>
      <c r="M935" s="67">
        <f>AVERAGE(M930:M934)</f>
        <v>74.2</v>
      </c>
      <c r="N935" s="67">
        <f>AVERAGE(N930:N934)</f>
        <v>78.8</v>
      </c>
      <c r="O935" s="69"/>
      <c r="P935" s="63"/>
      <c r="Q935" s="63"/>
      <c r="R935" s="84">
        <f>AVERAGE(R932:R934)</f>
        <v>80</v>
      </c>
      <c r="S935" s="84">
        <f>AVERAGE(S932:S934)</f>
        <v>85.333333333333329</v>
      </c>
      <c r="T935" s="63"/>
      <c r="U935" s="84">
        <f>AVERAGE(U930:U934)</f>
        <v>77.666666666666671</v>
      </c>
      <c r="V935" s="58"/>
      <c r="X935" s="278">
        <v>107</v>
      </c>
    </row>
    <row r="936" spans="1:24">
      <c r="A936" s="268">
        <v>103</v>
      </c>
      <c r="B936" s="271"/>
      <c r="C936" s="274"/>
      <c r="D936" s="70" t="s">
        <v>300</v>
      </c>
      <c r="E936" s="71">
        <f>tkj!$J$107</f>
        <v>86</v>
      </c>
      <c r="F936" s="71">
        <f>tkj!$P$107</f>
        <v>87</v>
      </c>
      <c r="G936" s="71">
        <f>tkj!$V$107</f>
        <v>82</v>
      </c>
      <c r="H936" s="72"/>
      <c r="I936" s="72"/>
      <c r="J936" s="73"/>
      <c r="K936" s="73"/>
      <c r="L936" s="71">
        <f>tkj!$AL$107</f>
        <v>82</v>
      </c>
      <c r="M936" s="71">
        <f>tkj!$AR$107</f>
        <v>84</v>
      </c>
      <c r="N936" s="71">
        <f>tkj!$AX$107</f>
        <v>84</v>
      </c>
      <c r="O936" s="73"/>
      <c r="P936" s="74"/>
      <c r="Q936" s="74"/>
      <c r="R936" s="85">
        <f>tkj!$BT$107</f>
        <v>86</v>
      </c>
      <c r="S936" s="85">
        <f>tkj!$BX$107</f>
        <v>86</v>
      </c>
      <c r="T936" s="85">
        <f>tkj!$BY$107</f>
        <v>85</v>
      </c>
      <c r="U936" s="75">
        <f>tkj!$CC$107</f>
        <v>84</v>
      </c>
      <c r="V936" s="58"/>
      <c r="X936" s="278">
        <v>107</v>
      </c>
    </row>
    <row r="937" spans="1:24">
      <c r="A937" s="268">
        <v>103</v>
      </c>
      <c r="B937" s="271"/>
      <c r="C937" s="274"/>
      <c r="D937" s="76" t="s">
        <v>301</v>
      </c>
      <c r="E937" s="77">
        <f>tkj!$CD$107</f>
        <v>84</v>
      </c>
      <c r="F937" s="77">
        <f>tkj!$CE$107</f>
        <v>88</v>
      </c>
      <c r="G937" s="77">
        <f>tkj!$CF$107</f>
        <v>80</v>
      </c>
      <c r="H937" s="72"/>
      <c r="I937" s="72"/>
      <c r="J937" s="73"/>
      <c r="K937" s="73"/>
      <c r="L937" s="77">
        <f>tkj!$CG$107</f>
        <v>90</v>
      </c>
      <c r="M937" s="77">
        <f>tkj!$CH$107</f>
        <v>80</v>
      </c>
      <c r="N937" s="77">
        <f>tkj!$CI$107</f>
        <v>80</v>
      </c>
      <c r="O937" s="73"/>
      <c r="P937" s="74"/>
      <c r="Q937" s="74"/>
      <c r="R937" s="86">
        <f>tkj!$CL$107</f>
        <v>87</v>
      </c>
      <c r="S937" s="86">
        <f>tkj!$CK$107</f>
        <v>87</v>
      </c>
      <c r="T937" s="74"/>
      <c r="U937" s="86">
        <f>tkj!$CJ$107</f>
        <v>81</v>
      </c>
      <c r="V937" s="58"/>
      <c r="X937" s="278">
        <v>107</v>
      </c>
    </row>
    <row r="938" spans="1:24" ht="15" thickBot="1">
      <c r="A938" s="269">
        <v>103</v>
      </c>
      <c r="B938" s="272"/>
      <c r="C938" s="275"/>
      <c r="D938" s="78" t="s">
        <v>302</v>
      </c>
      <c r="E938" s="79">
        <f>(E935*4+E936*3+E937*3)/10</f>
        <v>84.44</v>
      </c>
      <c r="F938" s="79">
        <f t="shared" ref="F938:G938" si="201">(F935*4+F936*3+F937*3)/10</f>
        <v>85.460000000000008</v>
      </c>
      <c r="G938" s="79">
        <f t="shared" si="201"/>
        <v>81.56</v>
      </c>
      <c r="H938" s="79">
        <f>AVERAGE(H930:H933)</f>
        <v>82.25</v>
      </c>
      <c r="I938" s="79">
        <f>AVERAGE(I930:I933)</f>
        <v>83</v>
      </c>
      <c r="J938" s="79">
        <f>AVERAGE(J930:J931)</f>
        <v>83.5</v>
      </c>
      <c r="K938" s="79">
        <f>AVERAGE(K930:K933)</f>
        <v>80.25</v>
      </c>
      <c r="L938" s="79">
        <f>(L935*4+L936*3+L937*3)/10</f>
        <v>84.4</v>
      </c>
      <c r="M938" s="79">
        <f>(M935*4+M936*3+M937*3)/10</f>
        <v>78.88</v>
      </c>
      <c r="N938" s="79">
        <f>(N935*4+N936*3+N937*3)/10</f>
        <v>80.72</v>
      </c>
      <c r="O938" s="79">
        <f>AVERAGE(O930:O931)</f>
        <v>83.5</v>
      </c>
      <c r="P938" s="79">
        <f>AVERAGE(P930:P931)</f>
        <v>78</v>
      </c>
      <c r="Q938" s="79">
        <f>AVERAGE(Q930:Q931)</f>
        <v>83</v>
      </c>
      <c r="R938" s="79">
        <f>(R935*4+R936*3+R937*3)/10</f>
        <v>83.9</v>
      </c>
      <c r="S938" s="79">
        <f>(S935*4+S936*3+S937*3)/10</f>
        <v>86.033333333333331</v>
      </c>
      <c r="T938" s="79">
        <f>T936</f>
        <v>85</v>
      </c>
      <c r="U938" s="79">
        <f t="shared" ref="U938" si="202">(U935*4+U936*3+U937*3)/10</f>
        <v>80.566666666666677</v>
      </c>
      <c r="V938" s="80">
        <f>AVERAGE(E938:U938)</f>
        <v>82.615294117647068</v>
      </c>
      <c r="X938" s="278">
        <v>107</v>
      </c>
    </row>
    <row r="939" spans="1:24" ht="15.6" thickTop="1" thickBot="1">
      <c r="A939" s="268">
        <v>104</v>
      </c>
      <c r="B939" s="270" t="s">
        <v>415</v>
      </c>
      <c r="C939" s="273" t="s">
        <v>261</v>
      </c>
      <c r="D939" s="52" t="s">
        <v>294</v>
      </c>
      <c r="E939" s="53">
        <f>tkj!$E$108</f>
        <v>78</v>
      </c>
      <c r="F939" s="53">
        <f>tkj!$K$108</f>
        <v>90</v>
      </c>
      <c r="G939" s="53">
        <f>tkj!$Q$108</f>
        <v>83</v>
      </c>
      <c r="H939" s="53">
        <f>tkj!$W$108</f>
        <v>82</v>
      </c>
      <c r="I939" s="53">
        <f>tkj!$AA$108</f>
        <v>93</v>
      </c>
      <c r="J939" s="53">
        <f>tkj!$AE$108</f>
        <v>83</v>
      </c>
      <c r="K939" s="54">
        <f>tkj!$AG$108</f>
        <v>80</v>
      </c>
      <c r="L939" s="55"/>
      <c r="M939" s="53">
        <f>tkj!$AM$108</f>
        <v>79</v>
      </c>
      <c r="N939" s="53">
        <f>tkj!$AS$108</f>
        <v>78</v>
      </c>
      <c r="O939" s="53">
        <f>tkj!$AY$108</f>
        <v>84</v>
      </c>
      <c r="P939" s="54">
        <f>tkj!$BA$108</f>
        <v>87</v>
      </c>
      <c r="Q939" s="54">
        <f>tkj!$BC$108</f>
        <v>82</v>
      </c>
      <c r="R939" s="55"/>
      <c r="S939" s="55"/>
      <c r="T939" s="55"/>
      <c r="U939" s="55"/>
      <c r="V939" s="56"/>
      <c r="X939" s="278">
        <v>108</v>
      </c>
    </row>
    <row r="940" spans="1:24" ht="15" thickBot="1">
      <c r="A940" s="268">
        <v>104</v>
      </c>
      <c r="B940" s="271"/>
      <c r="C940" s="274"/>
      <c r="D940" s="52" t="s">
        <v>295</v>
      </c>
      <c r="E940" s="53">
        <f>tkj!$F$108</f>
        <v>84</v>
      </c>
      <c r="F940" s="53">
        <f>tkj!$L$108</f>
        <v>83</v>
      </c>
      <c r="G940" s="53">
        <f>tkj!$R$108</f>
        <v>80</v>
      </c>
      <c r="H940" s="53">
        <f>tkj!$X$108</f>
        <v>80</v>
      </c>
      <c r="I940" s="53">
        <f>tkj!$AB$108</f>
        <v>90</v>
      </c>
      <c r="J940" s="53">
        <f>tkj!$AF$108</f>
        <v>83</v>
      </c>
      <c r="K940" s="54">
        <f>tkj!$AH$108</f>
        <v>81</v>
      </c>
      <c r="L940" s="55"/>
      <c r="M940" s="53">
        <f>tkj!$AN$108</f>
        <v>81</v>
      </c>
      <c r="N940" s="53">
        <f>tkj!$AT$108</f>
        <v>79</v>
      </c>
      <c r="O940" s="53">
        <f>tkj!$AZ$108</f>
        <v>82</v>
      </c>
      <c r="P940" s="54">
        <f>tkj!$BB$108</f>
        <v>85</v>
      </c>
      <c r="Q940" s="54">
        <f>tkj!$BD$108</f>
        <v>84</v>
      </c>
      <c r="R940" s="55"/>
      <c r="S940" s="55"/>
      <c r="T940" s="55"/>
      <c r="U940" s="55"/>
      <c r="V940" s="58"/>
      <c r="X940" s="278">
        <v>108</v>
      </c>
    </row>
    <row r="941" spans="1:24" ht="15" thickBot="1">
      <c r="A941" s="268">
        <v>104</v>
      </c>
      <c r="B941" s="271"/>
      <c r="C941" s="274"/>
      <c r="D941" s="52" t="s">
        <v>296</v>
      </c>
      <c r="E941" s="53">
        <f>tkj!$G$108</f>
        <v>88</v>
      </c>
      <c r="F941" s="53">
        <f>tkj!$M$108</f>
        <v>95</v>
      </c>
      <c r="G941" s="53">
        <f>tkj!$S$108</f>
        <v>90</v>
      </c>
      <c r="H941" s="53">
        <f>tkj!$Y$108</f>
        <v>80</v>
      </c>
      <c r="I941" s="53">
        <f>tkj!$AC$108</f>
        <v>86</v>
      </c>
      <c r="J941" s="59"/>
      <c r="K941" s="54">
        <f>tkj!$AI$108</f>
        <v>76</v>
      </c>
      <c r="L941" s="55"/>
      <c r="M941" s="53">
        <f>tkj!$AO$108</f>
        <v>80</v>
      </c>
      <c r="N941" s="53">
        <f>tkj!$AU$108</f>
        <v>85</v>
      </c>
      <c r="O941" s="59"/>
      <c r="P941" s="55"/>
      <c r="Q941" s="55"/>
      <c r="R941" s="54">
        <f>tkj!$BQ$108</f>
        <v>85</v>
      </c>
      <c r="S941" s="54">
        <f>tkj!$BU$108</f>
        <v>89</v>
      </c>
      <c r="T941" s="55"/>
      <c r="U941" s="54">
        <f>tkj!$BZ$108</f>
        <v>77</v>
      </c>
      <c r="V941" s="58"/>
      <c r="X941" s="278">
        <v>108</v>
      </c>
    </row>
    <row r="942" spans="1:24" ht="15" thickBot="1">
      <c r="A942" s="268">
        <v>104</v>
      </c>
      <c r="B942" s="271"/>
      <c r="C942" s="274"/>
      <c r="D942" s="62" t="s">
        <v>297</v>
      </c>
      <c r="E942" s="53">
        <f>tkj!$H$108</f>
        <v>83</v>
      </c>
      <c r="F942" s="53">
        <f>tkj!$N$108</f>
        <v>95</v>
      </c>
      <c r="G942" s="53">
        <f>tkj!$T$108</f>
        <v>92</v>
      </c>
      <c r="H942" s="53">
        <f>tkj!$Z$108</f>
        <v>84</v>
      </c>
      <c r="I942" s="53">
        <f>tkj!$AD$108</f>
        <v>87</v>
      </c>
      <c r="J942" s="59"/>
      <c r="K942" s="54">
        <f>tkj!$AJ$108</f>
        <v>82</v>
      </c>
      <c r="L942" s="55"/>
      <c r="M942" s="53">
        <f>tkj!$AP$108</f>
        <v>85</v>
      </c>
      <c r="N942" s="53">
        <f>tkj!$AV$108</f>
        <v>87</v>
      </c>
      <c r="O942" s="59"/>
      <c r="P942" s="55"/>
      <c r="Q942" s="55"/>
      <c r="R942" s="54">
        <f>tkj!$BR$108</f>
        <v>87.666666666666671</v>
      </c>
      <c r="S942" s="54">
        <f>tkj!$BV$108</f>
        <v>86</v>
      </c>
      <c r="T942" s="63"/>
      <c r="U942" s="54">
        <f>tkj!$CA$108</f>
        <v>86</v>
      </c>
      <c r="V942" s="58"/>
      <c r="X942" s="278">
        <v>108</v>
      </c>
    </row>
    <row r="943" spans="1:24">
      <c r="A943" s="268">
        <v>104</v>
      </c>
      <c r="B943" s="271"/>
      <c r="C943" s="274"/>
      <c r="D943" s="62" t="s">
        <v>298</v>
      </c>
      <c r="E943" s="53">
        <f>tkj!$I$108</f>
        <v>84</v>
      </c>
      <c r="F943" s="53">
        <f>tkj!$O$108</f>
        <v>92</v>
      </c>
      <c r="G943" s="53">
        <f>tkj!$U$108</f>
        <v>86</v>
      </c>
      <c r="H943" s="65"/>
      <c r="I943" s="65"/>
      <c r="J943" s="59"/>
      <c r="K943" s="59"/>
      <c r="L943" s="53">
        <f>tkj!$AK$108</f>
        <v>88</v>
      </c>
      <c r="M943" s="53">
        <f>tkj!$AQ$108</f>
        <v>89</v>
      </c>
      <c r="N943" s="53">
        <f>tkj!$AW$108</f>
        <v>87</v>
      </c>
      <c r="O943" s="59"/>
      <c r="P943" s="55"/>
      <c r="Q943" s="55"/>
      <c r="R943" s="54">
        <f>tkj!$BS$108</f>
        <v>87.666666666666671</v>
      </c>
      <c r="S943" s="54">
        <f>tkj!$BW$108</f>
        <v>85</v>
      </c>
      <c r="T943" s="54"/>
      <c r="U943" s="54">
        <f>tkj!$CB$108</f>
        <v>76</v>
      </c>
      <c r="V943" s="58"/>
      <c r="X943" s="278">
        <v>108</v>
      </c>
    </row>
    <row r="944" spans="1:24">
      <c r="A944" s="268">
        <v>104</v>
      </c>
      <c r="B944" s="271"/>
      <c r="C944" s="274"/>
      <c r="D944" s="66" t="s">
        <v>299</v>
      </c>
      <c r="E944" s="67">
        <f>AVERAGE(E939:E943)</f>
        <v>83.4</v>
      </c>
      <c r="F944" s="67">
        <f>AVERAGE(F939:F943)</f>
        <v>91</v>
      </c>
      <c r="G944" s="67">
        <f>AVERAGE(G939:G943)</f>
        <v>86.2</v>
      </c>
      <c r="H944" s="68"/>
      <c r="I944" s="68"/>
      <c r="J944" s="69"/>
      <c r="K944" s="69"/>
      <c r="L944" s="67">
        <f>AVERAGE(L939:L943)</f>
        <v>88</v>
      </c>
      <c r="M944" s="67">
        <f>AVERAGE(M939:M943)</f>
        <v>82.8</v>
      </c>
      <c r="N944" s="67">
        <f>AVERAGE(N939:N943)</f>
        <v>83.2</v>
      </c>
      <c r="O944" s="69"/>
      <c r="P944" s="63"/>
      <c r="Q944" s="63"/>
      <c r="R944" s="84">
        <f>AVERAGE(R941:R943)</f>
        <v>86.777777777777786</v>
      </c>
      <c r="S944" s="84">
        <f>AVERAGE(S941:S943)</f>
        <v>86.666666666666671</v>
      </c>
      <c r="T944" s="63"/>
      <c r="U944" s="84">
        <f>AVERAGE(U939:U943)</f>
        <v>79.666666666666671</v>
      </c>
      <c r="V944" s="58"/>
      <c r="X944" s="278">
        <v>108</v>
      </c>
    </row>
    <row r="945" spans="1:24">
      <c r="A945" s="268">
        <v>104</v>
      </c>
      <c r="B945" s="271"/>
      <c r="C945" s="274"/>
      <c r="D945" s="70" t="s">
        <v>300</v>
      </c>
      <c r="E945" s="71">
        <f>tkj!$J$108</f>
        <v>88</v>
      </c>
      <c r="F945" s="71">
        <f>tkj!$P$108</f>
        <v>90</v>
      </c>
      <c r="G945" s="71">
        <f>tkj!$V$108</f>
        <v>85</v>
      </c>
      <c r="H945" s="72"/>
      <c r="I945" s="72"/>
      <c r="J945" s="73"/>
      <c r="K945" s="73"/>
      <c r="L945" s="71">
        <f>tkj!$AL$108</f>
        <v>85</v>
      </c>
      <c r="M945" s="71">
        <f>tkj!$AR$108</f>
        <v>88</v>
      </c>
      <c r="N945" s="71">
        <f>tkj!$AX$108</f>
        <v>88</v>
      </c>
      <c r="O945" s="73"/>
      <c r="P945" s="74"/>
      <c r="Q945" s="74"/>
      <c r="R945" s="85">
        <f>tkj!$BT$108</f>
        <v>89</v>
      </c>
      <c r="S945" s="85">
        <f>tkj!$BX$108</f>
        <v>89</v>
      </c>
      <c r="T945" s="85">
        <f>tkj!$BY$108</f>
        <v>88</v>
      </c>
      <c r="U945" s="75">
        <f>tkj!$CC$108</f>
        <v>88</v>
      </c>
      <c r="V945" s="58"/>
      <c r="X945" s="278">
        <v>108</v>
      </c>
    </row>
    <row r="946" spans="1:24">
      <c r="A946" s="268">
        <v>104</v>
      </c>
      <c r="B946" s="271"/>
      <c r="C946" s="274"/>
      <c r="D946" s="76" t="s">
        <v>301</v>
      </c>
      <c r="E946" s="77">
        <f>tkj!$CD$108</f>
        <v>88</v>
      </c>
      <c r="F946" s="77">
        <f>tkj!$CE$108</f>
        <v>95</v>
      </c>
      <c r="G946" s="77">
        <f>tkj!$CF$108</f>
        <v>85</v>
      </c>
      <c r="H946" s="72"/>
      <c r="I946" s="72"/>
      <c r="J946" s="73"/>
      <c r="K946" s="73"/>
      <c r="L946" s="77">
        <f>tkj!$CG$108</f>
        <v>90</v>
      </c>
      <c r="M946" s="77">
        <f>tkj!$CH$108</f>
        <v>90</v>
      </c>
      <c r="N946" s="77">
        <f>tkj!$CI$108</f>
        <v>88</v>
      </c>
      <c r="O946" s="73"/>
      <c r="P946" s="74"/>
      <c r="Q946" s="74"/>
      <c r="R946" s="86">
        <f>tkj!$CL$108</f>
        <v>87</v>
      </c>
      <c r="S946" s="86">
        <f>tkj!$CK$108</f>
        <v>87</v>
      </c>
      <c r="T946" s="74"/>
      <c r="U946" s="86">
        <f>tkj!$CJ$108</f>
        <v>88</v>
      </c>
      <c r="V946" s="58"/>
      <c r="X946" s="278">
        <v>108</v>
      </c>
    </row>
    <row r="947" spans="1:24" ht="15" thickBot="1">
      <c r="A947" s="269">
        <v>104</v>
      </c>
      <c r="B947" s="272"/>
      <c r="C947" s="275"/>
      <c r="D947" s="78" t="s">
        <v>302</v>
      </c>
      <c r="E947" s="79">
        <f>(E944*4+E945*3+E946*3)/10</f>
        <v>86.16</v>
      </c>
      <c r="F947" s="79">
        <f t="shared" ref="F947:G947" si="203">(F944*4+F945*3+F946*3)/10</f>
        <v>91.9</v>
      </c>
      <c r="G947" s="79">
        <f t="shared" si="203"/>
        <v>85.47999999999999</v>
      </c>
      <c r="H947" s="79">
        <f>AVERAGE(H939:H942)</f>
        <v>81.5</v>
      </c>
      <c r="I947" s="79">
        <f>AVERAGE(I939:I942)</f>
        <v>89</v>
      </c>
      <c r="J947" s="79">
        <f>AVERAGE(J939:J940)</f>
        <v>83</v>
      </c>
      <c r="K947" s="79">
        <f>AVERAGE(K939:K942)</f>
        <v>79.75</v>
      </c>
      <c r="L947" s="79">
        <f>(L944*4+L945*3+L946*3)/10</f>
        <v>87.7</v>
      </c>
      <c r="M947" s="79">
        <f>(M944*4+M945*3+M946*3)/10</f>
        <v>86.52000000000001</v>
      </c>
      <c r="N947" s="79">
        <f>(N944*4+N945*3+N946*3)/10</f>
        <v>86.08</v>
      </c>
      <c r="O947" s="79">
        <f>AVERAGE(O939:O940)</f>
        <v>83</v>
      </c>
      <c r="P947" s="79">
        <f>AVERAGE(P939:P940)</f>
        <v>86</v>
      </c>
      <c r="Q947" s="79">
        <f>AVERAGE(Q939:Q940)</f>
        <v>83</v>
      </c>
      <c r="R947" s="79">
        <f>(R944*4+R945*3+R946*3)/10</f>
        <v>87.511111111111106</v>
      </c>
      <c r="S947" s="79">
        <f>(S944*4+S945*3+S946*3)/10</f>
        <v>87.466666666666669</v>
      </c>
      <c r="T947" s="79">
        <f>T945</f>
        <v>88</v>
      </c>
      <c r="U947" s="79">
        <f t="shared" ref="U947" si="204">(U944*4+U945*3+U946*3)/10</f>
        <v>84.666666666666671</v>
      </c>
      <c r="V947" s="80">
        <f>AVERAGE(E947:U947)</f>
        <v>85.690261437908518</v>
      </c>
      <c r="X947" s="278">
        <v>108</v>
      </c>
    </row>
    <row r="948" spans="1:24" ht="15.6" thickTop="1" thickBot="1">
      <c r="A948" s="268">
        <v>105</v>
      </c>
      <c r="B948" s="270" t="s">
        <v>416</v>
      </c>
      <c r="C948" s="273" t="s">
        <v>263</v>
      </c>
      <c r="D948" s="52" t="s">
        <v>294</v>
      </c>
      <c r="E948" s="53">
        <f>tkj!$E$109</f>
        <v>80</v>
      </c>
      <c r="F948" s="53">
        <f>tkj!$K$109</f>
        <v>80</v>
      </c>
      <c r="G948" s="53">
        <f>tkj!$Q$109</f>
        <v>80</v>
      </c>
      <c r="H948" s="53">
        <f>tkj!$W$109</f>
        <v>83</v>
      </c>
      <c r="I948" s="53">
        <f>tkj!$AA$109</f>
        <v>80</v>
      </c>
      <c r="J948" s="53">
        <f>tkj!$AE$109</f>
        <v>82</v>
      </c>
      <c r="K948" s="54">
        <f>tkj!$AG$109</f>
        <v>76</v>
      </c>
      <c r="L948" s="55"/>
      <c r="M948" s="53">
        <f>tkj!$AM$109</f>
        <v>70</v>
      </c>
      <c r="N948" s="53">
        <f>tkj!$AS$109</f>
        <v>73</v>
      </c>
      <c r="O948" s="53">
        <f>tkj!$AY$109</f>
        <v>79</v>
      </c>
      <c r="P948" s="54">
        <f>tkj!$BA$109</f>
        <v>75</v>
      </c>
      <c r="Q948" s="54">
        <f>tkj!$BC$109</f>
        <v>83</v>
      </c>
      <c r="R948" s="55"/>
      <c r="S948" s="55"/>
      <c r="T948" s="55"/>
      <c r="U948" s="55"/>
      <c r="V948" s="56"/>
      <c r="X948" s="278">
        <v>109</v>
      </c>
    </row>
    <row r="949" spans="1:24" ht="15" thickBot="1">
      <c r="A949" s="268">
        <v>105</v>
      </c>
      <c r="B949" s="271"/>
      <c r="C949" s="274"/>
      <c r="D949" s="52" t="s">
        <v>295</v>
      </c>
      <c r="E949" s="53">
        <f>tkj!$F$109</f>
        <v>85</v>
      </c>
      <c r="F949" s="53">
        <f>tkj!$L$109</f>
        <v>81</v>
      </c>
      <c r="G949" s="53">
        <f>tkj!$R$109</f>
        <v>86</v>
      </c>
      <c r="H949" s="53">
        <f>tkj!$X$109</f>
        <v>85</v>
      </c>
      <c r="I949" s="53">
        <f>tkj!$AB$109</f>
        <v>82</v>
      </c>
      <c r="J949" s="53">
        <f>tkj!$AF$109</f>
        <v>83</v>
      </c>
      <c r="K949" s="54">
        <f>tkj!$AH$109</f>
        <v>77</v>
      </c>
      <c r="L949" s="55"/>
      <c r="M949" s="53">
        <f>tkj!$AN$109</f>
        <v>71</v>
      </c>
      <c r="N949" s="53">
        <f>tkj!$AT$109</f>
        <v>78</v>
      </c>
      <c r="O949" s="53">
        <f>tkj!$AZ$109</f>
        <v>92</v>
      </c>
      <c r="P949" s="54">
        <f>tkj!$BB$109</f>
        <v>80</v>
      </c>
      <c r="Q949" s="54">
        <f>tkj!$BD$109</f>
        <v>83</v>
      </c>
      <c r="R949" s="55"/>
      <c r="S949" s="55"/>
      <c r="T949" s="55"/>
      <c r="U949" s="55"/>
      <c r="V949" s="58"/>
      <c r="X949" s="278">
        <v>109</v>
      </c>
    </row>
    <row r="950" spans="1:24" ht="15" thickBot="1">
      <c r="A950" s="268">
        <v>105</v>
      </c>
      <c r="B950" s="271"/>
      <c r="C950" s="274"/>
      <c r="D950" s="52" t="s">
        <v>296</v>
      </c>
      <c r="E950" s="53">
        <f>tkj!$G$109</f>
        <v>89</v>
      </c>
      <c r="F950" s="53">
        <f>tkj!$M$109</f>
        <v>85</v>
      </c>
      <c r="G950" s="53">
        <f>tkj!$S$109</f>
        <v>80</v>
      </c>
      <c r="H950" s="53">
        <f>tkj!$Y$109</f>
        <v>82</v>
      </c>
      <c r="I950" s="53">
        <f>tkj!$AC$109</f>
        <v>82</v>
      </c>
      <c r="J950" s="59"/>
      <c r="K950" s="54">
        <f>tkj!$AI$109</f>
        <v>71</v>
      </c>
      <c r="L950" s="55"/>
      <c r="M950" s="53">
        <f>tkj!$AO$109</f>
        <v>73</v>
      </c>
      <c r="N950" s="53">
        <f>tkj!$AU$109</f>
        <v>80</v>
      </c>
      <c r="O950" s="59"/>
      <c r="P950" s="55"/>
      <c r="Q950" s="55"/>
      <c r="R950" s="54">
        <f>tkj!$BQ$109</f>
        <v>79</v>
      </c>
      <c r="S950" s="54">
        <f>tkj!$BU$109</f>
        <v>87</v>
      </c>
      <c r="T950" s="55"/>
      <c r="U950" s="54">
        <f>tkj!$BZ$109</f>
        <v>79</v>
      </c>
      <c r="V950" s="58"/>
      <c r="X950" s="278">
        <v>109</v>
      </c>
    </row>
    <row r="951" spans="1:24" ht="15" thickBot="1">
      <c r="A951" s="268">
        <v>105</v>
      </c>
      <c r="B951" s="271"/>
      <c r="C951" s="274"/>
      <c r="D951" s="62" t="s">
        <v>297</v>
      </c>
      <c r="E951" s="53">
        <f>tkj!$H$109</f>
        <v>87</v>
      </c>
      <c r="F951" s="53">
        <f>tkj!$N$109</f>
        <v>85</v>
      </c>
      <c r="G951" s="53">
        <f>tkj!$T$109</f>
        <v>81</v>
      </c>
      <c r="H951" s="53">
        <f>tkj!$Z$109</f>
        <v>85</v>
      </c>
      <c r="I951" s="53">
        <f>tkj!$AD$109</f>
        <v>83</v>
      </c>
      <c r="J951" s="59"/>
      <c r="K951" s="54">
        <f>tkj!$AJ$109</f>
        <v>83</v>
      </c>
      <c r="L951" s="55"/>
      <c r="M951" s="53">
        <f>tkj!$AP$109</f>
        <v>74</v>
      </c>
      <c r="N951" s="53">
        <f>tkj!$AV$109</f>
        <v>80</v>
      </c>
      <c r="O951" s="59"/>
      <c r="P951" s="55"/>
      <c r="Q951" s="55"/>
      <c r="R951" s="54">
        <f>tkj!$BR$109</f>
        <v>79</v>
      </c>
      <c r="S951" s="54">
        <f>tkj!$BV$109</f>
        <v>84</v>
      </c>
      <c r="T951" s="63"/>
      <c r="U951" s="54">
        <f>tkj!$CA$109</f>
        <v>86</v>
      </c>
      <c r="V951" s="58"/>
      <c r="X951" s="278">
        <v>109</v>
      </c>
    </row>
    <row r="952" spans="1:24">
      <c r="A952" s="268">
        <v>105</v>
      </c>
      <c r="B952" s="271"/>
      <c r="C952" s="274"/>
      <c r="D952" s="62" t="s">
        <v>298</v>
      </c>
      <c r="E952" s="53">
        <f>tkj!$I$109</f>
        <v>85</v>
      </c>
      <c r="F952" s="53">
        <f>tkj!$O$109</f>
        <v>90</v>
      </c>
      <c r="G952" s="53">
        <f>tkj!$U$109</f>
        <v>72</v>
      </c>
      <c r="H952" s="65"/>
      <c r="I952" s="65"/>
      <c r="J952" s="59"/>
      <c r="K952" s="59"/>
      <c r="L952" s="53">
        <f>tkj!$AK$109</f>
        <v>80</v>
      </c>
      <c r="M952" s="53">
        <f>tkj!$AQ$109</f>
        <v>78</v>
      </c>
      <c r="N952" s="53">
        <f>tkj!$AW$109</f>
        <v>80</v>
      </c>
      <c r="O952" s="59"/>
      <c r="P952" s="55"/>
      <c r="Q952" s="55"/>
      <c r="R952" s="54">
        <f>tkj!$BS$109</f>
        <v>78</v>
      </c>
      <c r="S952" s="54">
        <f>tkj!$BW$109</f>
        <v>80</v>
      </c>
      <c r="T952" s="54"/>
      <c r="U952" s="54">
        <f>tkj!$CB$109</f>
        <v>75</v>
      </c>
      <c r="V952" s="58"/>
      <c r="X952" s="278">
        <v>109</v>
      </c>
    </row>
    <row r="953" spans="1:24">
      <c r="A953" s="268">
        <v>105</v>
      </c>
      <c r="B953" s="271"/>
      <c r="C953" s="274"/>
      <c r="D953" s="66" t="s">
        <v>299</v>
      </c>
      <c r="E953" s="67">
        <f>AVERAGE(E948:E952)</f>
        <v>85.2</v>
      </c>
      <c r="F953" s="67">
        <f>AVERAGE(F948:F952)</f>
        <v>84.2</v>
      </c>
      <c r="G953" s="67">
        <f>AVERAGE(G948:G952)</f>
        <v>79.8</v>
      </c>
      <c r="H953" s="68"/>
      <c r="I953" s="68"/>
      <c r="J953" s="69"/>
      <c r="K953" s="69"/>
      <c r="L953" s="67">
        <f>AVERAGE(L948:L952)</f>
        <v>80</v>
      </c>
      <c r="M953" s="67">
        <f>AVERAGE(M948:M952)</f>
        <v>73.2</v>
      </c>
      <c r="N953" s="67">
        <f>AVERAGE(N948:N952)</f>
        <v>78.2</v>
      </c>
      <c r="O953" s="69"/>
      <c r="P953" s="63"/>
      <c r="Q953" s="63"/>
      <c r="R953" s="84">
        <f>AVERAGE(R950:R952)</f>
        <v>78.666666666666671</v>
      </c>
      <c r="S953" s="84">
        <f>AVERAGE(S950:S952)</f>
        <v>83.666666666666671</v>
      </c>
      <c r="T953" s="63"/>
      <c r="U953" s="84">
        <f>AVERAGE(U948:U952)</f>
        <v>80</v>
      </c>
      <c r="V953" s="58"/>
      <c r="X953" s="278">
        <v>109</v>
      </c>
    </row>
    <row r="954" spans="1:24">
      <c r="A954" s="268">
        <v>105</v>
      </c>
      <c r="B954" s="271"/>
      <c r="C954" s="274"/>
      <c r="D954" s="70" t="s">
        <v>300</v>
      </c>
      <c r="E954" s="71">
        <f>tkj!$J$109</f>
        <v>78</v>
      </c>
      <c r="F954" s="71">
        <f>tkj!$P$109</f>
        <v>80</v>
      </c>
      <c r="G954" s="71">
        <f>tkj!$V$109</f>
        <v>78</v>
      </c>
      <c r="H954" s="72"/>
      <c r="I954" s="72"/>
      <c r="J954" s="73"/>
      <c r="K954" s="73"/>
      <c r="L954" s="71">
        <f>tkj!$AL$109</f>
        <v>78</v>
      </c>
      <c r="M954" s="71">
        <f>tkj!$AR$109</f>
        <v>79</v>
      </c>
      <c r="N954" s="71">
        <f>tkj!$AX$109</f>
        <v>79</v>
      </c>
      <c r="O954" s="73"/>
      <c r="P954" s="74"/>
      <c r="Q954" s="74"/>
      <c r="R954" s="85">
        <f>tkj!$BT$109</f>
        <v>83</v>
      </c>
      <c r="S954" s="85">
        <f>tkj!$BX$109</f>
        <v>83</v>
      </c>
      <c r="T954" s="85">
        <f>tkj!$BY$109</f>
        <v>80</v>
      </c>
      <c r="U954" s="75">
        <f>tkj!$CC$109</f>
        <v>79</v>
      </c>
      <c r="V954" s="58"/>
      <c r="X954" s="278">
        <v>109</v>
      </c>
    </row>
    <row r="955" spans="1:24">
      <c r="A955" s="268">
        <v>105</v>
      </c>
      <c r="B955" s="271"/>
      <c r="C955" s="274"/>
      <c r="D955" s="76" t="s">
        <v>301</v>
      </c>
      <c r="E955" s="77">
        <f>tkj!$CD$109</f>
        <v>87</v>
      </c>
      <c r="F955" s="77">
        <f>tkj!$CE$109</f>
        <v>82</v>
      </c>
      <c r="G955" s="77">
        <f>tkj!$CF$109</f>
        <v>80</v>
      </c>
      <c r="H955" s="72"/>
      <c r="I955" s="72"/>
      <c r="J955" s="73"/>
      <c r="K955" s="73"/>
      <c r="L955" s="77">
        <f>tkj!$CG$109</f>
        <v>87</v>
      </c>
      <c r="M955" s="77">
        <f>tkj!$CH$109</f>
        <v>78</v>
      </c>
      <c r="N955" s="77">
        <f>tkj!$CI$109</f>
        <v>80</v>
      </c>
      <c r="O955" s="73"/>
      <c r="P955" s="74"/>
      <c r="Q955" s="74"/>
      <c r="R955" s="86">
        <f>tkj!$CL$109</f>
        <v>95</v>
      </c>
      <c r="S955" s="86">
        <f>tkj!$CK$109</f>
        <v>87</v>
      </c>
      <c r="T955" s="74"/>
      <c r="U955" s="86">
        <f>tkj!$CJ$109</f>
        <v>80</v>
      </c>
      <c r="V955" s="58"/>
      <c r="X955" s="278">
        <v>109</v>
      </c>
    </row>
    <row r="956" spans="1:24" ht="15" thickBot="1">
      <c r="A956" s="269">
        <v>105</v>
      </c>
      <c r="B956" s="272"/>
      <c r="C956" s="275"/>
      <c r="D956" s="78" t="s">
        <v>302</v>
      </c>
      <c r="E956" s="79">
        <f>(E953*4+E954*3+E955*3)/10</f>
        <v>83.58</v>
      </c>
      <c r="F956" s="79">
        <f t="shared" ref="F956:G956" si="205">(F953*4+F954*3+F955*3)/10</f>
        <v>82.28</v>
      </c>
      <c r="G956" s="79">
        <f t="shared" si="205"/>
        <v>79.320000000000007</v>
      </c>
      <c r="H956" s="79">
        <f>AVERAGE(H948:H951)</f>
        <v>83.75</v>
      </c>
      <c r="I956" s="79">
        <f>AVERAGE(I948:I951)</f>
        <v>81.75</v>
      </c>
      <c r="J956" s="79">
        <f>AVERAGE(J948:J949)</f>
        <v>82.5</v>
      </c>
      <c r="K956" s="79">
        <f>AVERAGE(K948:K951)</f>
        <v>76.75</v>
      </c>
      <c r="L956" s="79">
        <f>(L953*4+L954*3+L955*3)/10</f>
        <v>81.5</v>
      </c>
      <c r="M956" s="79">
        <f>(M953*4+M954*3+M955*3)/10</f>
        <v>76.38</v>
      </c>
      <c r="N956" s="79">
        <f>(N953*4+N954*3+N955*3)/10</f>
        <v>78.97999999999999</v>
      </c>
      <c r="O956" s="79">
        <f>AVERAGE(O948:O949)</f>
        <v>85.5</v>
      </c>
      <c r="P956" s="79">
        <f>AVERAGE(P948:P949)</f>
        <v>77.5</v>
      </c>
      <c r="Q956" s="79">
        <f>AVERAGE(Q948:Q949)</f>
        <v>83</v>
      </c>
      <c r="R956" s="79">
        <f>(R953*4+R954*3+R955*3)/10</f>
        <v>84.866666666666674</v>
      </c>
      <c r="S956" s="79">
        <f>(S953*4+S954*3+S955*3)/10</f>
        <v>84.466666666666669</v>
      </c>
      <c r="T956" s="79">
        <f>T954</f>
        <v>80</v>
      </c>
      <c r="U956" s="79">
        <f t="shared" ref="U956" si="206">(U953*4+U954*3+U955*3)/10</f>
        <v>79.7</v>
      </c>
      <c r="V956" s="80">
        <f>AVERAGE(E956:U956)</f>
        <v>81.28372549019609</v>
      </c>
      <c r="X956" s="278">
        <v>109</v>
      </c>
    </row>
    <row r="957" spans="1:24" ht="18" customHeight="1" thickTop="1" thickBot="1">
      <c r="A957" s="268">
        <v>106</v>
      </c>
      <c r="B957" s="270" t="s">
        <v>417</v>
      </c>
      <c r="C957" s="273" t="s">
        <v>265</v>
      </c>
      <c r="D957" s="52" t="s">
        <v>294</v>
      </c>
      <c r="E957" s="53">
        <f>tkj!$E$110</f>
        <v>94</v>
      </c>
      <c r="F957" s="53">
        <f>tkj!$K$110</f>
        <v>84</v>
      </c>
      <c r="G957" s="53">
        <f>tkj!$Q$110</f>
        <v>92</v>
      </c>
      <c r="H957" s="53">
        <f>tkj!$W$110</f>
        <v>85</v>
      </c>
      <c r="I957" s="53">
        <f>tkj!$AA$110</f>
        <v>88</v>
      </c>
      <c r="J957" s="53">
        <f>tkj!$AE$110</f>
        <v>83</v>
      </c>
      <c r="K957" s="54">
        <f>tkj!$AG$110</f>
        <v>80</v>
      </c>
      <c r="L957" s="55"/>
      <c r="M957" s="53">
        <f>tkj!$AM$110</f>
        <v>77</v>
      </c>
      <c r="N957" s="53">
        <f>tkj!$AS$110</f>
        <v>79</v>
      </c>
      <c r="O957" s="53">
        <f>tkj!$AY$110</f>
        <v>89</v>
      </c>
      <c r="P957" s="54">
        <f>tkj!$BA$110</f>
        <v>81</v>
      </c>
      <c r="Q957" s="54">
        <f>tkj!$BC$110</f>
        <v>82</v>
      </c>
      <c r="R957" s="55"/>
      <c r="S957" s="55"/>
      <c r="T957" s="55"/>
      <c r="U957" s="55"/>
      <c r="V957" s="56"/>
      <c r="X957" s="278">
        <v>110</v>
      </c>
    </row>
    <row r="958" spans="1:24" ht="15" thickBot="1">
      <c r="A958" s="268">
        <v>106</v>
      </c>
      <c r="B958" s="271"/>
      <c r="C958" s="274"/>
      <c r="D958" s="52" t="s">
        <v>295</v>
      </c>
      <c r="E958" s="53">
        <f>tkj!$F$110</f>
        <v>94</v>
      </c>
      <c r="F958" s="53">
        <f>tkj!$L$110</f>
        <v>88</v>
      </c>
      <c r="G958" s="53">
        <f>tkj!$R$110</f>
        <v>86</v>
      </c>
      <c r="H958" s="53">
        <f>tkj!$X$110</f>
        <v>85</v>
      </c>
      <c r="I958" s="53">
        <f>tkj!$AB$110</f>
        <v>88</v>
      </c>
      <c r="J958" s="53">
        <f>tkj!$AF$110</f>
        <v>85</v>
      </c>
      <c r="K958" s="54">
        <f>tkj!$AH$110</f>
        <v>80</v>
      </c>
      <c r="L958" s="55"/>
      <c r="M958" s="53">
        <f>tkj!$AN$110</f>
        <v>79</v>
      </c>
      <c r="N958" s="53">
        <f>tkj!$AT$110</f>
        <v>80</v>
      </c>
      <c r="O958" s="53">
        <f>tkj!$AZ$110</f>
        <v>89</v>
      </c>
      <c r="P958" s="54">
        <f>tkj!$BB$110</f>
        <v>87</v>
      </c>
      <c r="Q958" s="54">
        <f>tkj!$BD$110</f>
        <v>73</v>
      </c>
      <c r="R958" s="55"/>
      <c r="S958" s="55"/>
      <c r="T958" s="55"/>
      <c r="U958" s="55"/>
      <c r="V958" s="58"/>
      <c r="X958" s="278">
        <v>110</v>
      </c>
    </row>
    <row r="959" spans="1:24" ht="15" thickBot="1">
      <c r="A959" s="268">
        <v>106</v>
      </c>
      <c r="B959" s="271"/>
      <c r="C959" s="274"/>
      <c r="D959" s="52" t="s">
        <v>296</v>
      </c>
      <c r="E959" s="53">
        <f>tkj!$G$110</f>
        <v>89</v>
      </c>
      <c r="F959" s="53">
        <f>tkj!$M$110</f>
        <v>95</v>
      </c>
      <c r="G959" s="53">
        <f>tkj!$S$110</f>
        <v>89</v>
      </c>
      <c r="H959" s="53">
        <f>tkj!$Y$110</f>
        <v>82</v>
      </c>
      <c r="I959" s="53">
        <f>tkj!$AC$110</f>
        <v>82</v>
      </c>
      <c r="J959" s="59"/>
      <c r="K959" s="54">
        <f>tkj!$AI$110</f>
        <v>79</v>
      </c>
      <c r="L959" s="55"/>
      <c r="M959" s="53">
        <f>tkj!$AO$110</f>
        <v>74</v>
      </c>
      <c r="N959" s="53">
        <f>tkj!$AU$110</f>
        <v>83</v>
      </c>
      <c r="O959" s="59"/>
      <c r="P959" s="55"/>
      <c r="Q959" s="55"/>
      <c r="R959" s="54">
        <f>tkj!$BQ$110</f>
        <v>81.666666666666671</v>
      </c>
      <c r="S959" s="54">
        <f>tkj!$BU$110</f>
        <v>88</v>
      </c>
      <c r="T959" s="55"/>
      <c r="U959" s="54">
        <f>tkj!$BZ$110</f>
        <v>77</v>
      </c>
      <c r="V959" s="58"/>
      <c r="X959" s="278">
        <v>110</v>
      </c>
    </row>
    <row r="960" spans="1:24" ht="15" thickBot="1">
      <c r="A960" s="268">
        <v>106</v>
      </c>
      <c r="B960" s="271"/>
      <c r="C960" s="274"/>
      <c r="D960" s="62" t="s">
        <v>297</v>
      </c>
      <c r="E960" s="53">
        <f>tkj!$H$110</f>
        <v>88</v>
      </c>
      <c r="F960" s="53">
        <f>tkj!$N$110</f>
        <v>95</v>
      </c>
      <c r="G960" s="53">
        <f>tkj!$T$110</f>
        <v>87</v>
      </c>
      <c r="H960" s="53">
        <f>tkj!$Z$110</f>
        <v>85</v>
      </c>
      <c r="I960" s="53">
        <f>tkj!$AD$110</f>
        <v>85</v>
      </c>
      <c r="J960" s="59"/>
      <c r="K960" s="54">
        <f>tkj!$AJ$110</f>
        <v>85</v>
      </c>
      <c r="L960" s="55"/>
      <c r="M960" s="53">
        <f>tkj!$AP$110</f>
        <v>75</v>
      </c>
      <c r="N960" s="53">
        <f>tkj!$AV$110</f>
        <v>86</v>
      </c>
      <c r="O960" s="59"/>
      <c r="P960" s="55"/>
      <c r="Q960" s="55"/>
      <c r="R960" s="54">
        <f>tkj!$BR$110</f>
        <v>86.333333333333329</v>
      </c>
      <c r="S960" s="54">
        <f>tkj!$BV$110</f>
        <v>83</v>
      </c>
      <c r="T960" s="63"/>
      <c r="U960" s="54">
        <f>tkj!$CA$110</f>
        <v>91</v>
      </c>
      <c r="V960" s="58"/>
      <c r="X960" s="278">
        <v>110</v>
      </c>
    </row>
    <row r="961" spans="1:24">
      <c r="A961" s="268">
        <v>106</v>
      </c>
      <c r="B961" s="271"/>
      <c r="C961" s="274"/>
      <c r="D961" s="62" t="s">
        <v>298</v>
      </c>
      <c r="E961" s="53">
        <f>tkj!$I$110</f>
        <v>93</v>
      </c>
      <c r="F961" s="53">
        <f>tkj!$O$110</f>
        <v>95</v>
      </c>
      <c r="G961" s="53">
        <f>tkj!$U$110</f>
        <v>85</v>
      </c>
      <c r="H961" s="65"/>
      <c r="I961" s="65"/>
      <c r="J961" s="59"/>
      <c r="K961" s="59"/>
      <c r="L961" s="53">
        <f>tkj!$AK$110</f>
        <v>82</v>
      </c>
      <c r="M961" s="53">
        <f>tkj!$AQ$110</f>
        <v>82</v>
      </c>
      <c r="N961" s="53">
        <f>tkj!$AW$110</f>
        <v>86</v>
      </c>
      <c r="O961" s="59"/>
      <c r="P961" s="55"/>
      <c r="Q961" s="55"/>
      <c r="R961" s="54">
        <f>tkj!$BS$110</f>
        <v>80</v>
      </c>
      <c r="S961" s="54">
        <f>tkj!$BW$110</f>
        <v>84</v>
      </c>
      <c r="T961" s="54"/>
      <c r="U961" s="54">
        <f>tkj!$CB$110</f>
        <v>77</v>
      </c>
      <c r="V961" s="58"/>
      <c r="X961" s="278">
        <v>110</v>
      </c>
    </row>
    <row r="962" spans="1:24">
      <c r="A962" s="268">
        <v>106</v>
      </c>
      <c r="B962" s="271"/>
      <c r="C962" s="274"/>
      <c r="D962" s="66" t="s">
        <v>299</v>
      </c>
      <c r="E962" s="67">
        <f>AVERAGE(E957:E961)</f>
        <v>91.6</v>
      </c>
      <c r="F962" s="67">
        <f>AVERAGE(F957:F961)</f>
        <v>91.4</v>
      </c>
      <c r="G962" s="67">
        <f>AVERAGE(G957:G961)</f>
        <v>87.8</v>
      </c>
      <c r="H962" s="68"/>
      <c r="I962" s="68"/>
      <c r="J962" s="69"/>
      <c r="K962" s="69"/>
      <c r="L962" s="67">
        <f>AVERAGE(L957:L961)</f>
        <v>82</v>
      </c>
      <c r="M962" s="67">
        <f>AVERAGE(M957:M961)</f>
        <v>77.400000000000006</v>
      </c>
      <c r="N962" s="67">
        <f>AVERAGE(N957:N961)</f>
        <v>82.8</v>
      </c>
      <c r="O962" s="69"/>
      <c r="P962" s="63"/>
      <c r="Q962" s="63"/>
      <c r="R962" s="84">
        <f>AVERAGE(R959:R961)</f>
        <v>82.666666666666671</v>
      </c>
      <c r="S962" s="84">
        <f>AVERAGE(S959:S961)</f>
        <v>85</v>
      </c>
      <c r="T962" s="63"/>
      <c r="U962" s="84">
        <f>AVERAGE(U957:U961)</f>
        <v>81.666666666666671</v>
      </c>
      <c r="V962" s="58"/>
      <c r="X962" s="278">
        <v>110</v>
      </c>
    </row>
    <row r="963" spans="1:24">
      <c r="A963" s="268">
        <v>106</v>
      </c>
      <c r="B963" s="271"/>
      <c r="C963" s="274"/>
      <c r="D963" s="70" t="s">
        <v>300</v>
      </c>
      <c r="E963" s="71">
        <f>tkj!$J$110</f>
        <v>87</v>
      </c>
      <c r="F963" s="71">
        <f>tkj!$P$110</f>
        <v>85</v>
      </c>
      <c r="G963" s="71">
        <f>tkj!$V$110</f>
        <v>89</v>
      </c>
      <c r="H963" s="72"/>
      <c r="I963" s="72"/>
      <c r="J963" s="73"/>
      <c r="K963" s="73"/>
      <c r="L963" s="71">
        <f>tkj!$AL$110</f>
        <v>89</v>
      </c>
      <c r="M963" s="71">
        <f>tkj!$AR$110</f>
        <v>83</v>
      </c>
      <c r="N963" s="71">
        <f>tkj!$AX$110</f>
        <v>83</v>
      </c>
      <c r="O963" s="73"/>
      <c r="P963" s="74"/>
      <c r="Q963" s="74"/>
      <c r="R963" s="85">
        <f>tkj!$BT$110</f>
        <v>86</v>
      </c>
      <c r="S963" s="85">
        <f>tkj!$BX$110</f>
        <v>86</v>
      </c>
      <c r="T963" s="85">
        <f>tkj!$BY$110</f>
        <v>86</v>
      </c>
      <c r="U963" s="75">
        <f>tkj!$CC$110</f>
        <v>83</v>
      </c>
      <c r="V963" s="58"/>
      <c r="X963" s="278">
        <v>110</v>
      </c>
    </row>
    <row r="964" spans="1:24">
      <c r="A964" s="268">
        <v>106</v>
      </c>
      <c r="B964" s="271"/>
      <c r="C964" s="274"/>
      <c r="D964" s="76" t="s">
        <v>301</v>
      </c>
      <c r="E964" s="77">
        <f>tkj!$CD$110</f>
        <v>93</v>
      </c>
      <c r="F964" s="77">
        <f>tkj!$CE$110</f>
        <v>95</v>
      </c>
      <c r="G964" s="77">
        <f>tkj!$CF$110</f>
        <v>82</v>
      </c>
      <c r="H964" s="72"/>
      <c r="I964" s="72"/>
      <c r="J964" s="73"/>
      <c r="K964" s="73"/>
      <c r="L964" s="77">
        <f>tkj!$CG$110</f>
        <v>94</v>
      </c>
      <c r="M964" s="77">
        <f>tkj!$CH$110</f>
        <v>82</v>
      </c>
      <c r="N964" s="77">
        <f>tkj!$CI$110</f>
        <v>86</v>
      </c>
      <c r="O964" s="73"/>
      <c r="P964" s="74"/>
      <c r="Q964" s="74"/>
      <c r="R964" s="86">
        <f>tkj!$CL$110</f>
        <v>92</v>
      </c>
      <c r="S964" s="86">
        <f>tkj!$CK$110</f>
        <v>90</v>
      </c>
      <c r="T964" s="74"/>
      <c r="U964" s="86">
        <f>tkj!$CJ$110</f>
        <v>80</v>
      </c>
      <c r="V964" s="58"/>
      <c r="X964" s="278">
        <v>110</v>
      </c>
    </row>
    <row r="965" spans="1:24" ht="15" thickBot="1">
      <c r="A965" s="269">
        <v>106</v>
      </c>
      <c r="B965" s="272"/>
      <c r="C965" s="275"/>
      <c r="D965" s="78" t="s">
        <v>302</v>
      </c>
      <c r="E965" s="79">
        <f>(E962*4+E963*3+E964*3)/10</f>
        <v>90.64</v>
      </c>
      <c r="F965" s="79">
        <f t="shared" ref="F965:G965" si="207">(F962*4+F963*3+F964*3)/10</f>
        <v>90.56</v>
      </c>
      <c r="G965" s="79">
        <f t="shared" si="207"/>
        <v>86.42</v>
      </c>
      <c r="H965" s="79">
        <f>AVERAGE(H957:H960)</f>
        <v>84.25</v>
      </c>
      <c r="I965" s="79">
        <f>AVERAGE(I957:I960)</f>
        <v>85.75</v>
      </c>
      <c r="J965" s="79">
        <f>AVERAGE(J957:J958)</f>
        <v>84</v>
      </c>
      <c r="K965" s="79">
        <f>AVERAGE(K957:K960)</f>
        <v>81</v>
      </c>
      <c r="L965" s="79">
        <f>(L962*4+L963*3+L964*3)/10</f>
        <v>87.7</v>
      </c>
      <c r="M965" s="79">
        <f>(M962*4+M963*3+M964*3)/10</f>
        <v>80.460000000000008</v>
      </c>
      <c r="N965" s="79">
        <f>(N962*4+N963*3+N964*3)/10</f>
        <v>83.820000000000007</v>
      </c>
      <c r="O965" s="79">
        <f>AVERAGE(O957:O958)</f>
        <v>89</v>
      </c>
      <c r="P965" s="79">
        <f>AVERAGE(P957:P958)</f>
        <v>84</v>
      </c>
      <c r="Q965" s="79">
        <f>AVERAGE(Q957:Q958)</f>
        <v>77.5</v>
      </c>
      <c r="R965" s="79">
        <f>(R962*4+R963*3+R964*3)/10</f>
        <v>86.466666666666669</v>
      </c>
      <c r="S965" s="79">
        <f>(S962*4+S963*3+S964*3)/10</f>
        <v>86.8</v>
      </c>
      <c r="T965" s="79">
        <f>T963</f>
        <v>86</v>
      </c>
      <c r="U965" s="79">
        <f t="shared" ref="U965" si="208">(U962*4+U963*3+U964*3)/10</f>
        <v>81.566666666666677</v>
      </c>
      <c r="V965" s="80">
        <f>AVERAGE(E965:U965)</f>
        <v>85.054901960784321</v>
      </c>
      <c r="X965" s="278">
        <v>110</v>
      </c>
    </row>
    <row r="966" spans="1:24" ht="15.6" thickTop="1" thickBot="1">
      <c r="A966" s="268">
        <v>107</v>
      </c>
      <c r="B966" s="270" t="s">
        <v>418</v>
      </c>
      <c r="C966" s="273" t="s">
        <v>267</v>
      </c>
      <c r="D966" s="52" t="s">
        <v>294</v>
      </c>
      <c r="E966" s="53">
        <f>tkj!$E$111</f>
        <v>96</v>
      </c>
      <c r="F966" s="53">
        <f>tkj!$K$111</f>
        <v>80</v>
      </c>
      <c r="G966" s="53">
        <f>tkj!$Q$111</f>
        <v>89</v>
      </c>
      <c r="H966" s="53">
        <f>tkj!$W$111</f>
        <v>80</v>
      </c>
      <c r="I966" s="53">
        <f>tkj!$AA$111</f>
        <v>79</v>
      </c>
      <c r="J966" s="53">
        <f>tkj!$AE$111</f>
        <v>83</v>
      </c>
      <c r="K966" s="54">
        <f>tkj!$AG$111</f>
        <v>87</v>
      </c>
      <c r="L966" s="55"/>
      <c r="M966" s="53">
        <f>tkj!$AM$111</f>
        <v>76</v>
      </c>
      <c r="N966" s="53">
        <f>tkj!$AS$111</f>
        <v>74</v>
      </c>
      <c r="O966" s="53">
        <f>tkj!$AY$111</f>
        <v>87</v>
      </c>
      <c r="P966" s="54">
        <f>tkj!$BA$111</f>
        <v>83</v>
      </c>
      <c r="Q966" s="54">
        <f>tkj!$BC$111</f>
        <v>75</v>
      </c>
      <c r="R966" s="55"/>
      <c r="S966" s="55"/>
      <c r="T966" s="55"/>
      <c r="U966" s="55"/>
      <c r="V966" s="56"/>
      <c r="X966" s="278">
        <v>111</v>
      </c>
    </row>
    <row r="967" spans="1:24" ht="15" thickBot="1">
      <c r="A967" s="268">
        <v>107</v>
      </c>
      <c r="B967" s="271"/>
      <c r="C967" s="274"/>
      <c r="D967" s="52" t="s">
        <v>295</v>
      </c>
      <c r="E967" s="53">
        <f>tkj!$F$111</f>
        <v>92</v>
      </c>
      <c r="F967" s="53">
        <f>tkj!$L$111</f>
        <v>80</v>
      </c>
      <c r="G967" s="53">
        <f>tkj!$R$111</f>
        <v>84</v>
      </c>
      <c r="H967" s="53">
        <f>tkj!$X$111</f>
        <v>84</v>
      </c>
      <c r="I967" s="53">
        <f>tkj!$AB$111</f>
        <v>88</v>
      </c>
      <c r="J967" s="53">
        <f>tkj!$AF$111</f>
        <v>86</v>
      </c>
      <c r="K967" s="54">
        <f>tkj!$AH$111</f>
        <v>84</v>
      </c>
      <c r="L967" s="55"/>
      <c r="M967" s="53">
        <f>tkj!$AN$111</f>
        <v>78</v>
      </c>
      <c r="N967" s="53">
        <f>tkj!$AT$111</f>
        <v>80</v>
      </c>
      <c r="O967" s="53">
        <f>tkj!$AZ$111</f>
        <v>93</v>
      </c>
      <c r="P967" s="54">
        <f>tkj!$BB$111</f>
        <v>91</v>
      </c>
      <c r="Q967" s="54">
        <f>tkj!$BD$111</f>
        <v>83</v>
      </c>
      <c r="R967" s="55"/>
      <c r="S967" s="55"/>
      <c r="T967" s="55"/>
      <c r="U967" s="55"/>
      <c r="V967" s="58"/>
      <c r="X967" s="278">
        <v>111</v>
      </c>
    </row>
    <row r="968" spans="1:24" ht="15" thickBot="1">
      <c r="A968" s="268">
        <v>107</v>
      </c>
      <c r="B968" s="271"/>
      <c r="C968" s="274"/>
      <c r="D968" s="52" t="s">
        <v>296</v>
      </c>
      <c r="E968" s="53">
        <f>tkj!$G$111</f>
        <v>88</v>
      </c>
      <c r="F968" s="53">
        <f>tkj!$M$111</f>
        <v>89</v>
      </c>
      <c r="G968" s="53">
        <f>tkj!$S$111</f>
        <v>88</v>
      </c>
      <c r="H968" s="53">
        <f>tkj!$Y$111</f>
        <v>81</v>
      </c>
      <c r="I968" s="53">
        <f>tkj!$AC$111</f>
        <v>85</v>
      </c>
      <c r="J968" s="59"/>
      <c r="K968" s="54">
        <f>tkj!$AI$111</f>
        <v>79</v>
      </c>
      <c r="L968" s="55"/>
      <c r="M968" s="53">
        <f>tkj!$AO$111</f>
        <v>75</v>
      </c>
      <c r="N968" s="53">
        <f>tkj!$AU$111</f>
        <v>83</v>
      </c>
      <c r="O968" s="59"/>
      <c r="P968" s="55"/>
      <c r="Q968" s="55"/>
      <c r="R968" s="54">
        <f>tkj!$BQ$111</f>
        <v>81.333333333333329</v>
      </c>
      <c r="S968" s="54">
        <f>tkj!$BU$111</f>
        <v>88</v>
      </c>
      <c r="T968" s="55"/>
      <c r="U968" s="54">
        <f>tkj!$BZ$111</f>
        <v>78</v>
      </c>
      <c r="V968" s="58"/>
      <c r="X968" s="278">
        <v>111</v>
      </c>
    </row>
    <row r="969" spans="1:24" ht="15" thickBot="1">
      <c r="A969" s="268">
        <v>107</v>
      </c>
      <c r="B969" s="271"/>
      <c r="C969" s="274"/>
      <c r="D969" s="62" t="s">
        <v>297</v>
      </c>
      <c r="E969" s="53">
        <f>tkj!$H$111</f>
        <v>86</v>
      </c>
      <c r="F969" s="53">
        <f>tkj!$N$111</f>
        <v>90</v>
      </c>
      <c r="G969" s="53">
        <f>tkj!$T$111</f>
        <v>91</v>
      </c>
      <c r="H969" s="53">
        <f>tkj!$Z$111</f>
        <v>84</v>
      </c>
      <c r="I969" s="53">
        <f>tkj!$AD$111</f>
        <v>82</v>
      </c>
      <c r="J969" s="59"/>
      <c r="K969" s="54">
        <f>tkj!$AJ$111</f>
        <v>82</v>
      </c>
      <c r="L969" s="55"/>
      <c r="M969" s="53">
        <f>tkj!$AP$111</f>
        <v>76</v>
      </c>
      <c r="N969" s="53">
        <f>tkj!$AV$111</f>
        <v>84</v>
      </c>
      <c r="O969" s="59"/>
      <c r="P969" s="55"/>
      <c r="Q969" s="55"/>
      <c r="R969" s="54">
        <f>tkj!$BR$111</f>
        <v>83.333333333333329</v>
      </c>
      <c r="S969" s="54">
        <f>tkj!$BV$111</f>
        <v>86</v>
      </c>
      <c r="T969" s="63"/>
      <c r="U969" s="54">
        <f>tkj!$CA$111</f>
        <v>85</v>
      </c>
      <c r="V969" s="58"/>
      <c r="X969" s="278">
        <v>111</v>
      </c>
    </row>
    <row r="970" spans="1:24">
      <c r="A970" s="268">
        <v>107</v>
      </c>
      <c r="B970" s="271"/>
      <c r="C970" s="274"/>
      <c r="D970" s="62" t="s">
        <v>298</v>
      </c>
      <c r="E970" s="53">
        <f>tkj!$I$111</f>
        <v>88</v>
      </c>
      <c r="F970" s="53">
        <f>tkj!$O$111</f>
        <v>90</v>
      </c>
      <c r="G970" s="53">
        <f>tkj!$U$111</f>
        <v>88</v>
      </c>
      <c r="H970" s="65"/>
      <c r="I970" s="65"/>
      <c r="J970" s="59"/>
      <c r="K970" s="59"/>
      <c r="L970" s="53">
        <f>tkj!$AK$111</f>
        <v>85</v>
      </c>
      <c r="M970" s="53">
        <f>tkj!$AQ$111</f>
        <v>83</v>
      </c>
      <c r="N970" s="53">
        <f>tkj!$AW$111</f>
        <v>80</v>
      </c>
      <c r="O970" s="59"/>
      <c r="P970" s="55"/>
      <c r="Q970" s="55"/>
      <c r="R970" s="54">
        <f>tkj!$BS$111</f>
        <v>83.666666666666671</v>
      </c>
      <c r="S970" s="54">
        <f>tkj!$BW$111</f>
        <v>84</v>
      </c>
      <c r="T970" s="54"/>
      <c r="U970" s="54">
        <f>tkj!$CB$111</f>
        <v>77</v>
      </c>
      <c r="V970" s="58"/>
      <c r="X970" s="278">
        <v>111</v>
      </c>
    </row>
    <row r="971" spans="1:24">
      <c r="A971" s="268">
        <v>107</v>
      </c>
      <c r="B971" s="271"/>
      <c r="C971" s="274"/>
      <c r="D971" s="66" t="s">
        <v>299</v>
      </c>
      <c r="E971" s="67">
        <f>AVERAGE(E966:E970)</f>
        <v>90</v>
      </c>
      <c r="F971" s="67">
        <f>AVERAGE(F966:F970)</f>
        <v>85.8</v>
      </c>
      <c r="G971" s="67">
        <f>AVERAGE(G966:G970)</f>
        <v>88</v>
      </c>
      <c r="H971" s="68"/>
      <c r="I971" s="68"/>
      <c r="J971" s="69"/>
      <c r="K971" s="69"/>
      <c r="L971" s="67">
        <f>AVERAGE(L966:L970)</f>
        <v>85</v>
      </c>
      <c r="M971" s="67">
        <f>AVERAGE(M966:M970)</f>
        <v>77.599999999999994</v>
      </c>
      <c r="N971" s="67">
        <f>AVERAGE(N966:N970)</f>
        <v>80.2</v>
      </c>
      <c r="O971" s="69"/>
      <c r="P971" s="63"/>
      <c r="Q971" s="63"/>
      <c r="R971" s="84">
        <f>AVERAGE(R968:R970)</f>
        <v>82.777777777777771</v>
      </c>
      <c r="S971" s="84">
        <f>AVERAGE(S968:S970)</f>
        <v>86</v>
      </c>
      <c r="T971" s="63"/>
      <c r="U971" s="84">
        <f>AVERAGE(U966:U970)</f>
        <v>80</v>
      </c>
      <c r="V971" s="58"/>
      <c r="X971" s="278">
        <v>111</v>
      </c>
    </row>
    <row r="972" spans="1:24">
      <c r="A972" s="268">
        <v>107</v>
      </c>
      <c r="B972" s="271"/>
      <c r="C972" s="274"/>
      <c r="D972" s="70" t="s">
        <v>300</v>
      </c>
      <c r="E972" s="71">
        <f>tkj!$J$111</f>
        <v>85</v>
      </c>
      <c r="F972" s="71">
        <f>tkj!$P$111</f>
        <v>89</v>
      </c>
      <c r="G972" s="71">
        <f>tkj!$V$111</f>
        <v>85</v>
      </c>
      <c r="H972" s="72"/>
      <c r="I972" s="72"/>
      <c r="J972" s="73"/>
      <c r="K972" s="73"/>
      <c r="L972" s="71">
        <f>tkj!$AL$111</f>
        <v>85</v>
      </c>
      <c r="M972" s="71">
        <f>tkj!$AR$111</f>
        <v>89</v>
      </c>
      <c r="N972" s="71">
        <f>tkj!$AX$111</f>
        <v>89</v>
      </c>
      <c r="O972" s="73"/>
      <c r="P972" s="74"/>
      <c r="Q972" s="74"/>
      <c r="R972" s="85">
        <f>tkj!$BT$111</f>
        <v>87</v>
      </c>
      <c r="S972" s="85">
        <f>tkj!$BX$111</f>
        <v>87</v>
      </c>
      <c r="T972" s="85">
        <f>tkj!$BY$111</f>
        <v>87</v>
      </c>
      <c r="U972" s="75">
        <f>tkj!$CC$111</f>
        <v>89</v>
      </c>
      <c r="V972" s="58"/>
      <c r="X972" s="278">
        <v>111</v>
      </c>
    </row>
    <row r="973" spans="1:24">
      <c r="A973" s="268">
        <v>107</v>
      </c>
      <c r="B973" s="271"/>
      <c r="C973" s="274"/>
      <c r="D973" s="76" t="s">
        <v>301</v>
      </c>
      <c r="E973" s="77">
        <f>tkj!$CD$111</f>
        <v>88</v>
      </c>
      <c r="F973" s="77">
        <f>tkj!$CE$111</f>
        <v>88</v>
      </c>
      <c r="G973" s="77">
        <f>tkj!$CF$111</f>
        <v>84</v>
      </c>
      <c r="H973" s="72"/>
      <c r="I973" s="72"/>
      <c r="J973" s="73"/>
      <c r="K973" s="73"/>
      <c r="L973" s="77">
        <f>tkj!$CG$111</f>
        <v>85</v>
      </c>
      <c r="M973" s="77">
        <f>tkj!$CH$111</f>
        <v>82</v>
      </c>
      <c r="N973" s="77">
        <f>tkj!$CI$111</f>
        <v>80</v>
      </c>
      <c r="O973" s="73"/>
      <c r="P973" s="74"/>
      <c r="Q973" s="74"/>
      <c r="R973" s="86">
        <f>tkj!$CL$111</f>
        <v>80</v>
      </c>
      <c r="S973" s="86">
        <f>tkj!$CK$111</f>
        <v>78</v>
      </c>
      <c r="T973" s="74"/>
      <c r="U973" s="86">
        <f>tkj!$CJ$111</f>
        <v>80</v>
      </c>
      <c r="V973" s="58"/>
      <c r="X973" s="278">
        <v>111</v>
      </c>
    </row>
    <row r="974" spans="1:24" ht="15" thickBot="1">
      <c r="A974" s="269">
        <v>107</v>
      </c>
      <c r="B974" s="272"/>
      <c r="C974" s="275"/>
      <c r="D974" s="78" t="s">
        <v>302</v>
      </c>
      <c r="E974" s="79">
        <f>(E971*4+E972*3+E973*3)/10</f>
        <v>87.9</v>
      </c>
      <c r="F974" s="79">
        <f t="shared" ref="F974:G974" si="209">(F971*4+F972*3+F973*3)/10</f>
        <v>87.42</v>
      </c>
      <c r="G974" s="79">
        <f t="shared" si="209"/>
        <v>85.9</v>
      </c>
      <c r="H974" s="79">
        <f>AVERAGE(H966:H969)</f>
        <v>82.25</v>
      </c>
      <c r="I974" s="79">
        <f>AVERAGE(I966:I969)</f>
        <v>83.5</v>
      </c>
      <c r="J974" s="79">
        <f>AVERAGE(J966:J967)</f>
        <v>84.5</v>
      </c>
      <c r="K974" s="79">
        <f>AVERAGE(K966:K969)</f>
        <v>83</v>
      </c>
      <c r="L974" s="79">
        <f>(L971*4+L972*3+L973*3)/10</f>
        <v>85</v>
      </c>
      <c r="M974" s="79">
        <f>(M971*4+M972*3+M973*3)/10</f>
        <v>82.34</v>
      </c>
      <c r="N974" s="79">
        <f>(N971*4+N972*3+N973*3)/10</f>
        <v>82.78</v>
      </c>
      <c r="O974" s="79">
        <f>AVERAGE(O966:O967)</f>
        <v>90</v>
      </c>
      <c r="P974" s="79">
        <f>AVERAGE(P966:P967)</f>
        <v>87</v>
      </c>
      <c r="Q974" s="79">
        <f>AVERAGE(Q966:Q967)</f>
        <v>79</v>
      </c>
      <c r="R974" s="79">
        <f>(R971*4+R972*3+R973*3)/10</f>
        <v>83.211111111111109</v>
      </c>
      <c r="S974" s="79">
        <f>(S971*4+S972*3+S973*3)/10</f>
        <v>83.9</v>
      </c>
      <c r="T974" s="79">
        <f>T972</f>
        <v>87</v>
      </c>
      <c r="U974" s="79">
        <f t="shared" ref="U974" si="210">(U971*4+U972*3+U973*3)/10</f>
        <v>82.7</v>
      </c>
      <c r="V974" s="80">
        <f>AVERAGE(E974:U974)</f>
        <v>84.553006535947731</v>
      </c>
      <c r="X974" s="278">
        <v>111</v>
      </c>
    </row>
    <row r="975" spans="1:24" ht="15" thickTop="1">
      <c r="X975" s="279"/>
    </row>
    <row r="976" spans="1:24">
      <c r="X976" s="279"/>
    </row>
    <row r="977" spans="2:24">
      <c r="X977" s="279"/>
    </row>
    <row r="978" spans="2:24" ht="18">
      <c r="B978" s="42" t="s">
        <v>303</v>
      </c>
      <c r="T978" s="91" t="s">
        <v>715</v>
      </c>
      <c r="X978" s="279"/>
    </row>
    <row r="979" spans="2:24" ht="18">
      <c r="B979" s="42" t="s">
        <v>304</v>
      </c>
      <c r="T979" s="91" t="s">
        <v>419</v>
      </c>
      <c r="X979" s="279"/>
    </row>
    <row r="980" spans="2:24" ht="18">
      <c r="T980" s="91"/>
      <c r="X980" s="279"/>
    </row>
    <row r="981" spans="2:24" ht="18">
      <c r="T981" s="91"/>
      <c r="X981" s="279"/>
    </row>
    <row r="982" spans="2:24" ht="18">
      <c r="T982" s="91"/>
      <c r="X982" s="279"/>
    </row>
    <row r="983" spans="2:24" ht="18">
      <c r="K983" s="47"/>
      <c r="L983" s="47"/>
      <c r="M983" s="47"/>
      <c r="N983" s="47"/>
      <c r="O983" s="47"/>
      <c r="P983" s="47"/>
      <c r="Q983" s="47"/>
      <c r="R983" s="47"/>
      <c r="S983" s="47"/>
      <c r="T983" s="91"/>
      <c r="U983" s="47"/>
      <c r="X983" s="279"/>
    </row>
    <row r="984" spans="2:24" ht="18">
      <c r="T984" s="91"/>
      <c r="X984" s="279"/>
    </row>
    <row r="985" spans="2:24" ht="18">
      <c r="T985" s="91"/>
      <c r="X985" s="279"/>
    </row>
    <row r="986" spans="2:24" ht="18">
      <c r="T986" s="91"/>
      <c r="X986" s="279"/>
    </row>
    <row r="987" spans="2:24" ht="18">
      <c r="B987" s="47" t="s">
        <v>305</v>
      </c>
      <c r="T987" s="92" t="s">
        <v>420</v>
      </c>
      <c r="X987" s="279"/>
    </row>
    <row r="988" spans="2:24" ht="18">
      <c r="B988" s="42" t="s">
        <v>306</v>
      </c>
      <c r="T988" s="92" t="s">
        <v>421</v>
      </c>
      <c r="X988" s="279"/>
    </row>
    <row r="989" spans="2:24">
      <c r="X989" s="279"/>
    </row>
    <row r="990" spans="2:24">
      <c r="X990" s="279"/>
    </row>
  </sheetData>
  <mergeCells count="457">
    <mergeCell ref="X982:X990"/>
    <mergeCell ref="X903:X911"/>
    <mergeCell ref="X912:X920"/>
    <mergeCell ref="X921:X929"/>
    <mergeCell ref="X930:X938"/>
    <mergeCell ref="X939:X947"/>
    <mergeCell ref="X948:X956"/>
    <mergeCell ref="X957:X965"/>
    <mergeCell ref="X966:X974"/>
    <mergeCell ref="X975:X981"/>
    <mergeCell ref="X822:X830"/>
    <mergeCell ref="X831:X839"/>
    <mergeCell ref="X840:X848"/>
    <mergeCell ref="X849:X857"/>
    <mergeCell ref="X858:X866"/>
    <mergeCell ref="X867:X875"/>
    <mergeCell ref="X876:X884"/>
    <mergeCell ref="X885:X893"/>
    <mergeCell ref="X894:X902"/>
    <mergeCell ref="X741:X749"/>
    <mergeCell ref="X750:X758"/>
    <mergeCell ref="X759:X767"/>
    <mergeCell ref="X768:X776"/>
    <mergeCell ref="X777:X785"/>
    <mergeCell ref="X786:X794"/>
    <mergeCell ref="X795:X803"/>
    <mergeCell ref="X804:X812"/>
    <mergeCell ref="X813:X821"/>
    <mergeCell ref="X660:X668"/>
    <mergeCell ref="X669:X677"/>
    <mergeCell ref="X678:X686"/>
    <mergeCell ref="X687:X695"/>
    <mergeCell ref="X696:X704"/>
    <mergeCell ref="X705:X713"/>
    <mergeCell ref="X714:X722"/>
    <mergeCell ref="X723:X731"/>
    <mergeCell ref="X732:X740"/>
    <mergeCell ref="X579:X587"/>
    <mergeCell ref="X588:X596"/>
    <mergeCell ref="X597:X605"/>
    <mergeCell ref="X606:X614"/>
    <mergeCell ref="X615:X623"/>
    <mergeCell ref="X624:X632"/>
    <mergeCell ref="X633:X641"/>
    <mergeCell ref="X642:X650"/>
    <mergeCell ref="X651:X659"/>
    <mergeCell ref="X498:X506"/>
    <mergeCell ref="X507:X515"/>
    <mergeCell ref="X516:X524"/>
    <mergeCell ref="X525:X533"/>
    <mergeCell ref="X534:X542"/>
    <mergeCell ref="X543:X551"/>
    <mergeCell ref="X552:X560"/>
    <mergeCell ref="X561:X569"/>
    <mergeCell ref="X570:X578"/>
    <mergeCell ref="X417:X425"/>
    <mergeCell ref="X426:X434"/>
    <mergeCell ref="X435:X443"/>
    <mergeCell ref="X444:X452"/>
    <mergeCell ref="X453:X461"/>
    <mergeCell ref="X462:X470"/>
    <mergeCell ref="X471:X479"/>
    <mergeCell ref="X480:X488"/>
    <mergeCell ref="X489:X497"/>
    <mergeCell ref="X336:X344"/>
    <mergeCell ref="X345:X353"/>
    <mergeCell ref="X354:X362"/>
    <mergeCell ref="X363:X371"/>
    <mergeCell ref="X372:X380"/>
    <mergeCell ref="X381:X389"/>
    <mergeCell ref="X390:X398"/>
    <mergeCell ref="X399:X407"/>
    <mergeCell ref="X408:X416"/>
    <mergeCell ref="X255:X263"/>
    <mergeCell ref="X264:X272"/>
    <mergeCell ref="X273:X281"/>
    <mergeCell ref="X282:X290"/>
    <mergeCell ref="X291:X299"/>
    <mergeCell ref="X300:X308"/>
    <mergeCell ref="X309:X317"/>
    <mergeCell ref="X318:X326"/>
    <mergeCell ref="X327:X335"/>
    <mergeCell ref="X174:X182"/>
    <mergeCell ref="X183:X191"/>
    <mergeCell ref="X192:X200"/>
    <mergeCell ref="X201:X209"/>
    <mergeCell ref="X210:X218"/>
    <mergeCell ref="X219:X227"/>
    <mergeCell ref="X228:X236"/>
    <mergeCell ref="X237:X245"/>
    <mergeCell ref="X246:X254"/>
    <mergeCell ref="X12:X20"/>
    <mergeCell ref="X21:X29"/>
    <mergeCell ref="X30:X38"/>
    <mergeCell ref="X39:X47"/>
    <mergeCell ref="X48:X56"/>
    <mergeCell ref="X57:X65"/>
    <mergeCell ref="X66:X74"/>
    <mergeCell ref="X75:X83"/>
    <mergeCell ref="X84:X92"/>
    <mergeCell ref="X93:X101"/>
    <mergeCell ref="X102:X110"/>
    <mergeCell ref="X111:X119"/>
    <mergeCell ref="X120:X128"/>
    <mergeCell ref="X129:X137"/>
    <mergeCell ref="X138:X146"/>
    <mergeCell ref="X147:X155"/>
    <mergeCell ref="X156:X164"/>
    <mergeCell ref="X165:X173"/>
    <mergeCell ref="A966:A974"/>
    <mergeCell ref="B966:B974"/>
    <mergeCell ref="C966:C974"/>
    <mergeCell ref="A939:A947"/>
    <mergeCell ref="B939:B947"/>
    <mergeCell ref="C939:C947"/>
    <mergeCell ref="A948:A956"/>
    <mergeCell ref="B948:B956"/>
    <mergeCell ref="C948:C956"/>
    <mergeCell ref="A957:A965"/>
    <mergeCell ref="B957:B965"/>
    <mergeCell ref="C957:C965"/>
    <mergeCell ref="A912:A920"/>
    <mergeCell ref="B912:B920"/>
    <mergeCell ref="C912:C920"/>
    <mergeCell ref="A921:A929"/>
    <mergeCell ref="B921:B929"/>
    <mergeCell ref="C921:C929"/>
    <mergeCell ref="A930:A938"/>
    <mergeCell ref="B930:B938"/>
    <mergeCell ref="C930:C938"/>
    <mergeCell ref="A885:A893"/>
    <mergeCell ref="B885:B893"/>
    <mergeCell ref="C885:C893"/>
    <mergeCell ref="A894:A902"/>
    <mergeCell ref="B894:B902"/>
    <mergeCell ref="C894:C902"/>
    <mergeCell ref="A903:A911"/>
    <mergeCell ref="B903:B911"/>
    <mergeCell ref="C903:C911"/>
    <mergeCell ref="A858:A866"/>
    <mergeCell ref="B858:B866"/>
    <mergeCell ref="C858:C866"/>
    <mergeCell ref="A867:A875"/>
    <mergeCell ref="B867:B875"/>
    <mergeCell ref="C867:C875"/>
    <mergeCell ref="A876:A884"/>
    <mergeCell ref="B876:B884"/>
    <mergeCell ref="C876:C884"/>
    <mergeCell ref="A831:A839"/>
    <mergeCell ref="B831:B839"/>
    <mergeCell ref="C831:C839"/>
    <mergeCell ref="A840:A848"/>
    <mergeCell ref="B840:B848"/>
    <mergeCell ref="C840:C848"/>
    <mergeCell ref="A849:A857"/>
    <mergeCell ref="B849:B857"/>
    <mergeCell ref="C849:C857"/>
    <mergeCell ref="A804:A812"/>
    <mergeCell ref="B804:B812"/>
    <mergeCell ref="C804:C812"/>
    <mergeCell ref="A813:A821"/>
    <mergeCell ref="B813:B821"/>
    <mergeCell ref="C813:C821"/>
    <mergeCell ref="A822:A830"/>
    <mergeCell ref="B822:B830"/>
    <mergeCell ref="C822:C830"/>
    <mergeCell ref="A777:A785"/>
    <mergeCell ref="B777:B785"/>
    <mergeCell ref="C777:C785"/>
    <mergeCell ref="A786:A794"/>
    <mergeCell ref="B786:B794"/>
    <mergeCell ref="C786:C794"/>
    <mergeCell ref="A795:A803"/>
    <mergeCell ref="B795:B803"/>
    <mergeCell ref="C795:C803"/>
    <mergeCell ref="A750:A758"/>
    <mergeCell ref="B750:B758"/>
    <mergeCell ref="C750:C758"/>
    <mergeCell ref="A759:A767"/>
    <mergeCell ref="B759:B767"/>
    <mergeCell ref="C759:C767"/>
    <mergeCell ref="A768:A776"/>
    <mergeCell ref="B768:B776"/>
    <mergeCell ref="C768:C776"/>
    <mergeCell ref="A723:A731"/>
    <mergeCell ref="B723:B731"/>
    <mergeCell ref="C723:C731"/>
    <mergeCell ref="A732:A740"/>
    <mergeCell ref="B732:B740"/>
    <mergeCell ref="C732:C740"/>
    <mergeCell ref="A741:A749"/>
    <mergeCell ref="B741:B749"/>
    <mergeCell ref="C741:C749"/>
    <mergeCell ref="A696:A704"/>
    <mergeCell ref="B696:B704"/>
    <mergeCell ref="C696:C704"/>
    <mergeCell ref="A705:A713"/>
    <mergeCell ref="B705:B713"/>
    <mergeCell ref="C705:C713"/>
    <mergeCell ref="A714:A722"/>
    <mergeCell ref="B714:B722"/>
    <mergeCell ref="C714:C722"/>
    <mergeCell ref="A669:A677"/>
    <mergeCell ref="B669:B677"/>
    <mergeCell ref="C669:C677"/>
    <mergeCell ref="A678:A686"/>
    <mergeCell ref="B678:B686"/>
    <mergeCell ref="C678:C686"/>
    <mergeCell ref="A687:A695"/>
    <mergeCell ref="B687:B695"/>
    <mergeCell ref="C687:C695"/>
    <mergeCell ref="A642:A650"/>
    <mergeCell ref="B642:B650"/>
    <mergeCell ref="C642:C650"/>
    <mergeCell ref="A651:A659"/>
    <mergeCell ref="B651:B659"/>
    <mergeCell ref="C651:C659"/>
    <mergeCell ref="A660:A668"/>
    <mergeCell ref="B660:B668"/>
    <mergeCell ref="C660:C668"/>
    <mergeCell ref="A615:A623"/>
    <mergeCell ref="B615:B623"/>
    <mergeCell ref="C615:C623"/>
    <mergeCell ref="A624:A632"/>
    <mergeCell ref="B624:B632"/>
    <mergeCell ref="C624:C632"/>
    <mergeCell ref="A633:A641"/>
    <mergeCell ref="B633:B641"/>
    <mergeCell ref="C633:C641"/>
    <mergeCell ref="A588:A596"/>
    <mergeCell ref="B588:B596"/>
    <mergeCell ref="C588:C596"/>
    <mergeCell ref="A597:A605"/>
    <mergeCell ref="B597:B605"/>
    <mergeCell ref="C597:C605"/>
    <mergeCell ref="A606:A614"/>
    <mergeCell ref="B606:B614"/>
    <mergeCell ref="C606:C614"/>
    <mergeCell ref="A561:A569"/>
    <mergeCell ref="B561:B569"/>
    <mergeCell ref="C561:C569"/>
    <mergeCell ref="A570:A578"/>
    <mergeCell ref="B570:B578"/>
    <mergeCell ref="C570:C578"/>
    <mergeCell ref="A579:A587"/>
    <mergeCell ref="B579:B587"/>
    <mergeCell ref="C579:C587"/>
    <mergeCell ref="A534:A542"/>
    <mergeCell ref="B534:B542"/>
    <mergeCell ref="C534:C542"/>
    <mergeCell ref="A543:A551"/>
    <mergeCell ref="B543:B551"/>
    <mergeCell ref="C543:C551"/>
    <mergeCell ref="A552:A560"/>
    <mergeCell ref="B552:B560"/>
    <mergeCell ref="C552:C560"/>
    <mergeCell ref="A507:A515"/>
    <mergeCell ref="B507:B515"/>
    <mergeCell ref="C507:C515"/>
    <mergeCell ref="A516:A524"/>
    <mergeCell ref="B516:B524"/>
    <mergeCell ref="C516:C524"/>
    <mergeCell ref="A525:A533"/>
    <mergeCell ref="B525:B533"/>
    <mergeCell ref="C525:C533"/>
    <mergeCell ref="A480:A488"/>
    <mergeCell ref="B480:B488"/>
    <mergeCell ref="C480:C488"/>
    <mergeCell ref="A489:A497"/>
    <mergeCell ref="B489:B497"/>
    <mergeCell ref="C489:C497"/>
    <mergeCell ref="A498:A506"/>
    <mergeCell ref="B498:B506"/>
    <mergeCell ref="C498:C506"/>
    <mergeCell ref="A453:A461"/>
    <mergeCell ref="B453:B461"/>
    <mergeCell ref="C453:C461"/>
    <mergeCell ref="A462:A470"/>
    <mergeCell ref="B462:B470"/>
    <mergeCell ref="C462:C470"/>
    <mergeCell ref="A471:A479"/>
    <mergeCell ref="B471:B479"/>
    <mergeCell ref="C471:C479"/>
    <mergeCell ref="A426:A434"/>
    <mergeCell ref="B426:B434"/>
    <mergeCell ref="C426:C434"/>
    <mergeCell ref="A435:A443"/>
    <mergeCell ref="B435:B443"/>
    <mergeCell ref="C435:C443"/>
    <mergeCell ref="A444:A452"/>
    <mergeCell ref="B444:B452"/>
    <mergeCell ref="C444:C452"/>
    <mergeCell ref="A399:A407"/>
    <mergeCell ref="B399:B407"/>
    <mergeCell ref="C399:C407"/>
    <mergeCell ref="A408:A416"/>
    <mergeCell ref="B408:B416"/>
    <mergeCell ref="C408:C416"/>
    <mergeCell ref="A417:A425"/>
    <mergeCell ref="B417:B425"/>
    <mergeCell ref="C417:C425"/>
    <mergeCell ref="A372:A380"/>
    <mergeCell ref="B372:B380"/>
    <mergeCell ref="C372:C380"/>
    <mergeCell ref="A381:A389"/>
    <mergeCell ref="B381:B389"/>
    <mergeCell ref="C381:C389"/>
    <mergeCell ref="A390:A398"/>
    <mergeCell ref="B390:B398"/>
    <mergeCell ref="C390:C398"/>
    <mergeCell ref="A345:A353"/>
    <mergeCell ref="B345:B353"/>
    <mergeCell ref="C345:C353"/>
    <mergeCell ref="A354:A362"/>
    <mergeCell ref="B354:B362"/>
    <mergeCell ref="C354:C362"/>
    <mergeCell ref="A363:A371"/>
    <mergeCell ref="B363:B371"/>
    <mergeCell ref="C363:C371"/>
    <mergeCell ref="A318:A326"/>
    <mergeCell ref="B318:B326"/>
    <mergeCell ref="C318:C326"/>
    <mergeCell ref="A327:A335"/>
    <mergeCell ref="B327:B335"/>
    <mergeCell ref="C327:C335"/>
    <mergeCell ref="A336:A344"/>
    <mergeCell ref="B336:B344"/>
    <mergeCell ref="C336:C344"/>
    <mergeCell ref="C75:C83"/>
    <mergeCell ref="A291:A299"/>
    <mergeCell ref="B291:B299"/>
    <mergeCell ref="C291:C299"/>
    <mergeCell ref="A300:A308"/>
    <mergeCell ref="B300:B308"/>
    <mergeCell ref="C300:C308"/>
    <mergeCell ref="A309:A317"/>
    <mergeCell ref="B309:B317"/>
    <mergeCell ref="C309:C317"/>
    <mergeCell ref="A84:A92"/>
    <mergeCell ref="B84:B92"/>
    <mergeCell ref="C84:C92"/>
    <mergeCell ref="A129:A137"/>
    <mergeCell ref="B129:B137"/>
    <mergeCell ref="C129:C137"/>
    <mergeCell ref="A138:A146"/>
    <mergeCell ref="B138:B146"/>
    <mergeCell ref="C138:C146"/>
    <mergeCell ref="A111:A119"/>
    <mergeCell ref="B111:B119"/>
    <mergeCell ref="C111:C119"/>
    <mergeCell ref="A120:A128"/>
    <mergeCell ref="B120:B128"/>
    <mergeCell ref="R9:R11"/>
    <mergeCell ref="A39:A47"/>
    <mergeCell ref="B39:B47"/>
    <mergeCell ref="C39:C47"/>
    <mergeCell ref="A48:A56"/>
    <mergeCell ref="B48:B56"/>
    <mergeCell ref="C48:C56"/>
    <mergeCell ref="A282:A290"/>
    <mergeCell ref="B282:B290"/>
    <mergeCell ref="C282:C290"/>
    <mergeCell ref="A57:A65"/>
    <mergeCell ref="B57:B65"/>
    <mergeCell ref="C57:C65"/>
    <mergeCell ref="A66:A74"/>
    <mergeCell ref="B66:B74"/>
    <mergeCell ref="C66:C74"/>
    <mergeCell ref="A93:A101"/>
    <mergeCell ref="B93:B101"/>
    <mergeCell ref="C93:C101"/>
    <mergeCell ref="A102:A110"/>
    <mergeCell ref="B102:B110"/>
    <mergeCell ref="C102:C110"/>
    <mergeCell ref="A75:A83"/>
    <mergeCell ref="B75:B83"/>
    <mergeCell ref="A21:A29"/>
    <mergeCell ref="B21:B29"/>
    <mergeCell ref="C21:C29"/>
    <mergeCell ref="A30:A38"/>
    <mergeCell ref="B30:B38"/>
    <mergeCell ref="C30:C38"/>
    <mergeCell ref="I9:I11"/>
    <mergeCell ref="J9:J11"/>
    <mergeCell ref="A12:A20"/>
    <mergeCell ref="B12:B20"/>
    <mergeCell ref="C12:C20"/>
    <mergeCell ref="A1:V1"/>
    <mergeCell ref="A2:V2"/>
    <mergeCell ref="A8:A11"/>
    <mergeCell ref="B8:B11"/>
    <mergeCell ref="C8:C11"/>
    <mergeCell ref="E8:J8"/>
    <mergeCell ref="K8:L8"/>
    <mergeCell ref="M8:U8"/>
    <mergeCell ref="V8:V11"/>
    <mergeCell ref="D9:D11"/>
    <mergeCell ref="M9:M11"/>
    <mergeCell ref="N9:N11"/>
    <mergeCell ref="O9:O11"/>
    <mergeCell ref="P9:P11"/>
    <mergeCell ref="E9:E11"/>
    <mergeCell ref="F9:F11"/>
    <mergeCell ref="G9:G11"/>
    <mergeCell ref="H9:H11"/>
    <mergeCell ref="S9:S11"/>
    <mergeCell ref="T9:T11"/>
    <mergeCell ref="U9:U11"/>
    <mergeCell ref="K9:K11"/>
    <mergeCell ref="L9:L11"/>
    <mergeCell ref="Q9:Q11"/>
    <mergeCell ref="C120:C128"/>
    <mergeCell ref="A165:A173"/>
    <mergeCell ref="B165:B173"/>
    <mergeCell ref="C165:C173"/>
    <mergeCell ref="A174:A182"/>
    <mergeCell ref="B174:B182"/>
    <mergeCell ref="C174:C182"/>
    <mergeCell ref="A147:A155"/>
    <mergeCell ref="B147:B155"/>
    <mergeCell ref="C147:C155"/>
    <mergeCell ref="A156:A164"/>
    <mergeCell ref="B156:B164"/>
    <mergeCell ref="C156:C164"/>
    <mergeCell ref="A201:A209"/>
    <mergeCell ref="B201:B209"/>
    <mergeCell ref="C201:C209"/>
    <mergeCell ref="A210:A218"/>
    <mergeCell ref="B210:B218"/>
    <mergeCell ref="C210:C218"/>
    <mergeCell ref="A183:A191"/>
    <mergeCell ref="B183:B191"/>
    <mergeCell ref="C183:C191"/>
    <mergeCell ref="A192:A200"/>
    <mergeCell ref="B192:B200"/>
    <mergeCell ref="C192:C200"/>
    <mergeCell ref="A237:A245"/>
    <mergeCell ref="B237:B245"/>
    <mergeCell ref="C237:C245"/>
    <mergeCell ref="A246:A254"/>
    <mergeCell ref="B246:B254"/>
    <mergeCell ref="C246:C254"/>
    <mergeCell ref="A219:A227"/>
    <mergeCell ref="B219:B227"/>
    <mergeCell ref="C219:C227"/>
    <mergeCell ref="A228:A236"/>
    <mergeCell ref="B228:B236"/>
    <mergeCell ref="C228:C236"/>
    <mergeCell ref="A273:A281"/>
    <mergeCell ref="B273:B281"/>
    <mergeCell ref="C273:C281"/>
    <mergeCell ref="A255:A263"/>
    <mergeCell ref="B255:B263"/>
    <mergeCell ref="C255:C263"/>
    <mergeCell ref="A264:A272"/>
    <mergeCell ref="B264:B272"/>
    <mergeCell ref="C264:C272"/>
  </mergeCells>
  <conditionalFormatting sqref="E17:U17">
    <cfRule type="cellIs" dxfId="879" priority="1491" stopIfTrue="1" operator="notBetween">
      <formula>0</formula>
      <formula>100</formula>
    </cfRule>
    <cfRule type="cellIs" dxfId="878" priority="1492" stopIfTrue="1" operator="between">
      <formula>0</formula>
      <formula>55</formula>
    </cfRule>
    <cfRule type="cellIs" dxfId="877" priority="1490" stopIfTrue="1" operator="lessThan">
      <formula>#REF!</formula>
    </cfRule>
    <cfRule type="cellIs" dxfId="876" priority="1489" stopIfTrue="1" operator="notBetween">
      <formula>0</formula>
      <formula>100</formula>
    </cfRule>
  </conditionalFormatting>
  <conditionalFormatting sqref="E26:U26">
    <cfRule type="cellIs" dxfId="875" priority="1190" stopIfTrue="1" operator="lessThan">
      <formula>#REF!</formula>
    </cfRule>
    <cfRule type="cellIs" dxfId="874" priority="1192" stopIfTrue="1" operator="between">
      <formula>0</formula>
      <formula>55</formula>
    </cfRule>
    <cfRule type="cellIs" dxfId="873" priority="1191" stopIfTrue="1" operator="notBetween">
      <formula>0</formula>
      <formula>100</formula>
    </cfRule>
    <cfRule type="cellIs" dxfId="872" priority="1189" stopIfTrue="1" operator="notBetween">
      <formula>0</formula>
      <formula>100</formula>
    </cfRule>
  </conditionalFormatting>
  <conditionalFormatting sqref="E35:U35">
    <cfRule type="cellIs" dxfId="871" priority="1184" stopIfTrue="1" operator="between">
      <formula>0</formula>
      <formula>55</formula>
    </cfRule>
    <cfRule type="cellIs" dxfId="870" priority="1183" stopIfTrue="1" operator="notBetween">
      <formula>0</formula>
      <formula>100</formula>
    </cfRule>
    <cfRule type="cellIs" dxfId="869" priority="1182" stopIfTrue="1" operator="lessThan">
      <formula>#REF!</formula>
    </cfRule>
    <cfRule type="cellIs" dxfId="868" priority="1181" stopIfTrue="1" operator="notBetween">
      <formula>0</formula>
      <formula>100</formula>
    </cfRule>
  </conditionalFormatting>
  <conditionalFormatting sqref="E44:U44">
    <cfRule type="cellIs" dxfId="867" priority="1176" stopIfTrue="1" operator="between">
      <formula>0</formula>
      <formula>55</formula>
    </cfRule>
    <cfRule type="cellIs" dxfId="866" priority="1175" stopIfTrue="1" operator="notBetween">
      <formula>0</formula>
      <formula>100</formula>
    </cfRule>
    <cfRule type="cellIs" dxfId="865" priority="1174" stopIfTrue="1" operator="lessThan">
      <formula>#REF!</formula>
    </cfRule>
    <cfRule type="cellIs" dxfId="864" priority="1173" stopIfTrue="1" operator="notBetween">
      <formula>0</formula>
      <formula>100</formula>
    </cfRule>
  </conditionalFormatting>
  <conditionalFormatting sqref="E53:U53">
    <cfRule type="cellIs" dxfId="863" priority="1168" stopIfTrue="1" operator="between">
      <formula>0</formula>
      <formula>55</formula>
    </cfRule>
    <cfRule type="cellIs" dxfId="862" priority="1167" stopIfTrue="1" operator="notBetween">
      <formula>0</formula>
      <formula>100</formula>
    </cfRule>
    <cfRule type="cellIs" dxfId="861" priority="1166" stopIfTrue="1" operator="lessThan">
      <formula>#REF!</formula>
    </cfRule>
    <cfRule type="cellIs" dxfId="860" priority="1165" stopIfTrue="1" operator="notBetween">
      <formula>0</formula>
      <formula>100</formula>
    </cfRule>
  </conditionalFormatting>
  <conditionalFormatting sqref="E62:U62">
    <cfRule type="cellIs" dxfId="859" priority="1158" stopIfTrue="1" operator="lessThan">
      <formula>#REF!</formula>
    </cfRule>
    <cfRule type="cellIs" dxfId="858" priority="1160" stopIfTrue="1" operator="between">
      <formula>0</formula>
      <formula>55</formula>
    </cfRule>
    <cfRule type="cellIs" dxfId="857" priority="1159" stopIfTrue="1" operator="notBetween">
      <formula>0</formula>
      <formula>100</formula>
    </cfRule>
    <cfRule type="cellIs" dxfId="856" priority="1157" stopIfTrue="1" operator="notBetween">
      <formula>0</formula>
      <formula>100</formula>
    </cfRule>
  </conditionalFormatting>
  <conditionalFormatting sqref="E71:U71">
    <cfRule type="cellIs" dxfId="855" priority="1152" stopIfTrue="1" operator="between">
      <formula>0</formula>
      <formula>55</formula>
    </cfRule>
    <cfRule type="cellIs" dxfId="854" priority="1151" stopIfTrue="1" operator="notBetween">
      <formula>0</formula>
      <formula>100</formula>
    </cfRule>
    <cfRule type="cellIs" dxfId="853" priority="1150" stopIfTrue="1" operator="lessThan">
      <formula>#REF!</formula>
    </cfRule>
    <cfRule type="cellIs" dxfId="852" priority="1149" stopIfTrue="1" operator="notBetween">
      <formula>0</formula>
      <formula>100</formula>
    </cfRule>
  </conditionalFormatting>
  <conditionalFormatting sqref="E80:U80">
    <cfRule type="cellIs" dxfId="851" priority="1144" stopIfTrue="1" operator="between">
      <formula>0</formula>
      <formula>55</formula>
    </cfRule>
    <cfRule type="cellIs" dxfId="850" priority="1143" stopIfTrue="1" operator="notBetween">
      <formula>0</formula>
      <formula>100</formula>
    </cfRule>
    <cfRule type="cellIs" dxfId="849" priority="1142" stopIfTrue="1" operator="lessThan">
      <formula>#REF!</formula>
    </cfRule>
    <cfRule type="cellIs" dxfId="848" priority="1141" stopIfTrue="1" operator="notBetween">
      <formula>0</formula>
      <formula>100</formula>
    </cfRule>
  </conditionalFormatting>
  <conditionalFormatting sqref="E89:U89">
    <cfRule type="cellIs" dxfId="847" priority="1136" stopIfTrue="1" operator="between">
      <formula>0</formula>
      <formula>55</formula>
    </cfRule>
    <cfRule type="cellIs" dxfId="846" priority="1135" stopIfTrue="1" operator="notBetween">
      <formula>0</formula>
      <formula>100</formula>
    </cfRule>
    <cfRule type="cellIs" dxfId="845" priority="1134" stopIfTrue="1" operator="lessThan">
      <formula>#REF!</formula>
    </cfRule>
    <cfRule type="cellIs" dxfId="844" priority="1133" stopIfTrue="1" operator="notBetween">
      <formula>0</formula>
      <formula>100</formula>
    </cfRule>
  </conditionalFormatting>
  <conditionalFormatting sqref="E98:U98">
    <cfRule type="cellIs" dxfId="843" priority="1128" stopIfTrue="1" operator="between">
      <formula>0</formula>
      <formula>55</formula>
    </cfRule>
    <cfRule type="cellIs" dxfId="842" priority="1127" stopIfTrue="1" operator="notBetween">
      <formula>0</formula>
      <formula>100</formula>
    </cfRule>
    <cfRule type="cellIs" dxfId="841" priority="1126" stopIfTrue="1" operator="lessThan">
      <formula>#REF!</formula>
    </cfRule>
    <cfRule type="cellIs" dxfId="840" priority="1125" stopIfTrue="1" operator="notBetween">
      <formula>0</formula>
      <formula>100</formula>
    </cfRule>
  </conditionalFormatting>
  <conditionalFormatting sqref="E107:U107">
    <cfRule type="cellIs" dxfId="839" priority="1120" stopIfTrue="1" operator="between">
      <formula>0</formula>
      <formula>55</formula>
    </cfRule>
    <cfRule type="cellIs" dxfId="838" priority="1119" stopIfTrue="1" operator="notBetween">
      <formula>0</formula>
      <formula>100</formula>
    </cfRule>
    <cfRule type="cellIs" dxfId="837" priority="1118" stopIfTrue="1" operator="lessThan">
      <formula>#REF!</formula>
    </cfRule>
    <cfRule type="cellIs" dxfId="836" priority="1117" stopIfTrue="1" operator="notBetween">
      <formula>0</formula>
      <formula>100</formula>
    </cfRule>
  </conditionalFormatting>
  <conditionalFormatting sqref="E116:U116">
    <cfRule type="cellIs" dxfId="835" priority="1112" stopIfTrue="1" operator="between">
      <formula>0</formula>
      <formula>55</formula>
    </cfRule>
    <cfRule type="cellIs" dxfId="834" priority="1111" stopIfTrue="1" operator="notBetween">
      <formula>0</formula>
      <formula>100</formula>
    </cfRule>
    <cfRule type="cellIs" dxfId="833" priority="1110" stopIfTrue="1" operator="lessThan">
      <formula>#REF!</formula>
    </cfRule>
    <cfRule type="cellIs" dxfId="832" priority="1109" stopIfTrue="1" operator="notBetween">
      <formula>0</formula>
      <formula>100</formula>
    </cfRule>
  </conditionalFormatting>
  <conditionalFormatting sqref="E125:U125">
    <cfRule type="cellIs" dxfId="831" priority="1102" stopIfTrue="1" operator="lessThan">
      <formula>#REF!</formula>
    </cfRule>
    <cfRule type="cellIs" dxfId="830" priority="1104" stopIfTrue="1" operator="between">
      <formula>0</formula>
      <formula>55</formula>
    </cfRule>
    <cfRule type="cellIs" dxfId="829" priority="1103" stopIfTrue="1" operator="notBetween">
      <formula>0</formula>
      <formula>100</formula>
    </cfRule>
    <cfRule type="cellIs" dxfId="828" priority="1101" stopIfTrue="1" operator="notBetween">
      <formula>0</formula>
      <formula>100</formula>
    </cfRule>
  </conditionalFormatting>
  <conditionalFormatting sqref="E134:U134">
    <cfRule type="cellIs" dxfId="827" priority="1093" stopIfTrue="1" operator="notBetween">
      <formula>0</formula>
      <formula>100</formula>
    </cfRule>
    <cfRule type="cellIs" dxfId="826" priority="1096" stopIfTrue="1" operator="between">
      <formula>0</formula>
      <formula>55</formula>
    </cfRule>
    <cfRule type="cellIs" dxfId="825" priority="1095" stopIfTrue="1" operator="notBetween">
      <formula>0</formula>
      <formula>100</formula>
    </cfRule>
    <cfRule type="cellIs" dxfId="824" priority="1094" stopIfTrue="1" operator="lessThan">
      <formula>#REF!</formula>
    </cfRule>
  </conditionalFormatting>
  <conditionalFormatting sqref="E143:U143">
    <cfRule type="cellIs" dxfId="823" priority="1087" stopIfTrue="1" operator="notBetween">
      <formula>0</formula>
      <formula>100</formula>
    </cfRule>
    <cfRule type="cellIs" dxfId="822" priority="1088" stopIfTrue="1" operator="between">
      <formula>0</formula>
      <formula>55</formula>
    </cfRule>
    <cfRule type="cellIs" dxfId="821" priority="1086" stopIfTrue="1" operator="lessThan">
      <formula>#REF!</formula>
    </cfRule>
    <cfRule type="cellIs" dxfId="820" priority="1085" stopIfTrue="1" operator="notBetween">
      <formula>0</formula>
      <formula>100</formula>
    </cfRule>
  </conditionalFormatting>
  <conditionalFormatting sqref="E152:U152">
    <cfRule type="cellIs" dxfId="819" priority="1080" stopIfTrue="1" operator="between">
      <formula>0</formula>
      <formula>55</formula>
    </cfRule>
    <cfRule type="cellIs" dxfId="818" priority="1079" stopIfTrue="1" operator="notBetween">
      <formula>0</formula>
      <formula>100</formula>
    </cfRule>
    <cfRule type="cellIs" dxfId="817" priority="1078" stopIfTrue="1" operator="lessThan">
      <formula>#REF!</formula>
    </cfRule>
    <cfRule type="cellIs" dxfId="816" priority="1077" stopIfTrue="1" operator="notBetween">
      <formula>0</formula>
      <formula>100</formula>
    </cfRule>
  </conditionalFormatting>
  <conditionalFormatting sqref="E161:U161">
    <cfRule type="cellIs" dxfId="815" priority="1071" stopIfTrue="1" operator="notBetween">
      <formula>0</formula>
      <formula>100</formula>
    </cfRule>
    <cfRule type="cellIs" dxfId="814" priority="1070" stopIfTrue="1" operator="lessThan">
      <formula>#REF!</formula>
    </cfRule>
    <cfRule type="cellIs" dxfId="813" priority="1069" stopIfTrue="1" operator="notBetween">
      <formula>0</formula>
      <formula>100</formula>
    </cfRule>
    <cfRule type="cellIs" dxfId="812" priority="1072" stopIfTrue="1" operator="between">
      <formula>0</formula>
      <formula>55</formula>
    </cfRule>
  </conditionalFormatting>
  <conditionalFormatting sqref="E170:U170">
    <cfRule type="cellIs" dxfId="811" priority="1063" stopIfTrue="1" operator="notBetween">
      <formula>0</formula>
      <formula>100</formula>
    </cfRule>
    <cfRule type="cellIs" dxfId="810" priority="1062" stopIfTrue="1" operator="lessThan">
      <formula>#REF!</formula>
    </cfRule>
    <cfRule type="cellIs" dxfId="809" priority="1061" stopIfTrue="1" operator="notBetween">
      <formula>0</formula>
      <formula>100</formula>
    </cfRule>
    <cfRule type="cellIs" dxfId="808" priority="1064" stopIfTrue="1" operator="between">
      <formula>0</formula>
      <formula>55</formula>
    </cfRule>
  </conditionalFormatting>
  <conditionalFormatting sqref="E179:U179">
    <cfRule type="cellIs" dxfId="807" priority="1056" stopIfTrue="1" operator="between">
      <formula>0</formula>
      <formula>55</formula>
    </cfRule>
    <cfRule type="cellIs" dxfId="806" priority="1055" stopIfTrue="1" operator="notBetween">
      <formula>0</formula>
      <formula>100</formula>
    </cfRule>
    <cfRule type="cellIs" dxfId="805" priority="1054" stopIfTrue="1" operator="lessThan">
      <formula>#REF!</formula>
    </cfRule>
    <cfRule type="cellIs" dxfId="804" priority="1053" stopIfTrue="1" operator="notBetween">
      <formula>0</formula>
      <formula>100</formula>
    </cfRule>
  </conditionalFormatting>
  <conditionalFormatting sqref="E188:U188">
    <cfRule type="cellIs" dxfId="803" priority="1048" stopIfTrue="1" operator="between">
      <formula>0</formula>
      <formula>55</formula>
    </cfRule>
    <cfRule type="cellIs" dxfId="802" priority="1047" stopIfTrue="1" operator="notBetween">
      <formula>0</formula>
      <formula>100</formula>
    </cfRule>
    <cfRule type="cellIs" dxfId="801" priority="1046" stopIfTrue="1" operator="lessThan">
      <formula>#REF!</formula>
    </cfRule>
    <cfRule type="cellIs" dxfId="800" priority="1045" stopIfTrue="1" operator="notBetween">
      <formula>0</formula>
      <formula>100</formula>
    </cfRule>
  </conditionalFormatting>
  <conditionalFormatting sqref="E197:U197">
    <cfRule type="cellIs" dxfId="799" priority="1040" stopIfTrue="1" operator="between">
      <formula>0</formula>
      <formula>55</formula>
    </cfRule>
    <cfRule type="cellIs" dxfId="798" priority="1039" stopIfTrue="1" operator="notBetween">
      <formula>0</formula>
      <formula>100</formula>
    </cfRule>
    <cfRule type="cellIs" dxfId="797" priority="1038" stopIfTrue="1" operator="lessThan">
      <formula>#REF!</formula>
    </cfRule>
    <cfRule type="cellIs" dxfId="796" priority="1037" stopIfTrue="1" operator="notBetween">
      <formula>0</formula>
      <formula>100</formula>
    </cfRule>
  </conditionalFormatting>
  <conditionalFormatting sqref="E206:U206">
    <cfRule type="cellIs" dxfId="795" priority="1032" stopIfTrue="1" operator="between">
      <formula>0</formula>
      <formula>55</formula>
    </cfRule>
    <cfRule type="cellIs" dxfId="794" priority="1031" stopIfTrue="1" operator="notBetween">
      <formula>0</formula>
      <formula>100</formula>
    </cfRule>
    <cfRule type="cellIs" dxfId="793" priority="1030" stopIfTrue="1" operator="lessThan">
      <formula>#REF!</formula>
    </cfRule>
    <cfRule type="cellIs" dxfId="792" priority="1029" stopIfTrue="1" operator="notBetween">
      <formula>0</formula>
      <formula>100</formula>
    </cfRule>
  </conditionalFormatting>
  <conditionalFormatting sqref="E215:U215">
    <cfRule type="cellIs" dxfId="791" priority="1024" stopIfTrue="1" operator="between">
      <formula>0</formula>
      <formula>55</formula>
    </cfRule>
    <cfRule type="cellIs" dxfId="790" priority="1023" stopIfTrue="1" operator="notBetween">
      <formula>0</formula>
      <formula>100</formula>
    </cfRule>
    <cfRule type="cellIs" dxfId="789" priority="1022" stopIfTrue="1" operator="lessThan">
      <formula>#REF!</formula>
    </cfRule>
    <cfRule type="cellIs" dxfId="788" priority="1021" stopIfTrue="1" operator="notBetween">
      <formula>0</formula>
      <formula>100</formula>
    </cfRule>
  </conditionalFormatting>
  <conditionalFormatting sqref="E224:U224">
    <cfRule type="cellIs" dxfId="787" priority="1016" stopIfTrue="1" operator="between">
      <formula>0</formula>
      <formula>55</formula>
    </cfRule>
    <cfRule type="cellIs" dxfId="786" priority="1015" stopIfTrue="1" operator="notBetween">
      <formula>0</formula>
      <formula>100</formula>
    </cfRule>
    <cfRule type="cellIs" dxfId="785" priority="1014" stopIfTrue="1" operator="lessThan">
      <formula>#REF!</formula>
    </cfRule>
    <cfRule type="cellIs" dxfId="784" priority="1013" stopIfTrue="1" operator="notBetween">
      <formula>0</formula>
      <formula>100</formula>
    </cfRule>
  </conditionalFormatting>
  <conditionalFormatting sqref="E233:U233">
    <cfRule type="cellIs" dxfId="783" priority="1006" stopIfTrue="1" operator="lessThan">
      <formula>#REF!</formula>
    </cfRule>
    <cfRule type="cellIs" dxfId="782" priority="1005" stopIfTrue="1" operator="notBetween">
      <formula>0</formula>
      <formula>100</formula>
    </cfRule>
    <cfRule type="cellIs" dxfId="781" priority="1007" stopIfTrue="1" operator="notBetween">
      <formula>0</formula>
      <formula>100</formula>
    </cfRule>
    <cfRule type="cellIs" dxfId="780" priority="1008" stopIfTrue="1" operator="between">
      <formula>0</formula>
      <formula>55</formula>
    </cfRule>
  </conditionalFormatting>
  <conditionalFormatting sqref="E242:U242">
    <cfRule type="cellIs" dxfId="779" priority="999" stopIfTrue="1" operator="notBetween">
      <formula>0</formula>
      <formula>100</formula>
    </cfRule>
    <cfRule type="cellIs" dxfId="778" priority="998" stopIfTrue="1" operator="lessThan">
      <formula>#REF!</formula>
    </cfRule>
    <cfRule type="cellIs" dxfId="777" priority="997" stopIfTrue="1" operator="notBetween">
      <formula>0</formula>
      <formula>100</formula>
    </cfRule>
    <cfRule type="cellIs" dxfId="776" priority="1000" stopIfTrue="1" operator="between">
      <formula>0</formula>
      <formula>55</formula>
    </cfRule>
  </conditionalFormatting>
  <conditionalFormatting sqref="E251:U251">
    <cfRule type="cellIs" dxfId="775" priority="992" stopIfTrue="1" operator="between">
      <formula>0</formula>
      <formula>55</formula>
    </cfRule>
    <cfRule type="cellIs" dxfId="774" priority="991" stopIfTrue="1" operator="notBetween">
      <formula>0</formula>
      <formula>100</formula>
    </cfRule>
    <cfRule type="cellIs" dxfId="773" priority="990" stopIfTrue="1" operator="lessThan">
      <formula>#REF!</formula>
    </cfRule>
    <cfRule type="cellIs" dxfId="772" priority="989" stopIfTrue="1" operator="notBetween">
      <formula>0</formula>
      <formula>100</formula>
    </cfRule>
  </conditionalFormatting>
  <conditionalFormatting sqref="E260:U260">
    <cfRule type="cellIs" dxfId="771" priority="981" stopIfTrue="1" operator="notBetween">
      <formula>0</formula>
      <formula>100</formula>
    </cfRule>
    <cfRule type="cellIs" dxfId="770" priority="982" stopIfTrue="1" operator="lessThan">
      <formula>#REF!</formula>
    </cfRule>
    <cfRule type="cellIs" dxfId="769" priority="984" stopIfTrue="1" operator="between">
      <formula>0</formula>
      <formula>55</formula>
    </cfRule>
    <cfRule type="cellIs" dxfId="768" priority="983" stopIfTrue="1" operator="notBetween">
      <formula>0</formula>
      <formula>100</formula>
    </cfRule>
  </conditionalFormatting>
  <conditionalFormatting sqref="E269:U269">
    <cfRule type="cellIs" dxfId="767" priority="974" stopIfTrue="1" operator="lessThan">
      <formula>#REF!</formula>
    </cfRule>
    <cfRule type="cellIs" dxfId="766" priority="973" stopIfTrue="1" operator="notBetween">
      <formula>0</formula>
      <formula>100</formula>
    </cfRule>
    <cfRule type="cellIs" dxfId="765" priority="976" stopIfTrue="1" operator="between">
      <formula>0</formula>
      <formula>55</formula>
    </cfRule>
    <cfRule type="cellIs" dxfId="764" priority="975" stopIfTrue="1" operator="notBetween">
      <formula>0</formula>
      <formula>100</formula>
    </cfRule>
  </conditionalFormatting>
  <conditionalFormatting sqref="E278:U278">
    <cfRule type="cellIs" dxfId="763" priority="968" stopIfTrue="1" operator="between">
      <formula>0</formula>
      <formula>55</formula>
    </cfRule>
    <cfRule type="cellIs" dxfId="762" priority="967" stopIfTrue="1" operator="notBetween">
      <formula>0</formula>
      <formula>100</formula>
    </cfRule>
    <cfRule type="cellIs" dxfId="761" priority="966" stopIfTrue="1" operator="lessThan">
      <formula>#REF!</formula>
    </cfRule>
    <cfRule type="cellIs" dxfId="760" priority="965" stopIfTrue="1" operator="notBetween">
      <formula>0</formula>
      <formula>100</formula>
    </cfRule>
  </conditionalFormatting>
  <conditionalFormatting sqref="E287:U287">
    <cfRule type="cellIs" dxfId="759" priority="958" stopIfTrue="1" operator="lessThan">
      <formula>#REF!</formula>
    </cfRule>
    <cfRule type="cellIs" dxfId="758" priority="957" stopIfTrue="1" operator="notBetween">
      <formula>0</formula>
      <formula>100</formula>
    </cfRule>
    <cfRule type="cellIs" dxfId="757" priority="960" stopIfTrue="1" operator="between">
      <formula>0</formula>
      <formula>55</formula>
    </cfRule>
    <cfRule type="cellIs" dxfId="756" priority="959" stopIfTrue="1" operator="notBetween">
      <formula>0</formula>
      <formula>100</formula>
    </cfRule>
  </conditionalFormatting>
  <conditionalFormatting sqref="E296:U296">
    <cfRule type="cellIs" dxfId="755" priority="952" stopIfTrue="1" operator="between">
      <formula>0</formula>
      <formula>55</formula>
    </cfRule>
    <cfRule type="cellIs" dxfId="754" priority="951" stopIfTrue="1" operator="notBetween">
      <formula>0</formula>
      <formula>100</formula>
    </cfRule>
    <cfRule type="cellIs" dxfId="753" priority="950" stopIfTrue="1" operator="lessThan">
      <formula>#REF!</formula>
    </cfRule>
    <cfRule type="cellIs" dxfId="752" priority="949" stopIfTrue="1" operator="notBetween">
      <formula>0</formula>
      <formula>100</formula>
    </cfRule>
  </conditionalFormatting>
  <conditionalFormatting sqref="E305:U305">
    <cfRule type="cellIs" dxfId="751" priority="944" stopIfTrue="1" operator="between">
      <formula>0</formula>
      <formula>55</formula>
    </cfRule>
    <cfRule type="cellIs" dxfId="750" priority="943" stopIfTrue="1" operator="notBetween">
      <formula>0</formula>
      <formula>100</formula>
    </cfRule>
    <cfRule type="cellIs" dxfId="749" priority="942" stopIfTrue="1" operator="lessThan">
      <formula>#REF!</formula>
    </cfRule>
    <cfRule type="cellIs" dxfId="748" priority="941" stopIfTrue="1" operator="notBetween">
      <formula>0</formula>
      <formula>100</formula>
    </cfRule>
  </conditionalFormatting>
  <conditionalFormatting sqref="E314:U314">
    <cfRule type="cellIs" dxfId="747" priority="936" stopIfTrue="1" operator="between">
      <formula>0</formula>
      <formula>55</formula>
    </cfRule>
    <cfRule type="cellIs" dxfId="746" priority="935" stopIfTrue="1" operator="notBetween">
      <formula>0</formula>
      <formula>100</formula>
    </cfRule>
    <cfRule type="cellIs" dxfId="745" priority="934" stopIfTrue="1" operator="lessThan">
      <formula>#REF!</formula>
    </cfRule>
    <cfRule type="cellIs" dxfId="744" priority="933" stopIfTrue="1" operator="notBetween">
      <formula>0</formula>
      <formula>100</formula>
    </cfRule>
  </conditionalFormatting>
  <conditionalFormatting sqref="E323:U323">
    <cfRule type="cellIs" dxfId="743" priority="928" stopIfTrue="1" operator="between">
      <formula>0</formula>
      <formula>55</formula>
    </cfRule>
    <cfRule type="cellIs" dxfId="742" priority="927" stopIfTrue="1" operator="notBetween">
      <formula>0</formula>
      <formula>100</formula>
    </cfRule>
    <cfRule type="cellIs" dxfId="741" priority="926" stopIfTrue="1" operator="lessThan">
      <formula>#REF!</formula>
    </cfRule>
    <cfRule type="cellIs" dxfId="740" priority="925" stopIfTrue="1" operator="notBetween">
      <formula>0</formula>
      <formula>100</formula>
    </cfRule>
  </conditionalFormatting>
  <conditionalFormatting sqref="E332:U332">
    <cfRule type="cellIs" dxfId="739" priority="920" stopIfTrue="1" operator="between">
      <formula>0</formula>
      <formula>55</formula>
    </cfRule>
    <cfRule type="cellIs" dxfId="738" priority="919" stopIfTrue="1" operator="notBetween">
      <formula>0</formula>
      <formula>100</formula>
    </cfRule>
    <cfRule type="cellIs" dxfId="737" priority="918" stopIfTrue="1" operator="lessThan">
      <formula>#REF!</formula>
    </cfRule>
    <cfRule type="cellIs" dxfId="736" priority="917" stopIfTrue="1" operator="notBetween">
      <formula>0</formula>
      <formula>100</formula>
    </cfRule>
  </conditionalFormatting>
  <conditionalFormatting sqref="E341:U341">
    <cfRule type="cellIs" dxfId="735" priority="910" stopIfTrue="1" operator="lessThan">
      <formula>#REF!</formula>
    </cfRule>
    <cfRule type="cellIs" dxfId="734" priority="909" stopIfTrue="1" operator="notBetween">
      <formula>0</formula>
      <formula>100</formula>
    </cfRule>
    <cfRule type="cellIs" dxfId="733" priority="912" stopIfTrue="1" operator="between">
      <formula>0</formula>
      <formula>55</formula>
    </cfRule>
    <cfRule type="cellIs" dxfId="732" priority="911" stopIfTrue="1" operator="notBetween">
      <formula>0</formula>
      <formula>100</formula>
    </cfRule>
  </conditionalFormatting>
  <conditionalFormatting sqref="E350:U350">
    <cfRule type="cellIs" dxfId="731" priority="904" stopIfTrue="1" operator="between">
      <formula>0</formula>
      <formula>55</formula>
    </cfRule>
    <cfRule type="cellIs" dxfId="730" priority="902" stopIfTrue="1" operator="lessThan">
      <formula>#REF!</formula>
    </cfRule>
    <cfRule type="cellIs" dxfId="729" priority="903" stopIfTrue="1" operator="notBetween">
      <formula>0</formula>
      <formula>100</formula>
    </cfRule>
    <cfRule type="cellIs" dxfId="728" priority="901" stopIfTrue="1" operator="notBetween">
      <formula>0</formula>
      <formula>100</formula>
    </cfRule>
  </conditionalFormatting>
  <conditionalFormatting sqref="E359:U359">
    <cfRule type="cellIs" dxfId="727" priority="894" stopIfTrue="1" operator="lessThan">
      <formula>#REF!</formula>
    </cfRule>
    <cfRule type="cellIs" dxfId="726" priority="893" stopIfTrue="1" operator="notBetween">
      <formula>0</formula>
      <formula>100</formula>
    </cfRule>
    <cfRule type="cellIs" dxfId="725" priority="896" stopIfTrue="1" operator="between">
      <formula>0</formula>
      <formula>55</formula>
    </cfRule>
    <cfRule type="cellIs" dxfId="724" priority="895" stopIfTrue="1" operator="notBetween">
      <formula>0</formula>
      <formula>100</formula>
    </cfRule>
  </conditionalFormatting>
  <conditionalFormatting sqref="E368:U368">
    <cfRule type="cellIs" dxfId="723" priority="887" stopIfTrue="1" operator="notBetween">
      <formula>0</formula>
      <formula>100</formula>
    </cfRule>
    <cfRule type="cellIs" dxfId="722" priority="888" stopIfTrue="1" operator="between">
      <formula>0</formula>
      <formula>55</formula>
    </cfRule>
    <cfRule type="cellIs" dxfId="721" priority="886" stopIfTrue="1" operator="lessThan">
      <formula>#REF!</formula>
    </cfRule>
    <cfRule type="cellIs" dxfId="720" priority="885" stopIfTrue="1" operator="notBetween">
      <formula>0</formula>
      <formula>100</formula>
    </cfRule>
  </conditionalFormatting>
  <conditionalFormatting sqref="E377:U377">
    <cfRule type="cellIs" dxfId="719" priority="880" stopIfTrue="1" operator="between">
      <formula>0</formula>
      <formula>55</formula>
    </cfRule>
    <cfRule type="cellIs" dxfId="718" priority="879" stopIfTrue="1" operator="notBetween">
      <formula>0</formula>
      <formula>100</formula>
    </cfRule>
    <cfRule type="cellIs" dxfId="717" priority="878" stopIfTrue="1" operator="lessThan">
      <formula>#REF!</formula>
    </cfRule>
    <cfRule type="cellIs" dxfId="716" priority="877" stopIfTrue="1" operator="notBetween">
      <formula>0</formula>
      <formula>100</formula>
    </cfRule>
  </conditionalFormatting>
  <conditionalFormatting sqref="E386:U386">
    <cfRule type="cellIs" dxfId="715" priority="871" stopIfTrue="1" operator="notBetween">
      <formula>0</formula>
      <formula>100</formula>
    </cfRule>
    <cfRule type="cellIs" dxfId="714" priority="872" stopIfTrue="1" operator="between">
      <formula>0</formula>
      <formula>55</formula>
    </cfRule>
    <cfRule type="cellIs" dxfId="713" priority="870" stopIfTrue="1" operator="lessThan">
      <formula>#REF!</formula>
    </cfRule>
    <cfRule type="cellIs" dxfId="712" priority="869" stopIfTrue="1" operator="notBetween">
      <formula>0</formula>
      <formula>100</formula>
    </cfRule>
  </conditionalFormatting>
  <conditionalFormatting sqref="E395:U395">
    <cfRule type="cellIs" dxfId="711" priority="861" stopIfTrue="1" operator="notBetween">
      <formula>0</formula>
      <formula>100</formula>
    </cfRule>
    <cfRule type="cellIs" dxfId="710" priority="864" stopIfTrue="1" operator="between">
      <formula>0</formula>
      <formula>55</formula>
    </cfRule>
    <cfRule type="cellIs" dxfId="709" priority="863" stopIfTrue="1" operator="notBetween">
      <formula>0</formula>
      <formula>100</formula>
    </cfRule>
    <cfRule type="cellIs" dxfId="708" priority="862" stopIfTrue="1" operator="lessThan">
      <formula>#REF!</formula>
    </cfRule>
  </conditionalFormatting>
  <conditionalFormatting sqref="E404:U404">
    <cfRule type="cellIs" dxfId="707" priority="856" stopIfTrue="1" operator="between">
      <formula>0</formula>
      <formula>55</formula>
    </cfRule>
    <cfRule type="cellIs" dxfId="706" priority="855" stopIfTrue="1" operator="notBetween">
      <formula>0</formula>
      <formula>100</formula>
    </cfRule>
    <cfRule type="cellIs" dxfId="705" priority="854" stopIfTrue="1" operator="lessThan">
      <formula>#REF!</formula>
    </cfRule>
    <cfRule type="cellIs" dxfId="704" priority="853" stopIfTrue="1" operator="notBetween">
      <formula>0</formula>
      <formula>100</formula>
    </cfRule>
  </conditionalFormatting>
  <conditionalFormatting sqref="E413:U413">
    <cfRule type="cellIs" dxfId="703" priority="845" stopIfTrue="1" operator="notBetween">
      <formula>0</formula>
      <formula>100</formula>
    </cfRule>
    <cfRule type="cellIs" dxfId="702" priority="848" stopIfTrue="1" operator="between">
      <formula>0</formula>
      <formula>55</formula>
    </cfRule>
    <cfRule type="cellIs" dxfId="701" priority="847" stopIfTrue="1" operator="notBetween">
      <formula>0</formula>
      <formula>100</formula>
    </cfRule>
    <cfRule type="cellIs" dxfId="700" priority="846" stopIfTrue="1" operator="lessThan">
      <formula>#REF!</formula>
    </cfRule>
  </conditionalFormatting>
  <conditionalFormatting sqref="E422:U422">
    <cfRule type="cellIs" dxfId="699" priority="840" stopIfTrue="1" operator="between">
      <formula>0</formula>
      <formula>55</formula>
    </cfRule>
    <cfRule type="cellIs" dxfId="698" priority="839" stopIfTrue="1" operator="notBetween">
      <formula>0</formula>
      <formula>100</formula>
    </cfRule>
    <cfRule type="cellIs" dxfId="697" priority="838" stopIfTrue="1" operator="lessThan">
      <formula>#REF!</formula>
    </cfRule>
    <cfRule type="cellIs" dxfId="696" priority="837" stopIfTrue="1" operator="notBetween">
      <formula>0</formula>
      <formula>100</formula>
    </cfRule>
  </conditionalFormatting>
  <conditionalFormatting sqref="E431:U431">
    <cfRule type="cellIs" dxfId="695" priority="832" stopIfTrue="1" operator="between">
      <formula>0</formula>
      <formula>55</formula>
    </cfRule>
    <cfRule type="cellIs" dxfId="694" priority="831" stopIfTrue="1" operator="notBetween">
      <formula>0</formula>
      <formula>100</formula>
    </cfRule>
    <cfRule type="cellIs" dxfId="693" priority="830" stopIfTrue="1" operator="lessThan">
      <formula>#REF!</formula>
    </cfRule>
    <cfRule type="cellIs" dxfId="692" priority="829" stopIfTrue="1" operator="notBetween">
      <formula>0</formula>
      <formula>100</formula>
    </cfRule>
  </conditionalFormatting>
  <conditionalFormatting sqref="E440:U440">
    <cfRule type="cellIs" dxfId="691" priority="824" stopIfTrue="1" operator="between">
      <formula>0</formula>
      <formula>55</formula>
    </cfRule>
    <cfRule type="cellIs" dxfId="690" priority="823" stopIfTrue="1" operator="notBetween">
      <formula>0</formula>
      <formula>100</formula>
    </cfRule>
    <cfRule type="cellIs" dxfId="689" priority="822" stopIfTrue="1" operator="lessThan">
      <formula>#REF!</formula>
    </cfRule>
    <cfRule type="cellIs" dxfId="688" priority="821" stopIfTrue="1" operator="notBetween">
      <formula>0</formula>
      <formula>100</formula>
    </cfRule>
  </conditionalFormatting>
  <conditionalFormatting sqref="E449:U449">
    <cfRule type="cellIs" dxfId="687" priority="816" stopIfTrue="1" operator="between">
      <formula>0</formula>
      <formula>55</formula>
    </cfRule>
    <cfRule type="cellIs" dxfId="686" priority="815" stopIfTrue="1" operator="notBetween">
      <formula>0</formula>
      <formula>100</formula>
    </cfRule>
    <cfRule type="cellIs" dxfId="685" priority="814" stopIfTrue="1" operator="lessThan">
      <formula>#REF!</formula>
    </cfRule>
    <cfRule type="cellIs" dxfId="684" priority="813" stopIfTrue="1" operator="notBetween">
      <formula>0</formula>
      <formula>100</formula>
    </cfRule>
  </conditionalFormatting>
  <conditionalFormatting sqref="E458:U458">
    <cfRule type="cellIs" dxfId="683" priority="808" stopIfTrue="1" operator="between">
      <formula>0</formula>
      <formula>55</formula>
    </cfRule>
    <cfRule type="cellIs" dxfId="682" priority="807" stopIfTrue="1" operator="notBetween">
      <formula>0</formula>
      <formula>100</formula>
    </cfRule>
    <cfRule type="cellIs" dxfId="681" priority="806" stopIfTrue="1" operator="lessThan">
      <formula>#REF!</formula>
    </cfRule>
    <cfRule type="cellIs" dxfId="680" priority="805" stopIfTrue="1" operator="notBetween">
      <formula>0</formula>
      <formula>100</formula>
    </cfRule>
  </conditionalFormatting>
  <conditionalFormatting sqref="E467:U467">
    <cfRule type="cellIs" dxfId="679" priority="800" stopIfTrue="1" operator="between">
      <formula>0</formula>
      <formula>55</formula>
    </cfRule>
    <cfRule type="cellIs" dxfId="678" priority="799" stopIfTrue="1" operator="notBetween">
      <formula>0</formula>
      <formula>100</formula>
    </cfRule>
    <cfRule type="cellIs" dxfId="677" priority="798" stopIfTrue="1" operator="lessThan">
      <formula>#REF!</formula>
    </cfRule>
    <cfRule type="cellIs" dxfId="676" priority="797" stopIfTrue="1" operator="notBetween">
      <formula>0</formula>
      <formula>100</formula>
    </cfRule>
  </conditionalFormatting>
  <conditionalFormatting sqref="E476:U476">
    <cfRule type="cellIs" dxfId="675" priority="789" stopIfTrue="1" operator="notBetween">
      <formula>0</formula>
      <formula>100</formula>
    </cfRule>
    <cfRule type="cellIs" dxfId="674" priority="792" stopIfTrue="1" operator="between">
      <formula>0</formula>
      <formula>55</formula>
    </cfRule>
    <cfRule type="cellIs" dxfId="673" priority="791" stopIfTrue="1" operator="notBetween">
      <formula>0</formula>
      <formula>100</formula>
    </cfRule>
    <cfRule type="cellIs" dxfId="672" priority="790" stopIfTrue="1" operator="lessThan">
      <formula>#REF!</formula>
    </cfRule>
  </conditionalFormatting>
  <conditionalFormatting sqref="E485:U485">
    <cfRule type="cellIs" dxfId="671" priority="782" stopIfTrue="1" operator="lessThan">
      <formula>#REF!</formula>
    </cfRule>
    <cfRule type="cellIs" dxfId="670" priority="781" stopIfTrue="1" operator="notBetween">
      <formula>0</formula>
      <formula>100</formula>
    </cfRule>
    <cfRule type="cellIs" dxfId="669" priority="784" stopIfTrue="1" operator="between">
      <formula>0</formula>
      <formula>55</formula>
    </cfRule>
    <cfRule type="cellIs" dxfId="668" priority="783" stopIfTrue="1" operator="notBetween">
      <formula>0</formula>
      <formula>100</formula>
    </cfRule>
  </conditionalFormatting>
  <conditionalFormatting sqref="E494:U494">
    <cfRule type="cellIs" dxfId="667" priority="773" stopIfTrue="1" operator="notBetween">
      <formula>0</formula>
      <formula>100</formula>
    </cfRule>
    <cfRule type="cellIs" dxfId="666" priority="774" stopIfTrue="1" operator="lessThan">
      <formula>#REF!</formula>
    </cfRule>
    <cfRule type="cellIs" dxfId="665" priority="775" stopIfTrue="1" operator="notBetween">
      <formula>0</formula>
      <formula>100</formula>
    </cfRule>
    <cfRule type="cellIs" dxfId="664" priority="776" stopIfTrue="1" operator="between">
      <formula>0</formula>
      <formula>55</formula>
    </cfRule>
  </conditionalFormatting>
  <conditionalFormatting sqref="E503:U503">
    <cfRule type="cellIs" dxfId="663" priority="765" stopIfTrue="1" operator="notBetween">
      <formula>0</formula>
      <formula>100</formula>
    </cfRule>
    <cfRule type="cellIs" dxfId="662" priority="766" stopIfTrue="1" operator="lessThan">
      <formula>#REF!</formula>
    </cfRule>
    <cfRule type="cellIs" dxfId="661" priority="768" stopIfTrue="1" operator="between">
      <formula>0</formula>
      <formula>55</formula>
    </cfRule>
    <cfRule type="cellIs" dxfId="660" priority="767" stopIfTrue="1" operator="notBetween">
      <formula>0</formula>
      <formula>100</formula>
    </cfRule>
  </conditionalFormatting>
  <conditionalFormatting sqref="E512:U512">
    <cfRule type="cellIs" dxfId="659" priority="760" stopIfTrue="1" operator="between">
      <formula>0</formula>
      <formula>55</formula>
    </cfRule>
    <cfRule type="cellIs" dxfId="658" priority="759" stopIfTrue="1" operator="notBetween">
      <formula>0</formula>
      <formula>100</formula>
    </cfRule>
    <cfRule type="cellIs" dxfId="657" priority="758" stopIfTrue="1" operator="lessThan">
      <formula>#REF!</formula>
    </cfRule>
    <cfRule type="cellIs" dxfId="656" priority="757" stopIfTrue="1" operator="notBetween">
      <formula>0</formula>
      <formula>100</formula>
    </cfRule>
  </conditionalFormatting>
  <conditionalFormatting sqref="E521:U521">
    <cfRule type="cellIs" dxfId="655" priority="749" stopIfTrue="1" operator="notBetween">
      <formula>0</formula>
      <formula>100</formula>
    </cfRule>
    <cfRule type="cellIs" dxfId="654" priority="752" stopIfTrue="1" operator="between">
      <formula>0</formula>
      <formula>55</formula>
    </cfRule>
    <cfRule type="cellIs" dxfId="653" priority="751" stopIfTrue="1" operator="notBetween">
      <formula>0</formula>
      <formula>100</formula>
    </cfRule>
    <cfRule type="cellIs" dxfId="652" priority="750" stopIfTrue="1" operator="lessThan">
      <formula>#REF!</formula>
    </cfRule>
  </conditionalFormatting>
  <conditionalFormatting sqref="E530:U530">
    <cfRule type="cellIs" dxfId="651" priority="741" stopIfTrue="1" operator="notBetween">
      <formula>0</formula>
      <formula>100</formula>
    </cfRule>
    <cfRule type="cellIs" dxfId="650" priority="742" stopIfTrue="1" operator="lessThan">
      <formula>#REF!</formula>
    </cfRule>
    <cfRule type="cellIs" dxfId="649" priority="743" stopIfTrue="1" operator="notBetween">
      <formula>0</formula>
      <formula>100</formula>
    </cfRule>
    <cfRule type="cellIs" dxfId="648" priority="744" stopIfTrue="1" operator="between">
      <formula>0</formula>
      <formula>55</formula>
    </cfRule>
  </conditionalFormatting>
  <conditionalFormatting sqref="E539:U539">
    <cfRule type="cellIs" dxfId="647" priority="733" stopIfTrue="1" operator="notBetween">
      <formula>0</formula>
      <formula>100</formula>
    </cfRule>
    <cfRule type="cellIs" dxfId="646" priority="734" stopIfTrue="1" operator="lessThan">
      <formula>#REF!</formula>
    </cfRule>
    <cfRule type="cellIs" dxfId="645" priority="735" stopIfTrue="1" operator="notBetween">
      <formula>0</formula>
      <formula>100</formula>
    </cfRule>
    <cfRule type="cellIs" dxfId="644" priority="736" stopIfTrue="1" operator="between">
      <formula>0</formula>
      <formula>55</formula>
    </cfRule>
  </conditionalFormatting>
  <conditionalFormatting sqref="E548:U548">
    <cfRule type="cellIs" dxfId="643" priority="726" stopIfTrue="1" operator="lessThan">
      <formula>#REF!</formula>
    </cfRule>
    <cfRule type="cellIs" dxfId="642" priority="727" stopIfTrue="1" operator="notBetween">
      <formula>0</formula>
      <formula>100</formula>
    </cfRule>
    <cfRule type="cellIs" dxfId="641" priority="728" stopIfTrue="1" operator="between">
      <formula>0</formula>
      <formula>55</formula>
    </cfRule>
    <cfRule type="cellIs" dxfId="640" priority="725" stopIfTrue="1" operator="notBetween">
      <formula>0</formula>
      <formula>100</formula>
    </cfRule>
  </conditionalFormatting>
  <conditionalFormatting sqref="E557:U557">
    <cfRule type="cellIs" dxfId="639" priority="720" stopIfTrue="1" operator="between">
      <formula>0</formula>
      <formula>55</formula>
    </cfRule>
    <cfRule type="cellIs" dxfId="638" priority="719" stopIfTrue="1" operator="notBetween">
      <formula>0</formula>
      <formula>100</formula>
    </cfRule>
    <cfRule type="cellIs" dxfId="637" priority="718" stopIfTrue="1" operator="lessThan">
      <formula>#REF!</formula>
    </cfRule>
    <cfRule type="cellIs" dxfId="636" priority="717" stopIfTrue="1" operator="notBetween">
      <formula>0</formula>
      <formula>100</formula>
    </cfRule>
  </conditionalFormatting>
  <conditionalFormatting sqref="E566:U566">
    <cfRule type="cellIs" dxfId="635" priority="711" stopIfTrue="1" operator="notBetween">
      <formula>0</formula>
      <formula>100</formula>
    </cfRule>
    <cfRule type="cellIs" dxfId="634" priority="709" stopIfTrue="1" operator="notBetween">
      <formula>0</formula>
      <formula>100</formula>
    </cfRule>
    <cfRule type="cellIs" dxfId="633" priority="712" stopIfTrue="1" operator="between">
      <formula>0</formula>
      <formula>55</formula>
    </cfRule>
    <cfRule type="cellIs" dxfId="632" priority="710" stopIfTrue="1" operator="lessThan">
      <formula>#REF!</formula>
    </cfRule>
  </conditionalFormatting>
  <conditionalFormatting sqref="E575:U575">
    <cfRule type="cellIs" dxfId="631" priority="702" stopIfTrue="1" operator="lessThan">
      <formula>#REF!</formula>
    </cfRule>
    <cfRule type="cellIs" dxfId="630" priority="703" stopIfTrue="1" operator="notBetween">
      <formula>0</formula>
      <formula>100</formula>
    </cfRule>
    <cfRule type="cellIs" dxfId="629" priority="701" stopIfTrue="1" operator="notBetween">
      <formula>0</formula>
      <formula>100</formula>
    </cfRule>
    <cfRule type="cellIs" dxfId="628" priority="704" stopIfTrue="1" operator="between">
      <formula>0</formula>
      <formula>55</formula>
    </cfRule>
  </conditionalFormatting>
  <conditionalFormatting sqref="E584:U584">
    <cfRule type="cellIs" dxfId="627" priority="693" stopIfTrue="1" operator="notBetween">
      <formula>0</formula>
      <formula>100</formula>
    </cfRule>
    <cfRule type="cellIs" dxfId="626" priority="694" stopIfTrue="1" operator="lessThan">
      <formula>#REF!</formula>
    </cfRule>
    <cfRule type="cellIs" dxfId="625" priority="695" stopIfTrue="1" operator="notBetween">
      <formula>0</formula>
      <formula>100</formula>
    </cfRule>
    <cfRule type="cellIs" dxfId="624" priority="696" stopIfTrue="1" operator="between">
      <formula>0</formula>
      <formula>55</formula>
    </cfRule>
  </conditionalFormatting>
  <conditionalFormatting sqref="E593:U593">
    <cfRule type="cellIs" dxfId="623" priority="686" stopIfTrue="1" operator="lessThan">
      <formula>#REF!</formula>
    </cfRule>
    <cfRule type="cellIs" dxfId="622" priority="685" stopIfTrue="1" operator="notBetween">
      <formula>0</formula>
      <formula>100</formula>
    </cfRule>
    <cfRule type="cellIs" dxfId="621" priority="688" stopIfTrue="1" operator="between">
      <formula>0</formula>
      <formula>55</formula>
    </cfRule>
    <cfRule type="cellIs" dxfId="620" priority="687" stopIfTrue="1" operator="notBetween">
      <formula>0</formula>
      <formula>100</formula>
    </cfRule>
  </conditionalFormatting>
  <conditionalFormatting sqref="E602:U602">
    <cfRule type="cellIs" dxfId="619" priority="680" stopIfTrue="1" operator="between">
      <formula>0</formula>
      <formula>55</formula>
    </cfRule>
    <cfRule type="cellIs" dxfId="618" priority="679" stopIfTrue="1" operator="notBetween">
      <formula>0</formula>
      <formula>100</formula>
    </cfRule>
    <cfRule type="cellIs" dxfId="617" priority="678" stopIfTrue="1" operator="lessThan">
      <formula>#REF!</formula>
    </cfRule>
    <cfRule type="cellIs" dxfId="616" priority="677" stopIfTrue="1" operator="notBetween">
      <formula>0</formula>
      <formula>100</formula>
    </cfRule>
  </conditionalFormatting>
  <conditionalFormatting sqref="E611:U611">
    <cfRule type="cellIs" dxfId="615" priority="669" stopIfTrue="1" operator="notBetween">
      <formula>0</formula>
      <formula>100</formula>
    </cfRule>
    <cfRule type="cellIs" dxfId="614" priority="672" stopIfTrue="1" operator="between">
      <formula>0</formula>
      <formula>55</formula>
    </cfRule>
    <cfRule type="cellIs" dxfId="613" priority="671" stopIfTrue="1" operator="notBetween">
      <formula>0</formula>
      <formula>100</formula>
    </cfRule>
    <cfRule type="cellIs" dxfId="612" priority="670" stopIfTrue="1" operator="lessThan">
      <formula>#REF!</formula>
    </cfRule>
  </conditionalFormatting>
  <conditionalFormatting sqref="E620:U620">
    <cfRule type="cellIs" dxfId="611" priority="664" stopIfTrue="1" operator="between">
      <formula>0</formula>
      <formula>55</formula>
    </cfRule>
    <cfRule type="cellIs" dxfId="610" priority="662" stopIfTrue="1" operator="lessThan">
      <formula>#REF!</formula>
    </cfRule>
    <cfRule type="cellIs" dxfId="609" priority="661" stopIfTrue="1" operator="notBetween">
      <formula>0</formula>
      <formula>100</formula>
    </cfRule>
    <cfRule type="cellIs" dxfId="608" priority="663" stopIfTrue="1" operator="notBetween">
      <formula>0</formula>
      <formula>100</formula>
    </cfRule>
  </conditionalFormatting>
  <conditionalFormatting sqref="E629:U629">
    <cfRule type="cellIs" dxfId="607" priority="655" stopIfTrue="1" operator="notBetween">
      <formula>0</formula>
      <formula>100</formula>
    </cfRule>
    <cfRule type="cellIs" dxfId="606" priority="654" stopIfTrue="1" operator="lessThan">
      <formula>#REF!</formula>
    </cfRule>
    <cfRule type="cellIs" dxfId="605" priority="656" stopIfTrue="1" operator="between">
      <formula>0</formula>
      <formula>55</formula>
    </cfRule>
    <cfRule type="cellIs" dxfId="604" priority="653" stopIfTrue="1" operator="notBetween">
      <formula>0</formula>
      <formula>100</formula>
    </cfRule>
  </conditionalFormatting>
  <conditionalFormatting sqref="E638:U638">
    <cfRule type="cellIs" dxfId="603" priority="648" stopIfTrue="1" operator="between">
      <formula>0</formula>
      <formula>55</formula>
    </cfRule>
    <cfRule type="cellIs" dxfId="602" priority="647" stopIfTrue="1" operator="notBetween">
      <formula>0</formula>
      <formula>100</formula>
    </cfRule>
    <cfRule type="cellIs" dxfId="601" priority="646" stopIfTrue="1" operator="lessThan">
      <formula>#REF!</formula>
    </cfRule>
    <cfRule type="cellIs" dxfId="600" priority="645" stopIfTrue="1" operator="notBetween">
      <formula>0</formula>
      <formula>100</formula>
    </cfRule>
  </conditionalFormatting>
  <conditionalFormatting sqref="E647:U647">
    <cfRule type="cellIs" dxfId="599" priority="640" stopIfTrue="1" operator="between">
      <formula>0</formula>
      <formula>55</formula>
    </cfRule>
    <cfRule type="cellIs" dxfId="598" priority="639" stopIfTrue="1" operator="notBetween">
      <formula>0</formula>
      <formula>100</formula>
    </cfRule>
    <cfRule type="cellIs" dxfId="597" priority="638" stopIfTrue="1" operator="lessThan">
      <formula>#REF!</formula>
    </cfRule>
    <cfRule type="cellIs" dxfId="596" priority="637" stopIfTrue="1" operator="notBetween">
      <formula>0</formula>
      <formula>100</formula>
    </cfRule>
  </conditionalFormatting>
  <conditionalFormatting sqref="E656:U656">
    <cfRule type="cellIs" dxfId="595" priority="631" stopIfTrue="1" operator="notBetween">
      <formula>0</formula>
      <formula>100</formula>
    </cfRule>
    <cfRule type="cellIs" dxfId="594" priority="630" stopIfTrue="1" operator="lessThan">
      <formula>#REF!</formula>
    </cfRule>
    <cfRule type="cellIs" dxfId="593" priority="629" stopIfTrue="1" operator="notBetween">
      <formula>0</formula>
      <formula>100</formula>
    </cfRule>
    <cfRule type="cellIs" dxfId="592" priority="632" stopIfTrue="1" operator="between">
      <formula>0</formula>
      <formula>55</formula>
    </cfRule>
  </conditionalFormatting>
  <conditionalFormatting sqref="E665:U665">
    <cfRule type="cellIs" dxfId="591" priority="624" stopIfTrue="1" operator="between">
      <formula>0</formula>
      <formula>55</formula>
    </cfRule>
    <cfRule type="cellIs" dxfId="590" priority="623" stopIfTrue="1" operator="notBetween">
      <formula>0</formula>
      <formula>100</formula>
    </cfRule>
    <cfRule type="cellIs" dxfId="589" priority="622" stopIfTrue="1" operator="lessThan">
      <formula>#REF!</formula>
    </cfRule>
    <cfRule type="cellIs" dxfId="588" priority="621" stopIfTrue="1" operator="notBetween">
      <formula>0</formula>
      <formula>100</formula>
    </cfRule>
  </conditionalFormatting>
  <conditionalFormatting sqref="E674:U674">
    <cfRule type="cellIs" dxfId="587" priority="613" stopIfTrue="1" operator="notBetween">
      <formula>0</formula>
      <formula>100</formula>
    </cfRule>
    <cfRule type="cellIs" dxfId="586" priority="615" stopIfTrue="1" operator="notBetween">
      <formula>0</formula>
      <formula>100</formula>
    </cfRule>
    <cfRule type="cellIs" dxfId="585" priority="616" stopIfTrue="1" operator="between">
      <formula>0</formula>
      <formula>55</formula>
    </cfRule>
    <cfRule type="cellIs" dxfId="584" priority="614" stopIfTrue="1" operator="lessThan">
      <formula>#REF!</formula>
    </cfRule>
  </conditionalFormatting>
  <conditionalFormatting sqref="E683:U683">
    <cfRule type="cellIs" dxfId="583" priority="608" stopIfTrue="1" operator="between">
      <formula>0</formula>
      <formula>55</formula>
    </cfRule>
    <cfRule type="cellIs" dxfId="582" priority="605" stopIfTrue="1" operator="notBetween">
      <formula>0</formula>
      <formula>100</formula>
    </cfRule>
    <cfRule type="cellIs" dxfId="581" priority="606" stopIfTrue="1" operator="lessThan">
      <formula>#REF!</formula>
    </cfRule>
    <cfRule type="cellIs" dxfId="580" priority="607" stopIfTrue="1" operator="notBetween">
      <formula>0</formula>
      <formula>100</formula>
    </cfRule>
  </conditionalFormatting>
  <conditionalFormatting sqref="E692:U692">
    <cfRule type="cellIs" dxfId="579" priority="599" stopIfTrue="1" operator="notBetween">
      <formula>0</formula>
      <formula>100</formula>
    </cfRule>
    <cfRule type="cellIs" dxfId="578" priority="598" stopIfTrue="1" operator="lessThan">
      <formula>#REF!</formula>
    </cfRule>
    <cfRule type="cellIs" dxfId="577" priority="600" stopIfTrue="1" operator="between">
      <formula>0</formula>
      <formula>55</formula>
    </cfRule>
    <cfRule type="cellIs" dxfId="576" priority="597" stopIfTrue="1" operator="notBetween">
      <formula>0</formula>
      <formula>100</formula>
    </cfRule>
  </conditionalFormatting>
  <conditionalFormatting sqref="E701:U701">
    <cfRule type="cellIs" dxfId="575" priority="590" stopIfTrue="1" operator="lessThan">
      <formula>#REF!</formula>
    </cfRule>
    <cfRule type="cellIs" dxfId="574" priority="589" stopIfTrue="1" operator="notBetween">
      <formula>0</formula>
      <formula>100</formula>
    </cfRule>
    <cfRule type="cellIs" dxfId="573" priority="592" stopIfTrue="1" operator="between">
      <formula>0</formula>
      <formula>55</formula>
    </cfRule>
    <cfRule type="cellIs" dxfId="572" priority="591" stopIfTrue="1" operator="notBetween">
      <formula>0</formula>
      <formula>100</formula>
    </cfRule>
  </conditionalFormatting>
  <conditionalFormatting sqref="E710:U710">
    <cfRule type="cellIs" dxfId="571" priority="584" stopIfTrue="1" operator="between">
      <formula>0</formula>
      <formula>55</formula>
    </cfRule>
    <cfRule type="cellIs" dxfId="570" priority="581" stopIfTrue="1" operator="notBetween">
      <formula>0</formula>
      <formula>100</formula>
    </cfRule>
    <cfRule type="cellIs" dxfId="569" priority="582" stopIfTrue="1" operator="lessThan">
      <formula>#REF!</formula>
    </cfRule>
    <cfRule type="cellIs" dxfId="568" priority="583" stopIfTrue="1" operator="notBetween">
      <formula>0</formula>
      <formula>100</formula>
    </cfRule>
  </conditionalFormatting>
  <conditionalFormatting sqref="E719:U719">
    <cfRule type="cellIs" dxfId="567" priority="573" stopIfTrue="1" operator="notBetween">
      <formula>0</formula>
      <formula>100</formula>
    </cfRule>
    <cfRule type="cellIs" dxfId="566" priority="574" stopIfTrue="1" operator="lessThan">
      <formula>#REF!</formula>
    </cfRule>
    <cfRule type="cellIs" dxfId="565" priority="575" stopIfTrue="1" operator="notBetween">
      <formula>0</formula>
      <formula>100</formula>
    </cfRule>
    <cfRule type="cellIs" dxfId="564" priority="576" stopIfTrue="1" operator="between">
      <formula>0</formula>
      <formula>55</formula>
    </cfRule>
  </conditionalFormatting>
  <conditionalFormatting sqref="E728:U728">
    <cfRule type="cellIs" dxfId="563" priority="565" stopIfTrue="1" operator="notBetween">
      <formula>0</formula>
      <formula>100</formula>
    </cfRule>
    <cfRule type="cellIs" dxfId="562" priority="566" stopIfTrue="1" operator="lessThan">
      <formula>#REF!</formula>
    </cfRule>
    <cfRule type="cellIs" dxfId="561" priority="567" stopIfTrue="1" operator="notBetween">
      <formula>0</formula>
      <formula>100</formula>
    </cfRule>
    <cfRule type="cellIs" dxfId="560" priority="568" stopIfTrue="1" operator="between">
      <formula>0</formula>
      <formula>55</formula>
    </cfRule>
  </conditionalFormatting>
  <conditionalFormatting sqref="E737:U737">
    <cfRule type="cellIs" dxfId="559" priority="557" stopIfTrue="1" operator="notBetween">
      <formula>0</formula>
      <formula>100</formula>
    </cfRule>
    <cfRule type="cellIs" dxfId="558" priority="559" stopIfTrue="1" operator="notBetween">
      <formula>0</formula>
      <formula>100</formula>
    </cfRule>
    <cfRule type="cellIs" dxfId="557" priority="560" stopIfTrue="1" operator="between">
      <formula>0</formula>
      <formula>55</formula>
    </cfRule>
    <cfRule type="cellIs" dxfId="556" priority="558" stopIfTrue="1" operator="lessThan">
      <formula>#REF!</formula>
    </cfRule>
  </conditionalFormatting>
  <conditionalFormatting sqref="E746:U746">
    <cfRule type="cellIs" dxfId="555" priority="552" stopIfTrue="1" operator="between">
      <formula>0</formula>
      <formula>55</formula>
    </cfRule>
    <cfRule type="cellIs" dxfId="554" priority="549" stopIfTrue="1" operator="notBetween">
      <formula>0</formula>
      <formula>100</formula>
    </cfRule>
    <cfRule type="cellIs" dxfId="553" priority="550" stopIfTrue="1" operator="lessThan">
      <formula>#REF!</formula>
    </cfRule>
    <cfRule type="cellIs" dxfId="552" priority="551" stopIfTrue="1" operator="notBetween">
      <formula>0</formula>
      <formula>100</formula>
    </cfRule>
  </conditionalFormatting>
  <conditionalFormatting sqref="E755:U755">
    <cfRule type="cellIs" dxfId="551" priority="542" stopIfTrue="1" operator="lessThan">
      <formula>#REF!</formula>
    </cfRule>
    <cfRule type="cellIs" dxfId="550" priority="543" stopIfTrue="1" operator="notBetween">
      <formula>0</formula>
      <formula>100</formula>
    </cfRule>
    <cfRule type="cellIs" dxfId="549" priority="544" stopIfTrue="1" operator="between">
      <formula>0</formula>
      <formula>55</formula>
    </cfRule>
    <cfRule type="cellIs" dxfId="548" priority="541" stopIfTrue="1" operator="notBetween">
      <formula>0</formula>
      <formula>100</formula>
    </cfRule>
  </conditionalFormatting>
  <conditionalFormatting sqref="E764:U764">
    <cfRule type="cellIs" dxfId="547" priority="535" stopIfTrue="1" operator="notBetween">
      <formula>0</formula>
      <formula>100</formula>
    </cfRule>
    <cfRule type="cellIs" dxfId="546" priority="534" stopIfTrue="1" operator="lessThan">
      <formula>#REF!</formula>
    </cfRule>
    <cfRule type="cellIs" dxfId="545" priority="536" stopIfTrue="1" operator="between">
      <formula>0</formula>
      <formula>55</formula>
    </cfRule>
    <cfRule type="cellIs" dxfId="544" priority="533" stopIfTrue="1" operator="notBetween">
      <formula>0</formula>
      <formula>100</formula>
    </cfRule>
  </conditionalFormatting>
  <conditionalFormatting sqref="E773:U773">
    <cfRule type="cellIs" dxfId="543" priority="528" stopIfTrue="1" operator="between">
      <formula>0</formula>
      <formula>55</formula>
    </cfRule>
    <cfRule type="cellIs" dxfId="542" priority="527" stopIfTrue="1" operator="notBetween">
      <formula>0</formula>
      <formula>100</formula>
    </cfRule>
    <cfRule type="cellIs" dxfId="541" priority="526" stopIfTrue="1" operator="lessThan">
      <formula>#REF!</formula>
    </cfRule>
    <cfRule type="cellIs" dxfId="540" priority="525" stopIfTrue="1" operator="notBetween">
      <formula>0</formula>
      <formula>100</formula>
    </cfRule>
  </conditionalFormatting>
  <conditionalFormatting sqref="E782:U782">
    <cfRule type="cellIs" dxfId="539" priority="520" stopIfTrue="1" operator="between">
      <formula>0</formula>
      <formula>55</formula>
    </cfRule>
    <cfRule type="cellIs" dxfId="538" priority="519" stopIfTrue="1" operator="notBetween">
      <formula>0</formula>
      <formula>100</formula>
    </cfRule>
    <cfRule type="cellIs" dxfId="537" priority="518" stopIfTrue="1" operator="lessThan">
      <formula>#REF!</formula>
    </cfRule>
    <cfRule type="cellIs" dxfId="536" priority="517" stopIfTrue="1" operator="notBetween">
      <formula>0</formula>
      <formula>100</formula>
    </cfRule>
  </conditionalFormatting>
  <conditionalFormatting sqref="E791:U791">
    <cfRule type="cellIs" dxfId="535" priority="509" stopIfTrue="1" operator="notBetween">
      <formula>0</formula>
      <formula>100</formula>
    </cfRule>
    <cfRule type="cellIs" dxfId="534" priority="512" stopIfTrue="1" operator="between">
      <formula>0</formula>
      <formula>55</formula>
    </cfRule>
    <cfRule type="cellIs" dxfId="533" priority="511" stopIfTrue="1" operator="notBetween">
      <formula>0</formula>
      <formula>100</formula>
    </cfRule>
    <cfRule type="cellIs" dxfId="532" priority="510" stopIfTrue="1" operator="lessThan">
      <formula>#REF!</formula>
    </cfRule>
  </conditionalFormatting>
  <conditionalFormatting sqref="E800:U800">
    <cfRule type="cellIs" dxfId="531" priority="504" stopIfTrue="1" operator="between">
      <formula>0</formula>
      <formula>55</formula>
    </cfRule>
    <cfRule type="cellIs" dxfId="530" priority="503" stopIfTrue="1" operator="notBetween">
      <formula>0</formula>
      <formula>100</formula>
    </cfRule>
    <cfRule type="cellIs" dxfId="529" priority="501" stopIfTrue="1" operator="notBetween">
      <formula>0</formula>
      <formula>100</formula>
    </cfRule>
    <cfRule type="cellIs" dxfId="528" priority="502" stopIfTrue="1" operator="lessThan">
      <formula>#REF!</formula>
    </cfRule>
  </conditionalFormatting>
  <conditionalFormatting sqref="E809:U809">
    <cfRule type="cellIs" dxfId="527" priority="495" stopIfTrue="1" operator="notBetween">
      <formula>0</formula>
      <formula>100</formula>
    </cfRule>
    <cfRule type="cellIs" dxfId="526" priority="493" stopIfTrue="1" operator="notBetween">
      <formula>0</formula>
      <formula>100</formula>
    </cfRule>
    <cfRule type="cellIs" dxfId="525" priority="494" stopIfTrue="1" operator="lessThan">
      <formula>#REF!</formula>
    </cfRule>
    <cfRule type="cellIs" dxfId="524" priority="496" stopIfTrue="1" operator="between">
      <formula>0</formula>
      <formula>55</formula>
    </cfRule>
  </conditionalFormatting>
  <conditionalFormatting sqref="E818:U818">
    <cfRule type="cellIs" dxfId="523" priority="486" stopIfTrue="1" operator="lessThan">
      <formula>#REF!</formula>
    </cfRule>
    <cfRule type="cellIs" dxfId="522" priority="487" stopIfTrue="1" operator="notBetween">
      <formula>0</formula>
      <formula>100</formula>
    </cfRule>
    <cfRule type="cellIs" dxfId="521" priority="488" stopIfTrue="1" operator="between">
      <formula>0</formula>
      <formula>55</formula>
    </cfRule>
    <cfRule type="cellIs" dxfId="520" priority="485" stopIfTrue="1" operator="notBetween">
      <formula>0</formula>
      <formula>100</formula>
    </cfRule>
  </conditionalFormatting>
  <conditionalFormatting sqref="E827:U827">
    <cfRule type="cellIs" dxfId="519" priority="480" stopIfTrue="1" operator="between">
      <formula>0</formula>
      <formula>55</formula>
    </cfRule>
    <cfRule type="cellIs" dxfId="518" priority="479" stopIfTrue="1" operator="notBetween">
      <formula>0</formula>
      <formula>100</formula>
    </cfRule>
    <cfRule type="cellIs" dxfId="517" priority="478" stopIfTrue="1" operator="lessThan">
      <formula>#REF!</formula>
    </cfRule>
    <cfRule type="cellIs" dxfId="516" priority="477" stopIfTrue="1" operator="notBetween">
      <formula>0</formula>
      <formula>100</formula>
    </cfRule>
  </conditionalFormatting>
  <conditionalFormatting sqref="E836:U836">
    <cfRule type="cellIs" dxfId="515" priority="472" stopIfTrue="1" operator="between">
      <formula>0</formula>
      <formula>55</formula>
    </cfRule>
    <cfRule type="cellIs" dxfId="514" priority="471" stopIfTrue="1" operator="notBetween">
      <formula>0</formula>
      <formula>100</formula>
    </cfRule>
    <cfRule type="cellIs" dxfId="513" priority="470" stopIfTrue="1" operator="lessThan">
      <formula>#REF!</formula>
    </cfRule>
    <cfRule type="cellIs" dxfId="512" priority="469" stopIfTrue="1" operator="notBetween">
      <formula>0</formula>
      <formula>100</formula>
    </cfRule>
  </conditionalFormatting>
  <conditionalFormatting sqref="E845:U845">
    <cfRule type="cellIs" dxfId="511" priority="461" stopIfTrue="1" operator="notBetween">
      <formula>0</formula>
      <formula>100</formula>
    </cfRule>
    <cfRule type="cellIs" dxfId="510" priority="464" stopIfTrue="1" operator="between">
      <formula>0</formula>
      <formula>55</formula>
    </cfRule>
    <cfRule type="cellIs" dxfId="509" priority="463" stopIfTrue="1" operator="notBetween">
      <formula>0</formula>
      <formula>100</formula>
    </cfRule>
    <cfRule type="cellIs" dxfId="508" priority="462" stopIfTrue="1" operator="lessThan">
      <formula>#REF!</formula>
    </cfRule>
  </conditionalFormatting>
  <conditionalFormatting sqref="E854:U854">
    <cfRule type="cellIs" dxfId="507" priority="454" stopIfTrue="1" operator="lessThan">
      <formula>#REF!</formula>
    </cfRule>
    <cfRule type="cellIs" dxfId="506" priority="453" stopIfTrue="1" operator="notBetween">
      <formula>0</formula>
      <formula>100</formula>
    </cfRule>
    <cfRule type="cellIs" dxfId="505" priority="456" stopIfTrue="1" operator="between">
      <formula>0</formula>
      <formula>55</formula>
    </cfRule>
    <cfRule type="cellIs" dxfId="504" priority="455" stopIfTrue="1" operator="notBetween">
      <formula>0</formula>
      <formula>100</formula>
    </cfRule>
  </conditionalFormatting>
  <conditionalFormatting sqref="E863:U863">
    <cfRule type="cellIs" dxfId="503" priority="445" stopIfTrue="1" operator="notBetween">
      <formula>0</formula>
      <formula>100</formula>
    </cfRule>
    <cfRule type="cellIs" dxfId="502" priority="448" stopIfTrue="1" operator="between">
      <formula>0</formula>
      <formula>55</formula>
    </cfRule>
    <cfRule type="cellIs" dxfId="501" priority="446" stopIfTrue="1" operator="lessThan">
      <formula>#REF!</formula>
    </cfRule>
    <cfRule type="cellIs" dxfId="500" priority="447" stopIfTrue="1" operator="notBetween">
      <formula>0</formula>
      <formula>100</formula>
    </cfRule>
  </conditionalFormatting>
  <conditionalFormatting sqref="E872:U872">
    <cfRule type="cellIs" dxfId="499" priority="437" stopIfTrue="1" operator="notBetween">
      <formula>0</formula>
      <formula>100</formula>
    </cfRule>
    <cfRule type="cellIs" dxfId="498" priority="438" stopIfTrue="1" operator="lessThan">
      <formula>#REF!</formula>
    </cfRule>
    <cfRule type="cellIs" dxfId="497" priority="439" stopIfTrue="1" operator="notBetween">
      <formula>0</formula>
      <formula>100</formula>
    </cfRule>
    <cfRule type="cellIs" dxfId="496" priority="440" stopIfTrue="1" operator="between">
      <formula>0</formula>
      <formula>55</formula>
    </cfRule>
  </conditionalFormatting>
  <conditionalFormatting sqref="E881:U881">
    <cfRule type="cellIs" dxfId="495" priority="430" stopIfTrue="1" operator="lessThan">
      <formula>#REF!</formula>
    </cfRule>
    <cfRule type="cellIs" dxfId="494" priority="431" stopIfTrue="1" operator="notBetween">
      <formula>0</formula>
      <formula>100</formula>
    </cfRule>
    <cfRule type="cellIs" dxfId="493" priority="432" stopIfTrue="1" operator="between">
      <formula>0</formula>
      <formula>55</formula>
    </cfRule>
    <cfRule type="cellIs" dxfId="492" priority="429" stopIfTrue="1" operator="notBetween">
      <formula>0</formula>
      <formula>100</formula>
    </cfRule>
  </conditionalFormatting>
  <conditionalFormatting sqref="E890:U890">
    <cfRule type="cellIs" dxfId="491" priority="424" stopIfTrue="1" operator="between">
      <formula>0</formula>
      <formula>55</formula>
    </cfRule>
    <cfRule type="cellIs" dxfId="490" priority="421" stopIfTrue="1" operator="notBetween">
      <formula>0</formula>
      <formula>100</formula>
    </cfRule>
    <cfRule type="cellIs" dxfId="489" priority="422" stopIfTrue="1" operator="lessThan">
      <formula>#REF!</formula>
    </cfRule>
    <cfRule type="cellIs" dxfId="488" priority="423" stopIfTrue="1" operator="notBetween">
      <formula>0</formula>
      <formula>100</formula>
    </cfRule>
  </conditionalFormatting>
  <conditionalFormatting sqref="E899:U899">
    <cfRule type="cellIs" dxfId="487" priority="413" stopIfTrue="1" operator="notBetween">
      <formula>0</formula>
      <formula>100</formula>
    </cfRule>
    <cfRule type="cellIs" dxfId="486" priority="414" stopIfTrue="1" operator="lessThan">
      <formula>#REF!</formula>
    </cfRule>
    <cfRule type="cellIs" dxfId="485" priority="415" stopIfTrue="1" operator="notBetween">
      <formula>0</formula>
      <formula>100</formula>
    </cfRule>
    <cfRule type="cellIs" dxfId="484" priority="416" stopIfTrue="1" operator="between">
      <formula>0</formula>
      <formula>55</formula>
    </cfRule>
  </conditionalFormatting>
  <conditionalFormatting sqref="E908:U908">
    <cfRule type="cellIs" dxfId="483" priority="406" stopIfTrue="1" operator="lessThan">
      <formula>#REF!</formula>
    </cfRule>
    <cfRule type="cellIs" dxfId="482" priority="407" stopIfTrue="1" operator="notBetween">
      <formula>0</formula>
      <formula>100</formula>
    </cfRule>
    <cfRule type="cellIs" dxfId="481" priority="405" stopIfTrue="1" operator="notBetween">
      <formula>0</formula>
      <formula>100</formula>
    </cfRule>
    <cfRule type="cellIs" dxfId="480" priority="408" stopIfTrue="1" operator="between">
      <formula>0</formula>
      <formula>55</formula>
    </cfRule>
  </conditionalFormatting>
  <conditionalFormatting sqref="E917:U917">
    <cfRule type="cellIs" dxfId="479" priority="397" stopIfTrue="1" operator="notBetween">
      <formula>0</formula>
      <formula>100</formula>
    </cfRule>
    <cfRule type="cellIs" dxfId="478" priority="398" stopIfTrue="1" operator="lessThan">
      <formula>#REF!</formula>
    </cfRule>
    <cfRule type="cellIs" dxfId="477" priority="399" stopIfTrue="1" operator="notBetween">
      <formula>0</formula>
      <formula>100</formula>
    </cfRule>
    <cfRule type="cellIs" dxfId="476" priority="400" stopIfTrue="1" operator="between">
      <formula>0</formula>
      <formula>55</formula>
    </cfRule>
  </conditionalFormatting>
  <conditionalFormatting sqref="E926:U926">
    <cfRule type="cellIs" dxfId="475" priority="392" stopIfTrue="1" operator="between">
      <formula>0</formula>
      <formula>55</formula>
    </cfRule>
    <cfRule type="cellIs" dxfId="474" priority="391" stopIfTrue="1" operator="notBetween">
      <formula>0</formula>
      <formula>100</formula>
    </cfRule>
    <cfRule type="cellIs" dxfId="473" priority="389" stopIfTrue="1" operator="notBetween">
      <formula>0</formula>
      <formula>100</formula>
    </cfRule>
    <cfRule type="cellIs" dxfId="472" priority="390" stopIfTrue="1" operator="lessThan">
      <formula>#REF!</formula>
    </cfRule>
  </conditionalFormatting>
  <conditionalFormatting sqref="E935:U935">
    <cfRule type="cellIs" dxfId="471" priority="381" stopIfTrue="1" operator="notBetween">
      <formula>0</formula>
      <formula>100</formula>
    </cfRule>
    <cfRule type="cellIs" dxfId="470" priority="384" stopIfTrue="1" operator="between">
      <formula>0</formula>
      <formula>55</formula>
    </cfRule>
    <cfRule type="cellIs" dxfId="469" priority="382" stopIfTrue="1" operator="lessThan">
      <formula>#REF!</formula>
    </cfRule>
    <cfRule type="cellIs" dxfId="468" priority="383" stopIfTrue="1" operator="notBetween">
      <formula>0</formula>
      <formula>100</formula>
    </cfRule>
  </conditionalFormatting>
  <conditionalFormatting sqref="E944:U944">
    <cfRule type="cellIs" dxfId="467" priority="373" stopIfTrue="1" operator="notBetween">
      <formula>0</formula>
      <formula>100</formula>
    </cfRule>
    <cfRule type="cellIs" dxfId="466" priority="375" stopIfTrue="1" operator="notBetween">
      <formula>0</formula>
      <formula>100</formula>
    </cfRule>
    <cfRule type="cellIs" dxfId="465" priority="374" stopIfTrue="1" operator="lessThan">
      <formula>#REF!</formula>
    </cfRule>
    <cfRule type="cellIs" dxfId="464" priority="376" stopIfTrue="1" operator="between">
      <formula>0</formula>
      <formula>55</formula>
    </cfRule>
  </conditionalFormatting>
  <conditionalFormatting sqref="E953:U953">
    <cfRule type="cellIs" dxfId="463" priority="368" stopIfTrue="1" operator="between">
      <formula>0</formula>
      <formula>55</formula>
    </cfRule>
    <cfRule type="cellIs" dxfId="462" priority="365" stopIfTrue="1" operator="notBetween">
      <formula>0</formula>
      <formula>100</formula>
    </cfRule>
    <cfRule type="cellIs" dxfId="461" priority="367" stopIfTrue="1" operator="notBetween">
      <formula>0</formula>
      <formula>100</formula>
    </cfRule>
    <cfRule type="cellIs" dxfId="460" priority="366" stopIfTrue="1" operator="lessThan">
      <formula>#REF!</formula>
    </cfRule>
  </conditionalFormatting>
  <conditionalFormatting sqref="E962:U962">
    <cfRule type="cellIs" dxfId="459" priority="358" stopIfTrue="1" operator="lessThan">
      <formula>#REF!</formula>
    </cfRule>
    <cfRule type="cellIs" dxfId="458" priority="360" stopIfTrue="1" operator="between">
      <formula>0</formula>
      <formula>55</formula>
    </cfRule>
    <cfRule type="cellIs" dxfId="457" priority="359" stopIfTrue="1" operator="notBetween">
      <formula>0</formula>
      <formula>100</formula>
    </cfRule>
    <cfRule type="cellIs" dxfId="456" priority="357" stopIfTrue="1" operator="notBetween">
      <formula>0</formula>
      <formula>100</formula>
    </cfRule>
  </conditionalFormatting>
  <conditionalFormatting sqref="E971:U971">
    <cfRule type="cellIs" dxfId="455" priority="349" stopIfTrue="1" operator="notBetween">
      <formula>0</formula>
      <formula>100</formula>
    </cfRule>
    <cfRule type="cellIs" dxfId="454" priority="352" stopIfTrue="1" operator="between">
      <formula>0</formula>
      <formula>55</formula>
    </cfRule>
    <cfRule type="cellIs" dxfId="453" priority="351" stopIfTrue="1" operator="notBetween">
      <formula>0</formula>
      <formula>100</formula>
    </cfRule>
    <cfRule type="cellIs" dxfId="452" priority="350" stopIfTrue="1" operator="lessThan">
      <formula>#REF!</formula>
    </cfRule>
  </conditionalFormatting>
  <conditionalFormatting sqref="T15">
    <cfRule type="cellIs" dxfId="451" priority="1488" stopIfTrue="1" operator="between">
      <formula>0</formula>
      <formula>55</formula>
    </cfRule>
    <cfRule type="cellIs" dxfId="450" priority="1487" stopIfTrue="1" operator="notBetween">
      <formula>0</formula>
      <formula>100</formula>
    </cfRule>
    <cfRule type="cellIs" dxfId="449" priority="1486" stopIfTrue="1" operator="lessThan">
      <formula>#REF!</formula>
    </cfRule>
    <cfRule type="cellIs" dxfId="448" priority="1485" stopIfTrue="1" operator="notBetween">
      <formula>0</formula>
      <formula>100</formula>
    </cfRule>
  </conditionalFormatting>
  <conditionalFormatting sqref="T24">
    <cfRule type="cellIs" dxfId="447" priority="1186" stopIfTrue="1" operator="lessThan">
      <formula>#REF!</formula>
    </cfRule>
    <cfRule type="cellIs" dxfId="446" priority="1185" stopIfTrue="1" operator="notBetween">
      <formula>0</formula>
      <formula>100</formula>
    </cfRule>
    <cfRule type="cellIs" dxfId="445" priority="1188" stopIfTrue="1" operator="between">
      <formula>0</formula>
      <formula>55</formula>
    </cfRule>
    <cfRule type="cellIs" dxfId="444" priority="1187" stopIfTrue="1" operator="notBetween">
      <formula>0</formula>
      <formula>100</formula>
    </cfRule>
  </conditionalFormatting>
  <conditionalFormatting sqref="T33">
    <cfRule type="cellIs" dxfId="443" priority="1180" stopIfTrue="1" operator="between">
      <formula>0</formula>
      <formula>55</formula>
    </cfRule>
    <cfRule type="cellIs" dxfId="442" priority="1178" stopIfTrue="1" operator="lessThan">
      <formula>#REF!</formula>
    </cfRule>
    <cfRule type="cellIs" dxfId="441" priority="1177" stopIfTrue="1" operator="notBetween">
      <formula>0</formula>
      <formula>100</formula>
    </cfRule>
    <cfRule type="cellIs" dxfId="440" priority="1179" stopIfTrue="1" operator="notBetween">
      <formula>0</formula>
      <formula>100</formula>
    </cfRule>
  </conditionalFormatting>
  <conditionalFormatting sqref="T42">
    <cfRule type="cellIs" dxfId="439" priority="1172" stopIfTrue="1" operator="between">
      <formula>0</formula>
      <formula>55</formula>
    </cfRule>
    <cfRule type="cellIs" dxfId="438" priority="1170" stopIfTrue="1" operator="lessThan">
      <formula>#REF!</formula>
    </cfRule>
    <cfRule type="cellIs" dxfId="437" priority="1171" stopIfTrue="1" operator="notBetween">
      <formula>0</formula>
      <formula>100</formula>
    </cfRule>
    <cfRule type="cellIs" dxfId="436" priority="1169" stopIfTrue="1" operator="notBetween">
      <formula>0</formula>
      <formula>100</formula>
    </cfRule>
  </conditionalFormatting>
  <conditionalFormatting sqref="T51">
    <cfRule type="cellIs" dxfId="435" priority="1162" stopIfTrue="1" operator="lessThan">
      <formula>#REF!</formula>
    </cfRule>
    <cfRule type="cellIs" dxfId="434" priority="1164" stopIfTrue="1" operator="between">
      <formula>0</formula>
      <formula>55</formula>
    </cfRule>
    <cfRule type="cellIs" dxfId="433" priority="1161" stopIfTrue="1" operator="notBetween">
      <formula>0</formula>
      <formula>100</formula>
    </cfRule>
    <cfRule type="cellIs" dxfId="432" priority="1163" stopIfTrue="1" operator="notBetween">
      <formula>0</formula>
      <formula>100</formula>
    </cfRule>
  </conditionalFormatting>
  <conditionalFormatting sqref="T60">
    <cfRule type="cellIs" dxfId="431" priority="1154" stopIfTrue="1" operator="lessThan">
      <formula>#REF!</formula>
    </cfRule>
    <cfRule type="cellIs" dxfId="430" priority="1155" stopIfTrue="1" operator="notBetween">
      <formula>0</formula>
      <formula>100</formula>
    </cfRule>
    <cfRule type="cellIs" dxfId="429" priority="1153" stopIfTrue="1" operator="notBetween">
      <formula>0</formula>
      <formula>100</formula>
    </cfRule>
    <cfRule type="cellIs" dxfId="428" priority="1156" stopIfTrue="1" operator="between">
      <formula>0</formula>
      <formula>55</formula>
    </cfRule>
  </conditionalFormatting>
  <conditionalFormatting sqref="T69">
    <cfRule type="cellIs" dxfId="427" priority="1147" stopIfTrue="1" operator="notBetween">
      <formula>0</formula>
      <formula>100</formula>
    </cfRule>
    <cfRule type="cellIs" dxfId="426" priority="1146" stopIfTrue="1" operator="lessThan">
      <formula>#REF!</formula>
    </cfRule>
    <cfRule type="cellIs" dxfId="425" priority="1145" stopIfTrue="1" operator="notBetween">
      <formula>0</formula>
      <formula>100</formula>
    </cfRule>
    <cfRule type="cellIs" dxfId="424" priority="1148" stopIfTrue="1" operator="between">
      <formula>0</formula>
      <formula>55</formula>
    </cfRule>
  </conditionalFormatting>
  <conditionalFormatting sqref="T78">
    <cfRule type="cellIs" dxfId="423" priority="1138" stopIfTrue="1" operator="lessThan">
      <formula>#REF!</formula>
    </cfRule>
    <cfRule type="cellIs" dxfId="422" priority="1140" stopIfTrue="1" operator="between">
      <formula>0</formula>
      <formula>55</formula>
    </cfRule>
    <cfRule type="cellIs" dxfId="421" priority="1139" stopIfTrue="1" operator="notBetween">
      <formula>0</formula>
      <formula>100</formula>
    </cfRule>
    <cfRule type="cellIs" dxfId="420" priority="1137" stopIfTrue="1" operator="notBetween">
      <formula>0</formula>
      <formula>100</formula>
    </cfRule>
  </conditionalFormatting>
  <conditionalFormatting sqref="T87">
    <cfRule type="cellIs" dxfId="419" priority="1129" stopIfTrue="1" operator="notBetween">
      <formula>0</formula>
      <formula>100</formula>
    </cfRule>
    <cfRule type="cellIs" dxfId="418" priority="1131" stopIfTrue="1" operator="notBetween">
      <formula>0</formula>
      <formula>100</formula>
    </cfRule>
    <cfRule type="cellIs" dxfId="417" priority="1130" stopIfTrue="1" operator="lessThan">
      <formula>#REF!</formula>
    </cfRule>
    <cfRule type="cellIs" dxfId="416" priority="1132" stopIfTrue="1" operator="between">
      <formula>0</formula>
      <formula>55</formula>
    </cfRule>
  </conditionalFormatting>
  <conditionalFormatting sqref="T96">
    <cfRule type="cellIs" dxfId="415" priority="1124" stopIfTrue="1" operator="between">
      <formula>0</formula>
      <formula>55</formula>
    </cfRule>
    <cfRule type="cellIs" dxfId="414" priority="1121" stopIfTrue="1" operator="notBetween">
      <formula>0</formula>
      <formula>100</formula>
    </cfRule>
    <cfRule type="cellIs" dxfId="413" priority="1122" stopIfTrue="1" operator="lessThan">
      <formula>#REF!</formula>
    </cfRule>
    <cfRule type="cellIs" dxfId="412" priority="1123" stopIfTrue="1" operator="notBetween">
      <formula>0</formula>
      <formula>100</formula>
    </cfRule>
  </conditionalFormatting>
  <conditionalFormatting sqref="T105">
    <cfRule type="cellIs" dxfId="411" priority="1113" stopIfTrue="1" operator="notBetween">
      <formula>0</formula>
      <formula>100</formula>
    </cfRule>
    <cfRule type="cellIs" dxfId="410" priority="1114" stopIfTrue="1" operator="lessThan">
      <formula>#REF!</formula>
    </cfRule>
    <cfRule type="cellIs" dxfId="409" priority="1116" stopIfTrue="1" operator="between">
      <formula>0</formula>
      <formula>55</formula>
    </cfRule>
    <cfRule type="cellIs" dxfId="408" priority="1115" stopIfTrue="1" operator="notBetween">
      <formula>0</formula>
      <formula>100</formula>
    </cfRule>
  </conditionalFormatting>
  <conditionalFormatting sqref="T114">
    <cfRule type="cellIs" dxfId="407" priority="1108" stopIfTrue="1" operator="between">
      <formula>0</formula>
      <formula>55</formula>
    </cfRule>
    <cfRule type="cellIs" dxfId="406" priority="1106" stopIfTrue="1" operator="lessThan">
      <formula>#REF!</formula>
    </cfRule>
    <cfRule type="cellIs" dxfId="405" priority="1105" stopIfTrue="1" operator="notBetween">
      <formula>0</formula>
      <formula>100</formula>
    </cfRule>
    <cfRule type="cellIs" dxfId="404" priority="1107" stopIfTrue="1" operator="notBetween">
      <formula>0</formula>
      <formula>100</formula>
    </cfRule>
  </conditionalFormatting>
  <conditionalFormatting sqref="T123">
    <cfRule type="cellIs" dxfId="403" priority="1099" stopIfTrue="1" operator="notBetween">
      <formula>0</formula>
      <formula>100</formula>
    </cfRule>
    <cfRule type="cellIs" dxfId="402" priority="1100" stopIfTrue="1" operator="between">
      <formula>0</formula>
      <formula>55</formula>
    </cfRule>
    <cfRule type="cellIs" dxfId="401" priority="1097" stopIfTrue="1" operator="notBetween">
      <formula>0</formula>
      <formula>100</formula>
    </cfRule>
    <cfRule type="cellIs" dxfId="400" priority="1098" stopIfTrue="1" operator="lessThan">
      <formula>#REF!</formula>
    </cfRule>
  </conditionalFormatting>
  <conditionalFormatting sqref="T132">
    <cfRule type="cellIs" dxfId="399" priority="1089" stopIfTrue="1" operator="notBetween">
      <formula>0</formula>
      <formula>100</formula>
    </cfRule>
    <cfRule type="cellIs" dxfId="398" priority="1092" stopIfTrue="1" operator="between">
      <formula>0</formula>
      <formula>55</formula>
    </cfRule>
    <cfRule type="cellIs" dxfId="397" priority="1090" stopIfTrue="1" operator="lessThan">
      <formula>#REF!</formula>
    </cfRule>
    <cfRule type="cellIs" dxfId="396" priority="1091" stopIfTrue="1" operator="notBetween">
      <formula>0</formula>
      <formula>100</formula>
    </cfRule>
  </conditionalFormatting>
  <conditionalFormatting sqref="T141">
    <cfRule type="cellIs" dxfId="395" priority="1082" stopIfTrue="1" operator="lessThan">
      <formula>#REF!</formula>
    </cfRule>
    <cfRule type="cellIs" dxfId="394" priority="1081" stopIfTrue="1" operator="notBetween">
      <formula>0</formula>
      <formula>100</formula>
    </cfRule>
    <cfRule type="cellIs" dxfId="393" priority="1083" stopIfTrue="1" operator="notBetween">
      <formula>0</formula>
      <formula>100</formula>
    </cfRule>
    <cfRule type="cellIs" dxfId="392" priority="1084" stopIfTrue="1" operator="between">
      <formula>0</formula>
      <formula>55</formula>
    </cfRule>
  </conditionalFormatting>
  <conditionalFormatting sqref="T150">
    <cfRule type="cellIs" dxfId="391" priority="1073" stopIfTrue="1" operator="notBetween">
      <formula>0</formula>
      <formula>100</formula>
    </cfRule>
    <cfRule type="cellIs" dxfId="390" priority="1076" stopIfTrue="1" operator="between">
      <formula>0</formula>
      <formula>55</formula>
    </cfRule>
    <cfRule type="cellIs" dxfId="389" priority="1075" stopIfTrue="1" operator="notBetween">
      <formula>0</formula>
      <formula>100</formula>
    </cfRule>
    <cfRule type="cellIs" dxfId="388" priority="1074" stopIfTrue="1" operator="lessThan">
      <formula>#REF!</formula>
    </cfRule>
  </conditionalFormatting>
  <conditionalFormatting sqref="T159">
    <cfRule type="cellIs" dxfId="387" priority="1066" stopIfTrue="1" operator="lessThan">
      <formula>#REF!</formula>
    </cfRule>
    <cfRule type="cellIs" dxfId="386" priority="1067" stopIfTrue="1" operator="notBetween">
      <formula>0</formula>
      <formula>100</formula>
    </cfRule>
    <cfRule type="cellIs" dxfId="385" priority="1068" stopIfTrue="1" operator="between">
      <formula>0</formula>
      <formula>55</formula>
    </cfRule>
    <cfRule type="cellIs" dxfId="384" priority="1065" stopIfTrue="1" operator="notBetween">
      <formula>0</formula>
      <formula>100</formula>
    </cfRule>
  </conditionalFormatting>
  <conditionalFormatting sqref="T168">
    <cfRule type="cellIs" dxfId="383" priority="1060" stopIfTrue="1" operator="between">
      <formula>0</formula>
      <formula>55</formula>
    </cfRule>
    <cfRule type="cellIs" dxfId="382" priority="1059" stopIfTrue="1" operator="notBetween">
      <formula>0</formula>
      <formula>100</formula>
    </cfRule>
    <cfRule type="cellIs" dxfId="381" priority="1057" stopIfTrue="1" operator="notBetween">
      <formula>0</formula>
      <formula>100</formula>
    </cfRule>
    <cfRule type="cellIs" dxfId="380" priority="1058" stopIfTrue="1" operator="lessThan">
      <formula>#REF!</formula>
    </cfRule>
  </conditionalFormatting>
  <conditionalFormatting sqref="T177">
    <cfRule type="cellIs" dxfId="379" priority="1052" stopIfTrue="1" operator="between">
      <formula>0</formula>
      <formula>55</formula>
    </cfRule>
    <cfRule type="cellIs" dxfId="378" priority="1051" stopIfTrue="1" operator="notBetween">
      <formula>0</formula>
      <formula>100</formula>
    </cfRule>
    <cfRule type="cellIs" dxfId="377" priority="1050" stopIfTrue="1" operator="lessThan">
      <formula>#REF!</formula>
    </cfRule>
    <cfRule type="cellIs" dxfId="376" priority="1049" stopIfTrue="1" operator="notBetween">
      <formula>0</formula>
      <formula>100</formula>
    </cfRule>
  </conditionalFormatting>
  <conditionalFormatting sqref="T186">
    <cfRule type="cellIs" dxfId="375" priority="1044" stopIfTrue="1" operator="between">
      <formula>0</formula>
      <formula>55</formula>
    </cfRule>
    <cfRule type="cellIs" dxfId="374" priority="1042" stopIfTrue="1" operator="lessThan">
      <formula>#REF!</formula>
    </cfRule>
    <cfRule type="cellIs" dxfId="373" priority="1043" stopIfTrue="1" operator="notBetween">
      <formula>0</formula>
      <formula>100</formula>
    </cfRule>
    <cfRule type="cellIs" dxfId="372" priority="1041" stopIfTrue="1" operator="notBetween">
      <formula>0</formula>
      <formula>100</formula>
    </cfRule>
  </conditionalFormatting>
  <conditionalFormatting sqref="T195">
    <cfRule type="cellIs" dxfId="371" priority="1033" stopIfTrue="1" operator="notBetween">
      <formula>0</formula>
      <formula>100</formula>
    </cfRule>
    <cfRule type="cellIs" dxfId="370" priority="1034" stopIfTrue="1" operator="lessThan">
      <formula>#REF!</formula>
    </cfRule>
    <cfRule type="cellIs" dxfId="369" priority="1035" stopIfTrue="1" operator="notBetween">
      <formula>0</formula>
      <formula>100</formula>
    </cfRule>
    <cfRule type="cellIs" dxfId="368" priority="1036" stopIfTrue="1" operator="between">
      <formula>0</formula>
      <formula>55</formula>
    </cfRule>
  </conditionalFormatting>
  <conditionalFormatting sqref="T204">
    <cfRule type="cellIs" dxfId="367" priority="1025" stopIfTrue="1" operator="notBetween">
      <formula>0</formula>
      <formula>100</formula>
    </cfRule>
    <cfRule type="cellIs" dxfId="366" priority="1026" stopIfTrue="1" operator="lessThan">
      <formula>#REF!</formula>
    </cfRule>
    <cfRule type="cellIs" dxfId="365" priority="1027" stopIfTrue="1" operator="notBetween">
      <formula>0</formula>
      <formula>100</formula>
    </cfRule>
    <cfRule type="cellIs" dxfId="364" priority="1028" stopIfTrue="1" operator="between">
      <formula>0</formula>
      <formula>55</formula>
    </cfRule>
  </conditionalFormatting>
  <conditionalFormatting sqref="T213">
    <cfRule type="cellIs" dxfId="363" priority="1017" stopIfTrue="1" operator="notBetween">
      <formula>0</formula>
      <formula>100</formula>
    </cfRule>
    <cfRule type="cellIs" dxfId="362" priority="1018" stopIfTrue="1" operator="lessThan">
      <formula>#REF!</formula>
    </cfRule>
    <cfRule type="cellIs" dxfId="361" priority="1019" stopIfTrue="1" operator="notBetween">
      <formula>0</formula>
      <formula>100</formula>
    </cfRule>
    <cfRule type="cellIs" dxfId="360" priority="1020" stopIfTrue="1" operator="between">
      <formula>0</formula>
      <formula>55</formula>
    </cfRule>
  </conditionalFormatting>
  <conditionalFormatting sqref="T222">
    <cfRule type="cellIs" dxfId="359" priority="1011" stopIfTrue="1" operator="notBetween">
      <formula>0</formula>
      <formula>100</formula>
    </cfRule>
    <cfRule type="cellIs" dxfId="358" priority="1010" stopIfTrue="1" operator="lessThan">
      <formula>#REF!</formula>
    </cfRule>
    <cfRule type="cellIs" dxfId="357" priority="1012" stopIfTrue="1" operator="between">
      <formula>0</formula>
      <formula>55</formula>
    </cfRule>
    <cfRule type="cellIs" dxfId="356" priority="1009" stopIfTrue="1" operator="notBetween">
      <formula>0</formula>
      <formula>100</formula>
    </cfRule>
  </conditionalFormatting>
  <conditionalFormatting sqref="T231">
    <cfRule type="cellIs" dxfId="355" priority="1004" stopIfTrue="1" operator="between">
      <formula>0</formula>
      <formula>55</formula>
    </cfRule>
    <cfRule type="cellIs" dxfId="354" priority="1003" stopIfTrue="1" operator="notBetween">
      <formula>0</formula>
      <formula>100</formula>
    </cfRule>
    <cfRule type="cellIs" dxfId="353" priority="1002" stopIfTrue="1" operator="lessThan">
      <formula>#REF!</formula>
    </cfRule>
    <cfRule type="cellIs" dxfId="352" priority="1001" stopIfTrue="1" operator="notBetween">
      <formula>0</formula>
      <formula>100</formula>
    </cfRule>
  </conditionalFormatting>
  <conditionalFormatting sqref="T240">
    <cfRule type="cellIs" dxfId="351" priority="993" stopIfTrue="1" operator="notBetween">
      <formula>0</formula>
      <formula>100</formula>
    </cfRule>
    <cfRule type="cellIs" dxfId="350" priority="996" stopIfTrue="1" operator="between">
      <formula>0</formula>
      <formula>55</formula>
    </cfRule>
    <cfRule type="cellIs" dxfId="349" priority="994" stopIfTrue="1" operator="lessThan">
      <formula>#REF!</formula>
    </cfRule>
    <cfRule type="cellIs" dxfId="348" priority="995" stopIfTrue="1" operator="notBetween">
      <formula>0</formula>
      <formula>100</formula>
    </cfRule>
  </conditionalFormatting>
  <conditionalFormatting sqref="T249">
    <cfRule type="cellIs" dxfId="347" priority="987" stopIfTrue="1" operator="notBetween">
      <formula>0</formula>
      <formula>100</formula>
    </cfRule>
    <cfRule type="cellIs" dxfId="346" priority="985" stopIfTrue="1" operator="notBetween">
      <formula>0</formula>
      <formula>100</formula>
    </cfRule>
    <cfRule type="cellIs" dxfId="345" priority="988" stopIfTrue="1" operator="between">
      <formula>0</formula>
      <formula>55</formula>
    </cfRule>
    <cfRule type="cellIs" dxfId="344" priority="986" stopIfTrue="1" operator="lessThan">
      <formula>#REF!</formula>
    </cfRule>
  </conditionalFormatting>
  <conditionalFormatting sqref="T258">
    <cfRule type="cellIs" dxfId="343" priority="978" stopIfTrue="1" operator="lessThan">
      <formula>#REF!</formula>
    </cfRule>
    <cfRule type="cellIs" dxfId="342" priority="980" stopIfTrue="1" operator="between">
      <formula>0</formula>
      <formula>55</formula>
    </cfRule>
    <cfRule type="cellIs" dxfId="341" priority="979" stopIfTrue="1" operator="notBetween">
      <formula>0</formula>
      <formula>100</formula>
    </cfRule>
    <cfRule type="cellIs" dxfId="340" priority="977" stopIfTrue="1" operator="notBetween">
      <formula>0</formula>
      <formula>100</formula>
    </cfRule>
  </conditionalFormatting>
  <conditionalFormatting sqref="T267">
    <cfRule type="cellIs" dxfId="339" priority="972" stopIfTrue="1" operator="between">
      <formula>0</formula>
      <formula>55</formula>
    </cfRule>
    <cfRule type="cellIs" dxfId="338" priority="971" stopIfTrue="1" operator="notBetween">
      <formula>0</formula>
      <formula>100</formula>
    </cfRule>
    <cfRule type="cellIs" dxfId="337" priority="970" stopIfTrue="1" operator="lessThan">
      <formula>#REF!</formula>
    </cfRule>
    <cfRule type="cellIs" dxfId="336" priority="969" stopIfTrue="1" operator="notBetween">
      <formula>0</formula>
      <formula>100</formula>
    </cfRule>
  </conditionalFormatting>
  <conditionalFormatting sqref="T276">
    <cfRule type="cellIs" dxfId="335" priority="962" stopIfTrue="1" operator="lessThan">
      <formula>#REF!</formula>
    </cfRule>
    <cfRule type="cellIs" dxfId="334" priority="963" stopIfTrue="1" operator="notBetween">
      <formula>0</formula>
      <formula>100</formula>
    </cfRule>
    <cfRule type="cellIs" dxfId="333" priority="964" stopIfTrue="1" operator="between">
      <formula>0</formula>
      <formula>55</formula>
    </cfRule>
    <cfRule type="cellIs" dxfId="332" priority="961" stopIfTrue="1" operator="notBetween">
      <formula>0</formula>
      <formula>100</formula>
    </cfRule>
  </conditionalFormatting>
  <conditionalFormatting sqref="T285">
    <cfRule type="cellIs" dxfId="331" priority="953" stopIfTrue="1" operator="notBetween">
      <formula>0</formula>
      <formula>100</formula>
    </cfRule>
    <cfRule type="cellIs" dxfId="330" priority="954" stopIfTrue="1" operator="lessThan">
      <formula>#REF!</formula>
    </cfRule>
    <cfRule type="cellIs" dxfId="329" priority="956" stopIfTrue="1" operator="between">
      <formula>0</formula>
      <formula>55</formula>
    </cfRule>
    <cfRule type="cellIs" dxfId="328" priority="955" stopIfTrue="1" operator="notBetween">
      <formula>0</formula>
      <formula>100</formula>
    </cfRule>
  </conditionalFormatting>
  <conditionalFormatting sqref="T294">
    <cfRule type="cellIs" dxfId="327" priority="945" stopIfTrue="1" operator="notBetween">
      <formula>0</formula>
      <formula>100</formula>
    </cfRule>
    <cfRule type="cellIs" dxfId="326" priority="947" stopIfTrue="1" operator="notBetween">
      <formula>0</formula>
      <formula>100</formula>
    </cfRule>
    <cfRule type="cellIs" dxfId="325" priority="946" stopIfTrue="1" operator="lessThan">
      <formula>#REF!</formula>
    </cfRule>
    <cfRule type="cellIs" dxfId="324" priority="948" stopIfTrue="1" operator="between">
      <formula>0</formula>
      <formula>55</formula>
    </cfRule>
  </conditionalFormatting>
  <conditionalFormatting sqref="T303">
    <cfRule type="cellIs" dxfId="323" priority="939" stopIfTrue="1" operator="notBetween">
      <formula>0</formula>
      <formula>100</formula>
    </cfRule>
    <cfRule type="cellIs" dxfId="322" priority="940" stopIfTrue="1" operator="between">
      <formula>0</formula>
      <formula>55</formula>
    </cfRule>
    <cfRule type="cellIs" dxfId="321" priority="938" stopIfTrue="1" operator="lessThan">
      <formula>#REF!</formula>
    </cfRule>
    <cfRule type="cellIs" dxfId="320" priority="937" stopIfTrue="1" operator="notBetween">
      <formula>0</formula>
      <formula>100</formula>
    </cfRule>
  </conditionalFormatting>
  <conditionalFormatting sqref="T312">
    <cfRule type="cellIs" dxfId="319" priority="931" stopIfTrue="1" operator="notBetween">
      <formula>0</formula>
      <formula>100</formula>
    </cfRule>
    <cfRule type="cellIs" dxfId="318" priority="930" stopIfTrue="1" operator="lessThan">
      <formula>#REF!</formula>
    </cfRule>
    <cfRule type="cellIs" dxfId="317" priority="929" stopIfTrue="1" operator="notBetween">
      <formula>0</formula>
      <formula>100</formula>
    </cfRule>
    <cfRule type="cellIs" dxfId="316" priority="932" stopIfTrue="1" operator="between">
      <formula>0</formula>
      <formula>55</formula>
    </cfRule>
  </conditionalFormatting>
  <conditionalFormatting sqref="T321">
    <cfRule type="cellIs" dxfId="315" priority="924" stopIfTrue="1" operator="between">
      <formula>0</formula>
      <formula>55</formula>
    </cfRule>
    <cfRule type="cellIs" dxfId="314" priority="923" stopIfTrue="1" operator="notBetween">
      <formula>0</formula>
      <formula>100</formula>
    </cfRule>
    <cfRule type="cellIs" dxfId="313" priority="922" stopIfTrue="1" operator="lessThan">
      <formula>#REF!</formula>
    </cfRule>
    <cfRule type="cellIs" dxfId="312" priority="921" stopIfTrue="1" operator="notBetween">
      <formula>0</formula>
      <formula>100</formula>
    </cfRule>
  </conditionalFormatting>
  <conditionalFormatting sqref="T330">
    <cfRule type="cellIs" dxfId="311" priority="916" stopIfTrue="1" operator="between">
      <formula>0</formula>
      <formula>55</formula>
    </cfRule>
    <cfRule type="cellIs" dxfId="310" priority="915" stopIfTrue="1" operator="notBetween">
      <formula>0</formula>
      <formula>100</formula>
    </cfRule>
    <cfRule type="cellIs" dxfId="309" priority="914" stopIfTrue="1" operator="lessThan">
      <formula>#REF!</formula>
    </cfRule>
    <cfRule type="cellIs" dxfId="308" priority="913" stopIfTrue="1" operator="notBetween">
      <formula>0</formula>
      <formula>100</formula>
    </cfRule>
  </conditionalFormatting>
  <conditionalFormatting sqref="T339">
    <cfRule type="cellIs" dxfId="307" priority="905" stopIfTrue="1" operator="notBetween">
      <formula>0</formula>
      <formula>100</formula>
    </cfRule>
    <cfRule type="cellIs" dxfId="306" priority="908" stopIfTrue="1" operator="between">
      <formula>0</formula>
      <formula>55</formula>
    </cfRule>
    <cfRule type="cellIs" dxfId="305" priority="907" stopIfTrue="1" operator="notBetween">
      <formula>0</formula>
      <formula>100</formula>
    </cfRule>
    <cfRule type="cellIs" dxfId="304" priority="906" stopIfTrue="1" operator="lessThan">
      <formula>#REF!</formula>
    </cfRule>
  </conditionalFormatting>
  <conditionalFormatting sqref="T348">
    <cfRule type="cellIs" dxfId="303" priority="897" stopIfTrue="1" operator="notBetween">
      <formula>0</formula>
      <formula>100</formula>
    </cfRule>
    <cfRule type="cellIs" dxfId="302" priority="898" stopIfTrue="1" operator="lessThan">
      <formula>#REF!</formula>
    </cfRule>
    <cfRule type="cellIs" dxfId="301" priority="899" stopIfTrue="1" operator="notBetween">
      <formula>0</formula>
      <formula>100</formula>
    </cfRule>
    <cfRule type="cellIs" dxfId="300" priority="900" stopIfTrue="1" operator="between">
      <formula>0</formula>
      <formula>55</formula>
    </cfRule>
  </conditionalFormatting>
  <conditionalFormatting sqref="T357">
    <cfRule type="cellIs" dxfId="299" priority="891" stopIfTrue="1" operator="notBetween">
      <formula>0</formula>
      <formula>100</formula>
    </cfRule>
    <cfRule type="cellIs" dxfId="298" priority="892" stopIfTrue="1" operator="between">
      <formula>0</formula>
      <formula>55</formula>
    </cfRule>
    <cfRule type="cellIs" dxfId="297" priority="889" stopIfTrue="1" operator="notBetween">
      <formula>0</formula>
      <formula>100</formula>
    </cfRule>
    <cfRule type="cellIs" dxfId="296" priority="890" stopIfTrue="1" operator="lessThan">
      <formula>#REF!</formula>
    </cfRule>
  </conditionalFormatting>
  <conditionalFormatting sqref="T366">
    <cfRule type="cellIs" dxfId="295" priority="881" stopIfTrue="1" operator="notBetween">
      <formula>0</formula>
      <formula>100</formula>
    </cfRule>
    <cfRule type="cellIs" dxfId="294" priority="882" stopIfTrue="1" operator="lessThan">
      <formula>#REF!</formula>
    </cfRule>
    <cfRule type="cellIs" dxfId="293" priority="883" stopIfTrue="1" operator="notBetween">
      <formula>0</formula>
      <formula>100</formula>
    </cfRule>
    <cfRule type="cellIs" dxfId="292" priority="884" stopIfTrue="1" operator="between">
      <formula>0</formula>
      <formula>55</formula>
    </cfRule>
  </conditionalFormatting>
  <conditionalFormatting sqref="T375">
    <cfRule type="cellIs" dxfId="291" priority="876" stopIfTrue="1" operator="between">
      <formula>0</formula>
      <formula>55</formula>
    </cfRule>
    <cfRule type="cellIs" dxfId="290" priority="873" stopIfTrue="1" operator="notBetween">
      <formula>0</formula>
      <formula>100</formula>
    </cfRule>
    <cfRule type="cellIs" dxfId="289" priority="874" stopIfTrue="1" operator="lessThan">
      <formula>#REF!</formula>
    </cfRule>
    <cfRule type="cellIs" dxfId="288" priority="875" stopIfTrue="1" operator="notBetween">
      <formula>0</formula>
      <formula>100</formula>
    </cfRule>
  </conditionalFormatting>
  <conditionalFormatting sqref="T384">
    <cfRule type="cellIs" dxfId="287" priority="865" stopIfTrue="1" operator="notBetween">
      <formula>0</formula>
      <formula>100</formula>
    </cfRule>
    <cfRule type="cellIs" dxfId="286" priority="867" stopIfTrue="1" operator="notBetween">
      <formula>0</formula>
      <formula>100</formula>
    </cfRule>
    <cfRule type="cellIs" dxfId="285" priority="866" stopIfTrue="1" operator="lessThan">
      <formula>#REF!</formula>
    </cfRule>
    <cfRule type="cellIs" dxfId="284" priority="868" stopIfTrue="1" operator="between">
      <formula>0</formula>
      <formula>55</formula>
    </cfRule>
  </conditionalFormatting>
  <conditionalFormatting sqref="T393">
    <cfRule type="cellIs" dxfId="283" priority="857" stopIfTrue="1" operator="notBetween">
      <formula>0</formula>
      <formula>100</formula>
    </cfRule>
    <cfRule type="cellIs" dxfId="282" priority="858" stopIfTrue="1" operator="lessThan">
      <formula>#REF!</formula>
    </cfRule>
    <cfRule type="cellIs" dxfId="281" priority="859" stopIfTrue="1" operator="notBetween">
      <formula>0</formula>
      <formula>100</formula>
    </cfRule>
    <cfRule type="cellIs" dxfId="280" priority="860" stopIfTrue="1" operator="between">
      <formula>0</formula>
      <formula>55</formula>
    </cfRule>
  </conditionalFormatting>
  <conditionalFormatting sqref="T402">
    <cfRule type="cellIs" dxfId="279" priority="851" stopIfTrue="1" operator="notBetween">
      <formula>0</formula>
      <formula>100</formula>
    </cfRule>
    <cfRule type="cellIs" dxfId="278" priority="849" stopIfTrue="1" operator="notBetween">
      <formula>0</formula>
      <formula>100</formula>
    </cfRule>
    <cfRule type="cellIs" dxfId="277" priority="850" stopIfTrue="1" operator="lessThan">
      <formula>#REF!</formula>
    </cfRule>
    <cfRule type="cellIs" dxfId="276" priority="852" stopIfTrue="1" operator="between">
      <formula>0</formula>
      <formula>55</formula>
    </cfRule>
  </conditionalFormatting>
  <conditionalFormatting sqref="T411">
    <cfRule type="cellIs" dxfId="275" priority="842" stopIfTrue="1" operator="lessThan">
      <formula>#REF!</formula>
    </cfRule>
    <cfRule type="cellIs" dxfId="274" priority="841" stopIfTrue="1" operator="notBetween">
      <formula>0</formula>
      <formula>100</formula>
    </cfRule>
    <cfRule type="cellIs" dxfId="273" priority="843" stopIfTrue="1" operator="notBetween">
      <formula>0</formula>
      <formula>100</formula>
    </cfRule>
    <cfRule type="cellIs" dxfId="272" priority="844" stopIfTrue="1" operator="between">
      <formula>0</formula>
      <formula>55</formula>
    </cfRule>
  </conditionalFormatting>
  <conditionalFormatting sqref="T420">
    <cfRule type="cellIs" dxfId="271" priority="834" stopIfTrue="1" operator="lessThan">
      <formula>#REF!</formula>
    </cfRule>
    <cfRule type="cellIs" dxfId="270" priority="833" stopIfTrue="1" operator="notBetween">
      <formula>0</formula>
      <formula>100</formula>
    </cfRule>
    <cfRule type="cellIs" dxfId="269" priority="836" stopIfTrue="1" operator="between">
      <formula>0</formula>
      <formula>55</formula>
    </cfRule>
    <cfRule type="cellIs" dxfId="268" priority="835" stopIfTrue="1" operator="notBetween">
      <formula>0</formula>
      <formula>100</formula>
    </cfRule>
  </conditionalFormatting>
  <conditionalFormatting sqref="T429">
    <cfRule type="cellIs" dxfId="267" priority="827" stopIfTrue="1" operator="notBetween">
      <formula>0</formula>
      <formula>100</formula>
    </cfRule>
    <cfRule type="cellIs" dxfId="266" priority="826" stopIfTrue="1" operator="lessThan">
      <formula>#REF!</formula>
    </cfRule>
    <cfRule type="cellIs" dxfId="265" priority="825" stopIfTrue="1" operator="notBetween">
      <formula>0</formula>
      <formula>100</formula>
    </cfRule>
    <cfRule type="cellIs" dxfId="264" priority="828" stopIfTrue="1" operator="between">
      <formula>0</formula>
      <formula>55</formula>
    </cfRule>
  </conditionalFormatting>
  <conditionalFormatting sqref="T438">
    <cfRule type="cellIs" dxfId="263" priority="820" stopIfTrue="1" operator="between">
      <formula>0</formula>
      <formula>55</formula>
    </cfRule>
    <cfRule type="cellIs" dxfId="262" priority="819" stopIfTrue="1" operator="notBetween">
      <formula>0</formula>
      <formula>100</formula>
    </cfRule>
    <cfRule type="cellIs" dxfId="261" priority="818" stopIfTrue="1" operator="lessThan">
      <formula>#REF!</formula>
    </cfRule>
    <cfRule type="cellIs" dxfId="260" priority="817" stopIfTrue="1" operator="notBetween">
      <formula>0</formula>
      <formula>100</formula>
    </cfRule>
  </conditionalFormatting>
  <conditionalFormatting sqref="T447">
    <cfRule type="cellIs" dxfId="259" priority="811" stopIfTrue="1" operator="notBetween">
      <formula>0</formula>
      <formula>100</formula>
    </cfRule>
    <cfRule type="cellIs" dxfId="258" priority="810" stopIfTrue="1" operator="lessThan">
      <formula>#REF!</formula>
    </cfRule>
    <cfRule type="cellIs" dxfId="257" priority="809" stopIfTrue="1" operator="notBetween">
      <formula>0</formula>
      <formula>100</formula>
    </cfRule>
    <cfRule type="cellIs" dxfId="256" priority="812" stopIfTrue="1" operator="between">
      <formula>0</formula>
      <formula>55</formula>
    </cfRule>
  </conditionalFormatting>
  <conditionalFormatting sqref="T456">
    <cfRule type="cellIs" dxfId="255" priority="801" stopIfTrue="1" operator="notBetween">
      <formula>0</formula>
      <formula>100</formula>
    </cfRule>
    <cfRule type="cellIs" dxfId="254" priority="804" stopIfTrue="1" operator="between">
      <formula>0</formula>
      <formula>55</formula>
    </cfRule>
    <cfRule type="cellIs" dxfId="253" priority="803" stopIfTrue="1" operator="notBetween">
      <formula>0</formula>
      <formula>100</formula>
    </cfRule>
    <cfRule type="cellIs" dxfId="252" priority="802" stopIfTrue="1" operator="lessThan">
      <formula>#REF!</formula>
    </cfRule>
  </conditionalFormatting>
  <conditionalFormatting sqref="T465">
    <cfRule type="cellIs" dxfId="251" priority="794" stopIfTrue="1" operator="lessThan">
      <formula>#REF!</formula>
    </cfRule>
    <cfRule type="cellIs" dxfId="250" priority="793" stopIfTrue="1" operator="notBetween">
      <formula>0</formula>
      <formula>100</formula>
    </cfRule>
    <cfRule type="cellIs" dxfId="249" priority="795" stopIfTrue="1" operator="notBetween">
      <formula>0</formula>
      <formula>100</formula>
    </cfRule>
    <cfRule type="cellIs" dxfId="248" priority="796" stopIfTrue="1" operator="between">
      <formula>0</formula>
      <formula>55</formula>
    </cfRule>
  </conditionalFormatting>
  <conditionalFormatting sqref="T474">
    <cfRule type="cellIs" dxfId="247" priority="787" stopIfTrue="1" operator="notBetween">
      <formula>0</formula>
      <formula>100</formula>
    </cfRule>
    <cfRule type="cellIs" dxfId="246" priority="788" stopIfTrue="1" operator="between">
      <formula>0</formula>
      <formula>55</formula>
    </cfRule>
    <cfRule type="cellIs" dxfId="245" priority="786" stopIfTrue="1" operator="lessThan">
      <formula>#REF!</formula>
    </cfRule>
    <cfRule type="cellIs" dxfId="244" priority="785" stopIfTrue="1" operator="notBetween">
      <formula>0</formula>
      <formula>100</formula>
    </cfRule>
  </conditionalFormatting>
  <conditionalFormatting sqref="T483">
    <cfRule type="cellIs" dxfId="243" priority="779" stopIfTrue="1" operator="notBetween">
      <formula>0</formula>
      <formula>100</formula>
    </cfRule>
    <cfRule type="cellIs" dxfId="242" priority="778" stopIfTrue="1" operator="lessThan">
      <formula>#REF!</formula>
    </cfRule>
    <cfRule type="cellIs" dxfId="241" priority="777" stopIfTrue="1" operator="notBetween">
      <formula>0</formula>
      <formula>100</formula>
    </cfRule>
    <cfRule type="cellIs" dxfId="240" priority="780" stopIfTrue="1" operator="between">
      <formula>0</formula>
      <formula>55</formula>
    </cfRule>
  </conditionalFormatting>
  <conditionalFormatting sqref="T492">
    <cfRule type="cellIs" dxfId="239" priority="769" stopIfTrue="1" operator="notBetween">
      <formula>0</formula>
      <formula>100</formula>
    </cfRule>
    <cfRule type="cellIs" dxfId="238" priority="770" stopIfTrue="1" operator="lessThan">
      <formula>#REF!</formula>
    </cfRule>
    <cfRule type="cellIs" dxfId="237" priority="771" stopIfTrue="1" operator="notBetween">
      <formula>0</formula>
      <formula>100</formula>
    </cfRule>
    <cfRule type="cellIs" dxfId="236" priority="772" stopIfTrue="1" operator="between">
      <formula>0</formula>
      <formula>55</formula>
    </cfRule>
  </conditionalFormatting>
  <conditionalFormatting sqref="T501">
    <cfRule type="cellIs" dxfId="235" priority="762" stopIfTrue="1" operator="lessThan">
      <formula>#REF!</formula>
    </cfRule>
    <cfRule type="cellIs" dxfId="234" priority="761" stopIfTrue="1" operator="notBetween">
      <formula>0</formula>
      <formula>100</formula>
    </cfRule>
    <cfRule type="cellIs" dxfId="233" priority="763" stopIfTrue="1" operator="notBetween">
      <formula>0</formula>
      <formula>100</formula>
    </cfRule>
    <cfRule type="cellIs" dxfId="232" priority="764" stopIfTrue="1" operator="between">
      <formula>0</formula>
      <formula>55</formula>
    </cfRule>
  </conditionalFormatting>
  <conditionalFormatting sqref="T510">
    <cfRule type="cellIs" dxfId="231" priority="755" stopIfTrue="1" operator="notBetween">
      <formula>0</formula>
      <formula>100</formula>
    </cfRule>
    <cfRule type="cellIs" dxfId="230" priority="754" stopIfTrue="1" operator="lessThan">
      <formula>#REF!</formula>
    </cfRule>
    <cfRule type="cellIs" dxfId="229" priority="753" stopIfTrue="1" operator="notBetween">
      <formula>0</formula>
      <formula>100</formula>
    </cfRule>
    <cfRule type="cellIs" dxfId="228" priority="756" stopIfTrue="1" operator="between">
      <formula>0</formula>
      <formula>55</formula>
    </cfRule>
  </conditionalFormatting>
  <conditionalFormatting sqref="T519">
    <cfRule type="cellIs" dxfId="227" priority="747" stopIfTrue="1" operator="notBetween">
      <formula>0</formula>
      <formula>100</formula>
    </cfRule>
    <cfRule type="cellIs" dxfId="226" priority="746" stopIfTrue="1" operator="lessThan">
      <formula>#REF!</formula>
    </cfRule>
    <cfRule type="cellIs" dxfId="225" priority="745" stopIfTrue="1" operator="notBetween">
      <formula>0</formula>
      <formula>100</formula>
    </cfRule>
    <cfRule type="cellIs" dxfId="224" priority="748" stopIfTrue="1" operator="between">
      <formula>0</formula>
      <formula>55</formula>
    </cfRule>
  </conditionalFormatting>
  <conditionalFormatting sqref="T528">
    <cfRule type="cellIs" dxfId="223" priority="740" stopIfTrue="1" operator="between">
      <formula>0</formula>
      <formula>55</formula>
    </cfRule>
    <cfRule type="cellIs" dxfId="222" priority="739" stopIfTrue="1" operator="notBetween">
      <formula>0</formula>
      <formula>100</formula>
    </cfRule>
    <cfRule type="cellIs" dxfId="221" priority="738" stopIfTrue="1" operator="lessThan">
      <formula>#REF!</formula>
    </cfRule>
    <cfRule type="cellIs" dxfId="220" priority="737" stopIfTrue="1" operator="notBetween">
      <formula>0</formula>
      <formula>100</formula>
    </cfRule>
  </conditionalFormatting>
  <conditionalFormatting sqref="T537">
    <cfRule type="cellIs" dxfId="219" priority="730" stopIfTrue="1" operator="lessThan">
      <formula>#REF!</formula>
    </cfRule>
    <cfRule type="cellIs" dxfId="218" priority="729" stopIfTrue="1" operator="notBetween">
      <formula>0</formula>
      <formula>100</formula>
    </cfRule>
    <cfRule type="cellIs" dxfId="217" priority="731" stopIfTrue="1" operator="notBetween">
      <formula>0</formula>
      <formula>100</formula>
    </cfRule>
    <cfRule type="cellIs" dxfId="216" priority="732" stopIfTrue="1" operator="between">
      <formula>0</formula>
      <formula>55</formula>
    </cfRule>
  </conditionalFormatting>
  <conditionalFormatting sqref="T546">
    <cfRule type="cellIs" dxfId="215" priority="723" stopIfTrue="1" operator="notBetween">
      <formula>0</formula>
      <formula>100</formula>
    </cfRule>
    <cfRule type="cellIs" dxfId="214" priority="724" stopIfTrue="1" operator="between">
      <formula>0</formula>
      <formula>55</formula>
    </cfRule>
    <cfRule type="cellIs" dxfId="213" priority="721" stopIfTrue="1" operator="notBetween">
      <formula>0</formula>
      <formula>100</formula>
    </cfRule>
    <cfRule type="cellIs" dxfId="212" priority="722" stopIfTrue="1" operator="lessThan">
      <formula>#REF!</formula>
    </cfRule>
  </conditionalFormatting>
  <conditionalFormatting sqref="T555">
    <cfRule type="cellIs" dxfId="211" priority="713" stopIfTrue="1" operator="notBetween">
      <formula>0</formula>
      <formula>100</formula>
    </cfRule>
    <cfRule type="cellIs" dxfId="210" priority="714" stopIfTrue="1" operator="lessThan">
      <formula>#REF!</formula>
    </cfRule>
    <cfRule type="cellIs" dxfId="209" priority="715" stopIfTrue="1" operator="notBetween">
      <formula>0</formula>
      <formula>100</formula>
    </cfRule>
    <cfRule type="cellIs" dxfId="208" priority="716" stopIfTrue="1" operator="between">
      <formula>0</formula>
      <formula>55</formula>
    </cfRule>
  </conditionalFormatting>
  <conditionalFormatting sqref="T564">
    <cfRule type="cellIs" dxfId="207" priority="706" stopIfTrue="1" operator="lessThan">
      <formula>#REF!</formula>
    </cfRule>
    <cfRule type="cellIs" dxfId="206" priority="707" stopIfTrue="1" operator="notBetween">
      <formula>0</formula>
      <formula>100</formula>
    </cfRule>
    <cfRule type="cellIs" dxfId="205" priority="708" stopIfTrue="1" operator="between">
      <formula>0</formula>
      <formula>55</formula>
    </cfRule>
    <cfRule type="cellIs" dxfId="204" priority="705" stopIfTrue="1" operator="notBetween">
      <formula>0</formula>
      <formula>100</formula>
    </cfRule>
  </conditionalFormatting>
  <conditionalFormatting sqref="T573">
    <cfRule type="cellIs" dxfId="203" priority="700" stopIfTrue="1" operator="between">
      <formula>0</formula>
      <formula>55</formula>
    </cfRule>
    <cfRule type="cellIs" dxfId="202" priority="698" stopIfTrue="1" operator="lessThan">
      <formula>#REF!</formula>
    </cfRule>
    <cfRule type="cellIs" dxfId="201" priority="699" stopIfTrue="1" operator="notBetween">
      <formula>0</formula>
      <formula>100</formula>
    </cfRule>
    <cfRule type="cellIs" dxfId="200" priority="697" stopIfTrue="1" operator="notBetween">
      <formula>0</formula>
      <formula>100</formula>
    </cfRule>
  </conditionalFormatting>
  <conditionalFormatting sqref="T582">
    <cfRule type="cellIs" dxfId="199" priority="689" stopIfTrue="1" operator="notBetween">
      <formula>0</formula>
      <formula>100</formula>
    </cfRule>
    <cfRule type="cellIs" dxfId="198" priority="691" stopIfTrue="1" operator="notBetween">
      <formula>0</formula>
      <formula>100</formula>
    </cfRule>
    <cfRule type="cellIs" dxfId="197" priority="690" stopIfTrue="1" operator="lessThan">
      <formula>#REF!</formula>
    </cfRule>
    <cfRule type="cellIs" dxfId="196" priority="692" stopIfTrue="1" operator="between">
      <formula>0</formula>
      <formula>55</formula>
    </cfRule>
  </conditionalFormatting>
  <conditionalFormatting sqref="T591">
    <cfRule type="cellIs" dxfId="195" priority="681" stopIfTrue="1" operator="notBetween">
      <formula>0</formula>
      <formula>100</formula>
    </cfRule>
    <cfRule type="cellIs" dxfId="194" priority="682" stopIfTrue="1" operator="lessThan">
      <formula>#REF!</formula>
    </cfRule>
    <cfRule type="cellIs" dxfId="193" priority="683" stopIfTrue="1" operator="notBetween">
      <formula>0</formula>
      <formula>100</formula>
    </cfRule>
    <cfRule type="cellIs" dxfId="192" priority="684" stopIfTrue="1" operator="between">
      <formula>0</formula>
      <formula>55</formula>
    </cfRule>
  </conditionalFormatting>
  <conditionalFormatting sqref="T600">
    <cfRule type="cellIs" dxfId="191" priority="674" stopIfTrue="1" operator="lessThan">
      <formula>#REF!</formula>
    </cfRule>
    <cfRule type="cellIs" dxfId="190" priority="673" stopIfTrue="1" operator="notBetween">
      <formula>0</formula>
      <formula>100</formula>
    </cfRule>
    <cfRule type="cellIs" dxfId="189" priority="675" stopIfTrue="1" operator="notBetween">
      <formula>0</formula>
      <formula>100</formula>
    </cfRule>
    <cfRule type="cellIs" dxfId="188" priority="676" stopIfTrue="1" operator="between">
      <formula>0</formula>
      <formula>55</formula>
    </cfRule>
  </conditionalFormatting>
  <conditionalFormatting sqref="T609">
    <cfRule type="cellIs" dxfId="187" priority="667" stopIfTrue="1" operator="notBetween">
      <formula>0</formula>
      <formula>100</formula>
    </cfRule>
    <cfRule type="cellIs" dxfId="186" priority="668" stopIfTrue="1" operator="between">
      <formula>0</formula>
      <formula>55</formula>
    </cfRule>
    <cfRule type="cellIs" dxfId="185" priority="665" stopIfTrue="1" operator="notBetween">
      <formula>0</formula>
      <formula>100</formula>
    </cfRule>
    <cfRule type="cellIs" dxfId="184" priority="666" stopIfTrue="1" operator="lessThan">
      <formula>#REF!</formula>
    </cfRule>
  </conditionalFormatting>
  <conditionalFormatting sqref="T618">
    <cfRule type="cellIs" dxfId="183" priority="660" stopIfTrue="1" operator="between">
      <formula>0</formula>
      <formula>55</formula>
    </cfRule>
    <cfRule type="cellIs" dxfId="182" priority="658" stopIfTrue="1" operator="lessThan">
      <formula>#REF!</formula>
    </cfRule>
    <cfRule type="cellIs" dxfId="181" priority="659" stopIfTrue="1" operator="notBetween">
      <formula>0</formula>
      <formula>100</formula>
    </cfRule>
    <cfRule type="cellIs" dxfId="180" priority="657" stopIfTrue="1" operator="notBetween">
      <formula>0</formula>
      <formula>100</formula>
    </cfRule>
  </conditionalFormatting>
  <conditionalFormatting sqref="T627">
    <cfRule type="cellIs" dxfId="179" priority="652" stopIfTrue="1" operator="between">
      <formula>0</formula>
      <formula>55</formula>
    </cfRule>
    <cfRule type="cellIs" dxfId="178" priority="649" stopIfTrue="1" operator="notBetween">
      <formula>0</formula>
      <formula>100</formula>
    </cfRule>
    <cfRule type="cellIs" dxfId="177" priority="650" stopIfTrue="1" operator="lessThan">
      <formula>#REF!</formula>
    </cfRule>
    <cfRule type="cellIs" dxfId="176" priority="651" stopIfTrue="1" operator="notBetween">
      <formula>0</formula>
      <formula>100</formula>
    </cfRule>
  </conditionalFormatting>
  <conditionalFormatting sqref="T636">
    <cfRule type="cellIs" dxfId="175" priority="643" stopIfTrue="1" operator="notBetween">
      <formula>0</formula>
      <formula>100</formula>
    </cfRule>
    <cfRule type="cellIs" dxfId="174" priority="644" stopIfTrue="1" operator="between">
      <formula>0</formula>
      <formula>55</formula>
    </cfRule>
    <cfRule type="cellIs" dxfId="173" priority="641" stopIfTrue="1" operator="notBetween">
      <formula>0</formula>
      <formula>100</formula>
    </cfRule>
    <cfRule type="cellIs" dxfId="172" priority="642" stopIfTrue="1" operator="lessThan">
      <formula>#REF!</formula>
    </cfRule>
  </conditionalFormatting>
  <conditionalFormatting sqref="T645">
    <cfRule type="cellIs" dxfId="171" priority="636" stopIfTrue="1" operator="between">
      <formula>0</formula>
      <formula>55</formula>
    </cfRule>
    <cfRule type="cellIs" dxfId="170" priority="635" stopIfTrue="1" operator="notBetween">
      <formula>0</formula>
      <formula>100</formula>
    </cfRule>
    <cfRule type="cellIs" dxfId="169" priority="634" stopIfTrue="1" operator="lessThan">
      <formula>#REF!</formula>
    </cfRule>
    <cfRule type="cellIs" dxfId="168" priority="633" stopIfTrue="1" operator="notBetween">
      <formula>0</formula>
      <formula>100</formula>
    </cfRule>
  </conditionalFormatting>
  <conditionalFormatting sqref="T654">
    <cfRule type="cellIs" dxfId="167" priority="625" stopIfTrue="1" operator="notBetween">
      <formula>0</formula>
      <formula>100</formula>
    </cfRule>
    <cfRule type="cellIs" dxfId="166" priority="628" stopIfTrue="1" operator="between">
      <formula>0</formula>
      <formula>55</formula>
    </cfRule>
    <cfRule type="cellIs" dxfId="165" priority="626" stopIfTrue="1" operator="lessThan">
      <formula>#REF!</formula>
    </cfRule>
    <cfRule type="cellIs" dxfId="164" priority="627" stopIfTrue="1" operator="notBetween">
      <formula>0</formula>
      <formula>100</formula>
    </cfRule>
  </conditionalFormatting>
  <conditionalFormatting sqref="T663">
    <cfRule type="cellIs" dxfId="163" priority="617" stopIfTrue="1" operator="notBetween">
      <formula>0</formula>
      <formula>100</formula>
    </cfRule>
    <cfRule type="cellIs" dxfId="162" priority="618" stopIfTrue="1" operator="lessThan">
      <formula>#REF!</formula>
    </cfRule>
    <cfRule type="cellIs" dxfId="161" priority="619" stopIfTrue="1" operator="notBetween">
      <formula>0</formula>
      <formula>100</formula>
    </cfRule>
    <cfRule type="cellIs" dxfId="160" priority="620" stopIfTrue="1" operator="between">
      <formula>0</formula>
      <formula>55</formula>
    </cfRule>
  </conditionalFormatting>
  <conditionalFormatting sqref="T672">
    <cfRule type="cellIs" dxfId="159" priority="609" stopIfTrue="1" operator="notBetween">
      <formula>0</formula>
      <formula>100</formula>
    </cfRule>
    <cfRule type="cellIs" dxfId="158" priority="611" stopIfTrue="1" operator="notBetween">
      <formula>0</formula>
      <formula>100</formula>
    </cfRule>
    <cfRule type="cellIs" dxfId="157" priority="612" stopIfTrue="1" operator="between">
      <formula>0</formula>
      <formula>55</formula>
    </cfRule>
    <cfRule type="cellIs" dxfId="156" priority="610" stopIfTrue="1" operator="lessThan">
      <formula>#REF!</formula>
    </cfRule>
  </conditionalFormatting>
  <conditionalFormatting sqref="T681">
    <cfRule type="cellIs" dxfId="155" priority="601" stopIfTrue="1" operator="notBetween">
      <formula>0</formula>
      <formula>100</formula>
    </cfRule>
    <cfRule type="cellIs" dxfId="154" priority="602" stopIfTrue="1" operator="lessThan">
      <formula>#REF!</formula>
    </cfRule>
    <cfRule type="cellIs" dxfId="153" priority="603" stopIfTrue="1" operator="notBetween">
      <formula>0</formula>
      <formula>100</formula>
    </cfRule>
    <cfRule type="cellIs" dxfId="152" priority="604" stopIfTrue="1" operator="between">
      <formula>0</formula>
      <formula>55</formula>
    </cfRule>
  </conditionalFormatting>
  <conditionalFormatting sqref="T690">
    <cfRule type="cellIs" dxfId="151" priority="594" stopIfTrue="1" operator="lessThan">
      <formula>#REF!</formula>
    </cfRule>
    <cfRule type="cellIs" dxfId="150" priority="593" stopIfTrue="1" operator="notBetween">
      <formula>0</formula>
      <formula>100</formula>
    </cfRule>
    <cfRule type="cellIs" dxfId="149" priority="595" stopIfTrue="1" operator="notBetween">
      <formula>0</formula>
      <formula>100</formula>
    </cfRule>
    <cfRule type="cellIs" dxfId="148" priority="596" stopIfTrue="1" operator="between">
      <formula>0</formula>
      <formula>55</formula>
    </cfRule>
  </conditionalFormatting>
  <conditionalFormatting sqref="T699">
    <cfRule type="cellIs" dxfId="147" priority="586" stopIfTrue="1" operator="lessThan">
      <formula>#REF!</formula>
    </cfRule>
    <cfRule type="cellIs" dxfId="146" priority="585" stopIfTrue="1" operator="notBetween">
      <formula>0</formula>
      <formula>100</formula>
    </cfRule>
    <cfRule type="cellIs" dxfId="145" priority="587" stopIfTrue="1" operator="notBetween">
      <formula>0</formula>
      <formula>100</formula>
    </cfRule>
    <cfRule type="cellIs" dxfId="144" priority="588" stopIfTrue="1" operator="between">
      <formula>0</formula>
      <formula>55</formula>
    </cfRule>
  </conditionalFormatting>
  <conditionalFormatting sqref="T708">
    <cfRule type="cellIs" dxfId="143" priority="580" stopIfTrue="1" operator="between">
      <formula>0</formula>
      <formula>55</formula>
    </cfRule>
    <cfRule type="cellIs" dxfId="142" priority="577" stopIfTrue="1" operator="notBetween">
      <formula>0</formula>
      <formula>100</formula>
    </cfRule>
    <cfRule type="cellIs" dxfId="141" priority="579" stopIfTrue="1" operator="notBetween">
      <formula>0</formula>
      <formula>100</formula>
    </cfRule>
    <cfRule type="cellIs" dxfId="140" priority="578" stopIfTrue="1" operator="lessThan">
      <formula>#REF!</formula>
    </cfRule>
  </conditionalFormatting>
  <conditionalFormatting sqref="T717">
    <cfRule type="cellIs" dxfId="139" priority="569" stopIfTrue="1" operator="notBetween">
      <formula>0</formula>
      <formula>100</formula>
    </cfRule>
    <cfRule type="cellIs" dxfId="138" priority="570" stopIfTrue="1" operator="lessThan">
      <formula>#REF!</formula>
    </cfRule>
    <cfRule type="cellIs" dxfId="137" priority="571" stopIfTrue="1" operator="notBetween">
      <formula>0</formula>
      <formula>100</formula>
    </cfRule>
    <cfRule type="cellIs" dxfId="136" priority="572" stopIfTrue="1" operator="between">
      <formula>0</formula>
      <formula>55</formula>
    </cfRule>
  </conditionalFormatting>
  <conditionalFormatting sqref="T726">
    <cfRule type="cellIs" dxfId="135" priority="563" stopIfTrue="1" operator="notBetween">
      <formula>0</formula>
      <formula>100</formula>
    </cfRule>
    <cfRule type="cellIs" dxfId="134" priority="564" stopIfTrue="1" operator="between">
      <formula>0</formula>
      <formula>55</formula>
    </cfRule>
    <cfRule type="cellIs" dxfId="133" priority="561" stopIfTrue="1" operator="notBetween">
      <formula>0</formula>
      <formula>100</formula>
    </cfRule>
    <cfRule type="cellIs" dxfId="132" priority="562" stopIfTrue="1" operator="lessThan">
      <formula>#REF!</formula>
    </cfRule>
  </conditionalFormatting>
  <conditionalFormatting sqref="T735">
    <cfRule type="cellIs" dxfId="131" priority="556" stopIfTrue="1" operator="between">
      <formula>0</formula>
      <formula>55</formula>
    </cfRule>
    <cfRule type="cellIs" dxfId="130" priority="555" stopIfTrue="1" operator="notBetween">
      <formula>0</formula>
      <formula>100</formula>
    </cfRule>
    <cfRule type="cellIs" dxfId="129" priority="554" stopIfTrue="1" operator="lessThan">
      <formula>#REF!</formula>
    </cfRule>
    <cfRule type="cellIs" dxfId="128" priority="553" stopIfTrue="1" operator="notBetween">
      <formula>0</formula>
      <formula>100</formula>
    </cfRule>
  </conditionalFormatting>
  <conditionalFormatting sqref="T744">
    <cfRule type="cellIs" dxfId="127" priority="548" stopIfTrue="1" operator="between">
      <formula>0</formula>
      <formula>55</formula>
    </cfRule>
    <cfRule type="cellIs" dxfId="126" priority="547" stopIfTrue="1" operator="notBetween">
      <formula>0</formula>
      <formula>100</formula>
    </cfRule>
    <cfRule type="cellIs" dxfId="125" priority="545" stopIfTrue="1" operator="notBetween">
      <formula>0</formula>
      <formula>100</formula>
    </cfRule>
    <cfRule type="cellIs" dxfId="124" priority="546" stopIfTrue="1" operator="lessThan">
      <formula>#REF!</formula>
    </cfRule>
  </conditionalFormatting>
  <conditionalFormatting sqref="T753">
    <cfRule type="cellIs" dxfId="123" priority="537" stopIfTrue="1" operator="notBetween">
      <formula>0</formula>
      <formula>100</formula>
    </cfRule>
    <cfRule type="cellIs" dxfId="122" priority="538" stopIfTrue="1" operator="lessThan">
      <formula>#REF!</formula>
    </cfRule>
    <cfRule type="cellIs" dxfId="121" priority="539" stopIfTrue="1" operator="notBetween">
      <formula>0</formula>
      <formula>100</formula>
    </cfRule>
    <cfRule type="cellIs" dxfId="120" priority="540" stopIfTrue="1" operator="between">
      <formula>0</formula>
      <formula>55</formula>
    </cfRule>
  </conditionalFormatting>
  <conditionalFormatting sqref="T762">
    <cfRule type="cellIs" dxfId="119" priority="529" stopIfTrue="1" operator="notBetween">
      <formula>0</formula>
      <formula>100</formula>
    </cfRule>
    <cfRule type="cellIs" dxfId="118" priority="531" stopIfTrue="1" operator="notBetween">
      <formula>0</formula>
      <formula>100</formula>
    </cfRule>
    <cfRule type="cellIs" dxfId="117" priority="532" stopIfTrue="1" operator="between">
      <formula>0</formula>
      <formula>55</formula>
    </cfRule>
    <cfRule type="cellIs" dxfId="116" priority="530" stopIfTrue="1" operator="lessThan">
      <formula>#REF!</formula>
    </cfRule>
  </conditionalFormatting>
  <conditionalFormatting sqref="T771">
    <cfRule type="cellIs" dxfId="115" priority="523" stopIfTrue="1" operator="notBetween">
      <formula>0</formula>
      <formula>100</formula>
    </cfRule>
    <cfRule type="cellIs" dxfId="114" priority="522" stopIfTrue="1" operator="lessThan">
      <formula>#REF!</formula>
    </cfRule>
    <cfRule type="cellIs" dxfId="113" priority="521" stopIfTrue="1" operator="notBetween">
      <formula>0</formula>
      <formula>100</formula>
    </cfRule>
    <cfRule type="cellIs" dxfId="112" priority="524" stopIfTrue="1" operator="between">
      <formula>0</formula>
      <formula>55</formula>
    </cfRule>
  </conditionalFormatting>
  <conditionalFormatting sqref="T780">
    <cfRule type="cellIs" dxfId="111" priority="516" stopIfTrue="1" operator="between">
      <formula>0</formula>
      <formula>55</formula>
    </cfRule>
    <cfRule type="cellIs" dxfId="110" priority="515" stopIfTrue="1" operator="notBetween">
      <formula>0</formula>
      <formula>100</formula>
    </cfRule>
    <cfRule type="cellIs" dxfId="109" priority="513" stopIfTrue="1" operator="notBetween">
      <formula>0</formula>
      <formula>100</formula>
    </cfRule>
    <cfRule type="cellIs" dxfId="108" priority="514" stopIfTrue="1" operator="lessThan">
      <formula>#REF!</formula>
    </cfRule>
  </conditionalFormatting>
  <conditionalFormatting sqref="T789">
    <cfRule type="cellIs" dxfId="107" priority="506" stopIfTrue="1" operator="lessThan">
      <formula>#REF!</formula>
    </cfRule>
    <cfRule type="cellIs" dxfId="106" priority="508" stopIfTrue="1" operator="between">
      <formula>0</formula>
      <formula>55</formula>
    </cfRule>
    <cfRule type="cellIs" dxfId="105" priority="507" stopIfTrue="1" operator="notBetween">
      <formula>0</formula>
      <formula>100</formula>
    </cfRule>
    <cfRule type="cellIs" dxfId="104" priority="505" stopIfTrue="1" operator="notBetween">
      <formula>0</formula>
      <formula>100</formula>
    </cfRule>
  </conditionalFormatting>
  <conditionalFormatting sqref="T798">
    <cfRule type="cellIs" dxfId="103" priority="497" stopIfTrue="1" operator="notBetween">
      <formula>0</formula>
      <formula>100</formula>
    </cfRule>
    <cfRule type="cellIs" dxfId="102" priority="500" stopIfTrue="1" operator="between">
      <formula>0</formula>
      <formula>55</formula>
    </cfRule>
    <cfRule type="cellIs" dxfId="101" priority="499" stopIfTrue="1" operator="notBetween">
      <formula>0</formula>
      <formula>100</formula>
    </cfRule>
    <cfRule type="cellIs" dxfId="100" priority="498" stopIfTrue="1" operator="lessThan">
      <formula>#REF!</formula>
    </cfRule>
  </conditionalFormatting>
  <conditionalFormatting sqref="T807">
    <cfRule type="cellIs" dxfId="99" priority="492" stopIfTrue="1" operator="between">
      <formula>0</formula>
      <formula>55</formula>
    </cfRule>
    <cfRule type="cellIs" dxfId="98" priority="491" stopIfTrue="1" operator="notBetween">
      <formula>0</formula>
      <formula>100</formula>
    </cfRule>
    <cfRule type="cellIs" dxfId="97" priority="490" stopIfTrue="1" operator="lessThan">
      <formula>#REF!</formula>
    </cfRule>
    <cfRule type="cellIs" dxfId="96" priority="489" stopIfTrue="1" operator="notBetween">
      <formula>0</formula>
      <formula>100</formula>
    </cfRule>
  </conditionalFormatting>
  <conditionalFormatting sqref="T816">
    <cfRule type="cellIs" dxfId="95" priority="484" stopIfTrue="1" operator="between">
      <formula>0</formula>
      <formula>55</formula>
    </cfRule>
    <cfRule type="cellIs" dxfId="94" priority="482" stopIfTrue="1" operator="lessThan">
      <formula>#REF!</formula>
    </cfRule>
    <cfRule type="cellIs" dxfId="93" priority="481" stopIfTrue="1" operator="notBetween">
      <formula>0</formula>
      <formula>100</formula>
    </cfRule>
    <cfRule type="cellIs" dxfId="92" priority="483" stopIfTrue="1" operator="notBetween">
      <formula>0</formula>
      <formula>100</formula>
    </cfRule>
  </conditionalFormatting>
  <conditionalFormatting sqref="T825">
    <cfRule type="cellIs" dxfId="91" priority="475" stopIfTrue="1" operator="notBetween">
      <formula>0</formula>
      <formula>100</formula>
    </cfRule>
    <cfRule type="cellIs" dxfId="90" priority="473" stopIfTrue="1" operator="notBetween">
      <formula>0</formula>
      <formula>100</formula>
    </cfRule>
    <cfRule type="cellIs" dxfId="89" priority="476" stopIfTrue="1" operator="between">
      <formula>0</formula>
      <formula>55</formula>
    </cfRule>
    <cfRule type="cellIs" dxfId="88" priority="474" stopIfTrue="1" operator="lessThan">
      <formula>#REF!</formula>
    </cfRule>
  </conditionalFormatting>
  <conditionalFormatting sqref="T834">
    <cfRule type="cellIs" dxfId="87" priority="468" stopIfTrue="1" operator="between">
      <formula>0</formula>
      <formula>55</formula>
    </cfRule>
    <cfRule type="cellIs" dxfId="86" priority="465" stopIfTrue="1" operator="notBetween">
      <formula>0</formula>
      <formula>100</formula>
    </cfRule>
    <cfRule type="cellIs" dxfId="85" priority="467" stopIfTrue="1" operator="notBetween">
      <formula>0</formula>
      <formula>100</formula>
    </cfRule>
    <cfRule type="cellIs" dxfId="84" priority="466" stopIfTrue="1" operator="lessThan">
      <formula>#REF!</formula>
    </cfRule>
  </conditionalFormatting>
  <conditionalFormatting sqref="T843">
    <cfRule type="cellIs" dxfId="83" priority="459" stopIfTrue="1" operator="notBetween">
      <formula>0</formula>
      <formula>100</formula>
    </cfRule>
    <cfRule type="cellIs" dxfId="82" priority="458" stopIfTrue="1" operator="lessThan">
      <formula>#REF!</formula>
    </cfRule>
    <cfRule type="cellIs" dxfId="81" priority="457" stopIfTrue="1" operator="notBetween">
      <formula>0</formula>
      <formula>100</formula>
    </cfRule>
    <cfRule type="cellIs" dxfId="80" priority="460" stopIfTrue="1" operator="between">
      <formula>0</formula>
      <formula>55</formula>
    </cfRule>
  </conditionalFormatting>
  <conditionalFormatting sqref="T852">
    <cfRule type="cellIs" dxfId="79" priority="449" stopIfTrue="1" operator="notBetween">
      <formula>0</formula>
      <formula>100</formula>
    </cfRule>
    <cfRule type="cellIs" dxfId="78" priority="452" stopIfTrue="1" operator="between">
      <formula>0</formula>
      <formula>55</formula>
    </cfRule>
    <cfRule type="cellIs" dxfId="77" priority="450" stopIfTrue="1" operator="lessThan">
      <formula>#REF!</formula>
    </cfRule>
    <cfRule type="cellIs" dxfId="76" priority="451" stopIfTrue="1" operator="notBetween">
      <formula>0</formula>
      <formula>100</formula>
    </cfRule>
  </conditionalFormatting>
  <conditionalFormatting sqref="T861">
    <cfRule type="cellIs" dxfId="75" priority="443" stopIfTrue="1" operator="notBetween">
      <formula>0</formula>
      <formula>100</formula>
    </cfRule>
    <cfRule type="cellIs" dxfId="74" priority="444" stopIfTrue="1" operator="between">
      <formula>0</formula>
      <formula>55</formula>
    </cfRule>
    <cfRule type="cellIs" dxfId="73" priority="442" stopIfTrue="1" operator="lessThan">
      <formula>#REF!</formula>
    </cfRule>
    <cfRule type="cellIs" dxfId="72" priority="441" stopIfTrue="1" operator="notBetween">
      <formula>0</formula>
      <formula>100</formula>
    </cfRule>
  </conditionalFormatting>
  <conditionalFormatting sqref="T870">
    <cfRule type="cellIs" dxfId="71" priority="433" stopIfTrue="1" operator="notBetween">
      <formula>0</formula>
      <formula>100</formula>
    </cfRule>
    <cfRule type="cellIs" dxfId="70" priority="436" stopIfTrue="1" operator="between">
      <formula>0</formula>
      <formula>55</formula>
    </cfRule>
    <cfRule type="cellIs" dxfId="69" priority="435" stopIfTrue="1" operator="notBetween">
      <formula>0</formula>
      <formula>100</formula>
    </cfRule>
    <cfRule type="cellIs" dxfId="68" priority="434" stopIfTrue="1" operator="lessThan">
      <formula>#REF!</formula>
    </cfRule>
  </conditionalFormatting>
  <conditionalFormatting sqref="T879">
    <cfRule type="cellIs" dxfId="67" priority="427" stopIfTrue="1" operator="notBetween">
      <formula>0</formula>
      <formula>100</formula>
    </cfRule>
    <cfRule type="cellIs" dxfId="66" priority="426" stopIfTrue="1" operator="lessThan">
      <formula>#REF!</formula>
    </cfRule>
    <cfRule type="cellIs" dxfId="65" priority="425" stopIfTrue="1" operator="notBetween">
      <formula>0</formula>
      <formula>100</formula>
    </cfRule>
    <cfRule type="cellIs" dxfId="64" priority="428" stopIfTrue="1" operator="between">
      <formula>0</formula>
      <formula>55</formula>
    </cfRule>
  </conditionalFormatting>
  <conditionalFormatting sqref="T888">
    <cfRule type="cellIs" dxfId="63" priority="420" stopIfTrue="1" operator="between">
      <formula>0</formula>
      <formula>55</formula>
    </cfRule>
    <cfRule type="cellIs" dxfId="62" priority="417" stopIfTrue="1" operator="notBetween">
      <formula>0</formula>
      <formula>100</formula>
    </cfRule>
    <cfRule type="cellIs" dxfId="61" priority="418" stopIfTrue="1" operator="lessThan">
      <formula>#REF!</formula>
    </cfRule>
    <cfRule type="cellIs" dxfId="60" priority="419" stopIfTrue="1" operator="notBetween">
      <formula>0</formula>
      <formula>100</formula>
    </cfRule>
  </conditionalFormatting>
  <conditionalFormatting sqref="T897">
    <cfRule type="cellIs" dxfId="59" priority="409" stopIfTrue="1" operator="notBetween">
      <formula>0</formula>
      <formula>100</formula>
    </cfRule>
    <cfRule type="cellIs" dxfId="58" priority="410" stopIfTrue="1" operator="lessThan">
      <formula>#REF!</formula>
    </cfRule>
    <cfRule type="cellIs" dxfId="57" priority="411" stopIfTrue="1" operator="notBetween">
      <formula>0</formula>
      <formula>100</formula>
    </cfRule>
    <cfRule type="cellIs" dxfId="56" priority="412" stopIfTrue="1" operator="between">
      <formula>0</formula>
      <formula>55</formula>
    </cfRule>
  </conditionalFormatting>
  <conditionalFormatting sqref="T906">
    <cfRule type="cellIs" dxfId="55" priority="401" stopIfTrue="1" operator="notBetween">
      <formula>0</formula>
      <formula>100</formula>
    </cfRule>
    <cfRule type="cellIs" dxfId="54" priority="402" stopIfTrue="1" operator="lessThan">
      <formula>#REF!</formula>
    </cfRule>
    <cfRule type="cellIs" dxfId="53" priority="403" stopIfTrue="1" operator="notBetween">
      <formula>0</formula>
      <formula>100</formula>
    </cfRule>
    <cfRule type="cellIs" dxfId="52" priority="404" stopIfTrue="1" operator="between">
      <formula>0</formula>
      <formula>55</formula>
    </cfRule>
  </conditionalFormatting>
  <conditionalFormatting sqref="T915">
    <cfRule type="cellIs" dxfId="51" priority="393" stopIfTrue="1" operator="notBetween">
      <formula>0</formula>
      <formula>100</formula>
    </cfRule>
    <cfRule type="cellIs" dxfId="50" priority="394" stopIfTrue="1" operator="lessThan">
      <formula>#REF!</formula>
    </cfRule>
    <cfRule type="cellIs" dxfId="49" priority="395" stopIfTrue="1" operator="notBetween">
      <formula>0</formula>
      <formula>100</formula>
    </cfRule>
    <cfRule type="cellIs" dxfId="48" priority="396" stopIfTrue="1" operator="between">
      <formula>0</formula>
      <formula>55</formula>
    </cfRule>
  </conditionalFormatting>
  <conditionalFormatting sqref="T924">
    <cfRule type="cellIs" dxfId="47" priority="387" stopIfTrue="1" operator="notBetween">
      <formula>0</formula>
      <formula>100</formula>
    </cfRule>
    <cfRule type="cellIs" dxfId="46" priority="388" stopIfTrue="1" operator="between">
      <formula>0</formula>
      <formula>55</formula>
    </cfRule>
    <cfRule type="cellIs" dxfId="45" priority="386" stopIfTrue="1" operator="lessThan">
      <formula>#REF!</formula>
    </cfRule>
    <cfRule type="cellIs" dxfId="44" priority="385" stopIfTrue="1" operator="notBetween">
      <formula>0</formula>
      <formula>100</formula>
    </cfRule>
  </conditionalFormatting>
  <conditionalFormatting sqref="T933">
    <cfRule type="cellIs" dxfId="43" priority="377" stopIfTrue="1" operator="notBetween">
      <formula>0</formula>
      <formula>100</formula>
    </cfRule>
    <cfRule type="cellIs" dxfId="42" priority="378" stopIfTrue="1" operator="lessThan">
      <formula>#REF!</formula>
    </cfRule>
    <cfRule type="cellIs" dxfId="41" priority="379" stopIfTrue="1" operator="notBetween">
      <formula>0</formula>
      <formula>100</formula>
    </cfRule>
    <cfRule type="cellIs" dxfId="40" priority="380" stopIfTrue="1" operator="between">
      <formula>0</formula>
      <formula>55</formula>
    </cfRule>
  </conditionalFormatting>
  <conditionalFormatting sqref="T942">
    <cfRule type="cellIs" dxfId="39" priority="369" stopIfTrue="1" operator="notBetween">
      <formula>0</formula>
      <formula>100</formula>
    </cfRule>
    <cfRule type="cellIs" dxfId="38" priority="370" stopIfTrue="1" operator="lessThan">
      <formula>#REF!</formula>
    </cfRule>
    <cfRule type="cellIs" dxfId="37" priority="371" stopIfTrue="1" operator="notBetween">
      <formula>0</formula>
      <formula>100</formula>
    </cfRule>
    <cfRule type="cellIs" dxfId="36" priority="372" stopIfTrue="1" operator="between">
      <formula>0</formula>
      <formula>55</formula>
    </cfRule>
  </conditionalFormatting>
  <conditionalFormatting sqref="T951">
    <cfRule type="cellIs" dxfId="35" priority="361" stopIfTrue="1" operator="notBetween">
      <formula>0</formula>
      <formula>100</formula>
    </cfRule>
    <cfRule type="cellIs" dxfId="34" priority="363" stopIfTrue="1" operator="notBetween">
      <formula>0</formula>
      <formula>100</formula>
    </cfRule>
    <cfRule type="cellIs" dxfId="33" priority="364" stopIfTrue="1" operator="between">
      <formula>0</formula>
      <formula>55</formula>
    </cfRule>
    <cfRule type="cellIs" dxfId="32" priority="362" stopIfTrue="1" operator="lessThan">
      <formula>#REF!</formula>
    </cfRule>
  </conditionalFormatting>
  <conditionalFormatting sqref="T960">
    <cfRule type="cellIs" dxfId="31" priority="355" stopIfTrue="1" operator="notBetween">
      <formula>0</formula>
      <formula>100</formula>
    </cfRule>
    <cfRule type="cellIs" dxfId="30" priority="356" stopIfTrue="1" operator="between">
      <formula>0</formula>
      <formula>55</formula>
    </cfRule>
    <cfRule type="cellIs" dxfId="29" priority="354" stopIfTrue="1" operator="lessThan">
      <formula>#REF!</formula>
    </cfRule>
    <cfRule type="cellIs" dxfId="28" priority="353" stopIfTrue="1" operator="notBetween">
      <formula>0</formula>
      <formula>100</formula>
    </cfRule>
  </conditionalFormatting>
  <conditionalFormatting sqref="T969">
    <cfRule type="cellIs" dxfId="27" priority="346" stopIfTrue="1" operator="lessThan">
      <formula>#REF!</formula>
    </cfRule>
    <cfRule type="cellIs" dxfId="26" priority="347" stopIfTrue="1" operator="notBetween">
      <formula>0</formula>
      <formula>100</formula>
    </cfRule>
    <cfRule type="cellIs" dxfId="25" priority="348" stopIfTrue="1" operator="between">
      <formula>0</formula>
      <formula>55</formula>
    </cfRule>
    <cfRule type="cellIs" dxfId="24" priority="345" stopIfTrue="1" operator="notBetween">
      <formula>0</formula>
      <formula>100</formula>
    </cfRule>
  </conditionalFormatting>
  <pageMargins left="0.74803149606299213" right="0.15748031496062992" top="0.74803149606299213" bottom="0.43307086614173229" header="0.31496062992125984" footer="0.23622047244094491"/>
  <pageSetup paperSize="768" scale="6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E6BB-397F-4989-99EA-BF1AF205923A}">
  <sheetPr>
    <tabColor rgb="FFFF0066"/>
    <pageSetUpPr fitToPage="1"/>
  </sheetPr>
  <dimension ref="A1:FG44"/>
  <sheetViews>
    <sheetView zoomScale="70" zoomScaleNormal="70" workbookViewId="0">
      <selection activeCell="FG5" sqref="FG5:FG44"/>
    </sheetView>
  </sheetViews>
  <sheetFormatPr defaultColWidth="9.109375" defaultRowHeight="14.4"/>
  <cols>
    <col min="1" max="1" width="5.5546875" style="2" customWidth="1"/>
    <col min="2" max="2" width="17.109375" style="35" customWidth="1"/>
    <col min="3" max="3" width="50.33203125" style="2" customWidth="1"/>
    <col min="4" max="4" width="17" style="2" customWidth="1"/>
    <col min="5" max="5" width="6.6640625" style="2" customWidth="1"/>
    <col min="6" max="6" width="9" style="2" customWidth="1"/>
    <col min="7" max="30" width="6.6640625" style="2" customWidth="1"/>
    <col min="31" max="31" width="7.33203125" style="2" customWidth="1"/>
    <col min="32" max="32" width="9.33203125" style="2" customWidth="1"/>
    <col min="33" max="50" width="6.6640625" style="2" customWidth="1"/>
    <col min="51" max="51" width="9.5546875" style="2" customWidth="1"/>
    <col min="52" max="52" width="10.88671875" style="2" customWidth="1"/>
    <col min="53" max="53" width="6.6640625" style="2" customWidth="1"/>
    <col min="54" max="54" width="11.44140625" style="2" customWidth="1"/>
    <col min="55" max="55" width="12.5546875" style="2" customWidth="1"/>
    <col min="56" max="56" width="14.33203125" style="2" customWidth="1"/>
    <col min="57" max="60" width="6.6640625" style="2" customWidth="1"/>
    <col min="61" max="61" width="7.33203125" style="2" customWidth="1"/>
    <col min="62" max="74" width="6.6640625" style="2" customWidth="1"/>
    <col min="75" max="75" width="9.109375" style="2" customWidth="1"/>
    <col min="76" max="80" width="6.6640625" style="2" customWidth="1"/>
    <col min="81" max="81" width="10.88671875" style="2" customWidth="1"/>
    <col min="82" max="85" width="6.6640625" style="2" customWidth="1"/>
    <col min="86" max="94" width="9.109375" style="2" customWidth="1"/>
    <col min="95" max="98" width="8.6640625" style="2" customWidth="1"/>
    <col min="99" max="102" width="8.6640625" style="36" customWidth="1"/>
    <col min="103" max="110" width="8.6640625" style="2" customWidth="1"/>
    <col min="111" max="111" width="11.109375" style="2" customWidth="1"/>
    <col min="112" max="112" width="12.44140625" style="2" customWidth="1"/>
    <col min="113" max="132" width="8.6640625" style="2" customWidth="1"/>
    <col min="133" max="133" width="8.33203125" style="2" bestFit="1" customWidth="1"/>
    <col min="134" max="135" width="8.33203125" style="2" customWidth="1"/>
    <col min="136" max="136" width="7.6640625" style="2" customWidth="1"/>
    <col min="137" max="144" width="8.6640625" style="2" customWidth="1"/>
    <col min="145" max="145" width="6.6640625" style="2" customWidth="1"/>
    <col min="146" max="154" width="10.44140625" style="2" bestFit="1" customWidth="1"/>
    <col min="155" max="155" width="13.44140625" style="2" customWidth="1"/>
    <col min="156" max="158" width="10.44140625" style="2" bestFit="1" customWidth="1"/>
    <col min="159" max="159" width="10.109375" style="2" customWidth="1"/>
    <col min="160" max="160" width="10.44140625" style="2" bestFit="1" customWidth="1"/>
    <col min="161" max="161" width="11.109375" style="2" customWidth="1"/>
    <col min="162" max="162" width="11.33203125" style="2" bestFit="1" customWidth="1"/>
    <col min="163" max="163" width="12.5546875" style="2" customWidth="1"/>
    <col min="164" max="16384" width="9.109375" style="2"/>
  </cols>
  <sheetData>
    <row r="1" spans="1:163" ht="15" thickBot="1">
      <c r="A1" s="162" t="s">
        <v>0</v>
      </c>
      <c r="B1" s="163" t="s">
        <v>1</v>
      </c>
      <c r="C1" s="162" t="s">
        <v>2</v>
      </c>
      <c r="D1" s="162" t="s">
        <v>3</v>
      </c>
      <c r="E1" s="162"/>
      <c r="F1" s="162"/>
      <c r="G1" s="162"/>
      <c r="H1" s="162"/>
      <c r="I1" s="162"/>
      <c r="J1" s="1"/>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c r="AQ1" s="162"/>
      <c r="AR1" s="162"/>
      <c r="AS1" s="172"/>
      <c r="AT1" s="173"/>
      <c r="AU1" s="173"/>
      <c r="AV1" s="174"/>
      <c r="AW1" s="172"/>
      <c r="AX1" s="173"/>
      <c r="AY1" s="173"/>
      <c r="AZ1" s="173"/>
      <c r="BA1" s="173"/>
      <c r="BB1" s="173"/>
      <c r="BC1" s="162" t="s">
        <v>4</v>
      </c>
      <c r="BD1" s="162"/>
      <c r="BE1" s="162" t="s">
        <v>5</v>
      </c>
      <c r="BF1" s="162"/>
      <c r="BG1" s="162"/>
      <c r="BH1" s="162"/>
      <c r="BI1" s="162" t="s">
        <v>5</v>
      </c>
      <c r="BJ1" s="162"/>
      <c r="BK1" s="162"/>
      <c r="BL1" s="162"/>
      <c r="BM1" s="1"/>
      <c r="BN1" s="1"/>
      <c r="BO1" s="1"/>
      <c r="BP1" s="1"/>
      <c r="BQ1" s="162" t="s">
        <v>5</v>
      </c>
      <c r="BR1" s="162"/>
      <c r="BS1" s="162"/>
      <c r="BT1" s="162"/>
      <c r="BU1" s="1"/>
      <c r="BV1" s="1"/>
      <c r="BW1" s="1"/>
      <c r="BX1" s="1"/>
      <c r="BY1" s="1"/>
      <c r="BZ1" s="1"/>
      <c r="CA1" s="1"/>
      <c r="CB1" s="1"/>
      <c r="CC1" s="1"/>
      <c r="CD1" s="1"/>
      <c r="CE1" s="1"/>
      <c r="CF1" s="1"/>
      <c r="CG1" s="1"/>
      <c r="CH1" s="197" t="s">
        <v>6</v>
      </c>
      <c r="CI1" s="198"/>
      <c r="CJ1" s="198"/>
      <c r="CK1" s="198"/>
      <c r="CL1" s="198"/>
      <c r="CM1" s="198"/>
      <c r="CN1" s="198"/>
      <c r="CO1" s="198"/>
      <c r="CP1" s="198"/>
      <c r="CQ1" s="170" t="str">
        <f>E2</f>
        <v>1.Pendidikan Agama Islam (PAI)</v>
      </c>
      <c r="CR1" s="170"/>
      <c r="CS1" s="170"/>
      <c r="CT1" s="170"/>
      <c r="CU1" s="195" t="str">
        <f>K2</f>
        <v>2.Pendidikan Pancasila</v>
      </c>
      <c r="CV1" s="193"/>
      <c r="CW1" s="193"/>
      <c r="CX1" s="193"/>
      <c r="CY1" s="170" t="str">
        <f>Q2</f>
        <v>3.Bahasa Indonesia</v>
      </c>
      <c r="CZ1" s="170"/>
      <c r="DA1" s="170"/>
      <c r="DB1" s="170"/>
      <c r="DC1" s="185" t="str">
        <f>W2</f>
        <v>4.Pendidikan Jasmani Olahraga dan Kesehatan</v>
      </c>
      <c r="DD1" s="186"/>
      <c r="DE1" s="170" t="str">
        <f>AA2</f>
        <v>5.Sejarah</v>
      </c>
      <c r="DF1" s="170"/>
      <c r="DG1" s="195" t="str">
        <f>AE2</f>
        <v>6.Seni Budaya (Seni Tari)</v>
      </c>
      <c r="DH1" s="193"/>
      <c r="DI1" s="170" t="str">
        <f>AG2</f>
        <v>7.Bahasa Sunda</v>
      </c>
      <c r="DJ1" s="170"/>
      <c r="DK1" s="193" t="str">
        <f>AK2</f>
        <v>8.Public speaking</v>
      </c>
      <c r="DL1" s="193"/>
      <c r="DM1" s="193"/>
      <c r="DN1" s="193"/>
      <c r="DO1" s="170" t="str">
        <f>AM2</f>
        <v>9.Matematika</v>
      </c>
      <c r="DP1" s="170"/>
      <c r="DQ1" s="170"/>
      <c r="DR1" s="170"/>
      <c r="DS1" s="195" t="str">
        <f>AS2</f>
        <v>10.Bahasa Inggris</v>
      </c>
      <c r="DT1" s="193"/>
      <c r="DU1" s="193"/>
      <c r="DV1" s="193"/>
      <c r="DW1" s="195" t="str">
        <f>AY2</f>
        <v>11.Informatika</v>
      </c>
      <c r="DX1" s="193"/>
      <c r="DY1" s="185" t="str">
        <f>BA2</f>
        <v>12.Projek Ilmu Pengetahuan Alam dan Sosial</v>
      </c>
      <c r="DZ1" s="186"/>
      <c r="EA1" s="185" t="str">
        <f>BC2</f>
        <v>13.Dasar - dasar Program Keahlian</v>
      </c>
      <c r="EB1" s="186"/>
      <c r="EC1" s="189" t="s">
        <v>311</v>
      </c>
      <c r="ED1" s="190"/>
      <c r="EE1" s="190"/>
      <c r="EF1" s="190"/>
      <c r="EG1" s="185" t="str">
        <f>BY2</f>
        <v xml:space="preserve">15.Projek Kreatif dan Kewirausahaan </v>
      </c>
      <c r="EH1" s="186"/>
      <c r="EI1" s="186"/>
      <c r="EJ1" s="186"/>
      <c r="EK1" s="193" t="s">
        <v>7</v>
      </c>
      <c r="EL1" s="195" t="str">
        <f>CD2</f>
        <v>17.Bahasa Jepang</v>
      </c>
      <c r="EM1" s="193"/>
      <c r="EN1" s="193"/>
      <c r="EO1" s="193"/>
      <c r="EP1" s="181" t="s">
        <v>8</v>
      </c>
      <c r="EQ1" s="181"/>
      <c r="ER1" s="181"/>
      <c r="ES1" s="181"/>
      <c r="ET1" s="181"/>
      <c r="EU1" s="181"/>
      <c r="EV1" s="181"/>
      <c r="EW1" s="181"/>
      <c r="EX1" s="181"/>
      <c r="EY1" s="181"/>
      <c r="EZ1" s="181"/>
      <c r="FA1" s="181"/>
      <c r="FB1" s="181"/>
      <c r="FC1" s="181"/>
      <c r="FD1" s="181"/>
      <c r="FE1" s="181"/>
      <c r="FF1" s="181"/>
    </row>
    <row r="2" spans="1:163" s="4" customFormat="1" ht="33.75" customHeight="1" thickBot="1">
      <c r="A2" s="162"/>
      <c r="B2" s="164"/>
      <c r="C2" s="162"/>
      <c r="D2" s="162"/>
      <c r="E2" s="182" t="s">
        <v>9</v>
      </c>
      <c r="F2" s="183"/>
      <c r="G2" s="183"/>
      <c r="H2" s="183"/>
      <c r="I2" s="183"/>
      <c r="J2" s="183"/>
      <c r="K2" s="182" t="s">
        <v>10</v>
      </c>
      <c r="L2" s="183"/>
      <c r="M2" s="183"/>
      <c r="N2" s="183"/>
      <c r="O2" s="183"/>
      <c r="P2" s="183"/>
      <c r="Q2" s="182" t="s">
        <v>11</v>
      </c>
      <c r="R2" s="183"/>
      <c r="S2" s="183"/>
      <c r="T2" s="183"/>
      <c r="U2" s="183"/>
      <c r="V2" s="183"/>
      <c r="W2" s="182" t="s">
        <v>12</v>
      </c>
      <c r="X2" s="183"/>
      <c r="Y2" s="183"/>
      <c r="Z2" s="183"/>
      <c r="AA2" s="182" t="s">
        <v>13</v>
      </c>
      <c r="AB2" s="183"/>
      <c r="AC2" s="183"/>
      <c r="AD2" s="183"/>
      <c r="AE2" s="182" t="s">
        <v>14</v>
      </c>
      <c r="AF2" s="183"/>
      <c r="AG2" s="183" t="s">
        <v>15</v>
      </c>
      <c r="AH2" s="183"/>
      <c r="AI2" s="183"/>
      <c r="AJ2" s="183"/>
      <c r="AK2" s="184" t="s">
        <v>16</v>
      </c>
      <c r="AL2" s="184"/>
      <c r="AM2" s="184" t="s">
        <v>17</v>
      </c>
      <c r="AN2" s="184"/>
      <c r="AO2" s="184"/>
      <c r="AP2" s="184"/>
      <c r="AQ2" s="184"/>
      <c r="AR2" s="184"/>
      <c r="AS2" s="182" t="s">
        <v>18</v>
      </c>
      <c r="AT2" s="183"/>
      <c r="AU2" s="183"/>
      <c r="AV2" s="183"/>
      <c r="AW2" s="183"/>
      <c r="AX2" s="211"/>
      <c r="AY2" s="182" t="s">
        <v>19</v>
      </c>
      <c r="AZ2" s="211"/>
      <c r="BA2" s="182" t="s">
        <v>20</v>
      </c>
      <c r="BB2" s="211"/>
      <c r="BC2" s="184" t="s">
        <v>21</v>
      </c>
      <c r="BD2" s="184"/>
      <c r="BE2" s="289" t="s">
        <v>22</v>
      </c>
      <c r="BF2" s="289"/>
      <c r="BG2" s="289"/>
      <c r="BH2" s="289"/>
      <c r="BI2" s="289" t="s">
        <v>23</v>
      </c>
      <c r="BJ2" s="289"/>
      <c r="BK2" s="289"/>
      <c r="BL2" s="289"/>
      <c r="BM2" s="289" t="s">
        <v>23</v>
      </c>
      <c r="BN2" s="289"/>
      <c r="BO2" s="289"/>
      <c r="BP2" s="289"/>
      <c r="BQ2" s="289" t="s">
        <v>24</v>
      </c>
      <c r="BR2" s="289"/>
      <c r="BS2" s="289"/>
      <c r="BT2" s="289"/>
      <c r="BU2" s="208" t="s">
        <v>25</v>
      </c>
      <c r="BV2" s="209"/>
      <c r="BW2" s="209"/>
      <c r="BX2" s="210"/>
      <c r="BY2" s="182" t="s">
        <v>26</v>
      </c>
      <c r="BZ2" s="183"/>
      <c r="CA2" s="183"/>
      <c r="CB2" s="211"/>
      <c r="CC2" s="3" t="s">
        <v>7</v>
      </c>
      <c r="CD2" s="212" t="s">
        <v>27</v>
      </c>
      <c r="CE2" s="213"/>
      <c r="CF2" s="213"/>
      <c r="CG2" s="214"/>
      <c r="CH2" s="199"/>
      <c r="CI2" s="200"/>
      <c r="CJ2" s="200"/>
      <c r="CK2" s="200"/>
      <c r="CL2" s="200"/>
      <c r="CM2" s="200"/>
      <c r="CN2" s="200"/>
      <c r="CO2" s="200"/>
      <c r="CP2" s="200"/>
      <c r="CQ2" s="171"/>
      <c r="CR2" s="171"/>
      <c r="CS2" s="171"/>
      <c r="CT2" s="171"/>
      <c r="CU2" s="196"/>
      <c r="CV2" s="194"/>
      <c r="CW2" s="194"/>
      <c r="CX2" s="194"/>
      <c r="CY2" s="171"/>
      <c r="CZ2" s="171"/>
      <c r="DA2" s="171"/>
      <c r="DB2" s="171"/>
      <c r="DC2" s="187"/>
      <c r="DD2" s="188"/>
      <c r="DE2" s="171"/>
      <c r="DF2" s="171"/>
      <c r="DG2" s="196"/>
      <c r="DH2" s="194"/>
      <c r="DI2" s="171"/>
      <c r="DJ2" s="171"/>
      <c r="DK2" s="194"/>
      <c r="DL2" s="194"/>
      <c r="DM2" s="194"/>
      <c r="DN2" s="194"/>
      <c r="DO2" s="171"/>
      <c r="DP2" s="171"/>
      <c r="DQ2" s="171"/>
      <c r="DR2" s="171"/>
      <c r="DS2" s="196"/>
      <c r="DT2" s="194"/>
      <c r="DU2" s="194"/>
      <c r="DV2" s="194"/>
      <c r="DW2" s="196"/>
      <c r="DX2" s="194"/>
      <c r="DY2" s="187"/>
      <c r="DZ2" s="188"/>
      <c r="EA2" s="187"/>
      <c r="EB2" s="188"/>
      <c r="EC2" s="191"/>
      <c r="ED2" s="192"/>
      <c r="EE2" s="192"/>
      <c r="EF2" s="192"/>
      <c r="EG2" s="187"/>
      <c r="EH2" s="188"/>
      <c r="EI2" s="188"/>
      <c r="EJ2" s="188"/>
      <c r="EK2" s="194"/>
      <c r="EL2" s="196"/>
      <c r="EM2" s="194"/>
      <c r="EN2" s="194"/>
      <c r="EO2" s="194"/>
      <c r="EP2" s="204" t="s">
        <v>28</v>
      </c>
      <c r="EQ2" s="204" t="s">
        <v>10</v>
      </c>
      <c r="ER2" s="204" t="s">
        <v>11</v>
      </c>
      <c r="ES2" s="204" t="s">
        <v>12</v>
      </c>
      <c r="ET2" s="204" t="s">
        <v>13</v>
      </c>
      <c r="EU2" s="204" t="s">
        <v>14</v>
      </c>
      <c r="EV2" s="204" t="s">
        <v>15</v>
      </c>
      <c r="EW2" s="204" t="s">
        <v>16</v>
      </c>
      <c r="EX2" s="204" t="s">
        <v>17</v>
      </c>
      <c r="EY2" s="204" t="s">
        <v>18</v>
      </c>
      <c r="EZ2" s="204" t="s">
        <v>19</v>
      </c>
      <c r="FA2" s="204" t="s">
        <v>20</v>
      </c>
      <c r="FB2" s="204" t="s">
        <v>21</v>
      </c>
      <c r="FC2" s="205" t="s">
        <v>29</v>
      </c>
      <c r="FD2" s="204" t="s">
        <v>26</v>
      </c>
      <c r="FE2" s="204" t="s">
        <v>30</v>
      </c>
      <c r="FF2" s="217" t="s">
        <v>31</v>
      </c>
      <c r="FG2" s="201" t="s">
        <v>32</v>
      </c>
    </row>
    <row r="3" spans="1:163" ht="15" customHeight="1" thickBot="1">
      <c r="A3" s="162"/>
      <c r="B3" s="164"/>
      <c r="C3" s="162"/>
      <c r="D3" s="162"/>
      <c r="E3" s="202" t="s">
        <v>33</v>
      </c>
      <c r="F3" s="202" t="s">
        <v>34</v>
      </c>
      <c r="G3" s="202" t="s">
        <v>35</v>
      </c>
      <c r="H3" s="202" t="s">
        <v>36</v>
      </c>
      <c r="I3" s="202" t="s">
        <v>37</v>
      </c>
      <c r="J3" s="168" t="s">
        <v>38</v>
      </c>
      <c r="K3" s="166" t="s">
        <v>33</v>
      </c>
      <c r="L3" s="166" t="s">
        <v>34</v>
      </c>
      <c r="M3" s="166" t="s">
        <v>35</v>
      </c>
      <c r="N3" s="166" t="s">
        <v>36</v>
      </c>
      <c r="O3" s="166" t="s">
        <v>37</v>
      </c>
      <c r="P3" s="168" t="s">
        <v>38</v>
      </c>
      <c r="Q3" s="215" t="s">
        <v>33</v>
      </c>
      <c r="R3" s="215" t="s">
        <v>34</v>
      </c>
      <c r="S3" s="215" t="s">
        <v>35</v>
      </c>
      <c r="T3" s="215" t="s">
        <v>36</v>
      </c>
      <c r="U3" s="215" t="s">
        <v>37</v>
      </c>
      <c r="V3" s="168" t="s">
        <v>38</v>
      </c>
      <c r="W3" s="224" t="s">
        <v>33</v>
      </c>
      <c r="X3" s="224" t="s">
        <v>34</v>
      </c>
      <c r="Y3" s="224" t="s">
        <v>35</v>
      </c>
      <c r="Z3" s="224" t="s">
        <v>36</v>
      </c>
      <c r="AA3" s="220" t="s">
        <v>33</v>
      </c>
      <c r="AB3" s="220" t="s">
        <v>34</v>
      </c>
      <c r="AC3" s="220" t="s">
        <v>35</v>
      </c>
      <c r="AD3" s="220" t="s">
        <v>36</v>
      </c>
      <c r="AE3" s="202" t="s">
        <v>33</v>
      </c>
      <c r="AF3" s="202" t="s">
        <v>34</v>
      </c>
      <c r="AG3" s="220" t="s">
        <v>33</v>
      </c>
      <c r="AH3" s="220" t="s">
        <v>34</v>
      </c>
      <c r="AI3" s="220" t="s">
        <v>35</v>
      </c>
      <c r="AJ3" s="220" t="s">
        <v>36</v>
      </c>
      <c r="AK3" s="166" t="s">
        <v>37</v>
      </c>
      <c r="AL3" s="168" t="s">
        <v>38</v>
      </c>
      <c r="AM3" s="220" t="s">
        <v>33</v>
      </c>
      <c r="AN3" s="220" t="s">
        <v>34</v>
      </c>
      <c r="AO3" s="220" t="s">
        <v>35</v>
      </c>
      <c r="AP3" s="220" t="s">
        <v>36</v>
      </c>
      <c r="AQ3" s="220" t="s">
        <v>37</v>
      </c>
      <c r="AR3" s="168" t="s">
        <v>38</v>
      </c>
      <c r="AS3" s="220" t="s">
        <v>33</v>
      </c>
      <c r="AT3" s="220" t="s">
        <v>34</v>
      </c>
      <c r="AU3" s="220" t="s">
        <v>35</v>
      </c>
      <c r="AV3" s="220" t="s">
        <v>36</v>
      </c>
      <c r="AW3" s="220" t="s">
        <v>37</v>
      </c>
      <c r="AX3" s="168" t="s">
        <v>38</v>
      </c>
      <c r="AY3" s="220" t="s">
        <v>33</v>
      </c>
      <c r="AZ3" s="220" t="s">
        <v>34</v>
      </c>
      <c r="BA3" s="220" t="s">
        <v>33</v>
      </c>
      <c r="BB3" s="220" t="s">
        <v>34</v>
      </c>
      <c r="BC3" s="220" t="s">
        <v>33</v>
      </c>
      <c r="BD3" s="220" t="s">
        <v>34</v>
      </c>
      <c r="BE3" s="220" t="s">
        <v>35</v>
      </c>
      <c r="BF3" s="220" t="s">
        <v>36</v>
      </c>
      <c r="BG3" s="220" t="s">
        <v>37</v>
      </c>
      <c r="BH3" s="168" t="s">
        <v>38</v>
      </c>
      <c r="BI3" s="220" t="s">
        <v>35</v>
      </c>
      <c r="BJ3" s="220" t="s">
        <v>36</v>
      </c>
      <c r="BK3" s="220" t="s">
        <v>37</v>
      </c>
      <c r="BL3" s="168" t="s">
        <v>38</v>
      </c>
      <c r="BM3" s="220" t="s">
        <v>35</v>
      </c>
      <c r="BN3" s="220" t="s">
        <v>36</v>
      </c>
      <c r="BO3" s="220" t="s">
        <v>37</v>
      </c>
      <c r="BP3" s="168" t="s">
        <v>38</v>
      </c>
      <c r="BQ3" s="220" t="s">
        <v>35</v>
      </c>
      <c r="BR3" s="220" t="s">
        <v>36</v>
      </c>
      <c r="BS3" s="220" t="s">
        <v>37</v>
      </c>
      <c r="BT3" s="168" t="s">
        <v>38</v>
      </c>
      <c r="BU3" s="220" t="s">
        <v>35</v>
      </c>
      <c r="BV3" s="220" t="s">
        <v>36</v>
      </c>
      <c r="BW3" s="220" t="s">
        <v>37</v>
      </c>
      <c r="BX3" s="168" t="s">
        <v>38</v>
      </c>
      <c r="BY3" s="220" t="s">
        <v>35</v>
      </c>
      <c r="BZ3" s="220" t="s">
        <v>36</v>
      </c>
      <c r="CA3" s="220" t="s">
        <v>37</v>
      </c>
      <c r="CB3" s="168" t="s">
        <v>38</v>
      </c>
      <c r="CC3" s="243">
        <v>5</v>
      </c>
      <c r="CD3" s="220" t="s">
        <v>35</v>
      </c>
      <c r="CE3" s="220" t="s">
        <v>36</v>
      </c>
      <c r="CF3" s="220" t="s">
        <v>37</v>
      </c>
      <c r="CG3" s="168" t="s">
        <v>38</v>
      </c>
      <c r="CH3" s="241" t="s">
        <v>39</v>
      </c>
      <c r="CI3" s="239" t="s">
        <v>40</v>
      </c>
      <c r="CJ3" s="241" t="s">
        <v>41</v>
      </c>
      <c r="CK3" s="237" t="s">
        <v>42</v>
      </c>
      <c r="CL3" s="239" t="s">
        <v>43</v>
      </c>
      <c r="CM3" s="241" t="s">
        <v>44</v>
      </c>
      <c r="CN3" s="241" t="s">
        <v>45</v>
      </c>
      <c r="CO3" s="241" t="s">
        <v>46</v>
      </c>
      <c r="CP3" s="241" t="s">
        <v>47</v>
      </c>
      <c r="CQ3" s="234" t="s">
        <v>48</v>
      </c>
      <c r="CR3" s="234" t="s">
        <v>38</v>
      </c>
      <c r="CS3" s="235" t="s">
        <v>49</v>
      </c>
      <c r="CT3" s="232" t="s">
        <v>50</v>
      </c>
      <c r="CU3" s="234" t="s">
        <v>48</v>
      </c>
      <c r="CV3" s="234" t="s">
        <v>38</v>
      </c>
      <c r="CW3" s="235" t="s">
        <v>49</v>
      </c>
      <c r="CX3" s="232" t="s">
        <v>50</v>
      </c>
      <c r="CY3" s="5" t="s">
        <v>48</v>
      </c>
      <c r="CZ3" s="5" t="s">
        <v>38</v>
      </c>
      <c r="DA3" s="6" t="s">
        <v>49</v>
      </c>
      <c r="DB3" s="7" t="s">
        <v>50</v>
      </c>
      <c r="DC3" s="5" t="s">
        <v>48</v>
      </c>
      <c r="DD3" s="7" t="s">
        <v>50</v>
      </c>
      <c r="DE3" s="5" t="s">
        <v>48</v>
      </c>
      <c r="DF3" s="7" t="s">
        <v>50</v>
      </c>
      <c r="DG3" s="5" t="s">
        <v>48</v>
      </c>
      <c r="DH3" s="7" t="s">
        <v>50</v>
      </c>
      <c r="DI3" s="5" t="s">
        <v>48</v>
      </c>
      <c r="DJ3" s="7" t="s">
        <v>50</v>
      </c>
      <c r="DK3" s="5" t="s">
        <v>48</v>
      </c>
      <c r="DL3" s="5" t="s">
        <v>38</v>
      </c>
      <c r="DM3" s="6" t="s">
        <v>49</v>
      </c>
      <c r="DN3" s="7" t="s">
        <v>50</v>
      </c>
      <c r="DO3" s="5" t="s">
        <v>48</v>
      </c>
      <c r="DP3" s="5" t="s">
        <v>38</v>
      </c>
      <c r="DQ3" s="6" t="s">
        <v>49</v>
      </c>
      <c r="DR3" s="7" t="s">
        <v>50</v>
      </c>
      <c r="DS3" s="5" t="s">
        <v>48</v>
      </c>
      <c r="DT3" s="5" t="s">
        <v>38</v>
      </c>
      <c r="DU3" s="6" t="s">
        <v>49</v>
      </c>
      <c r="DV3" s="7" t="s">
        <v>50</v>
      </c>
      <c r="DW3" s="5" t="s">
        <v>48</v>
      </c>
      <c r="DX3" s="7" t="s">
        <v>50</v>
      </c>
      <c r="DY3" s="5" t="s">
        <v>48</v>
      </c>
      <c r="DZ3" s="7" t="s">
        <v>50</v>
      </c>
      <c r="EA3" s="5" t="s">
        <v>48</v>
      </c>
      <c r="EB3" s="7" t="s">
        <v>50</v>
      </c>
      <c r="EC3" s="5" t="s">
        <v>48</v>
      </c>
      <c r="ED3" s="5" t="s">
        <v>38</v>
      </c>
      <c r="EE3" s="6" t="s">
        <v>49</v>
      </c>
      <c r="EF3" s="7" t="s">
        <v>50</v>
      </c>
      <c r="EG3" s="5" t="s">
        <v>48</v>
      </c>
      <c r="EH3" s="5" t="s">
        <v>38</v>
      </c>
      <c r="EI3" s="6" t="s">
        <v>49</v>
      </c>
      <c r="EJ3" s="7" t="s">
        <v>50</v>
      </c>
      <c r="EK3" s="7" t="s">
        <v>50</v>
      </c>
      <c r="EL3" s="5" t="s">
        <v>48</v>
      </c>
      <c r="EM3" s="5" t="s">
        <v>38</v>
      </c>
      <c r="EN3" s="6" t="s">
        <v>49</v>
      </c>
      <c r="EO3" s="7" t="s">
        <v>50</v>
      </c>
      <c r="EP3" s="204" t="s">
        <v>28</v>
      </c>
      <c r="EQ3" s="204" t="s">
        <v>10</v>
      </c>
      <c r="ER3" s="204" t="s">
        <v>11</v>
      </c>
      <c r="ES3" s="204" t="s">
        <v>12</v>
      </c>
      <c r="ET3" s="204" t="s">
        <v>13</v>
      </c>
      <c r="EU3" s="204" t="s">
        <v>14</v>
      </c>
      <c r="EV3" s="204" t="s">
        <v>15</v>
      </c>
      <c r="EW3" s="204" t="s">
        <v>16</v>
      </c>
      <c r="EX3" s="204" t="s">
        <v>17</v>
      </c>
      <c r="EY3" s="204" t="s">
        <v>18</v>
      </c>
      <c r="EZ3" s="204" t="s">
        <v>19</v>
      </c>
      <c r="FA3" s="204" t="s">
        <v>20</v>
      </c>
      <c r="FB3" s="204" t="s">
        <v>21</v>
      </c>
      <c r="FC3" s="206" t="s">
        <v>29</v>
      </c>
      <c r="FD3" s="204" t="s">
        <v>26</v>
      </c>
      <c r="FE3" s="204" t="s">
        <v>30</v>
      </c>
      <c r="FF3" s="218" t="s">
        <v>31</v>
      </c>
      <c r="FG3" s="201"/>
    </row>
    <row r="4" spans="1:163" ht="18">
      <c r="A4" s="162"/>
      <c r="B4" s="165"/>
      <c r="C4" s="162"/>
      <c r="D4" s="162"/>
      <c r="E4" s="203"/>
      <c r="F4" s="203"/>
      <c r="G4" s="203"/>
      <c r="H4" s="203"/>
      <c r="I4" s="203"/>
      <c r="J4" s="169"/>
      <c r="K4" s="167"/>
      <c r="L4" s="167"/>
      <c r="M4" s="167"/>
      <c r="N4" s="167"/>
      <c r="O4" s="167"/>
      <c r="P4" s="169"/>
      <c r="Q4" s="216"/>
      <c r="R4" s="216"/>
      <c r="S4" s="216"/>
      <c r="T4" s="216"/>
      <c r="U4" s="216"/>
      <c r="V4" s="169"/>
      <c r="W4" s="225"/>
      <c r="X4" s="225"/>
      <c r="Y4" s="225"/>
      <c r="Z4" s="225"/>
      <c r="AA4" s="221"/>
      <c r="AB4" s="221"/>
      <c r="AC4" s="221"/>
      <c r="AD4" s="221"/>
      <c r="AE4" s="203"/>
      <c r="AF4" s="203"/>
      <c r="AG4" s="221"/>
      <c r="AH4" s="221"/>
      <c r="AI4" s="221"/>
      <c r="AJ4" s="221"/>
      <c r="AK4" s="167"/>
      <c r="AL4" s="169"/>
      <c r="AM4" s="221"/>
      <c r="AN4" s="221"/>
      <c r="AO4" s="221"/>
      <c r="AP4" s="221"/>
      <c r="AQ4" s="221"/>
      <c r="AR4" s="169"/>
      <c r="AS4" s="221"/>
      <c r="AT4" s="221"/>
      <c r="AU4" s="221"/>
      <c r="AV4" s="221"/>
      <c r="AW4" s="221"/>
      <c r="AX4" s="169"/>
      <c r="AY4" s="221"/>
      <c r="AZ4" s="221"/>
      <c r="BA4" s="221"/>
      <c r="BB4" s="221"/>
      <c r="BC4" s="221"/>
      <c r="BD4" s="221"/>
      <c r="BE4" s="221"/>
      <c r="BF4" s="221"/>
      <c r="BG4" s="221"/>
      <c r="BH4" s="169"/>
      <c r="BI4" s="221"/>
      <c r="BJ4" s="221"/>
      <c r="BK4" s="221"/>
      <c r="BL4" s="169"/>
      <c r="BM4" s="221"/>
      <c r="BN4" s="221"/>
      <c r="BO4" s="221"/>
      <c r="BP4" s="169"/>
      <c r="BQ4" s="221"/>
      <c r="BR4" s="221"/>
      <c r="BS4" s="221"/>
      <c r="BT4" s="169"/>
      <c r="BU4" s="221"/>
      <c r="BV4" s="221"/>
      <c r="BW4" s="221"/>
      <c r="BX4" s="169"/>
      <c r="BY4" s="221"/>
      <c r="BZ4" s="221"/>
      <c r="CA4" s="221"/>
      <c r="CB4" s="169"/>
      <c r="CC4" s="244"/>
      <c r="CD4" s="221"/>
      <c r="CE4" s="221"/>
      <c r="CF4" s="221"/>
      <c r="CG4" s="169"/>
      <c r="CH4" s="242"/>
      <c r="CI4" s="240"/>
      <c r="CJ4" s="242"/>
      <c r="CK4" s="238"/>
      <c r="CL4" s="240"/>
      <c r="CM4" s="242"/>
      <c r="CN4" s="242"/>
      <c r="CO4" s="242"/>
      <c r="CP4" s="242"/>
      <c r="CQ4" s="234"/>
      <c r="CR4" s="234"/>
      <c r="CS4" s="236"/>
      <c r="CT4" s="233"/>
      <c r="CU4" s="234"/>
      <c r="CV4" s="234"/>
      <c r="CW4" s="236"/>
      <c r="CX4" s="233"/>
      <c r="CY4" s="5"/>
      <c r="CZ4" s="5"/>
      <c r="DA4" s="8"/>
      <c r="DB4" s="9"/>
      <c r="DC4" s="5"/>
      <c r="DD4" s="9"/>
      <c r="DE4" s="5"/>
      <c r="DF4" s="9"/>
      <c r="DG4" s="5"/>
      <c r="DH4" s="9"/>
      <c r="DI4" s="5"/>
      <c r="DJ4" s="9"/>
      <c r="DK4" s="5"/>
      <c r="DL4" s="5"/>
      <c r="DM4" s="8"/>
      <c r="DN4" s="9"/>
      <c r="DO4" s="10"/>
      <c r="DP4" s="10"/>
      <c r="DQ4" s="8"/>
      <c r="DR4" s="9"/>
      <c r="DS4" s="5"/>
      <c r="DT4" s="5"/>
      <c r="DU4" s="8"/>
      <c r="DV4" s="9"/>
      <c r="DW4" s="5"/>
      <c r="DX4" s="9"/>
      <c r="DY4" s="5"/>
      <c r="DZ4" s="9"/>
      <c r="EA4" s="5"/>
      <c r="EB4" s="9"/>
      <c r="EC4" s="5"/>
      <c r="ED4" s="5"/>
      <c r="EE4" s="8"/>
      <c r="EF4" s="9"/>
      <c r="EG4" s="5"/>
      <c r="EH4" s="5"/>
      <c r="EI4" s="8"/>
      <c r="EJ4" s="9"/>
      <c r="EK4" s="9"/>
      <c r="EL4" s="5"/>
      <c r="EM4" s="5"/>
      <c r="EN4" s="8"/>
      <c r="EO4" s="9"/>
      <c r="EP4" s="205" t="s">
        <v>28</v>
      </c>
      <c r="EQ4" s="205" t="s">
        <v>10</v>
      </c>
      <c r="ER4" s="205" t="s">
        <v>11</v>
      </c>
      <c r="ES4" s="205" t="s">
        <v>12</v>
      </c>
      <c r="ET4" s="205" t="s">
        <v>13</v>
      </c>
      <c r="EU4" s="205" t="s">
        <v>14</v>
      </c>
      <c r="EV4" s="205" t="s">
        <v>15</v>
      </c>
      <c r="EW4" s="205" t="s">
        <v>16</v>
      </c>
      <c r="EX4" s="205" t="s">
        <v>17</v>
      </c>
      <c r="EY4" s="205" t="s">
        <v>18</v>
      </c>
      <c r="EZ4" s="205" t="s">
        <v>19</v>
      </c>
      <c r="FA4" s="205" t="s">
        <v>20</v>
      </c>
      <c r="FB4" s="205" t="s">
        <v>21</v>
      </c>
      <c r="FC4" s="207" t="s">
        <v>29</v>
      </c>
      <c r="FD4" s="205" t="s">
        <v>26</v>
      </c>
      <c r="FE4" s="205" t="s">
        <v>30</v>
      </c>
      <c r="FF4" s="219" t="s">
        <v>31</v>
      </c>
      <c r="FG4" s="201"/>
    </row>
    <row r="5" spans="1:163" s="20" customFormat="1" ht="18">
      <c r="A5" s="11">
        <v>1</v>
      </c>
      <c r="B5" s="104" t="s">
        <v>674</v>
      </c>
      <c r="C5" s="105" t="s">
        <v>551</v>
      </c>
      <c r="D5" s="106" t="s">
        <v>675</v>
      </c>
      <c r="E5" s="107">
        <v>86</v>
      </c>
      <c r="F5" s="107">
        <v>90</v>
      </c>
      <c r="G5" s="107">
        <v>88</v>
      </c>
      <c r="H5" s="107">
        <v>88</v>
      </c>
      <c r="I5" s="108">
        <v>91</v>
      </c>
      <c r="J5" s="108">
        <v>89</v>
      </c>
      <c r="K5" s="108">
        <v>78</v>
      </c>
      <c r="L5" s="108">
        <v>86</v>
      </c>
      <c r="M5" s="107">
        <v>75</v>
      </c>
      <c r="N5" s="107">
        <v>90</v>
      </c>
      <c r="O5" s="107">
        <v>92</v>
      </c>
      <c r="P5" s="107">
        <v>89</v>
      </c>
      <c r="Q5" s="107">
        <v>93</v>
      </c>
      <c r="R5" s="107">
        <v>87</v>
      </c>
      <c r="S5" s="107">
        <v>92</v>
      </c>
      <c r="T5" s="107">
        <v>94</v>
      </c>
      <c r="U5" s="109">
        <v>86</v>
      </c>
      <c r="V5" s="110">
        <v>86</v>
      </c>
      <c r="W5" s="111">
        <v>83</v>
      </c>
      <c r="X5" s="111">
        <v>83</v>
      </c>
      <c r="Y5" s="107">
        <v>81</v>
      </c>
      <c r="Z5" s="107">
        <v>84</v>
      </c>
      <c r="AA5" s="107">
        <v>78</v>
      </c>
      <c r="AB5" s="107">
        <v>80</v>
      </c>
      <c r="AC5" s="107">
        <v>85</v>
      </c>
      <c r="AD5" s="107">
        <v>86</v>
      </c>
      <c r="AE5" s="107">
        <v>83</v>
      </c>
      <c r="AF5" s="107">
        <v>83</v>
      </c>
      <c r="AG5" s="108">
        <v>83</v>
      </c>
      <c r="AH5" s="108">
        <v>83</v>
      </c>
      <c r="AI5" s="108">
        <v>78</v>
      </c>
      <c r="AJ5" s="108">
        <v>86</v>
      </c>
      <c r="AK5" s="107">
        <v>85</v>
      </c>
      <c r="AL5" s="107">
        <v>86</v>
      </c>
      <c r="AM5" s="107">
        <v>73</v>
      </c>
      <c r="AN5" s="107">
        <v>77</v>
      </c>
      <c r="AO5" s="107">
        <v>85</v>
      </c>
      <c r="AP5" s="107">
        <v>83</v>
      </c>
      <c r="AQ5" s="108">
        <v>83</v>
      </c>
      <c r="AR5" s="108">
        <v>90</v>
      </c>
      <c r="AS5" s="108">
        <v>77</v>
      </c>
      <c r="AT5" s="108">
        <v>80</v>
      </c>
      <c r="AU5" s="107">
        <v>81</v>
      </c>
      <c r="AV5" s="107">
        <v>81</v>
      </c>
      <c r="AW5" s="107">
        <v>86</v>
      </c>
      <c r="AX5" s="107">
        <v>90</v>
      </c>
      <c r="AY5" s="107">
        <v>77</v>
      </c>
      <c r="AZ5" s="107">
        <v>82</v>
      </c>
      <c r="BA5" s="107">
        <v>77</v>
      </c>
      <c r="BB5" s="107">
        <v>86</v>
      </c>
      <c r="BC5" s="107">
        <v>82</v>
      </c>
      <c r="BD5" s="112">
        <v>84</v>
      </c>
      <c r="BE5" s="96">
        <v>85</v>
      </c>
      <c r="BF5" s="96">
        <v>87</v>
      </c>
      <c r="BG5" s="96">
        <v>86</v>
      </c>
      <c r="BH5" s="130">
        <v>90</v>
      </c>
      <c r="BI5" s="95">
        <v>85</v>
      </c>
      <c r="BJ5" s="95">
        <v>85</v>
      </c>
      <c r="BK5" s="95">
        <v>84</v>
      </c>
      <c r="BL5" s="130">
        <v>90</v>
      </c>
      <c r="BM5" s="95">
        <v>86</v>
      </c>
      <c r="BN5" s="95">
        <v>86</v>
      </c>
      <c r="BO5" s="95">
        <v>84</v>
      </c>
      <c r="BP5" s="130">
        <v>90</v>
      </c>
      <c r="BQ5" s="95">
        <v>87</v>
      </c>
      <c r="BR5" s="95">
        <v>87</v>
      </c>
      <c r="BS5" s="95">
        <v>84</v>
      </c>
      <c r="BT5" s="130">
        <v>90</v>
      </c>
      <c r="BU5" s="15">
        <f>AVERAGE(BE5,BI5,BM5,BQ5)</f>
        <v>85.75</v>
      </c>
      <c r="BV5" s="15">
        <f>AVERAGE(BF5,BJ5,BN5,BR5)</f>
        <v>86.25</v>
      </c>
      <c r="BW5" s="15">
        <f>AVERAGE(BG5,BK5,BO5,BS5)</f>
        <v>84.5</v>
      </c>
      <c r="BX5" s="15">
        <f>AVERAGE(BH5,BL5,BP5,BT5)</f>
        <v>90</v>
      </c>
      <c r="BY5" s="108">
        <v>84</v>
      </c>
      <c r="BZ5" s="108">
        <v>85</v>
      </c>
      <c r="CA5" s="108">
        <v>84</v>
      </c>
      <c r="CB5" s="126">
        <v>90</v>
      </c>
      <c r="CC5" s="126">
        <v>89</v>
      </c>
      <c r="CD5" s="126">
        <v>87</v>
      </c>
      <c r="CE5" s="107">
        <v>95</v>
      </c>
      <c r="CF5" s="107">
        <v>90</v>
      </c>
      <c r="CG5" s="107">
        <v>90</v>
      </c>
      <c r="CH5" s="39">
        <v>89</v>
      </c>
      <c r="CI5" s="39">
        <v>95</v>
      </c>
      <c r="CJ5" s="39">
        <v>88</v>
      </c>
      <c r="CK5" s="39">
        <v>75</v>
      </c>
      <c r="CL5" s="39">
        <v>83</v>
      </c>
      <c r="CM5" s="39">
        <v>85</v>
      </c>
      <c r="CN5" s="39">
        <v>84</v>
      </c>
      <c r="CO5" s="39">
        <v>89</v>
      </c>
      <c r="CP5" s="39">
        <v>77</v>
      </c>
      <c r="CQ5" s="41">
        <f t="shared" ref="CQ5:CQ44" si="0">AVERAGE(E5:I5)</f>
        <v>88.6</v>
      </c>
      <c r="CR5" s="41">
        <f t="shared" ref="CR5:CR44" si="1">J5</f>
        <v>89</v>
      </c>
      <c r="CS5" s="41">
        <f>CH5</f>
        <v>89</v>
      </c>
      <c r="CT5" s="17">
        <f>(CQ5*4+CR5*3+CS5*3)/10</f>
        <v>88.84</v>
      </c>
      <c r="CU5" s="16">
        <f t="shared" ref="CU5:CU44" si="2">AVERAGE(K5:O5)</f>
        <v>84.2</v>
      </c>
      <c r="CV5" s="16">
        <f t="shared" ref="CV5:CV44" si="3">P5</f>
        <v>89</v>
      </c>
      <c r="CW5" s="16">
        <f>CI5</f>
        <v>95</v>
      </c>
      <c r="CX5" s="17">
        <f>(CU5*4+CV5*3+CW5*3)/10</f>
        <v>88.88</v>
      </c>
      <c r="CY5" s="17">
        <f t="shared" ref="CY5:CY44" si="4">AVERAGE(Q5:U5)</f>
        <v>90.4</v>
      </c>
      <c r="CZ5" s="17">
        <f t="shared" ref="CZ5:CZ44" si="5">V5</f>
        <v>86</v>
      </c>
      <c r="DA5" s="17">
        <f>CJ5</f>
        <v>88</v>
      </c>
      <c r="DB5" s="17">
        <f>(CY5*4+CZ5*3+DA5*3)/10</f>
        <v>88.36</v>
      </c>
      <c r="DC5" s="18">
        <f t="shared" ref="DC5:DC44" si="6">AVERAGE(W5:Z5)</f>
        <v>82.75</v>
      </c>
      <c r="DD5" s="18">
        <f>DC5</f>
        <v>82.75</v>
      </c>
      <c r="DE5" s="18">
        <f t="shared" ref="DE5:DE44" si="7">AVERAGE(AA5:AD5)</f>
        <v>82.25</v>
      </c>
      <c r="DF5" s="18">
        <f>DE5</f>
        <v>82.25</v>
      </c>
      <c r="DG5" s="18">
        <f t="shared" ref="DG5:DG44" si="8">AVERAGE(AE5:AF5)</f>
        <v>83</v>
      </c>
      <c r="DH5" s="18">
        <f>DG5</f>
        <v>83</v>
      </c>
      <c r="DI5" s="18">
        <f t="shared" ref="DI5:DI44" si="9">AVERAGE(AG5:AJ5)</f>
        <v>82.5</v>
      </c>
      <c r="DJ5" s="18">
        <f>DI5</f>
        <v>82.5</v>
      </c>
      <c r="DK5" s="18">
        <f t="shared" ref="DK5:DK44" si="10">AK5</f>
        <v>85</v>
      </c>
      <c r="DL5" s="18">
        <f t="shared" ref="DL5:DL44" si="11">AL5</f>
        <v>86</v>
      </c>
      <c r="DM5" s="18">
        <f>CK5</f>
        <v>75</v>
      </c>
      <c r="DN5" s="17">
        <f>(DK5*4+DL5*3+DM5*3)/10</f>
        <v>82.3</v>
      </c>
      <c r="DO5" s="18">
        <f t="shared" ref="DO5:DO44" si="12">AVERAGE(AM5:AQ5)</f>
        <v>80.2</v>
      </c>
      <c r="DP5" s="18">
        <f t="shared" ref="DP5:DP44" si="13">AR5</f>
        <v>90</v>
      </c>
      <c r="DQ5" s="18">
        <f>CL5</f>
        <v>83</v>
      </c>
      <c r="DR5" s="17">
        <f>(DO5*4+DP5*3+DQ5*3)/10</f>
        <v>83.97999999999999</v>
      </c>
      <c r="DS5" s="18">
        <f t="shared" ref="DS5:DS44" si="14">AVERAGE(AS5:AW5)</f>
        <v>81</v>
      </c>
      <c r="DT5" s="18">
        <f t="shared" ref="DT5:DT44" si="15">AX5</f>
        <v>90</v>
      </c>
      <c r="DU5" s="18">
        <f>CM5</f>
        <v>85</v>
      </c>
      <c r="DV5" s="17">
        <f>(DS5*4+DT5*3+DU5*3)/10</f>
        <v>84.9</v>
      </c>
      <c r="DW5" s="18">
        <f t="shared" ref="DW5:DW44" si="16">AVERAGE(AY5:AZ5)</f>
        <v>79.5</v>
      </c>
      <c r="DX5" s="18">
        <f>DW5</f>
        <v>79.5</v>
      </c>
      <c r="DY5" s="18">
        <f t="shared" ref="DY5:DY44" si="17">AVERAGE(BA5:BB5)</f>
        <v>81.5</v>
      </c>
      <c r="DZ5" s="18">
        <f>DY5</f>
        <v>81.5</v>
      </c>
      <c r="EA5" s="18">
        <f t="shared" ref="EA5:EA44" si="18">AVERAGE(BC5:BD5)</f>
        <v>83</v>
      </c>
      <c r="EB5" s="17">
        <f>EA5</f>
        <v>83</v>
      </c>
      <c r="EC5" s="18">
        <f>AVERAGE(BU5:BW5)</f>
        <v>85.5</v>
      </c>
      <c r="ED5" s="18">
        <f>BX5</f>
        <v>90</v>
      </c>
      <c r="EE5" s="18">
        <f>CP5</f>
        <v>77</v>
      </c>
      <c r="EF5" s="17">
        <f>(EC5*4+ED5*3+EE5*3)/10</f>
        <v>84.3</v>
      </c>
      <c r="EG5" s="18">
        <f>AVERAGE(BY5:CA5)</f>
        <v>84.333333333333329</v>
      </c>
      <c r="EH5" s="18">
        <f>CB5</f>
        <v>90</v>
      </c>
      <c r="EI5" s="18">
        <f>CO5</f>
        <v>89</v>
      </c>
      <c r="EJ5" s="17">
        <f>(EG5*4+EH5*3+EI5*3)/10</f>
        <v>87.433333333333323</v>
      </c>
      <c r="EK5" s="18">
        <f>CC5</f>
        <v>89</v>
      </c>
      <c r="EL5" s="18">
        <f>AVERAGE(CD5:CF5)</f>
        <v>90.666666666666671</v>
      </c>
      <c r="EM5" s="18">
        <f>CG5</f>
        <v>90</v>
      </c>
      <c r="EN5" s="18">
        <f>CN5</f>
        <v>84</v>
      </c>
      <c r="EO5" s="17">
        <f>(EL5*4+EM5*3+EN5*3)/10</f>
        <v>88.466666666666669</v>
      </c>
      <c r="EP5" s="19">
        <f>CT5</f>
        <v>88.84</v>
      </c>
      <c r="EQ5" s="19">
        <f>CX5</f>
        <v>88.88</v>
      </c>
      <c r="ER5" s="19">
        <f>DB5</f>
        <v>88.36</v>
      </c>
      <c r="ES5" s="19">
        <f>DD5</f>
        <v>82.75</v>
      </c>
      <c r="ET5" s="19">
        <f>DF5</f>
        <v>82.25</v>
      </c>
      <c r="EU5" s="19">
        <f>DH5</f>
        <v>83</v>
      </c>
      <c r="EV5" s="19">
        <f>DJ5</f>
        <v>82.5</v>
      </c>
      <c r="EW5" s="19">
        <f>DN5</f>
        <v>82.3</v>
      </c>
      <c r="EX5" s="19">
        <f>DR5</f>
        <v>83.97999999999999</v>
      </c>
      <c r="EY5" s="19">
        <f>DV5</f>
        <v>84.9</v>
      </c>
      <c r="EZ5" s="19">
        <f>DX5</f>
        <v>79.5</v>
      </c>
      <c r="FA5" s="19">
        <f>DZ5</f>
        <v>81.5</v>
      </c>
      <c r="FB5" s="19">
        <f>EB5</f>
        <v>83</v>
      </c>
      <c r="FC5" s="19">
        <f>EF5</f>
        <v>84.3</v>
      </c>
      <c r="FD5" s="19">
        <f>EJ5</f>
        <v>87.433333333333323</v>
      </c>
      <c r="FE5" s="19">
        <f>EK5</f>
        <v>89</v>
      </c>
      <c r="FF5" s="19">
        <f>EO5</f>
        <v>88.466666666666669</v>
      </c>
      <c r="FG5" s="19">
        <f>AVERAGE(EP5:FF5)</f>
        <v>84.762352941176459</v>
      </c>
    </row>
    <row r="6" spans="1:163" ht="18">
      <c r="A6" s="11">
        <v>2</v>
      </c>
      <c r="B6" s="104" t="s">
        <v>676</v>
      </c>
      <c r="C6" s="105" t="s">
        <v>553</v>
      </c>
      <c r="D6" s="106" t="s">
        <v>675</v>
      </c>
      <c r="E6" s="113">
        <v>84</v>
      </c>
      <c r="F6" s="107">
        <v>83</v>
      </c>
      <c r="G6" s="113">
        <v>87</v>
      </c>
      <c r="H6" s="107">
        <v>82</v>
      </c>
      <c r="I6" s="108">
        <v>90</v>
      </c>
      <c r="J6" s="108">
        <v>95</v>
      </c>
      <c r="K6" s="108">
        <v>83</v>
      </c>
      <c r="L6" s="108">
        <v>84</v>
      </c>
      <c r="M6" s="113">
        <v>88</v>
      </c>
      <c r="N6" s="107">
        <v>88</v>
      </c>
      <c r="O6" s="107">
        <v>88</v>
      </c>
      <c r="P6" s="107">
        <v>95</v>
      </c>
      <c r="Q6" s="107">
        <v>91</v>
      </c>
      <c r="R6" s="107">
        <v>87</v>
      </c>
      <c r="S6" s="107">
        <v>82</v>
      </c>
      <c r="T6" s="107">
        <v>82</v>
      </c>
      <c r="U6" s="109">
        <v>80</v>
      </c>
      <c r="V6" s="110">
        <v>89</v>
      </c>
      <c r="W6" s="111">
        <v>83</v>
      </c>
      <c r="X6" s="111">
        <v>84</v>
      </c>
      <c r="Y6" s="107">
        <v>82</v>
      </c>
      <c r="Z6" s="107">
        <v>80</v>
      </c>
      <c r="AA6" s="107">
        <v>81</v>
      </c>
      <c r="AB6" s="107">
        <v>80</v>
      </c>
      <c r="AC6" s="107">
        <v>83</v>
      </c>
      <c r="AD6" s="107">
        <v>83</v>
      </c>
      <c r="AE6" s="107">
        <v>83</v>
      </c>
      <c r="AF6" s="107">
        <v>84</v>
      </c>
      <c r="AG6" s="108">
        <v>83</v>
      </c>
      <c r="AH6" s="108">
        <v>85</v>
      </c>
      <c r="AI6" s="108">
        <v>72</v>
      </c>
      <c r="AJ6" s="108">
        <v>83</v>
      </c>
      <c r="AK6" s="107">
        <v>80</v>
      </c>
      <c r="AL6" s="107">
        <v>89</v>
      </c>
      <c r="AM6" s="107">
        <v>78</v>
      </c>
      <c r="AN6" s="107">
        <v>81</v>
      </c>
      <c r="AO6" s="107">
        <v>73</v>
      </c>
      <c r="AP6" s="107">
        <v>74</v>
      </c>
      <c r="AQ6" s="108">
        <v>77</v>
      </c>
      <c r="AR6" s="108">
        <v>95</v>
      </c>
      <c r="AS6" s="108">
        <v>79</v>
      </c>
      <c r="AT6" s="108">
        <v>81</v>
      </c>
      <c r="AU6" s="107">
        <v>79</v>
      </c>
      <c r="AV6" s="107">
        <v>79</v>
      </c>
      <c r="AW6" s="107">
        <v>86</v>
      </c>
      <c r="AX6" s="107">
        <v>95</v>
      </c>
      <c r="AY6" s="107">
        <v>77</v>
      </c>
      <c r="AZ6" s="107">
        <v>81</v>
      </c>
      <c r="BA6" s="107">
        <v>81</v>
      </c>
      <c r="BB6" s="107">
        <v>85</v>
      </c>
      <c r="BC6" s="107">
        <v>82</v>
      </c>
      <c r="BD6" s="112">
        <v>84</v>
      </c>
      <c r="BE6" s="96">
        <v>84</v>
      </c>
      <c r="BF6" s="96">
        <v>84</v>
      </c>
      <c r="BG6" s="96">
        <v>85</v>
      </c>
      <c r="BH6" s="130">
        <v>95</v>
      </c>
      <c r="BI6" s="95">
        <v>84</v>
      </c>
      <c r="BJ6" s="95">
        <v>84</v>
      </c>
      <c r="BK6" s="95">
        <v>84</v>
      </c>
      <c r="BL6" s="130">
        <v>95</v>
      </c>
      <c r="BM6" s="95">
        <v>85</v>
      </c>
      <c r="BN6" s="95">
        <v>85</v>
      </c>
      <c r="BO6" s="95">
        <v>83</v>
      </c>
      <c r="BP6" s="130">
        <v>95</v>
      </c>
      <c r="BQ6" s="95">
        <v>84</v>
      </c>
      <c r="BR6" s="95">
        <v>84</v>
      </c>
      <c r="BS6" s="95">
        <v>84</v>
      </c>
      <c r="BT6" s="130">
        <v>95</v>
      </c>
      <c r="BU6" s="15">
        <f t="shared" ref="BU6:BU44" si="19">AVERAGE(BE6,BI6,BM6,BQ6)</f>
        <v>84.25</v>
      </c>
      <c r="BV6" s="15">
        <f t="shared" ref="BV6:BV44" si="20">AVERAGE(BF6,BJ6,BN6,BR6)</f>
        <v>84.25</v>
      </c>
      <c r="BW6" s="15">
        <f t="shared" ref="BW6:BW44" si="21">AVERAGE(BG6,BK6,BO6,BS6)</f>
        <v>84</v>
      </c>
      <c r="BX6" s="15">
        <f t="shared" ref="BX6:BX44" si="22">AVERAGE(BH6,BL6,BP6,BT6)</f>
        <v>95</v>
      </c>
      <c r="BY6" s="108">
        <v>84</v>
      </c>
      <c r="BZ6" s="108">
        <v>84</v>
      </c>
      <c r="CA6" s="108">
        <v>83</v>
      </c>
      <c r="CB6" s="126">
        <v>95</v>
      </c>
      <c r="CC6" s="126">
        <v>94</v>
      </c>
      <c r="CD6" s="126">
        <v>80</v>
      </c>
      <c r="CE6" s="107">
        <v>82</v>
      </c>
      <c r="CF6" s="107">
        <v>86</v>
      </c>
      <c r="CG6" s="107">
        <v>95</v>
      </c>
      <c r="CH6" s="39">
        <v>87</v>
      </c>
      <c r="CI6" s="39">
        <v>90</v>
      </c>
      <c r="CJ6" s="39">
        <v>80</v>
      </c>
      <c r="CK6" s="39">
        <v>82</v>
      </c>
      <c r="CL6" s="39">
        <v>77</v>
      </c>
      <c r="CM6" s="39">
        <v>85</v>
      </c>
      <c r="CN6" s="39">
        <v>81</v>
      </c>
      <c r="CO6" s="39">
        <v>85</v>
      </c>
      <c r="CP6" s="39">
        <v>70</v>
      </c>
      <c r="CQ6" s="41">
        <f t="shared" si="0"/>
        <v>85.2</v>
      </c>
      <c r="CR6" s="41">
        <f t="shared" si="1"/>
        <v>95</v>
      </c>
      <c r="CS6" s="41">
        <f t="shared" ref="CS6:CS44" si="23">CH6</f>
        <v>87</v>
      </c>
      <c r="CT6" s="17">
        <f t="shared" ref="CT6:CT44" si="24">(CQ6*4+CR6*3+CS6*3)/10</f>
        <v>88.679999999999993</v>
      </c>
      <c r="CU6" s="16">
        <f t="shared" si="2"/>
        <v>86.2</v>
      </c>
      <c r="CV6" s="16">
        <f t="shared" si="3"/>
        <v>95</v>
      </c>
      <c r="CW6" s="16">
        <f t="shared" ref="CW6:CW44" si="25">CI6</f>
        <v>90</v>
      </c>
      <c r="CX6" s="17">
        <f t="shared" ref="CX6:CX44" si="26">(CU6*4+CV6*3+CW6*3)/10</f>
        <v>89.97999999999999</v>
      </c>
      <c r="CY6" s="17">
        <f t="shared" si="4"/>
        <v>84.4</v>
      </c>
      <c r="CZ6" s="17">
        <f t="shared" si="5"/>
        <v>89</v>
      </c>
      <c r="DA6" s="17">
        <f t="shared" ref="DA6:DA44" si="27">CJ6</f>
        <v>80</v>
      </c>
      <c r="DB6" s="17">
        <f t="shared" ref="DB6:DB44" si="28">(CY6*4+CZ6*3+DA6*3)/10</f>
        <v>84.460000000000008</v>
      </c>
      <c r="DC6" s="18">
        <f t="shared" si="6"/>
        <v>82.25</v>
      </c>
      <c r="DD6" s="18">
        <f t="shared" ref="DD6:DD44" si="29">DC6</f>
        <v>82.25</v>
      </c>
      <c r="DE6" s="18">
        <f t="shared" si="7"/>
        <v>81.75</v>
      </c>
      <c r="DF6" s="18">
        <f t="shared" ref="DF6:DF44" si="30">DE6</f>
        <v>81.75</v>
      </c>
      <c r="DG6" s="18">
        <f t="shared" si="8"/>
        <v>83.5</v>
      </c>
      <c r="DH6" s="18">
        <f t="shared" ref="DH6:DH44" si="31">DG6</f>
        <v>83.5</v>
      </c>
      <c r="DI6" s="18">
        <f t="shared" si="9"/>
        <v>80.75</v>
      </c>
      <c r="DJ6" s="18">
        <f t="shared" ref="DJ6:DJ44" si="32">DI6</f>
        <v>80.75</v>
      </c>
      <c r="DK6" s="18">
        <f t="shared" si="10"/>
        <v>80</v>
      </c>
      <c r="DL6" s="18">
        <f t="shared" si="11"/>
        <v>89</v>
      </c>
      <c r="DM6" s="18">
        <f t="shared" ref="DM6:DM44" si="33">CK6</f>
        <v>82</v>
      </c>
      <c r="DN6" s="17">
        <f t="shared" ref="DN6:DN44" si="34">(DK6*4+DL6*3+DM6*3)/10</f>
        <v>83.3</v>
      </c>
      <c r="DO6" s="18">
        <f t="shared" si="12"/>
        <v>76.599999999999994</v>
      </c>
      <c r="DP6" s="18">
        <f t="shared" si="13"/>
        <v>95</v>
      </c>
      <c r="DQ6" s="18">
        <f t="shared" ref="DQ6:DQ44" si="35">CL6</f>
        <v>77</v>
      </c>
      <c r="DR6" s="17">
        <f t="shared" ref="DR6:DR44" si="36">(DO6*4+DP6*3+DQ6*3)/10</f>
        <v>82.24</v>
      </c>
      <c r="DS6" s="18">
        <f t="shared" si="14"/>
        <v>80.8</v>
      </c>
      <c r="DT6" s="18">
        <f t="shared" si="15"/>
        <v>95</v>
      </c>
      <c r="DU6" s="18">
        <f t="shared" ref="DU6:DU44" si="37">CM6</f>
        <v>85</v>
      </c>
      <c r="DV6" s="17">
        <f t="shared" ref="DV6:DV44" si="38">(DS6*4+DT6*3+DU6*3)/10</f>
        <v>86.320000000000007</v>
      </c>
      <c r="DW6" s="18">
        <f t="shared" si="16"/>
        <v>79</v>
      </c>
      <c r="DX6" s="18">
        <f t="shared" ref="DX6:DX44" si="39">DW6</f>
        <v>79</v>
      </c>
      <c r="DY6" s="18">
        <f t="shared" si="17"/>
        <v>83</v>
      </c>
      <c r="DZ6" s="18">
        <f t="shared" ref="DZ6:DZ44" si="40">DY6</f>
        <v>83</v>
      </c>
      <c r="EA6" s="18">
        <f t="shared" si="18"/>
        <v>83</v>
      </c>
      <c r="EB6" s="17">
        <f t="shared" ref="EB6:EB44" si="41">EA6</f>
        <v>83</v>
      </c>
      <c r="EC6" s="18">
        <f t="shared" ref="EC6:EC44" si="42">AVERAGE(BU6:BW6)</f>
        <v>84.166666666666671</v>
      </c>
      <c r="ED6" s="18">
        <f t="shared" ref="ED6:ED44" si="43">BX6</f>
        <v>95</v>
      </c>
      <c r="EE6" s="18">
        <f t="shared" ref="EE6:EE44" si="44">CP6</f>
        <v>70</v>
      </c>
      <c r="EF6" s="17">
        <f t="shared" ref="EF6:EF44" si="45">(EC6*4+ED6*3+EE6*3)/10</f>
        <v>83.166666666666671</v>
      </c>
      <c r="EG6" s="18">
        <f t="shared" ref="EG6:EG44" si="46">AVERAGE(BY6:CA6)</f>
        <v>83.666666666666671</v>
      </c>
      <c r="EH6" s="18">
        <f t="shared" ref="EH6:EH44" si="47">CB6</f>
        <v>95</v>
      </c>
      <c r="EI6" s="18">
        <f t="shared" ref="EI6:EI44" si="48">CO6</f>
        <v>85</v>
      </c>
      <c r="EJ6" s="17">
        <f t="shared" ref="EJ6:EJ44" si="49">(EG6*4+EH6*3+EI6*3)/10</f>
        <v>87.466666666666669</v>
      </c>
      <c r="EK6" s="18">
        <f t="shared" ref="EK6:EK44" si="50">CC6</f>
        <v>94</v>
      </c>
      <c r="EL6" s="18">
        <f t="shared" ref="EL6:EL44" si="51">AVERAGE(CD6:CF6)</f>
        <v>82.666666666666671</v>
      </c>
      <c r="EM6" s="18">
        <f t="shared" ref="EM6:EM44" si="52">CG6</f>
        <v>95</v>
      </c>
      <c r="EN6" s="18">
        <f t="shared" ref="EN6:EN44" si="53">CN6</f>
        <v>81</v>
      </c>
      <c r="EO6" s="17">
        <f t="shared" ref="EO6:EO44" si="54">(EL6*4+EM6*3+EN6*3)/10</f>
        <v>85.866666666666674</v>
      </c>
      <c r="EP6" s="19">
        <f t="shared" ref="EP6:EP44" si="55">CT6</f>
        <v>88.679999999999993</v>
      </c>
      <c r="EQ6" s="19">
        <f t="shared" ref="EQ6:EQ44" si="56">CX6</f>
        <v>89.97999999999999</v>
      </c>
      <c r="ER6" s="19">
        <f t="shared" ref="ER6:ER44" si="57">DB6</f>
        <v>84.460000000000008</v>
      </c>
      <c r="ES6" s="19">
        <f t="shared" ref="ES6:ES44" si="58">DD6</f>
        <v>82.25</v>
      </c>
      <c r="ET6" s="19">
        <f t="shared" ref="ET6:ET44" si="59">DF6</f>
        <v>81.75</v>
      </c>
      <c r="EU6" s="19">
        <f t="shared" ref="EU6:EU44" si="60">DH6</f>
        <v>83.5</v>
      </c>
      <c r="EV6" s="19">
        <f t="shared" ref="EV6:EV44" si="61">DJ6</f>
        <v>80.75</v>
      </c>
      <c r="EW6" s="19">
        <f t="shared" ref="EW6:EW44" si="62">DN6</f>
        <v>83.3</v>
      </c>
      <c r="EX6" s="19">
        <f t="shared" ref="EX6:EX44" si="63">DR6</f>
        <v>82.24</v>
      </c>
      <c r="EY6" s="19">
        <f t="shared" ref="EY6:EY44" si="64">DV6</f>
        <v>86.320000000000007</v>
      </c>
      <c r="EZ6" s="19">
        <f t="shared" ref="EZ6:EZ44" si="65">DX6</f>
        <v>79</v>
      </c>
      <c r="FA6" s="19">
        <f t="shared" ref="FA6:FA44" si="66">DZ6</f>
        <v>83</v>
      </c>
      <c r="FB6" s="19">
        <f t="shared" ref="FB6:FB44" si="67">EB6</f>
        <v>83</v>
      </c>
      <c r="FC6" s="19">
        <f t="shared" ref="FC6:FC44" si="68">EF6</f>
        <v>83.166666666666671</v>
      </c>
      <c r="FD6" s="19">
        <f t="shared" ref="FD6:FE44" si="69">EJ6</f>
        <v>87.466666666666669</v>
      </c>
      <c r="FE6" s="19">
        <f t="shared" si="69"/>
        <v>94</v>
      </c>
      <c r="FF6" s="19">
        <f t="shared" ref="FF6:FF44" si="70">EO6</f>
        <v>85.866666666666674</v>
      </c>
      <c r="FG6" s="19">
        <f t="shared" ref="FG6:FG44" si="71">AVERAGE(EP6:FF6)</f>
        <v>84.63117647058823</v>
      </c>
    </row>
    <row r="7" spans="1:163" ht="18">
      <c r="A7" s="11">
        <v>3</v>
      </c>
      <c r="B7" s="104" t="s">
        <v>677</v>
      </c>
      <c r="C7" s="105" t="s">
        <v>555</v>
      </c>
      <c r="D7" s="106" t="s">
        <v>675</v>
      </c>
      <c r="E7" s="113">
        <v>80</v>
      </c>
      <c r="F7" s="107">
        <v>81</v>
      </c>
      <c r="G7" s="113">
        <v>87</v>
      </c>
      <c r="H7" s="107">
        <v>82</v>
      </c>
      <c r="I7" s="108">
        <v>83</v>
      </c>
      <c r="J7" s="108">
        <v>80</v>
      </c>
      <c r="K7" s="108">
        <v>82</v>
      </c>
      <c r="L7" s="108">
        <v>82</v>
      </c>
      <c r="M7" s="113">
        <v>73</v>
      </c>
      <c r="N7" s="107">
        <v>80</v>
      </c>
      <c r="O7" s="107">
        <v>80</v>
      </c>
      <c r="P7" s="107">
        <v>80</v>
      </c>
      <c r="Q7" s="107">
        <v>88</v>
      </c>
      <c r="R7" s="107">
        <v>89</v>
      </c>
      <c r="S7" s="107">
        <v>80</v>
      </c>
      <c r="T7" s="107">
        <v>81</v>
      </c>
      <c r="U7" s="109">
        <v>72</v>
      </c>
      <c r="V7" s="110">
        <v>82</v>
      </c>
      <c r="W7" s="111">
        <v>84</v>
      </c>
      <c r="X7" s="111">
        <v>84</v>
      </c>
      <c r="Y7" s="107">
        <v>81</v>
      </c>
      <c r="Z7" s="107">
        <v>85</v>
      </c>
      <c r="AA7" s="107">
        <v>77</v>
      </c>
      <c r="AB7" s="107">
        <v>80</v>
      </c>
      <c r="AC7" s="107">
        <v>81</v>
      </c>
      <c r="AD7" s="107">
        <v>82</v>
      </c>
      <c r="AE7" s="107">
        <v>82</v>
      </c>
      <c r="AF7" s="107">
        <v>81</v>
      </c>
      <c r="AG7" s="108">
        <v>82</v>
      </c>
      <c r="AH7" s="108">
        <v>83</v>
      </c>
      <c r="AI7" s="108">
        <v>74</v>
      </c>
      <c r="AJ7" s="108">
        <v>82</v>
      </c>
      <c r="AK7" s="107">
        <v>80</v>
      </c>
      <c r="AL7" s="107">
        <v>82</v>
      </c>
      <c r="AM7" s="107">
        <v>78</v>
      </c>
      <c r="AN7" s="107">
        <v>79</v>
      </c>
      <c r="AO7" s="107">
        <v>73</v>
      </c>
      <c r="AP7" s="107">
        <v>74</v>
      </c>
      <c r="AQ7" s="108">
        <v>77</v>
      </c>
      <c r="AR7" s="108">
        <v>80</v>
      </c>
      <c r="AS7" s="108">
        <v>79</v>
      </c>
      <c r="AT7" s="108">
        <v>79</v>
      </c>
      <c r="AU7" s="107">
        <v>76</v>
      </c>
      <c r="AV7" s="107">
        <v>77</v>
      </c>
      <c r="AW7" s="107">
        <v>75</v>
      </c>
      <c r="AX7" s="107">
        <v>80</v>
      </c>
      <c r="AY7" s="107">
        <v>78</v>
      </c>
      <c r="AZ7" s="107">
        <v>80</v>
      </c>
      <c r="BA7" s="107">
        <v>77</v>
      </c>
      <c r="BB7" s="107">
        <v>80</v>
      </c>
      <c r="BC7" s="107">
        <v>82</v>
      </c>
      <c r="BD7" s="112">
        <v>83</v>
      </c>
      <c r="BE7" s="96">
        <v>82</v>
      </c>
      <c r="BF7" s="96">
        <v>83</v>
      </c>
      <c r="BG7" s="96">
        <v>80</v>
      </c>
      <c r="BH7" s="130">
        <v>80</v>
      </c>
      <c r="BI7" s="95">
        <v>82</v>
      </c>
      <c r="BJ7" s="95">
        <v>82</v>
      </c>
      <c r="BK7" s="95">
        <v>81</v>
      </c>
      <c r="BL7" s="130">
        <v>80</v>
      </c>
      <c r="BM7" s="95">
        <v>84</v>
      </c>
      <c r="BN7" s="95">
        <v>84</v>
      </c>
      <c r="BO7" s="95">
        <v>80</v>
      </c>
      <c r="BP7" s="130">
        <v>80</v>
      </c>
      <c r="BQ7" s="95">
        <v>81</v>
      </c>
      <c r="BR7" s="95">
        <v>82</v>
      </c>
      <c r="BS7" s="95">
        <v>80</v>
      </c>
      <c r="BT7" s="130">
        <v>80</v>
      </c>
      <c r="BU7" s="15">
        <f t="shared" si="19"/>
        <v>82.25</v>
      </c>
      <c r="BV7" s="15">
        <f t="shared" si="20"/>
        <v>82.75</v>
      </c>
      <c r="BW7" s="15">
        <f t="shared" si="21"/>
        <v>80.25</v>
      </c>
      <c r="BX7" s="15">
        <f t="shared" si="22"/>
        <v>80</v>
      </c>
      <c r="BY7" s="108">
        <v>83</v>
      </c>
      <c r="BZ7" s="108">
        <v>84</v>
      </c>
      <c r="CA7" s="108">
        <v>80</v>
      </c>
      <c r="CB7" s="126">
        <v>80</v>
      </c>
      <c r="CC7" s="126">
        <v>80</v>
      </c>
      <c r="CD7" s="126">
        <v>72</v>
      </c>
      <c r="CE7" s="107">
        <v>86</v>
      </c>
      <c r="CF7" s="107">
        <v>87</v>
      </c>
      <c r="CG7" s="107">
        <v>80</v>
      </c>
      <c r="CH7" s="39">
        <v>82</v>
      </c>
      <c r="CI7" s="39">
        <v>85</v>
      </c>
      <c r="CJ7" s="39">
        <v>80</v>
      </c>
      <c r="CK7" s="39">
        <v>80</v>
      </c>
      <c r="CL7" s="39">
        <v>77</v>
      </c>
      <c r="CM7" s="39">
        <v>84</v>
      </c>
      <c r="CN7" s="39">
        <v>80</v>
      </c>
      <c r="CO7" s="39">
        <v>85</v>
      </c>
      <c r="CP7" s="39">
        <v>70</v>
      </c>
      <c r="CQ7" s="41">
        <f t="shared" si="0"/>
        <v>82.6</v>
      </c>
      <c r="CR7" s="41">
        <f t="shared" si="1"/>
        <v>80</v>
      </c>
      <c r="CS7" s="41">
        <f t="shared" si="23"/>
        <v>82</v>
      </c>
      <c r="CT7" s="17">
        <f t="shared" si="24"/>
        <v>81.64</v>
      </c>
      <c r="CU7" s="16">
        <f t="shared" si="2"/>
        <v>79.400000000000006</v>
      </c>
      <c r="CV7" s="16">
        <f t="shared" si="3"/>
        <v>80</v>
      </c>
      <c r="CW7" s="16">
        <f t="shared" si="25"/>
        <v>85</v>
      </c>
      <c r="CX7" s="17">
        <f t="shared" si="26"/>
        <v>81.260000000000005</v>
      </c>
      <c r="CY7" s="17">
        <f t="shared" si="4"/>
        <v>82</v>
      </c>
      <c r="CZ7" s="17">
        <f t="shared" si="5"/>
        <v>82</v>
      </c>
      <c r="DA7" s="17">
        <f t="shared" si="27"/>
        <v>80</v>
      </c>
      <c r="DB7" s="17">
        <f t="shared" si="28"/>
        <v>81.400000000000006</v>
      </c>
      <c r="DC7" s="18">
        <f t="shared" si="6"/>
        <v>83.5</v>
      </c>
      <c r="DD7" s="18">
        <f t="shared" si="29"/>
        <v>83.5</v>
      </c>
      <c r="DE7" s="18">
        <f t="shared" si="7"/>
        <v>80</v>
      </c>
      <c r="DF7" s="18">
        <f t="shared" si="30"/>
        <v>80</v>
      </c>
      <c r="DG7" s="18">
        <f t="shared" si="8"/>
        <v>81.5</v>
      </c>
      <c r="DH7" s="18">
        <f t="shared" si="31"/>
        <v>81.5</v>
      </c>
      <c r="DI7" s="18">
        <f t="shared" si="9"/>
        <v>80.25</v>
      </c>
      <c r="DJ7" s="18">
        <f t="shared" si="32"/>
        <v>80.25</v>
      </c>
      <c r="DK7" s="18">
        <f t="shared" si="10"/>
        <v>80</v>
      </c>
      <c r="DL7" s="18">
        <f t="shared" si="11"/>
        <v>82</v>
      </c>
      <c r="DM7" s="18">
        <f t="shared" si="33"/>
        <v>80</v>
      </c>
      <c r="DN7" s="17">
        <f t="shared" si="34"/>
        <v>80.599999999999994</v>
      </c>
      <c r="DO7" s="18">
        <f t="shared" si="12"/>
        <v>76.2</v>
      </c>
      <c r="DP7" s="18">
        <f t="shared" si="13"/>
        <v>80</v>
      </c>
      <c r="DQ7" s="18">
        <f t="shared" si="35"/>
        <v>77</v>
      </c>
      <c r="DR7" s="17">
        <f t="shared" si="36"/>
        <v>77.58</v>
      </c>
      <c r="DS7" s="18">
        <f t="shared" si="14"/>
        <v>77.2</v>
      </c>
      <c r="DT7" s="18">
        <f t="shared" si="15"/>
        <v>80</v>
      </c>
      <c r="DU7" s="18">
        <f t="shared" si="37"/>
        <v>84</v>
      </c>
      <c r="DV7" s="17">
        <f t="shared" si="38"/>
        <v>80.08</v>
      </c>
      <c r="DW7" s="18">
        <f t="shared" si="16"/>
        <v>79</v>
      </c>
      <c r="DX7" s="18">
        <f t="shared" si="39"/>
        <v>79</v>
      </c>
      <c r="DY7" s="18">
        <f t="shared" si="17"/>
        <v>78.5</v>
      </c>
      <c r="DZ7" s="18">
        <f t="shared" si="40"/>
        <v>78.5</v>
      </c>
      <c r="EA7" s="18">
        <f t="shared" si="18"/>
        <v>82.5</v>
      </c>
      <c r="EB7" s="17">
        <f t="shared" si="41"/>
        <v>82.5</v>
      </c>
      <c r="EC7" s="18">
        <f t="shared" si="42"/>
        <v>81.75</v>
      </c>
      <c r="ED7" s="18">
        <f t="shared" si="43"/>
        <v>80</v>
      </c>
      <c r="EE7" s="18">
        <f t="shared" si="44"/>
        <v>70</v>
      </c>
      <c r="EF7" s="17">
        <f t="shared" si="45"/>
        <v>77.7</v>
      </c>
      <c r="EG7" s="18">
        <f t="shared" si="46"/>
        <v>82.333333333333329</v>
      </c>
      <c r="EH7" s="18">
        <f t="shared" si="47"/>
        <v>80</v>
      </c>
      <c r="EI7" s="18">
        <f t="shared" si="48"/>
        <v>85</v>
      </c>
      <c r="EJ7" s="17">
        <f t="shared" si="49"/>
        <v>82.433333333333323</v>
      </c>
      <c r="EK7" s="18">
        <f t="shared" si="50"/>
        <v>80</v>
      </c>
      <c r="EL7" s="18">
        <f t="shared" si="51"/>
        <v>81.666666666666671</v>
      </c>
      <c r="EM7" s="18">
        <f t="shared" si="52"/>
        <v>80</v>
      </c>
      <c r="EN7" s="18">
        <f t="shared" si="53"/>
        <v>80</v>
      </c>
      <c r="EO7" s="17">
        <f t="shared" si="54"/>
        <v>80.666666666666671</v>
      </c>
      <c r="EP7" s="19">
        <f t="shared" si="55"/>
        <v>81.64</v>
      </c>
      <c r="EQ7" s="19">
        <f t="shared" si="56"/>
        <v>81.260000000000005</v>
      </c>
      <c r="ER7" s="19">
        <f t="shared" si="57"/>
        <v>81.400000000000006</v>
      </c>
      <c r="ES7" s="19">
        <f t="shared" si="58"/>
        <v>83.5</v>
      </c>
      <c r="ET7" s="19">
        <f t="shared" si="59"/>
        <v>80</v>
      </c>
      <c r="EU7" s="19">
        <f t="shared" si="60"/>
        <v>81.5</v>
      </c>
      <c r="EV7" s="19">
        <f t="shared" si="61"/>
        <v>80.25</v>
      </c>
      <c r="EW7" s="19">
        <f t="shared" si="62"/>
        <v>80.599999999999994</v>
      </c>
      <c r="EX7" s="19">
        <f t="shared" si="63"/>
        <v>77.58</v>
      </c>
      <c r="EY7" s="19">
        <f t="shared" si="64"/>
        <v>80.08</v>
      </c>
      <c r="EZ7" s="19">
        <f t="shared" si="65"/>
        <v>79</v>
      </c>
      <c r="FA7" s="19">
        <f t="shared" si="66"/>
        <v>78.5</v>
      </c>
      <c r="FB7" s="19">
        <f t="shared" si="67"/>
        <v>82.5</v>
      </c>
      <c r="FC7" s="19">
        <f t="shared" si="68"/>
        <v>77.7</v>
      </c>
      <c r="FD7" s="19">
        <f t="shared" si="69"/>
        <v>82.433333333333323</v>
      </c>
      <c r="FE7" s="19">
        <f t="shared" si="69"/>
        <v>80</v>
      </c>
      <c r="FF7" s="19">
        <f t="shared" si="70"/>
        <v>80.666666666666671</v>
      </c>
      <c r="FG7" s="19">
        <f t="shared" si="71"/>
        <v>80.506470588235302</v>
      </c>
    </row>
    <row r="8" spans="1:163" ht="18">
      <c r="A8" s="11">
        <v>4</v>
      </c>
      <c r="B8" s="104" t="s">
        <v>678</v>
      </c>
      <c r="C8" s="105" t="s">
        <v>557</v>
      </c>
      <c r="D8" s="106" t="s">
        <v>675</v>
      </c>
      <c r="E8" s="113">
        <v>80</v>
      </c>
      <c r="F8" s="107">
        <v>80</v>
      </c>
      <c r="G8" s="113">
        <v>87</v>
      </c>
      <c r="H8" s="107">
        <v>83</v>
      </c>
      <c r="I8" s="108">
        <v>86</v>
      </c>
      <c r="J8" s="108">
        <v>94</v>
      </c>
      <c r="K8" s="108">
        <v>80</v>
      </c>
      <c r="L8" s="108">
        <v>78</v>
      </c>
      <c r="M8" s="113">
        <v>78</v>
      </c>
      <c r="N8" s="107">
        <v>80</v>
      </c>
      <c r="O8" s="107">
        <v>81</v>
      </c>
      <c r="P8" s="107">
        <v>93</v>
      </c>
      <c r="Q8" s="107">
        <v>88</v>
      </c>
      <c r="R8" s="107">
        <v>87</v>
      </c>
      <c r="S8" s="107">
        <v>78</v>
      </c>
      <c r="T8" s="107">
        <v>81</v>
      </c>
      <c r="U8" s="109">
        <v>86</v>
      </c>
      <c r="V8" s="110">
        <v>90</v>
      </c>
      <c r="W8" s="111">
        <v>83</v>
      </c>
      <c r="X8" s="111">
        <v>84</v>
      </c>
      <c r="Y8" s="107">
        <v>76</v>
      </c>
      <c r="Z8" s="107">
        <v>84</v>
      </c>
      <c r="AA8" s="107">
        <v>76</v>
      </c>
      <c r="AB8" s="107">
        <v>80</v>
      </c>
      <c r="AC8" s="107">
        <v>80</v>
      </c>
      <c r="AD8" s="107">
        <v>82</v>
      </c>
      <c r="AE8" s="107">
        <v>84</v>
      </c>
      <c r="AF8" s="107">
        <v>83</v>
      </c>
      <c r="AG8" s="108">
        <v>84</v>
      </c>
      <c r="AH8" s="108">
        <v>82</v>
      </c>
      <c r="AI8" s="108">
        <v>71</v>
      </c>
      <c r="AJ8" s="108">
        <v>82</v>
      </c>
      <c r="AK8" s="107">
        <v>80</v>
      </c>
      <c r="AL8" s="107">
        <v>90</v>
      </c>
      <c r="AM8" s="107">
        <v>73</v>
      </c>
      <c r="AN8" s="107">
        <v>77</v>
      </c>
      <c r="AO8" s="107">
        <v>74</v>
      </c>
      <c r="AP8" s="107">
        <v>75</v>
      </c>
      <c r="AQ8" s="108">
        <v>79</v>
      </c>
      <c r="AR8" s="108">
        <v>91</v>
      </c>
      <c r="AS8" s="108">
        <v>71</v>
      </c>
      <c r="AT8" s="108">
        <v>78</v>
      </c>
      <c r="AU8" s="107">
        <v>73</v>
      </c>
      <c r="AV8" s="107">
        <v>78</v>
      </c>
      <c r="AW8" s="107">
        <v>88</v>
      </c>
      <c r="AX8" s="107">
        <v>91</v>
      </c>
      <c r="AY8" s="107">
        <v>77</v>
      </c>
      <c r="AZ8" s="107">
        <v>82</v>
      </c>
      <c r="BA8" s="107">
        <v>80</v>
      </c>
      <c r="BB8" s="107">
        <v>80</v>
      </c>
      <c r="BC8" s="107">
        <v>82</v>
      </c>
      <c r="BD8" s="112">
        <v>82</v>
      </c>
      <c r="BE8" s="96">
        <v>80</v>
      </c>
      <c r="BF8" s="96">
        <v>81</v>
      </c>
      <c r="BG8" s="96">
        <v>85</v>
      </c>
      <c r="BH8" s="130">
        <v>93</v>
      </c>
      <c r="BI8" s="95">
        <v>80</v>
      </c>
      <c r="BJ8" s="95">
        <v>81</v>
      </c>
      <c r="BK8" s="95">
        <v>84</v>
      </c>
      <c r="BL8" s="130">
        <v>93</v>
      </c>
      <c r="BM8" s="95">
        <v>82</v>
      </c>
      <c r="BN8" s="95">
        <v>84</v>
      </c>
      <c r="BO8" s="95">
        <v>84</v>
      </c>
      <c r="BP8" s="130">
        <v>93</v>
      </c>
      <c r="BQ8" s="95">
        <v>80</v>
      </c>
      <c r="BR8" s="95">
        <v>82</v>
      </c>
      <c r="BS8" s="95">
        <v>84</v>
      </c>
      <c r="BT8" s="130">
        <v>93</v>
      </c>
      <c r="BU8" s="15">
        <f t="shared" si="19"/>
        <v>80.5</v>
      </c>
      <c r="BV8" s="15">
        <f t="shared" si="20"/>
        <v>82</v>
      </c>
      <c r="BW8" s="15">
        <f t="shared" si="21"/>
        <v>84.25</v>
      </c>
      <c r="BX8" s="15">
        <f t="shared" si="22"/>
        <v>93</v>
      </c>
      <c r="BY8" s="108">
        <v>82</v>
      </c>
      <c r="BZ8" s="108">
        <v>84</v>
      </c>
      <c r="CA8" s="108">
        <v>83</v>
      </c>
      <c r="CB8" s="126">
        <v>93</v>
      </c>
      <c r="CC8" s="126">
        <v>92</v>
      </c>
      <c r="CD8" s="126">
        <v>81</v>
      </c>
      <c r="CE8" s="107">
        <v>86</v>
      </c>
      <c r="CF8" s="107">
        <v>85</v>
      </c>
      <c r="CG8" s="107">
        <v>91</v>
      </c>
      <c r="CH8" s="39">
        <v>84</v>
      </c>
      <c r="CI8" s="39">
        <v>86</v>
      </c>
      <c r="CJ8" s="39">
        <v>80</v>
      </c>
      <c r="CK8" s="39">
        <v>87</v>
      </c>
      <c r="CL8" s="39">
        <v>80</v>
      </c>
      <c r="CM8" s="39">
        <v>88</v>
      </c>
      <c r="CN8" s="39">
        <v>82</v>
      </c>
      <c r="CO8" s="39">
        <v>86</v>
      </c>
      <c r="CP8" s="39">
        <v>70</v>
      </c>
      <c r="CQ8" s="41">
        <f t="shared" si="0"/>
        <v>83.2</v>
      </c>
      <c r="CR8" s="41">
        <f t="shared" si="1"/>
        <v>94</v>
      </c>
      <c r="CS8" s="41">
        <f t="shared" si="23"/>
        <v>84</v>
      </c>
      <c r="CT8" s="17">
        <f t="shared" si="24"/>
        <v>86.679999999999993</v>
      </c>
      <c r="CU8" s="16">
        <f t="shared" si="2"/>
        <v>79.400000000000006</v>
      </c>
      <c r="CV8" s="16">
        <f t="shared" si="3"/>
        <v>93</v>
      </c>
      <c r="CW8" s="16">
        <f t="shared" si="25"/>
        <v>86</v>
      </c>
      <c r="CX8" s="17">
        <f t="shared" si="26"/>
        <v>85.460000000000008</v>
      </c>
      <c r="CY8" s="17">
        <f t="shared" si="4"/>
        <v>84</v>
      </c>
      <c r="CZ8" s="17">
        <f t="shared" si="5"/>
        <v>90</v>
      </c>
      <c r="DA8" s="17">
        <f t="shared" si="27"/>
        <v>80</v>
      </c>
      <c r="DB8" s="17">
        <f t="shared" si="28"/>
        <v>84.6</v>
      </c>
      <c r="DC8" s="18">
        <f t="shared" si="6"/>
        <v>81.75</v>
      </c>
      <c r="DD8" s="18">
        <f t="shared" si="29"/>
        <v>81.75</v>
      </c>
      <c r="DE8" s="18">
        <f t="shared" si="7"/>
        <v>79.5</v>
      </c>
      <c r="DF8" s="18">
        <f t="shared" si="30"/>
        <v>79.5</v>
      </c>
      <c r="DG8" s="18">
        <f t="shared" si="8"/>
        <v>83.5</v>
      </c>
      <c r="DH8" s="18">
        <f t="shared" si="31"/>
        <v>83.5</v>
      </c>
      <c r="DI8" s="18">
        <f t="shared" si="9"/>
        <v>79.75</v>
      </c>
      <c r="DJ8" s="18">
        <f t="shared" si="32"/>
        <v>79.75</v>
      </c>
      <c r="DK8" s="18">
        <f t="shared" si="10"/>
        <v>80</v>
      </c>
      <c r="DL8" s="18">
        <f t="shared" si="11"/>
        <v>90</v>
      </c>
      <c r="DM8" s="18">
        <f t="shared" si="33"/>
        <v>87</v>
      </c>
      <c r="DN8" s="17">
        <f t="shared" si="34"/>
        <v>85.1</v>
      </c>
      <c r="DO8" s="18">
        <f t="shared" si="12"/>
        <v>75.599999999999994</v>
      </c>
      <c r="DP8" s="18">
        <f t="shared" si="13"/>
        <v>91</v>
      </c>
      <c r="DQ8" s="18">
        <f t="shared" si="35"/>
        <v>80</v>
      </c>
      <c r="DR8" s="17">
        <f t="shared" si="36"/>
        <v>81.539999999999992</v>
      </c>
      <c r="DS8" s="18">
        <f t="shared" si="14"/>
        <v>77.599999999999994</v>
      </c>
      <c r="DT8" s="18">
        <f t="shared" si="15"/>
        <v>91</v>
      </c>
      <c r="DU8" s="18">
        <f t="shared" si="37"/>
        <v>88</v>
      </c>
      <c r="DV8" s="17">
        <f t="shared" si="38"/>
        <v>84.74</v>
      </c>
      <c r="DW8" s="18">
        <f t="shared" si="16"/>
        <v>79.5</v>
      </c>
      <c r="DX8" s="18">
        <f t="shared" si="39"/>
        <v>79.5</v>
      </c>
      <c r="DY8" s="18">
        <f t="shared" si="17"/>
        <v>80</v>
      </c>
      <c r="DZ8" s="18">
        <f t="shared" si="40"/>
        <v>80</v>
      </c>
      <c r="EA8" s="18">
        <f t="shared" si="18"/>
        <v>82</v>
      </c>
      <c r="EB8" s="17">
        <f t="shared" si="41"/>
        <v>82</v>
      </c>
      <c r="EC8" s="18">
        <f t="shared" si="42"/>
        <v>82.25</v>
      </c>
      <c r="ED8" s="18">
        <f t="shared" si="43"/>
        <v>93</v>
      </c>
      <c r="EE8" s="18">
        <f t="shared" si="44"/>
        <v>70</v>
      </c>
      <c r="EF8" s="17">
        <f t="shared" si="45"/>
        <v>81.8</v>
      </c>
      <c r="EG8" s="18">
        <f t="shared" si="46"/>
        <v>83</v>
      </c>
      <c r="EH8" s="18">
        <f t="shared" si="47"/>
        <v>93</v>
      </c>
      <c r="EI8" s="18">
        <f t="shared" si="48"/>
        <v>86</v>
      </c>
      <c r="EJ8" s="17">
        <f t="shared" si="49"/>
        <v>86.9</v>
      </c>
      <c r="EK8" s="18">
        <f t="shared" si="50"/>
        <v>92</v>
      </c>
      <c r="EL8" s="18">
        <f t="shared" si="51"/>
        <v>84</v>
      </c>
      <c r="EM8" s="18">
        <f t="shared" si="52"/>
        <v>91</v>
      </c>
      <c r="EN8" s="18">
        <f t="shared" si="53"/>
        <v>82</v>
      </c>
      <c r="EO8" s="17">
        <f t="shared" si="54"/>
        <v>85.5</v>
      </c>
      <c r="EP8" s="19">
        <f t="shared" si="55"/>
        <v>86.679999999999993</v>
      </c>
      <c r="EQ8" s="19">
        <f t="shared" si="56"/>
        <v>85.460000000000008</v>
      </c>
      <c r="ER8" s="19">
        <f t="shared" si="57"/>
        <v>84.6</v>
      </c>
      <c r="ES8" s="19">
        <f t="shared" si="58"/>
        <v>81.75</v>
      </c>
      <c r="ET8" s="19">
        <f t="shared" si="59"/>
        <v>79.5</v>
      </c>
      <c r="EU8" s="19">
        <f t="shared" si="60"/>
        <v>83.5</v>
      </c>
      <c r="EV8" s="19">
        <f t="shared" si="61"/>
        <v>79.75</v>
      </c>
      <c r="EW8" s="19">
        <f t="shared" si="62"/>
        <v>85.1</v>
      </c>
      <c r="EX8" s="19">
        <f t="shared" si="63"/>
        <v>81.539999999999992</v>
      </c>
      <c r="EY8" s="19">
        <f t="shared" si="64"/>
        <v>84.74</v>
      </c>
      <c r="EZ8" s="19">
        <f t="shared" si="65"/>
        <v>79.5</v>
      </c>
      <c r="FA8" s="19">
        <f t="shared" si="66"/>
        <v>80</v>
      </c>
      <c r="FB8" s="19">
        <f t="shared" si="67"/>
        <v>82</v>
      </c>
      <c r="FC8" s="19">
        <f t="shared" si="68"/>
        <v>81.8</v>
      </c>
      <c r="FD8" s="19">
        <f t="shared" si="69"/>
        <v>86.9</v>
      </c>
      <c r="FE8" s="19">
        <f t="shared" si="69"/>
        <v>92</v>
      </c>
      <c r="FF8" s="19">
        <f t="shared" si="70"/>
        <v>85.5</v>
      </c>
      <c r="FG8" s="19">
        <f t="shared" si="71"/>
        <v>83.548235294117646</v>
      </c>
    </row>
    <row r="9" spans="1:163" ht="18">
      <c r="A9" s="11">
        <v>5</v>
      </c>
      <c r="B9" s="104" t="s">
        <v>679</v>
      </c>
      <c r="C9" s="105" t="s">
        <v>559</v>
      </c>
      <c r="D9" s="106" t="s">
        <v>675</v>
      </c>
      <c r="E9" s="113">
        <v>87</v>
      </c>
      <c r="F9" s="107">
        <v>90</v>
      </c>
      <c r="G9" s="113">
        <v>88</v>
      </c>
      <c r="H9" s="107">
        <v>83</v>
      </c>
      <c r="I9" s="108">
        <v>84</v>
      </c>
      <c r="J9" s="108">
        <v>80</v>
      </c>
      <c r="K9" s="108">
        <v>82</v>
      </c>
      <c r="L9" s="108">
        <v>79</v>
      </c>
      <c r="M9" s="113">
        <v>83</v>
      </c>
      <c r="N9" s="107">
        <v>85</v>
      </c>
      <c r="O9" s="107">
        <v>85</v>
      </c>
      <c r="P9" s="107">
        <v>85</v>
      </c>
      <c r="Q9" s="107">
        <v>92</v>
      </c>
      <c r="R9" s="107">
        <v>86</v>
      </c>
      <c r="S9" s="107">
        <v>88</v>
      </c>
      <c r="T9" s="107">
        <v>89</v>
      </c>
      <c r="U9" s="109">
        <v>81</v>
      </c>
      <c r="V9" s="110">
        <v>84</v>
      </c>
      <c r="W9" s="111">
        <v>83</v>
      </c>
      <c r="X9" s="111">
        <v>83</v>
      </c>
      <c r="Y9" s="107">
        <v>81</v>
      </c>
      <c r="Z9" s="107">
        <v>85</v>
      </c>
      <c r="AA9" s="107">
        <v>82</v>
      </c>
      <c r="AB9" s="107">
        <v>88</v>
      </c>
      <c r="AC9" s="107">
        <v>81</v>
      </c>
      <c r="AD9" s="107">
        <v>83</v>
      </c>
      <c r="AE9" s="107">
        <v>83</v>
      </c>
      <c r="AF9" s="107">
        <v>80</v>
      </c>
      <c r="AG9" s="108">
        <v>83</v>
      </c>
      <c r="AH9" s="108">
        <v>82</v>
      </c>
      <c r="AI9" s="108">
        <v>79</v>
      </c>
      <c r="AJ9" s="108">
        <v>83</v>
      </c>
      <c r="AK9" s="107">
        <v>80</v>
      </c>
      <c r="AL9" s="107">
        <v>84</v>
      </c>
      <c r="AM9" s="107">
        <v>76</v>
      </c>
      <c r="AN9" s="107">
        <v>78</v>
      </c>
      <c r="AO9" s="107">
        <v>75</v>
      </c>
      <c r="AP9" s="107">
        <v>76</v>
      </c>
      <c r="AQ9" s="108">
        <v>80</v>
      </c>
      <c r="AR9" s="108">
        <v>90</v>
      </c>
      <c r="AS9" s="108">
        <v>82</v>
      </c>
      <c r="AT9" s="108">
        <v>80</v>
      </c>
      <c r="AU9" s="107">
        <v>72</v>
      </c>
      <c r="AV9" s="107">
        <v>77</v>
      </c>
      <c r="AW9" s="107">
        <v>78</v>
      </c>
      <c r="AX9" s="107">
        <v>90</v>
      </c>
      <c r="AY9" s="107">
        <v>80</v>
      </c>
      <c r="AZ9" s="107">
        <v>81</v>
      </c>
      <c r="BA9" s="107">
        <v>80</v>
      </c>
      <c r="BB9" s="107">
        <v>80</v>
      </c>
      <c r="BC9" s="107">
        <v>82</v>
      </c>
      <c r="BD9" s="112">
        <v>84</v>
      </c>
      <c r="BE9" s="96">
        <v>82</v>
      </c>
      <c r="BF9" s="96">
        <v>83</v>
      </c>
      <c r="BG9" s="96">
        <v>82</v>
      </c>
      <c r="BH9" s="130">
        <v>91</v>
      </c>
      <c r="BI9" s="95">
        <v>82</v>
      </c>
      <c r="BJ9" s="95">
        <v>82</v>
      </c>
      <c r="BK9" s="95">
        <v>82</v>
      </c>
      <c r="BL9" s="130">
        <v>91</v>
      </c>
      <c r="BM9" s="95">
        <v>83</v>
      </c>
      <c r="BN9" s="95">
        <v>83</v>
      </c>
      <c r="BO9" s="95">
        <v>80</v>
      </c>
      <c r="BP9" s="130">
        <v>91</v>
      </c>
      <c r="BQ9" s="95">
        <v>80</v>
      </c>
      <c r="BR9" s="95">
        <v>82</v>
      </c>
      <c r="BS9" s="95">
        <v>80</v>
      </c>
      <c r="BT9" s="130">
        <v>91</v>
      </c>
      <c r="BU9" s="15">
        <f t="shared" si="19"/>
        <v>81.75</v>
      </c>
      <c r="BV9" s="15">
        <f t="shared" si="20"/>
        <v>82.5</v>
      </c>
      <c r="BW9" s="15">
        <f t="shared" si="21"/>
        <v>81</v>
      </c>
      <c r="BX9" s="15">
        <f t="shared" si="22"/>
        <v>91</v>
      </c>
      <c r="BY9" s="108">
        <v>84</v>
      </c>
      <c r="BZ9" s="108">
        <v>84</v>
      </c>
      <c r="CA9" s="108">
        <v>83</v>
      </c>
      <c r="CB9" s="126">
        <v>91</v>
      </c>
      <c r="CC9" s="126">
        <v>86</v>
      </c>
      <c r="CD9" s="126">
        <v>73</v>
      </c>
      <c r="CE9" s="107">
        <v>87</v>
      </c>
      <c r="CF9" s="107">
        <v>77</v>
      </c>
      <c r="CG9" s="107">
        <v>90</v>
      </c>
      <c r="CH9" s="39">
        <v>86</v>
      </c>
      <c r="CI9" s="39">
        <v>93</v>
      </c>
      <c r="CJ9" s="39">
        <v>86</v>
      </c>
      <c r="CK9" s="39">
        <v>94</v>
      </c>
      <c r="CL9" s="39">
        <v>79</v>
      </c>
      <c r="CM9" s="39">
        <v>83</v>
      </c>
      <c r="CN9" s="39">
        <v>83</v>
      </c>
      <c r="CO9" s="39">
        <v>86</v>
      </c>
      <c r="CP9" s="39">
        <v>77</v>
      </c>
      <c r="CQ9" s="41">
        <f t="shared" si="0"/>
        <v>86.4</v>
      </c>
      <c r="CR9" s="41">
        <f t="shared" si="1"/>
        <v>80</v>
      </c>
      <c r="CS9" s="41">
        <f t="shared" si="23"/>
        <v>86</v>
      </c>
      <c r="CT9" s="17">
        <f t="shared" si="24"/>
        <v>84.36</v>
      </c>
      <c r="CU9" s="16">
        <f t="shared" si="2"/>
        <v>82.8</v>
      </c>
      <c r="CV9" s="16">
        <f t="shared" si="3"/>
        <v>85</v>
      </c>
      <c r="CW9" s="16">
        <f t="shared" si="25"/>
        <v>93</v>
      </c>
      <c r="CX9" s="17">
        <f t="shared" si="26"/>
        <v>86.52000000000001</v>
      </c>
      <c r="CY9" s="17">
        <f t="shared" si="4"/>
        <v>87.2</v>
      </c>
      <c r="CZ9" s="17">
        <f t="shared" si="5"/>
        <v>84</v>
      </c>
      <c r="DA9" s="17">
        <f t="shared" si="27"/>
        <v>86</v>
      </c>
      <c r="DB9" s="17">
        <f t="shared" si="28"/>
        <v>85.88</v>
      </c>
      <c r="DC9" s="18">
        <f t="shared" si="6"/>
        <v>83</v>
      </c>
      <c r="DD9" s="18">
        <f t="shared" si="29"/>
        <v>83</v>
      </c>
      <c r="DE9" s="18">
        <f t="shared" si="7"/>
        <v>83.5</v>
      </c>
      <c r="DF9" s="18">
        <f t="shared" si="30"/>
        <v>83.5</v>
      </c>
      <c r="DG9" s="18">
        <f t="shared" si="8"/>
        <v>81.5</v>
      </c>
      <c r="DH9" s="18">
        <f t="shared" si="31"/>
        <v>81.5</v>
      </c>
      <c r="DI9" s="18">
        <f t="shared" si="9"/>
        <v>81.75</v>
      </c>
      <c r="DJ9" s="18">
        <f t="shared" si="32"/>
        <v>81.75</v>
      </c>
      <c r="DK9" s="18">
        <f t="shared" si="10"/>
        <v>80</v>
      </c>
      <c r="DL9" s="18">
        <f t="shared" si="11"/>
        <v>84</v>
      </c>
      <c r="DM9" s="18">
        <f t="shared" si="33"/>
        <v>94</v>
      </c>
      <c r="DN9" s="17">
        <f t="shared" si="34"/>
        <v>85.4</v>
      </c>
      <c r="DO9" s="18">
        <f t="shared" si="12"/>
        <v>77</v>
      </c>
      <c r="DP9" s="18">
        <f t="shared" si="13"/>
        <v>90</v>
      </c>
      <c r="DQ9" s="18">
        <f t="shared" si="35"/>
        <v>79</v>
      </c>
      <c r="DR9" s="17">
        <f t="shared" si="36"/>
        <v>81.5</v>
      </c>
      <c r="DS9" s="18">
        <f t="shared" si="14"/>
        <v>77.8</v>
      </c>
      <c r="DT9" s="18">
        <f t="shared" si="15"/>
        <v>90</v>
      </c>
      <c r="DU9" s="18">
        <f t="shared" si="37"/>
        <v>83</v>
      </c>
      <c r="DV9" s="17">
        <f t="shared" si="38"/>
        <v>83.02000000000001</v>
      </c>
      <c r="DW9" s="18">
        <f t="shared" si="16"/>
        <v>80.5</v>
      </c>
      <c r="DX9" s="18">
        <f t="shared" si="39"/>
        <v>80.5</v>
      </c>
      <c r="DY9" s="18">
        <f t="shared" si="17"/>
        <v>80</v>
      </c>
      <c r="DZ9" s="18">
        <f t="shared" si="40"/>
        <v>80</v>
      </c>
      <c r="EA9" s="18">
        <f t="shared" si="18"/>
        <v>83</v>
      </c>
      <c r="EB9" s="17">
        <f t="shared" si="41"/>
        <v>83</v>
      </c>
      <c r="EC9" s="18">
        <f t="shared" si="42"/>
        <v>81.75</v>
      </c>
      <c r="ED9" s="18">
        <f t="shared" si="43"/>
        <v>91</v>
      </c>
      <c r="EE9" s="18">
        <f t="shared" si="44"/>
        <v>77</v>
      </c>
      <c r="EF9" s="17">
        <f t="shared" si="45"/>
        <v>83.1</v>
      </c>
      <c r="EG9" s="18">
        <f t="shared" si="46"/>
        <v>83.666666666666671</v>
      </c>
      <c r="EH9" s="18">
        <f t="shared" si="47"/>
        <v>91</v>
      </c>
      <c r="EI9" s="18">
        <f t="shared" si="48"/>
        <v>86</v>
      </c>
      <c r="EJ9" s="17">
        <f t="shared" si="49"/>
        <v>86.566666666666677</v>
      </c>
      <c r="EK9" s="18">
        <f t="shared" si="50"/>
        <v>86</v>
      </c>
      <c r="EL9" s="18">
        <f t="shared" si="51"/>
        <v>79</v>
      </c>
      <c r="EM9" s="18">
        <f t="shared" si="52"/>
        <v>90</v>
      </c>
      <c r="EN9" s="18">
        <f t="shared" si="53"/>
        <v>83</v>
      </c>
      <c r="EO9" s="17">
        <f t="shared" si="54"/>
        <v>83.5</v>
      </c>
      <c r="EP9" s="19">
        <f t="shared" si="55"/>
        <v>84.36</v>
      </c>
      <c r="EQ9" s="19">
        <f t="shared" si="56"/>
        <v>86.52000000000001</v>
      </c>
      <c r="ER9" s="19">
        <f t="shared" si="57"/>
        <v>85.88</v>
      </c>
      <c r="ES9" s="19">
        <f t="shared" si="58"/>
        <v>83</v>
      </c>
      <c r="ET9" s="19">
        <f t="shared" si="59"/>
        <v>83.5</v>
      </c>
      <c r="EU9" s="19">
        <f t="shared" si="60"/>
        <v>81.5</v>
      </c>
      <c r="EV9" s="19">
        <f t="shared" si="61"/>
        <v>81.75</v>
      </c>
      <c r="EW9" s="19">
        <f t="shared" si="62"/>
        <v>85.4</v>
      </c>
      <c r="EX9" s="19">
        <f t="shared" si="63"/>
        <v>81.5</v>
      </c>
      <c r="EY9" s="19">
        <f t="shared" si="64"/>
        <v>83.02000000000001</v>
      </c>
      <c r="EZ9" s="19">
        <f t="shared" si="65"/>
        <v>80.5</v>
      </c>
      <c r="FA9" s="19">
        <f t="shared" si="66"/>
        <v>80</v>
      </c>
      <c r="FB9" s="19">
        <f t="shared" si="67"/>
        <v>83</v>
      </c>
      <c r="FC9" s="19">
        <f t="shared" si="68"/>
        <v>83.1</v>
      </c>
      <c r="FD9" s="19">
        <f t="shared" si="69"/>
        <v>86.566666666666677</v>
      </c>
      <c r="FE9" s="19">
        <f t="shared" si="69"/>
        <v>86</v>
      </c>
      <c r="FF9" s="19">
        <f t="shared" si="70"/>
        <v>83.5</v>
      </c>
      <c r="FG9" s="19">
        <f t="shared" si="71"/>
        <v>83.476274509803901</v>
      </c>
    </row>
    <row r="10" spans="1:163" ht="18">
      <c r="A10" s="11">
        <v>6</v>
      </c>
      <c r="B10" s="104" t="s">
        <v>680</v>
      </c>
      <c r="C10" s="105" t="s">
        <v>561</v>
      </c>
      <c r="D10" s="106" t="s">
        <v>675</v>
      </c>
      <c r="E10" s="113">
        <v>80</v>
      </c>
      <c r="F10" s="107">
        <v>91</v>
      </c>
      <c r="G10" s="113">
        <v>88</v>
      </c>
      <c r="H10" s="107">
        <v>82</v>
      </c>
      <c r="I10" s="108">
        <v>92</v>
      </c>
      <c r="J10" s="108">
        <v>85</v>
      </c>
      <c r="K10" s="108">
        <v>81</v>
      </c>
      <c r="L10" s="108">
        <v>86</v>
      </c>
      <c r="M10" s="113">
        <v>90</v>
      </c>
      <c r="N10" s="107">
        <v>90</v>
      </c>
      <c r="O10" s="107">
        <v>91</v>
      </c>
      <c r="P10" s="107">
        <v>85</v>
      </c>
      <c r="Q10" s="107">
        <v>91</v>
      </c>
      <c r="R10" s="107">
        <v>83</v>
      </c>
      <c r="S10" s="107">
        <v>87</v>
      </c>
      <c r="T10" s="107">
        <v>88</v>
      </c>
      <c r="U10" s="109">
        <v>87</v>
      </c>
      <c r="V10" s="110">
        <v>83</v>
      </c>
      <c r="W10" s="111">
        <v>83</v>
      </c>
      <c r="X10" s="111">
        <v>84</v>
      </c>
      <c r="Y10" s="107">
        <v>82</v>
      </c>
      <c r="Z10" s="107">
        <v>80</v>
      </c>
      <c r="AA10" s="107">
        <v>76</v>
      </c>
      <c r="AB10" s="107">
        <v>79</v>
      </c>
      <c r="AC10" s="107">
        <v>83</v>
      </c>
      <c r="AD10" s="107">
        <v>82</v>
      </c>
      <c r="AE10" s="107">
        <v>84</v>
      </c>
      <c r="AF10" s="107">
        <v>83</v>
      </c>
      <c r="AG10" s="108">
        <v>84</v>
      </c>
      <c r="AH10" s="108">
        <v>83</v>
      </c>
      <c r="AI10" s="108">
        <v>72</v>
      </c>
      <c r="AJ10" s="108">
        <v>82</v>
      </c>
      <c r="AK10" s="107">
        <v>80</v>
      </c>
      <c r="AL10" s="107">
        <v>83</v>
      </c>
      <c r="AM10" s="107">
        <v>73</v>
      </c>
      <c r="AN10" s="107">
        <v>74</v>
      </c>
      <c r="AO10" s="107">
        <v>74</v>
      </c>
      <c r="AP10" s="107">
        <v>75</v>
      </c>
      <c r="AQ10" s="108">
        <v>80</v>
      </c>
      <c r="AR10" s="108">
        <v>85</v>
      </c>
      <c r="AS10" s="108">
        <v>77</v>
      </c>
      <c r="AT10" s="108">
        <v>78</v>
      </c>
      <c r="AU10" s="107">
        <v>73</v>
      </c>
      <c r="AV10" s="107">
        <v>78</v>
      </c>
      <c r="AW10" s="107">
        <v>85</v>
      </c>
      <c r="AX10" s="107">
        <v>85</v>
      </c>
      <c r="AY10" s="107">
        <v>78</v>
      </c>
      <c r="AZ10" s="107">
        <v>80</v>
      </c>
      <c r="BA10" s="107">
        <v>77</v>
      </c>
      <c r="BB10" s="107">
        <v>81</v>
      </c>
      <c r="BC10" s="107">
        <v>81</v>
      </c>
      <c r="BD10" s="112">
        <v>84</v>
      </c>
      <c r="BE10" s="96">
        <v>82</v>
      </c>
      <c r="BF10" s="96">
        <v>83</v>
      </c>
      <c r="BG10" s="96">
        <v>85</v>
      </c>
      <c r="BH10" s="130">
        <v>85</v>
      </c>
      <c r="BI10" s="95">
        <v>82</v>
      </c>
      <c r="BJ10" s="95">
        <v>82</v>
      </c>
      <c r="BK10" s="95">
        <v>83</v>
      </c>
      <c r="BL10" s="130">
        <v>85</v>
      </c>
      <c r="BM10" s="95">
        <v>84</v>
      </c>
      <c r="BN10" s="95">
        <v>84</v>
      </c>
      <c r="BO10" s="95">
        <v>84</v>
      </c>
      <c r="BP10" s="130">
        <v>85</v>
      </c>
      <c r="BQ10" s="95">
        <v>81</v>
      </c>
      <c r="BR10" s="95">
        <v>82</v>
      </c>
      <c r="BS10" s="95">
        <v>84</v>
      </c>
      <c r="BT10" s="130">
        <v>85</v>
      </c>
      <c r="BU10" s="15">
        <f t="shared" si="19"/>
        <v>82.25</v>
      </c>
      <c r="BV10" s="15">
        <f t="shared" si="20"/>
        <v>82.75</v>
      </c>
      <c r="BW10" s="15">
        <f t="shared" si="21"/>
        <v>84</v>
      </c>
      <c r="BX10" s="15">
        <f t="shared" si="22"/>
        <v>85</v>
      </c>
      <c r="BY10" s="108">
        <v>83</v>
      </c>
      <c r="BZ10" s="108">
        <v>83</v>
      </c>
      <c r="CA10" s="108">
        <v>84</v>
      </c>
      <c r="CB10" s="126">
        <v>85</v>
      </c>
      <c r="CC10" s="126">
        <v>85</v>
      </c>
      <c r="CD10" s="126">
        <v>75</v>
      </c>
      <c r="CE10" s="107">
        <v>83</v>
      </c>
      <c r="CF10" s="107">
        <v>78</v>
      </c>
      <c r="CG10" s="107">
        <v>85</v>
      </c>
      <c r="CH10" s="39">
        <v>85</v>
      </c>
      <c r="CI10" s="39">
        <v>90</v>
      </c>
      <c r="CJ10" s="39">
        <v>85</v>
      </c>
      <c r="CK10" s="39">
        <v>94</v>
      </c>
      <c r="CL10" s="39">
        <v>79</v>
      </c>
      <c r="CM10" s="39">
        <v>85</v>
      </c>
      <c r="CN10" s="39">
        <v>82</v>
      </c>
      <c r="CO10" s="39">
        <v>89</v>
      </c>
      <c r="CP10" s="39">
        <v>92</v>
      </c>
      <c r="CQ10" s="41">
        <f t="shared" si="0"/>
        <v>86.6</v>
      </c>
      <c r="CR10" s="41">
        <f t="shared" si="1"/>
        <v>85</v>
      </c>
      <c r="CS10" s="41">
        <f t="shared" si="23"/>
        <v>85</v>
      </c>
      <c r="CT10" s="17">
        <f t="shared" si="24"/>
        <v>85.64</v>
      </c>
      <c r="CU10" s="16">
        <f t="shared" si="2"/>
        <v>87.6</v>
      </c>
      <c r="CV10" s="16">
        <f t="shared" si="3"/>
        <v>85</v>
      </c>
      <c r="CW10" s="16">
        <f t="shared" si="25"/>
        <v>90</v>
      </c>
      <c r="CX10" s="17">
        <f t="shared" si="26"/>
        <v>87.539999999999992</v>
      </c>
      <c r="CY10" s="17">
        <f t="shared" si="4"/>
        <v>87.2</v>
      </c>
      <c r="CZ10" s="17">
        <f t="shared" si="5"/>
        <v>83</v>
      </c>
      <c r="DA10" s="17">
        <f t="shared" si="27"/>
        <v>85</v>
      </c>
      <c r="DB10" s="17">
        <f t="shared" si="28"/>
        <v>85.28</v>
      </c>
      <c r="DC10" s="18">
        <f t="shared" si="6"/>
        <v>82.25</v>
      </c>
      <c r="DD10" s="18">
        <f t="shared" si="29"/>
        <v>82.25</v>
      </c>
      <c r="DE10" s="18">
        <f t="shared" si="7"/>
        <v>80</v>
      </c>
      <c r="DF10" s="18">
        <f t="shared" si="30"/>
        <v>80</v>
      </c>
      <c r="DG10" s="18">
        <f t="shared" si="8"/>
        <v>83.5</v>
      </c>
      <c r="DH10" s="18">
        <f t="shared" si="31"/>
        <v>83.5</v>
      </c>
      <c r="DI10" s="18">
        <f t="shared" si="9"/>
        <v>80.25</v>
      </c>
      <c r="DJ10" s="18">
        <f t="shared" si="32"/>
        <v>80.25</v>
      </c>
      <c r="DK10" s="18">
        <f t="shared" si="10"/>
        <v>80</v>
      </c>
      <c r="DL10" s="18">
        <f t="shared" si="11"/>
        <v>83</v>
      </c>
      <c r="DM10" s="18">
        <f t="shared" si="33"/>
        <v>94</v>
      </c>
      <c r="DN10" s="17">
        <f t="shared" si="34"/>
        <v>85.1</v>
      </c>
      <c r="DO10" s="18">
        <f t="shared" si="12"/>
        <v>75.2</v>
      </c>
      <c r="DP10" s="18">
        <f t="shared" si="13"/>
        <v>85</v>
      </c>
      <c r="DQ10" s="18">
        <f t="shared" si="35"/>
        <v>79</v>
      </c>
      <c r="DR10" s="17">
        <f t="shared" si="36"/>
        <v>79.28</v>
      </c>
      <c r="DS10" s="18">
        <f t="shared" si="14"/>
        <v>78.2</v>
      </c>
      <c r="DT10" s="18">
        <f t="shared" si="15"/>
        <v>85</v>
      </c>
      <c r="DU10" s="18">
        <f t="shared" si="37"/>
        <v>85</v>
      </c>
      <c r="DV10" s="17">
        <f t="shared" si="38"/>
        <v>82.28</v>
      </c>
      <c r="DW10" s="18">
        <f t="shared" si="16"/>
        <v>79</v>
      </c>
      <c r="DX10" s="18">
        <f t="shared" si="39"/>
        <v>79</v>
      </c>
      <c r="DY10" s="18">
        <f t="shared" si="17"/>
        <v>79</v>
      </c>
      <c r="DZ10" s="18">
        <f t="shared" si="40"/>
        <v>79</v>
      </c>
      <c r="EA10" s="18">
        <f t="shared" si="18"/>
        <v>82.5</v>
      </c>
      <c r="EB10" s="17">
        <f t="shared" si="41"/>
        <v>82.5</v>
      </c>
      <c r="EC10" s="18">
        <f t="shared" si="42"/>
        <v>83</v>
      </c>
      <c r="ED10" s="18">
        <f t="shared" si="43"/>
        <v>85</v>
      </c>
      <c r="EE10" s="18">
        <f t="shared" si="44"/>
        <v>92</v>
      </c>
      <c r="EF10" s="17">
        <f t="shared" si="45"/>
        <v>86.3</v>
      </c>
      <c r="EG10" s="18">
        <f t="shared" si="46"/>
        <v>83.333333333333329</v>
      </c>
      <c r="EH10" s="18">
        <f t="shared" si="47"/>
        <v>85</v>
      </c>
      <c r="EI10" s="18">
        <f t="shared" si="48"/>
        <v>89</v>
      </c>
      <c r="EJ10" s="17">
        <f t="shared" si="49"/>
        <v>85.533333333333331</v>
      </c>
      <c r="EK10" s="18">
        <f t="shared" si="50"/>
        <v>85</v>
      </c>
      <c r="EL10" s="18">
        <f t="shared" si="51"/>
        <v>78.666666666666671</v>
      </c>
      <c r="EM10" s="18">
        <f t="shared" si="52"/>
        <v>85</v>
      </c>
      <c r="EN10" s="18">
        <f t="shared" si="53"/>
        <v>82</v>
      </c>
      <c r="EO10" s="17">
        <f t="shared" si="54"/>
        <v>81.566666666666677</v>
      </c>
      <c r="EP10" s="19">
        <f t="shared" si="55"/>
        <v>85.64</v>
      </c>
      <c r="EQ10" s="19">
        <f t="shared" si="56"/>
        <v>87.539999999999992</v>
      </c>
      <c r="ER10" s="19">
        <f t="shared" si="57"/>
        <v>85.28</v>
      </c>
      <c r="ES10" s="19">
        <f t="shared" si="58"/>
        <v>82.25</v>
      </c>
      <c r="ET10" s="19">
        <f t="shared" si="59"/>
        <v>80</v>
      </c>
      <c r="EU10" s="19">
        <f t="shared" si="60"/>
        <v>83.5</v>
      </c>
      <c r="EV10" s="19">
        <f t="shared" si="61"/>
        <v>80.25</v>
      </c>
      <c r="EW10" s="19">
        <f t="shared" si="62"/>
        <v>85.1</v>
      </c>
      <c r="EX10" s="19">
        <f t="shared" si="63"/>
        <v>79.28</v>
      </c>
      <c r="EY10" s="19">
        <f t="shared" si="64"/>
        <v>82.28</v>
      </c>
      <c r="EZ10" s="19">
        <f t="shared" si="65"/>
        <v>79</v>
      </c>
      <c r="FA10" s="19">
        <f t="shared" si="66"/>
        <v>79</v>
      </c>
      <c r="FB10" s="19">
        <f t="shared" si="67"/>
        <v>82.5</v>
      </c>
      <c r="FC10" s="19">
        <f t="shared" si="68"/>
        <v>86.3</v>
      </c>
      <c r="FD10" s="19">
        <f t="shared" si="69"/>
        <v>85.533333333333331</v>
      </c>
      <c r="FE10" s="19">
        <f t="shared" si="69"/>
        <v>85</v>
      </c>
      <c r="FF10" s="19">
        <f t="shared" si="70"/>
        <v>81.566666666666677</v>
      </c>
      <c r="FG10" s="19">
        <f t="shared" si="71"/>
        <v>82.942352941176452</v>
      </c>
    </row>
    <row r="11" spans="1:163" ht="18">
      <c r="A11" s="11">
        <v>7</v>
      </c>
      <c r="B11" s="104" t="s">
        <v>681</v>
      </c>
      <c r="C11" s="105" t="s">
        <v>563</v>
      </c>
      <c r="D11" s="106" t="s">
        <v>675</v>
      </c>
      <c r="E11" s="113">
        <v>87</v>
      </c>
      <c r="F11" s="107">
        <v>92</v>
      </c>
      <c r="G11" s="113">
        <v>90</v>
      </c>
      <c r="H11" s="107">
        <v>85</v>
      </c>
      <c r="I11" s="108">
        <v>91</v>
      </c>
      <c r="J11" s="108">
        <v>86</v>
      </c>
      <c r="K11" s="108">
        <v>87</v>
      </c>
      <c r="L11" s="108">
        <v>86</v>
      </c>
      <c r="M11" s="113">
        <v>95</v>
      </c>
      <c r="N11" s="107">
        <v>95</v>
      </c>
      <c r="O11" s="107">
        <v>95</v>
      </c>
      <c r="P11" s="107">
        <v>85</v>
      </c>
      <c r="Q11" s="107">
        <v>84</v>
      </c>
      <c r="R11" s="107">
        <v>91</v>
      </c>
      <c r="S11" s="107">
        <v>82</v>
      </c>
      <c r="T11" s="107">
        <v>85</v>
      </c>
      <c r="U11" s="109">
        <v>84</v>
      </c>
      <c r="V11" s="110">
        <v>83</v>
      </c>
      <c r="W11" s="111">
        <v>84</v>
      </c>
      <c r="X11" s="111">
        <v>85</v>
      </c>
      <c r="Y11" s="107">
        <v>82</v>
      </c>
      <c r="Z11" s="107">
        <v>80</v>
      </c>
      <c r="AA11" s="107">
        <v>82</v>
      </c>
      <c r="AB11" s="107">
        <v>84</v>
      </c>
      <c r="AC11" s="107">
        <v>84</v>
      </c>
      <c r="AD11" s="107">
        <v>86</v>
      </c>
      <c r="AE11" s="107">
        <v>83</v>
      </c>
      <c r="AF11" s="107">
        <v>84</v>
      </c>
      <c r="AG11" s="108">
        <v>83</v>
      </c>
      <c r="AH11" s="108">
        <v>84</v>
      </c>
      <c r="AI11" s="108">
        <v>77</v>
      </c>
      <c r="AJ11" s="108">
        <v>86</v>
      </c>
      <c r="AK11" s="107">
        <v>85</v>
      </c>
      <c r="AL11" s="107">
        <v>83</v>
      </c>
      <c r="AM11" s="107">
        <v>82</v>
      </c>
      <c r="AN11" s="107">
        <v>88</v>
      </c>
      <c r="AO11" s="107">
        <v>91</v>
      </c>
      <c r="AP11" s="107">
        <v>91</v>
      </c>
      <c r="AQ11" s="108">
        <v>94</v>
      </c>
      <c r="AR11" s="108">
        <v>85</v>
      </c>
      <c r="AS11" s="108">
        <v>73</v>
      </c>
      <c r="AT11" s="108">
        <v>86</v>
      </c>
      <c r="AU11" s="107">
        <v>74</v>
      </c>
      <c r="AV11" s="107">
        <v>79</v>
      </c>
      <c r="AW11" s="107">
        <v>88</v>
      </c>
      <c r="AX11" s="107">
        <v>85</v>
      </c>
      <c r="AY11" s="107">
        <v>80</v>
      </c>
      <c r="AZ11" s="107">
        <v>80</v>
      </c>
      <c r="BA11" s="107">
        <v>86</v>
      </c>
      <c r="BB11" s="107">
        <v>84</v>
      </c>
      <c r="BC11" s="107">
        <v>82</v>
      </c>
      <c r="BD11" s="112">
        <v>85</v>
      </c>
      <c r="BE11" s="96">
        <v>85</v>
      </c>
      <c r="BF11" s="96">
        <v>86</v>
      </c>
      <c r="BG11" s="96">
        <v>89</v>
      </c>
      <c r="BH11" s="130">
        <v>85</v>
      </c>
      <c r="BI11" s="95">
        <v>84</v>
      </c>
      <c r="BJ11" s="95">
        <v>84</v>
      </c>
      <c r="BK11" s="95">
        <v>85</v>
      </c>
      <c r="BL11" s="130">
        <v>85</v>
      </c>
      <c r="BM11" s="95">
        <v>86</v>
      </c>
      <c r="BN11" s="95">
        <v>86</v>
      </c>
      <c r="BO11" s="95">
        <v>86</v>
      </c>
      <c r="BP11" s="130">
        <v>85</v>
      </c>
      <c r="BQ11" s="95">
        <v>87</v>
      </c>
      <c r="BR11" s="95">
        <v>85</v>
      </c>
      <c r="BS11" s="95">
        <v>86</v>
      </c>
      <c r="BT11" s="130">
        <v>85</v>
      </c>
      <c r="BU11" s="15">
        <f t="shared" si="19"/>
        <v>85.5</v>
      </c>
      <c r="BV11" s="15">
        <f t="shared" si="20"/>
        <v>85.25</v>
      </c>
      <c r="BW11" s="15">
        <f t="shared" si="21"/>
        <v>86.5</v>
      </c>
      <c r="BX11" s="15">
        <f t="shared" si="22"/>
        <v>85</v>
      </c>
      <c r="BY11" s="108">
        <v>86</v>
      </c>
      <c r="BZ11" s="108">
        <v>84</v>
      </c>
      <c r="CA11" s="108">
        <v>85</v>
      </c>
      <c r="CB11" s="126">
        <v>85</v>
      </c>
      <c r="CC11" s="126">
        <v>85</v>
      </c>
      <c r="CD11" s="126">
        <v>83</v>
      </c>
      <c r="CE11" s="107">
        <v>86</v>
      </c>
      <c r="CF11" s="107">
        <v>79</v>
      </c>
      <c r="CG11" s="107">
        <v>85</v>
      </c>
      <c r="CH11" s="39">
        <v>87</v>
      </c>
      <c r="CI11" s="39">
        <v>95</v>
      </c>
      <c r="CJ11" s="39">
        <v>88</v>
      </c>
      <c r="CK11" s="39">
        <v>92</v>
      </c>
      <c r="CL11" s="39">
        <v>94</v>
      </c>
      <c r="CM11" s="39">
        <v>88</v>
      </c>
      <c r="CN11" s="39">
        <v>87</v>
      </c>
      <c r="CO11" s="39">
        <v>89</v>
      </c>
      <c r="CP11" s="39">
        <v>87</v>
      </c>
      <c r="CQ11" s="41">
        <f t="shared" si="0"/>
        <v>89</v>
      </c>
      <c r="CR11" s="41">
        <f t="shared" si="1"/>
        <v>86</v>
      </c>
      <c r="CS11" s="41">
        <f t="shared" si="23"/>
        <v>87</v>
      </c>
      <c r="CT11" s="17">
        <f t="shared" si="24"/>
        <v>87.5</v>
      </c>
      <c r="CU11" s="16">
        <f t="shared" si="2"/>
        <v>91.6</v>
      </c>
      <c r="CV11" s="16">
        <f t="shared" si="3"/>
        <v>85</v>
      </c>
      <c r="CW11" s="16">
        <f t="shared" si="25"/>
        <v>95</v>
      </c>
      <c r="CX11" s="17">
        <f t="shared" si="26"/>
        <v>90.64</v>
      </c>
      <c r="CY11" s="17">
        <f t="shared" si="4"/>
        <v>85.2</v>
      </c>
      <c r="CZ11" s="17">
        <f t="shared" si="5"/>
        <v>83</v>
      </c>
      <c r="DA11" s="17">
        <f t="shared" si="27"/>
        <v>88</v>
      </c>
      <c r="DB11" s="17">
        <f t="shared" si="28"/>
        <v>85.38</v>
      </c>
      <c r="DC11" s="18">
        <f t="shared" si="6"/>
        <v>82.75</v>
      </c>
      <c r="DD11" s="18">
        <f t="shared" si="29"/>
        <v>82.75</v>
      </c>
      <c r="DE11" s="18">
        <f t="shared" si="7"/>
        <v>84</v>
      </c>
      <c r="DF11" s="18">
        <f t="shared" si="30"/>
        <v>84</v>
      </c>
      <c r="DG11" s="18">
        <f t="shared" si="8"/>
        <v>83.5</v>
      </c>
      <c r="DH11" s="18">
        <f t="shared" si="31"/>
        <v>83.5</v>
      </c>
      <c r="DI11" s="18">
        <f t="shared" si="9"/>
        <v>82.5</v>
      </c>
      <c r="DJ11" s="18">
        <f t="shared" si="32"/>
        <v>82.5</v>
      </c>
      <c r="DK11" s="18">
        <f t="shared" si="10"/>
        <v>85</v>
      </c>
      <c r="DL11" s="18">
        <f t="shared" si="11"/>
        <v>83</v>
      </c>
      <c r="DM11" s="18">
        <f t="shared" si="33"/>
        <v>92</v>
      </c>
      <c r="DN11" s="17">
        <f t="shared" si="34"/>
        <v>86.5</v>
      </c>
      <c r="DO11" s="18">
        <f t="shared" si="12"/>
        <v>89.2</v>
      </c>
      <c r="DP11" s="18">
        <f t="shared" si="13"/>
        <v>85</v>
      </c>
      <c r="DQ11" s="18">
        <f t="shared" si="35"/>
        <v>94</v>
      </c>
      <c r="DR11" s="17">
        <f t="shared" si="36"/>
        <v>89.38</v>
      </c>
      <c r="DS11" s="18">
        <f t="shared" si="14"/>
        <v>80</v>
      </c>
      <c r="DT11" s="18">
        <f t="shared" si="15"/>
        <v>85</v>
      </c>
      <c r="DU11" s="18">
        <f t="shared" si="37"/>
        <v>88</v>
      </c>
      <c r="DV11" s="17">
        <f t="shared" si="38"/>
        <v>83.9</v>
      </c>
      <c r="DW11" s="18">
        <f t="shared" si="16"/>
        <v>80</v>
      </c>
      <c r="DX11" s="18">
        <f t="shared" si="39"/>
        <v>80</v>
      </c>
      <c r="DY11" s="18">
        <f t="shared" si="17"/>
        <v>85</v>
      </c>
      <c r="DZ11" s="18">
        <f t="shared" si="40"/>
        <v>85</v>
      </c>
      <c r="EA11" s="18">
        <f t="shared" si="18"/>
        <v>83.5</v>
      </c>
      <c r="EB11" s="17">
        <f t="shared" si="41"/>
        <v>83.5</v>
      </c>
      <c r="EC11" s="18">
        <f t="shared" si="42"/>
        <v>85.75</v>
      </c>
      <c r="ED11" s="18">
        <f t="shared" si="43"/>
        <v>85</v>
      </c>
      <c r="EE11" s="18">
        <f t="shared" si="44"/>
        <v>87</v>
      </c>
      <c r="EF11" s="17">
        <f t="shared" si="45"/>
        <v>85.9</v>
      </c>
      <c r="EG11" s="18">
        <f t="shared" si="46"/>
        <v>85</v>
      </c>
      <c r="EH11" s="18">
        <f t="shared" si="47"/>
        <v>85</v>
      </c>
      <c r="EI11" s="18">
        <f t="shared" si="48"/>
        <v>89</v>
      </c>
      <c r="EJ11" s="17">
        <f t="shared" si="49"/>
        <v>86.2</v>
      </c>
      <c r="EK11" s="18">
        <f t="shared" si="50"/>
        <v>85</v>
      </c>
      <c r="EL11" s="18">
        <f t="shared" si="51"/>
        <v>82.666666666666671</v>
      </c>
      <c r="EM11" s="18">
        <f t="shared" si="52"/>
        <v>85</v>
      </c>
      <c r="EN11" s="18">
        <f t="shared" si="53"/>
        <v>87</v>
      </c>
      <c r="EO11" s="17">
        <f t="shared" si="54"/>
        <v>84.666666666666671</v>
      </c>
      <c r="EP11" s="19">
        <f t="shared" si="55"/>
        <v>87.5</v>
      </c>
      <c r="EQ11" s="19">
        <f t="shared" si="56"/>
        <v>90.64</v>
      </c>
      <c r="ER11" s="19">
        <f t="shared" si="57"/>
        <v>85.38</v>
      </c>
      <c r="ES11" s="19">
        <f t="shared" si="58"/>
        <v>82.75</v>
      </c>
      <c r="ET11" s="19">
        <f t="shared" si="59"/>
        <v>84</v>
      </c>
      <c r="EU11" s="19">
        <f t="shared" si="60"/>
        <v>83.5</v>
      </c>
      <c r="EV11" s="19">
        <f t="shared" si="61"/>
        <v>82.5</v>
      </c>
      <c r="EW11" s="19">
        <f t="shared" si="62"/>
        <v>86.5</v>
      </c>
      <c r="EX11" s="19">
        <f t="shared" si="63"/>
        <v>89.38</v>
      </c>
      <c r="EY11" s="19">
        <f t="shared" si="64"/>
        <v>83.9</v>
      </c>
      <c r="EZ11" s="19">
        <f t="shared" si="65"/>
        <v>80</v>
      </c>
      <c r="FA11" s="19">
        <f t="shared" si="66"/>
        <v>85</v>
      </c>
      <c r="FB11" s="19">
        <f t="shared" si="67"/>
        <v>83.5</v>
      </c>
      <c r="FC11" s="19">
        <f t="shared" si="68"/>
        <v>85.9</v>
      </c>
      <c r="FD11" s="19">
        <f t="shared" si="69"/>
        <v>86.2</v>
      </c>
      <c r="FE11" s="19">
        <f t="shared" si="69"/>
        <v>85</v>
      </c>
      <c r="FF11" s="19">
        <f t="shared" si="70"/>
        <v>84.666666666666671</v>
      </c>
      <c r="FG11" s="19">
        <f t="shared" si="71"/>
        <v>85.077450980392172</v>
      </c>
    </row>
    <row r="12" spans="1:163" ht="18">
      <c r="A12" s="11">
        <v>8</v>
      </c>
      <c r="B12" s="104" t="s">
        <v>682</v>
      </c>
      <c r="C12" s="105" t="s">
        <v>565</v>
      </c>
      <c r="D12" s="106" t="s">
        <v>675</v>
      </c>
      <c r="E12" s="113">
        <v>80</v>
      </c>
      <c r="F12" s="107">
        <v>80</v>
      </c>
      <c r="G12" s="113">
        <v>88</v>
      </c>
      <c r="H12" s="107">
        <v>82</v>
      </c>
      <c r="I12" s="108">
        <v>92</v>
      </c>
      <c r="J12" s="108">
        <v>90</v>
      </c>
      <c r="K12" s="108">
        <v>80</v>
      </c>
      <c r="L12" s="108">
        <v>84</v>
      </c>
      <c r="M12" s="113">
        <v>90</v>
      </c>
      <c r="N12" s="107">
        <v>90</v>
      </c>
      <c r="O12" s="107">
        <v>91</v>
      </c>
      <c r="P12" s="107">
        <v>89</v>
      </c>
      <c r="Q12" s="107">
        <v>94</v>
      </c>
      <c r="R12" s="107">
        <v>84</v>
      </c>
      <c r="S12" s="107">
        <v>83</v>
      </c>
      <c r="T12" s="107">
        <v>84</v>
      </c>
      <c r="U12" s="109">
        <v>80</v>
      </c>
      <c r="V12" s="110">
        <v>88</v>
      </c>
      <c r="W12" s="111">
        <v>84</v>
      </c>
      <c r="X12" s="111">
        <v>85</v>
      </c>
      <c r="Y12" s="107">
        <v>81</v>
      </c>
      <c r="Z12" s="107">
        <v>80</v>
      </c>
      <c r="AA12" s="107">
        <v>79</v>
      </c>
      <c r="AB12" s="107">
        <v>87</v>
      </c>
      <c r="AC12" s="107">
        <v>82</v>
      </c>
      <c r="AD12" s="107">
        <v>84</v>
      </c>
      <c r="AE12" s="107">
        <v>90</v>
      </c>
      <c r="AF12" s="107">
        <v>85</v>
      </c>
      <c r="AG12" s="108">
        <v>84</v>
      </c>
      <c r="AH12" s="108">
        <v>82</v>
      </c>
      <c r="AI12" s="108">
        <v>75</v>
      </c>
      <c r="AJ12" s="108">
        <v>84</v>
      </c>
      <c r="AK12" s="107">
        <v>80</v>
      </c>
      <c r="AL12" s="107">
        <v>88</v>
      </c>
      <c r="AM12" s="107">
        <v>73</v>
      </c>
      <c r="AN12" s="107">
        <v>78</v>
      </c>
      <c r="AO12" s="107">
        <v>73</v>
      </c>
      <c r="AP12" s="107">
        <v>74</v>
      </c>
      <c r="AQ12" s="108">
        <v>80</v>
      </c>
      <c r="AR12" s="108">
        <v>89</v>
      </c>
      <c r="AS12" s="108">
        <v>74</v>
      </c>
      <c r="AT12" s="108">
        <v>80</v>
      </c>
      <c r="AU12" s="107">
        <v>77</v>
      </c>
      <c r="AV12" s="107">
        <v>77</v>
      </c>
      <c r="AW12" s="107">
        <v>81</v>
      </c>
      <c r="AX12" s="107">
        <v>89</v>
      </c>
      <c r="AY12" s="107">
        <v>77</v>
      </c>
      <c r="AZ12" s="107">
        <v>83</v>
      </c>
      <c r="BA12" s="107">
        <v>81</v>
      </c>
      <c r="BB12" s="107">
        <v>80</v>
      </c>
      <c r="BC12" s="107">
        <v>82</v>
      </c>
      <c r="BD12" s="112">
        <v>84</v>
      </c>
      <c r="BE12" s="96">
        <v>84</v>
      </c>
      <c r="BF12" s="96">
        <v>84</v>
      </c>
      <c r="BG12" s="96">
        <v>86</v>
      </c>
      <c r="BH12" s="130">
        <v>89</v>
      </c>
      <c r="BI12" s="95">
        <v>83</v>
      </c>
      <c r="BJ12" s="95">
        <v>83</v>
      </c>
      <c r="BK12" s="95">
        <v>84</v>
      </c>
      <c r="BL12" s="130">
        <v>89</v>
      </c>
      <c r="BM12" s="95">
        <v>84</v>
      </c>
      <c r="BN12" s="95">
        <v>85</v>
      </c>
      <c r="BO12" s="95">
        <v>85</v>
      </c>
      <c r="BP12" s="130">
        <v>89</v>
      </c>
      <c r="BQ12" s="95">
        <v>83</v>
      </c>
      <c r="BR12" s="95">
        <v>83</v>
      </c>
      <c r="BS12" s="95">
        <v>84</v>
      </c>
      <c r="BT12" s="130">
        <v>89</v>
      </c>
      <c r="BU12" s="15">
        <f t="shared" si="19"/>
        <v>83.5</v>
      </c>
      <c r="BV12" s="15">
        <f t="shared" si="20"/>
        <v>83.75</v>
      </c>
      <c r="BW12" s="15">
        <f t="shared" si="21"/>
        <v>84.75</v>
      </c>
      <c r="BX12" s="15">
        <f t="shared" si="22"/>
        <v>89</v>
      </c>
      <c r="BY12" s="108">
        <v>84</v>
      </c>
      <c r="BZ12" s="108">
        <v>84</v>
      </c>
      <c r="CA12" s="108">
        <v>85</v>
      </c>
      <c r="CB12" s="126">
        <v>89</v>
      </c>
      <c r="CC12" s="126">
        <v>89</v>
      </c>
      <c r="CD12" s="126">
        <v>71</v>
      </c>
      <c r="CE12" s="107">
        <v>90</v>
      </c>
      <c r="CF12" s="107">
        <v>78</v>
      </c>
      <c r="CG12" s="107">
        <v>89</v>
      </c>
      <c r="CH12" s="39">
        <v>87</v>
      </c>
      <c r="CI12" s="39">
        <v>95</v>
      </c>
      <c r="CJ12" s="39">
        <v>82</v>
      </c>
      <c r="CK12" s="39">
        <v>80</v>
      </c>
      <c r="CL12" s="39">
        <v>80</v>
      </c>
      <c r="CM12" s="39">
        <v>87</v>
      </c>
      <c r="CN12" s="39">
        <v>86</v>
      </c>
      <c r="CO12" s="39">
        <v>85</v>
      </c>
      <c r="CP12" s="39">
        <v>70</v>
      </c>
      <c r="CQ12" s="41">
        <f t="shared" si="0"/>
        <v>84.4</v>
      </c>
      <c r="CR12" s="41">
        <f t="shared" si="1"/>
        <v>90</v>
      </c>
      <c r="CS12" s="41">
        <f t="shared" si="23"/>
        <v>87</v>
      </c>
      <c r="CT12" s="17">
        <f t="shared" si="24"/>
        <v>86.86</v>
      </c>
      <c r="CU12" s="16">
        <f t="shared" si="2"/>
        <v>87</v>
      </c>
      <c r="CV12" s="16">
        <f t="shared" si="3"/>
        <v>89</v>
      </c>
      <c r="CW12" s="16">
        <f t="shared" si="25"/>
        <v>95</v>
      </c>
      <c r="CX12" s="17">
        <f t="shared" si="26"/>
        <v>90</v>
      </c>
      <c r="CY12" s="17">
        <f t="shared" si="4"/>
        <v>85</v>
      </c>
      <c r="CZ12" s="17">
        <f t="shared" si="5"/>
        <v>88</v>
      </c>
      <c r="DA12" s="17">
        <f t="shared" si="27"/>
        <v>82</v>
      </c>
      <c r="DB12" s="17">
        <f t="shared" si="28"/>
        <v>85</v>
      </c>
      <c r="DC12" s="18">
        <f t="shared" si="6"/>
        <v>82.5</v>
      </c>
      <c r="DD12" s="18">
        <f t="shared" si="29"/>
        <v>82.5</v>
      </c>
      <c r="DE12" s="18">
        <f t="shared" si="7"/>
        <v>83</v>
      </c>
      <c r="DF12" s="18">
        <f t="shared" si="30"/>
        <v>83</v>
      </c>
      <c r="DG12" s="18">
        <f t="shared" si="8"/>
        <v>87.5</v>
      </c>
      <c r="DH12" s="18">
        <f t="shared" si="31"/>
        <v>87.5</v>
      </c>
      <c r="DI12" s="18">
        <f t="shared" si="9"/>
        <v>81.25</v>
      </c>
      <c r="DJ12" s="18">
        <f t="shared" si="32"/>
        <v>81.25</v>
      </c>
      <c r="DK12" s="18">
        <f t="shared" si="10"/>
        <v>80</v>
      </c>
      <c r="DL12" s="18">
        <f t="shared" si="11"/>
        <v>88</v>
      </c>
      <c r="DM12" s="18">
        <f t="shared" si="33"/>
        <v>80</v>
      </c>
      <c r="DN12" s="17">
        <f t="shared" si="34"/>
        <v>82.4</v>
      </c>
      <c r="DO12" s="18">
        <f t="shared" si="12"/>
        <v>75.599999999999994</v>
      </c>
      <c r="DP12" s="18">
        <f t="shared" si="13"/>
        <v>89</v>
      </c>
      <c r="DQ12" s="18">
        <f t="shared" si="35"/>
        <v>80</v>
      </c>
      <c r="DR12" s="17">
        <f t="shared" si="36"/>
        <v>80.94</v>
      </c>
      <c r="DS12" s="18">
        <f t="shared" si="14"/>
        <v>77.8</v>
      </c>
      <c r="DT12" s="18">
        <f t="shared" si="15"/>
        <v>89</v>
      </c>
      <c r="DU12" s="18">
        <f t="shared" si="37"/>
        <v>87</v>
      </c>
      <c r="DV12" s="17">
        <f t="shared" si="38"/>
        <v>83.92</v>
      </c>
      <c r="DW12" s="18">
        <f t="shared" si="16"/>
        <v>80</v>
      </c>
      <c r="DX12" s="18">
        <f t="shared" si="39"/>
        <v>80</v>
      </c>
      <c r="DY12" s="18">
        <f t="shared" si="17"/>
        <v>80.5</v>
      </c>
      <c r="DZ12" s="18">
        <f t="shared" si="40"/>
        <v>80.5</v>
      </c>
      <c r="EA12" s="18">
        <f t="shared" si="18"/>
        <v>83</v>
      </c>
      <c r="EB12" s="17">
        <f t="shared" si="41"/>
        <v>83</v>
      </c>
      <c r="EC12" s="18">
        <f t="shared" si="42"/>
        <v>84</v>
      </c>
      <c r="ED12" s="18">
        <f t="shared" si="43"/>
        <v>89</v>
      </c>
      <c r="EE12" s="18">
        <f t="shared" si="44"/>
        <v>70</v>
      </c>
      <c r="EF12" s="17">
        <f t="shared" si="45"/>
        <v>81.3</v>
      </c>
      <c r="EG12" s="18">
        <f t="shared" si="46"/>
        <v>84.333333333333329</v>
      </c>
      <c r="EH12" s="18">
        <f t="shared" si="47"/>
        <v>89</v>
      </c>
      <c r="EI12" s="18">
        <f t="shared" si="48"/>
        <v>85</v>
      </c>
      <c r="EJ12" s="17">
        <f t="shared" si="49"/>
        <v>85.933333333333323</v>
      </c>
      <c r="EK12" s="18">
        <f t="shared" si="50"/>
        <v>89</v>
      </c>
      <c r="EL12" s="18">
        <f t="shared" si="51"/>
        <v>79.666666666666671</v>
      </c>
      <c r="EM12" s="18">
        <f t="shared" si="52"/>
        <v>89</v>
      </c>
      <c r="EN12" s="18">
        <f t="shared" si="53"/>
        <v>86</v>
      </c>
      <c r="EO12" s="17">
        <f t="shared" si="54"/>
        <v>84.366666666666674</v>
      </c>
      <c r="EP12" s="19">
        <f t="shared" si="55"/>
        <v>86.86</v>
      </c>
      <c r="EQ12" s="19">
        <f t="shared" si="56"/>
        <v>90</v>
      </c>
      <c r="ER12" s="19">
        <f t="shared" si="57"/>
        <v>85</v>
      </c>
      <c r="ES12" s="19">
        <f t="shared" si="58"/>
        <v>82.5</v>
      </c>
      <c r="ET12" s="19">
        <f t="shared" si="59"/>
        <v>83</v>
      </c>
      <c r="EU12" s="19">
        <f t="shared" si="60"/>
        <v>87.5</v>
      </c>
      <c r="EV12" s="19">
        <f t="shared" si="61"/>
        <v>81.25</v>
      </c>
      <c r="EW12" s="19">
        <f t="shared" si="62"/>
        <v>82.4</v>
      </c>
      <c r="EX12" s="19">
        <f t="shared" si="63"/>
        <v>80.94</v>
      </c>
      <c r="EY12" s="19">
        <f t="shared" si="64"/>
        <v>83.92</v>
      </c>
      <c r="EZ12" s="19">
        <f t="shared" si="65"/>
        <v>80</v>
      </c>
      <c r="FA12" s="19">
        <f t="shared" si="66"/>
        <v>80.5</v>
      </c>
      <c r="FB12" s="19">
        <f t="shared" si="67"/>
        <v>83</v>
      </c>
      <c r="FC12" s="19">
        <f t="shared" si="68"/>
        <v>81.3</v>
      </c>
      <c r="FD12" s="19">
        <f t="shared" si="69"/>
        <v>85.933333333333323</v>
      </c>
      <c r="FE12" s="19">
        <f t="shared" si="69"/>
        <v>89</v>
      </c>
      <c r="FF12" s="19">
        <f t="shared" si="70"/>
        <v>84.366666666666674</v>
      </c>
      <c r="FG12" s="19">
        <f t="shared" si="71"/>
        <v>83.96882352941175</v>
      </c>
    </row>
    <row r="13" spans="1:163" ht="18">
      <c r="A13" s="11">
        <v>9</v>
      </c>
      <c r="B13" s="104" t="s">
        <v>683</v>
      </c>
      <c r="C13" s="105" t="s">
        <v>567</v>
      </c>
      <c r="D13" s="106" t="s">
        <v>675</v>
      </c>
      <c r="E13" s="113">
        <v>80</v>
      </c>
      <c r="F13" s="107">
        <v>80</v>
      </c>
      <c r="G13" s="113">
        <v>85</v>
      </c>
      <c r="H13" s="107">
        <v>84</v>
      </c>
      <c r="I13" s="108">
        <v>89</v>
      </c>
      <c r="J13" s="108">
        <v>86</v>
      </c>
      <c r="K13" s="108">
        <v>81</v>
      </c>
      <c r="L13" s="108">
        <v>84</v>
      </c>
      <c r="M13" s="113">
        <v>86</v>
      </c>
      <c r="N13" s="107">
        <v>84</v>
      </c>
      <c r="O13" s="107">
        <v>84</v>
      </c>
      <c r="P13" s="107">
        <v>85</v>
      </c>
      <c r="Q13" s="107">
        <v>78</v>
      </c>
      <c r="R13" s="107">
        <v>81</v>
      </c>
      <c r="S13" s="107">
        <v>86</v>
      </c>
      <c r="T13" s="107">
        <v>86</v>
      </c>
      <c r="U13" s="109">
        <v>80</v>
      </c>
      <c r="V13" s="110">
        <v>83</v>
      </c>
      <c r="W13" s="111">
        <v>84</v>
      </c>
      <c r="X13" s="111">
        <v>86</v>
      </c>
      <c r="Y13" s="107">
        <v>83</v>
      </c>
      <c r="Z13" s="107">
        <v>86</v>
      </c>
      <c r="AA13" s="107">
        <v>76</v>
      </c>
      <c r="AB13" s="107">
        <v>86</v>
      </c>
      <c r="AC13" s="107">
        <v>81</v>
      </c>
      <c r="AD13" s="107">
        <v>82</v>
      </c>
      <c r="AE13" s="107">
        <v>83</v>
      </c>
      <c r="AF13" s="107">
        <v>83</v>
      </c>
      <c r="AG13" s="108">
        <v>83</v>
      </c>
      <c r="AH13" s="108">
        <v>83</v>
      </c>
      <c r="AI13" s="108">
        <v>71</v>
      </c>
      <c r="AJ13" s="108">
        <v>82</v>
      </c>
      <c r="AK13" s="107">
        <v>80</v>
      </c>
      <c r="AL13" s="107">
        <v>83</v>
      </c>
      <c r="AM13" s="107">
        <v>73</v>
      </c>
      <c r="AN13" s="107">
        <v>75</v>
      </c>
      <c r="AO13" s="107">
        <v>73</v>
      </c>
      <c r="AP13" s="107">
        <v>74</v>
      </c>
      <c r="AQ13" s="108">
        <v>80</v>
      </c>
      <c r="AR13" s="108">
        <v>83</v>
      </c>
      <c r="AS13" s="108">
        <v>71</v>
      </c>
      <c r="AT13" s="108">
        <v>74</v>
      </c>
      <c r="AU13" s="107">
        <v>72</v>
      </c>
      <c r="AV13" s="107">
        <v>77</v>
      </c>
      <c r="AW13" s="107">
        <v>75</v>
      </c>
      <c r="AX13" s="107">
        <v>83</v>
      </c>
      <c r="AY13" s="107">
        <v>80</v>
      </c>
      <c r="AZ13" s="107">
        <v>79</v>
      </c>
      <c r="BA13" s="107">
        <v>77</v>
      </c>
      <c r="BB13" s="107">
        <v>80</v>
      </c>
      <c r="BC13" s="107">
        <v>82</v>
      </c>
      <c r="BD13" s="112">
        <v>82</v>
      </c>
      <c r="BE13" s="96">
        <v>80</v>
      </c>
      <c r="BF13" s="96">
        <v>81</v>
      </c>
      <c r="BG13" s="96">
        <v>85</v>
      </c>
      <c r="BH13" s="130">
        <v>87</v>
      </c>
      <c r="BI13" s="95">
        <v>80</v>
      </c>
      <c r="BJ13" s="95">
        <v>81</v>
      </c>
      <c r="BK13" s="95">
        <v>82</v>
      </c>
      <c r="BL13" s="130">
        <v>87</v>
      </c>
      <c r="BM13" s="95">
        <v>83</v>
      </c>
      <c r="BN13" s="95">
        <v>83</v>
      </c>
      <c r="BO13" s="95">
        <v>83</v>
      </c>
      <c r="BP13" s="130">
        <v>87</v>
      </c>
      <c r="BQ13" s="95">
        <v>81</v>
      </c>
      <c r="BR13" s="95">
        <v>84</v>
      </c>
      <c r="BS13" s="95">
        <v>81</v>
      </c>
      <c r="BT13" s="130">
        <v>87</v>
      </c>
      <c r="BU13" s="15">
        <f t="shared" si="19"/>
        <v>81</v>
      </c>
      <c r="BV13" s="15">
        <f t="shared" si="20"/>
        <v>82.25</v>
      </c>
      <c r="BW13" s="15">
        <f t="shared" si="21"/>
        <v>82.75</v>
      </c>
      <c r="BX13" s="15">
        <f t="shared" si="22"/>
        <v>87</v>
      </c>
      <c r="BY13" s="108">
        <v>84</v>
      </c>
      <c r="BZ13" s="108">
        <v>86</v>
      </c>
      <c r="CA13" s="108">
        <v>81</v>
      </c>
      <c r="CB13" s="126">
        <v>87</v>
      </c>
      <c r="CC13" s="126">
        <v>85</v>
      </c>
      <c r="CD13" s="126">
        <v>82</v>
      </c>
      <c r="CE13" s="107">
        <v>84</v>
      </c>
      <c r="CF13" s="107">
        <v>74</v>
      </c>
      <c r="CG13" s="107">
        <v>83</v>
      </c>
      <c r="CH13" s="39">
        <v>85</v>
      </c>
      <c r="CI13" s="39">
        <v>80</v>
      </c>
      <c r="CJ13" s="39">
        <v>85</v>
      </c>
      <c r="CK13" s="39">
        <v>77</v>
      </c>
      <c r="CL13" s="39">
        <v>80</v>
      </c>
      <c r="CM13" s="39">
        <v>83</v>
      </c>
      <c r="CN13" s="39">
        <v>83</v>
      </c>
      <c r="CO13" s="39">
        <v>85</v>
      </c>
      <c r="CP13" s="39">
        <v>75</v>
      </c>
      <c r="CQ13" s="41">
        <f t="shared" si="0"/>
        <v>83.6</v>
      </c>
      <c r="CR13" s="41">
        <f t="shared" si="1"/>
        <v>86</v>
      </c>
      <c r="CS13" s="41">
        <f t="shared" si="23"/>
        <v>85</v>
      </c>
      <c r="CT13" s="17">
        <f t="shared" si="24"/>
        <v>84.74</v>
      </c>
      <c r="CU13" s="16">
        <f t="shared" si="2"/>
        <v>83.8</v>
      </c>
      <c r="CV13" s="16">
        <f t="shared" si="3"/>
        <v>85</v>
      </c>
      <c r="CW13" s="16">
        <f t="shared" si="25"/>
        <v>80</v>
      </c>
      <c r="CX13" s="17">
        <f t="shared" si="26"/>
        <v>83.02000000000001</v>
      </c>
      <c r="CY13" s="17">
        <f t="shared" si="4"/>
        <v>82.2</v>
      </c>
      <c r="CZ13" s="17">
        <f t="shared" si="5"/>
        <v>83</v>
      </c>
      <c r="DA13" s="17">
        <f t="shared" si="27"/>
        <v>85</v>
      </c>
      <c r="DB13" s="17">
        <f t="shared" si="28"/>
        <v>83.28</v>
      </c>
      <c r="DC13" s="18">
        <f t="shared" si="6"/>
        <v>84.75</v>
      </c>
      <c r="DD13" s="18">
        <f t="shared" si="29"/>
        <v>84.75</v>
      </c>
      <c r="DE13" s="18">
        <f t="shared" si="7"/>
        <v>81.25</v>
      </c>
      <c r="DF13" s="18">
        <f t="shared" si="30"/>
        <v>81.25</v>
      </c>
      <c r="DG13" s="18">
        <f t="shared" si="8"/>
        <v>83</v>
      </c>
      <c r="DH13" s="18">
        <f t="shared" si="31"/>
        <v>83</v>
      </c>
      <c r="DI13" s="18">
        <f t="shared" si="9"/>
        <v>79.75</v>
      </c>
      <c r="DJ13" s="18">
        <f t="shared" si="32"/>
        <v>79.75</v>
      </c>
      <c r="DK13" s="18">
        <f t="shared" si="10"/>
        <v>80</v>
      </c>
      <c r="DL13" s="18">
        <f t="shared" si="11"/>
        <v>83</v>
      </c>
      <c r="DM13" s="18">
        <f t="shared" si="33"/>
        <v>77</v>
      </c>
      <c r="DN13" s="17">
        <f t="shared" si="34"/>
        <v>80</v>
      </c>
      <c r="DO13" s="18">
        <f t="shared" si="12"/>
        <v>75</v>
      </c>
      <c r="DP13" s="18">
        <f t="shared" si="13"/>
        <v>83</v>
      </c>
      <c r="DQ13" s="18">
        <f t="shared" si="35"/>
        <v>80</v>
      </c>
      <c r="DR13" s="17">
        <f t="shared" si="36"/>
        <v>78.900000000000006</v>
      </c>
      <c r="DS13" s="18">
        <f t="shared" si="14"/>
        <v>73.8</v>
      </c>
      <c r="DT13" s="18">
        <f t="shared" si="15"/>
        <v>83</v>
      </c>
      <c r="DU13" s="18">
        <f t="shared" si="37"/>
        <v>83</v>
      </c>
      <c r="DV13" s="17">
        <f t="shared" si="38"/>
        <v>79.320000000000007</v>
      </c>
      <c r="DW13" s="18">
        <f t="shared" si="16"/>
        <v>79.5</v>
      </c>
      <c r="DX13" s="18">
        <f t="shared" si="39"/>
        <v>79.5</v>
      </c>
      <c r="DY13" s="18">
        <f t="shared" si="17"/>
        <v>78.5</v>
      </c>
      <c r="DZ13" s="18">
        <f t="shared" si="40"/>
        <v>78.5</v>
      </c>
      <c r="EA13" s="18">
        <f t="shared" si="18"/>
        <v>82</v>
      </c>
      <c r="EB13" s="17">
        <f t="shared" si="41"/>
        <v>82</v>
      </c>
      <c r="EC13" s="18">
        <f t="shared" si="42"/>
        <v>82</v>
      </c>
      <c r="ED13" s="18">
        <f t="shared" si="43"/>
        <v>87</v>
      </c>
      <c r="EE13" s="18">
        <f t="shared" si="44"/>
        <v>75</v>
      </c>
      <c r="EF13" s="17">
        <f t="shared" si="45"/>
        <v>81.400000000000006</v>
      </c>
      <c r="EG13" s="18">
        <f t="shared" si="46"/>
        <v>83.666666666666671</v>
      </c>
      <c r="EH13" s="18">
        <f t="shared" si="47"/>
        <v>87</v>
      </c>
      <c r="EI13" s="18">
        <f t="shared" si="48"/>
        <v>85</v>
      </c>
      <c r="EJ13" s="17">
        <f t="shared" si="49"/>
        <v>85.066666666666677</v>
      </c>
      <c r="EK13" s="18">
        <f t="shared" si="50"/>
        <v>85</v>
      </c>
      <c r="EL13" s="18">
        <f t="shared" si="51"/>
        <v>80</v>
      </c>
      <c r="EM13" s="18">
        <f t="shared" si="52"/>
        <v>83</v>
      </c>
      <c r="EN13" s="18">
        <f t="shared" si="53"/>
        <v>83</v>
      </c>
      <c r="EO13" s="17">
        <f t="shared" si="54"/>
        <v>81.8</v>
      </c>
      <c r="EP13" s="19">
        <f t="shared" si="55"/>
        <v>84.74</v>
      </c>
      <c r="EQ13" s="19">
        <f t="shared" si="56"/>
        <v>83.02000000000001</v>
      </c>
      <c r="ER13" s="19">
        <f t="shared" si="57"/>
        <v>83.28</v>
      </c>
      <c r="ES13" s="19">
        <f t="shared" si="58"/>
        <v>84.75</v>
      </c>
      <c r="ET13" s="19">
        <f t="shared" si="59"/>
        <v>81.25</v>
      </c>
      <c r="EU13" s="19">
        <f t="shared" si="60"/>
        <v>83</v>
      </c>
      <c r="EV13" s="19">
        <f t="shared" si="61"/>
        <v>79.75</v>
      </c>
      <c r="EW13" s="19">
        <f t="shared" si="62"/>
        <v>80</v>
      </c>
      <c r="EX13" s="19">
        <f t="shared" si="63"/>
        <v>78.900000000000006</v>
      </c>
      <c r="EY13" s="19">
        <f t="shared" si="64"/>
        <v>79.320000000000007</v>
      </c>
      <c r="EZ13" s="19">
        <f t="shared" si="65"/>
        <v>79.5</v>
      </c>
      <c r="FA13" s="19">
        <f t="shared" si="66"/>
        <v>78.5</v>
      </c>
      <c r="FB13" s="19">
        <f t="shared" si="67"/>
        <v>82</v>
      </c>
      <c r="FC13" s="19">
        <f t="shared" si="68"/>
        <v>81.400000000000006</v>
      </c>
      <c r="FD13" s="19">
        <f t="shared" si="69"/>
        <v>85.066666666666677</v>
      </c>
      <c r="FE13" s="19">
        <f t="shared" si="69"/>
        <v>85</v>
      </c>
      <c r="FF13" s="19">
        <f t="shared" si="70"/>
        <v>81.8</v>
      </c>
      <c r="FG13" s="19">
        <f t="shared" si="71"/>
        <v>81.839803921568631</v>
      </c>
    </row>
    <row r="14" spans="1:163" ht="18">
      <c r="A14" s="11">
        <v>10</v>
      </c>
      <c r="B14" s="104" t="s">
        <v>684</v>
      </c>
      <c r="C14" s="105" t="s">
        <v>569</v>
      </c>
      <c r="D14" s="106" t="s">
        <v>675</v>
      </c>
      <c r="E14" s="113">
        <v>80</v>
      </c>
      <c r="F14" s="107">
        <v>82</v>
      </c>
      <c r="G14" s="113">
        <v>86</v>
      </c>
      <c r="H14" s="107">
        <v>84</v>
      </c>
      <c r="I14" s="108">
        <v>83</v>
      </c>
      <c r="J14" s="108">
        <v>85</v>
      </c>
      <c r="K14" s="108">
        <v>83</v>
      </c>
      <c r="L14" s="108">
        <v>78</v>
      </c>
      <c r="M14" s="113">
        <v>79</v>
      </c>
      <c r="N14" s="107">
        <v>82</v>
      </c>
      <c r="O14" s="107">
        <v>82</v>
      </c>
      <c r="P14" s="107">
        <v>90</v>
      </c>
      <c r="Q14" s="107">
        <v>81</v>
      </c>
      <c r="R14" s="107">
        <v>88</v>
      </c>
      <c r="S14" s="107">
        <v>78</v>
      </c>
      <c r="T14" s="107">
        <v>80</v>
      </c>
      <c r="U14" s="109">
        <v>80</v>
      </c>
      <c r="V14" s="110">
        <v>81</v>
      </c>
      <c r="W14" s="111">
        <v>83</v>
      </c>
      <c r="X14" s="111">
        <v>84</v>
      </c>
      <c r="Y14" s="107">
        <v>81</v>
      </c>
      <c r="Z14" s="107">
        <v>85</v>
      </c>
      <c r="AA14" s="107">
        <v>78</v>
      </c>
      <c r="AB14" s="107">
        <v>83</v>
      </c>
      <c r="AC14" s="107">
        <v>81</v>
      </c>
      <c r="AD14" s="107">
        <v>83</v>
      </c>
      <c r="AE14" s="107">
        <v>83</v>
      </c>
      <c r="AF14" s="107">
        <v>85</v>
      </c>
      <c r="AG14" s="108">
        <v>83</v>
      </c>
      <c r="AH14" s="108">
        <v>85</v>
      </c>
      <c r="AI14" s="108">
        <v>73</v>
      </c>
      <c r="AJ14" s="108">
        <v>83</v>
      </c>
      <c r="AK14" s="107">
        <v>82</v>
      </c>
      <c r="AL14" s="107">
        <v>81</v>
      </c>
      <c r="AM14" s="107">
        <v>71</v>
      </c>
      <c r="AN14" s="107">
        <v>72</v>
      </c>
      <c r="AO14" s="107">
        <v>75</v>
      </c>
      <c r="AP14" s="107">
        <v>76</v>
      </c>
      <c r="AQ14" s="108">
        <v>81</v>
      </c>
      <c r="AR14" s="108">
        <v>80</v>
      </c>
      <c r="AS14" s="108">
        <v>73</v>
      </c>
      <c r="AT14" s="108">
        <v>79</v>
      </c>
      <c r="AU14" s="107">
        <v>73</v>
      </c>
      <c r="AV14" s="107">
        <v>77</v>
      </c>
      <c r="AW14" s="107">
        <v>75</v>
      </c>
      <c r="AX14" s="107">
        <v>80</v>
      </c>
      <c r="AY14" s="107">
        <v>77</v>
      </c>
      <c r="AZ14" s="107">
        <v>80</v>
      </c>
      <c r="BA14" s="107">
        <v>81</v>
      </c>
      <c r="BB14" s="107">
        <v>82</v>
      </c>
      <c r="BC14" s="107">
        <v>83</v>
      </c>
      <c r="BD14" s="112">
        <v>85</v>
      </c>
      <c r="BE14" s="96">
        <v>83</v>
      </c>
      <c r="BF14" s="96">
        <v>84</v>
      </c>
      <c r="BG14" s="96">
        <v>84</v>
      </c>
      <c r="BH14" s="130">
        <v>85</v>
      </c>
      <c r="BI14" s="95">
        <v>82</v>
      </c>
      <c r="BJ14" s="95">
        <v>83</v>
      </c>
      <c r="BK14" s="95">
        <v>82</v>
      </c>
      <c r="BL14" s="130">
        <v>85</v>
      </c>
      <c r="BM14" s="95">
        <v>83</v>
      </c>
      <c r="BN14" s="95">
        <v>83</v>
      </c>
      <c r="BO14" s="95">
        <v>83</v>
      </c>
      <c r="BP14" s="130">
        <v>85</v>
      </c>
      <c r="BQ14" s="95">
        <v>84</v>
      </c>
      <c r="BR14" s="95">
        <v>84</v>
      </c>
      <c r="BS14" s="95">
        <v>83</v>
      </c>
      <c r="BT14" s="130">
        <v>85</v>
      </c>
      <c r="BU14" s="15">
        <f t="shared" si="19"/>
        <v>83</v>
      </c>
      <c r="BV14" s="15">
        <f t="shared" si="20"/>
        <v>83.5</v>
      </c>
      <c r="BW14" s="15">
        <f t="shared" si="21"/>
        <v>83</v>
      </c>
      <c r="BX14" s="15">
        <f t="shared" si="22"/>
        <v>85</v>
      </c>
      <c r="BY14" s="108">
        <v>85</v>
      </c>
      <c r="BZ14" s="108">
        <v>85</v>
      </c>
      <c r="CA14" s="108">
        <v>81</v>
      </c>
      <c r="CB14" s="126">
        <v>85</v>
      </c>
      <c r="CC14" s="126">
        <v>84</v>
      </c>
      <c r="CD14" s="126">
        <v>77</v>
      </c>
      <c r="CE14" s="107">
        <v>85</v>
      </c>
      <c r="CF14" s="107">
        <v>74</v>
      </c>
      <c r="CG14" s="107">
        <v>80</v>
      </c>
      <c r="CH14" s="39">
        <v>86</v>
      </c>
      <c r="CI14" s="39">
        <v>85</v>
      </c>
      <c r="CJ14" s="39">
        <v>80</v>
      </c>
      <c r="CK14" s="39">
        <v>77</v>
      </c>
      <c r="CL14" s="39">
        <v>81</v>
      </c>
      <c r="CM14" s="39">
        <v>85</v>
      </c>
      <c r="CN14" s="39">
        <v>82</v>
      </c>
      <c r="CO14" s="39">
        <v>85</v>
      </c>
      <c r="CP14" s="39">
        <v>85</v>
      </c>
      <c r="CQ14" s="41">
        <f t="shared" si="0"/>
        <v>83</v>
      </c>
      <c r="CR14" s="41">
        <f t="shared" si="1"/>
        <v>85</v>
      </c>
      <c r="CS14" s="41">
        <f t="shared" si="23"/>
        <v>86</v>
      </c>
      <c r="CT14" s="17">
        <f t="shared" si="24"/>
        <v>84.5</v>
      </c>
      <c r="CU14" s="16">
        <f t="shared" si="2"/>
        <v>80.8</v>
      </c>
      <c r="CV14" s="16">
        <f t="shared" si="3"/>
        <v>90</v>
      </c>
      <c r="CW14" s="16">
        <f t="shared" si="25"/>
        <v>85</v>
      </c>
      <c r="CX14" s="17">
        <f t="shared" si="26"/>
        <v>84.820000000000007</v>
      </c>
      <c r="CY14" s="17">
        <f t="shared" si="4"/>
        <v>81.400000000000006</v>
      </c>
      <c r="CZ14" s="17">
        <f t="shared" si="5"/>
        <v>81</v>
      </c>
      <c r="DA14" s="17">
        <f t="shared" si="27"/>
        <v>80</v>
      </c>
      <c r="DB14" s="17">
        <f t="shared" si="28"/>
        <v>80.86</v>
      </c>
      <c r="DC14" s="18">
        <f t="shared" si="6"/>
        <v>83.25</v>
      </c>
      <c r="DD14" s="18">
        <f t="shared" si="29"/>
        <v>83.25</v>
      </c>
      <c r="DE14" s="18">
        <f t="shared" si="7"/>
        <v>81.25</v>
      </c>
      <c r="DF14" s="18">
        <f t="shared" si="30"/>
        <v>81.25</v>
      </c>
      <c r="DG14" s="18">
        <f t="shared" si="8"/>
        <v>84</v>
      </c>
      <c r="DH14" s="18">
        <f t="shared" si="31"/>
        <v>84</v>
      </c>
      <c r="DI14" s="18">
        <f t="shared" si="9"/>
        <v>81</v>
      </c>
      <c r="DJ14" s="18">
        <f t="shared" si="32"/>
        <v>81</v>
      </c>
      <c r="DK14" s="18">
        <f t="shared" si="10"/>
        <v>82</v>
      </c>
      <c r="DL14" s="18">
        <f t="shared" si="11"/>
        <v>81</v>
      </c>
      <c r="DM14" s="18">
        <f t="shared" si="33"/>
        <v>77</v>
      </c>
      <c r="DN14" s="17">
        <f t="shared" si="34"/>
        <v>80.2</v>
      </c>
      <c r="DO14" s="18">
        <f t="shared" si="12"/>
        <v>75</v>
      </c>
      <c r="DP14" s="18">
        <f t="shared" si="13"/>
        <v>80</v>
      </c>
      <c r="DQ14" s="18">
        <f t="shared" si="35"/>
        <v>81</v>
      </c>
      <c r="DR14" s="17">
        <f t="shared" si="36"/>
        <v>78.3</v>
      </c>
      <c r="DS14" s="18">
        <f t="shared" si="14"/>
        <v>75.400000000000006</v>
      </c>
      <c r="DT14" s="18">
        <f t="shared" si="15"/>
        <v>80</v>
      </c>
      <c r="DU14" s="18">
        <f t="shared" si="37"/>
        <v>85</v>
      </c>
      <c r="DV14" s="17">
        <f t="shared" si="38"/>
        <v>79.66</v>
      </c>
      <c r="DW14" s="18">
        <f t="shared" si="16"/>
        <v>78.5</v>
      </c>
      <c r="DX14" s="18">
        <f t="shared" si="39"/>
        <v>78.5</v>
      </c>
      <c r="DY14" s="18">
        <f t="shared" si="17"/>
        <v>81.5</v>
      </c>
      <c r="DZ14" s="18">
        <f t="shared" si="40"/>
        <v>81.5</v>
      </c>
      <c r="EA14" s="18">
        <f t="shared" si="18"/>
        <v>84</v>
      </c>
      <c r="EB14" s="17">
        <f t="shared" si="41"/>
        <v>84</v>
      </c>
      <c r="EC14" s="18">
        <f t="shared" si="42"/>
        <v>83.166666666666671</v>
      </c>
      <c r="ED14" s="18">
        <f t="shared" si="43"/>
        <v>85</v>
      </c>
      <c r="EE14" s="18">
        <f t="shared" si="44"/>
        <v>85</v>
      </c>
      <c r="EF14" s="17">
        <f t="shared" si="45"/>
        <v>84.26666666666668</v>
      </c>
      <c r="EG14" s="18">
        <f t="shared" si="46"/>
        <v>83.666666666666671</v>
      </c>
      <c r="EH14" s="18">
        <f t="shared" si="47"/>
        <v>85</v>
      </c>
      <c r="EI14" s="18">
        <f t="shared" si="48"/>
        <v>85</v>
      </c>
      <c r="EJ14" s="17">
        <f t="shared" si="49"/>
        <v>84.466666666666669</v>
      </c>
      <c r="EK14" s="18">
        <f t="shared" si="50"/>
        <v>84</v>
      </c>
      <c r="EL14" s="18">
        <f t="shared" si="51"/>
        <v>78.666666666666671</v>
      </c>
      <c r="EM14" s="18">
        <f t="shared" si="52"/>
        <v>80</v>
      </c>
      <c r="EN14" s="18">
        <f t="shared" si="53"/>
        <v>82</v>
      </c>
      <c r="EO14" s="17">
        <f t="shared" si="54"/>
        <v>80.066666666666677</v>
      </c>
      <c r="EP14" s="19">
        <f t="shared" si="55"/>
        <v>84.5</v>
      </c>
      <c r="EQ14" s="19">
        <f t="shared" si="56"/>
        <v>84.820000000000007</v>
      </c>
      <c r="ER14" s="19">
        <f t="shared" si="57"/>
        <v>80.86</v>
      </c>
      <c r="ES14" s="19">
        <f t="shared" si="58"/>
        <v>83.25</v>
      </c>
      <c r="ET14" s="19">
        <f t="shared" si="59"/>
        <v>81.25</v>
      </c>
      <c r="EU14" s="19">
        <f t="shared" si="60"/>
        <v>84</v>
      </c>
      <c r="EV14" s="19">
        <f t="shared" si="61"/>
        <v>81</v>
      </c>
      <c r="EW14" s="19">
        <f t="shared" si="62"/>
        <v>80.2</v>
      </c>
      <c r="EX14" s="19">
        <f t="shared" si="63"/>
        <v>78.3</v>
      </c>
      <c r="EY14" s="19">
        <f t="shared" si="64"/>
        <v>79.66</v>
      </c>
      <c r="EZ14" s="19">
        <f t="shared" si="65"/>
        <v>78.5</v>
      </c>
      <c r="FA14" s="19">
        <f t="shared" si="66"/>
        <v>81.5</v>
      </c>
      <c r="FB14" s="19">
        <f t="shared" si="67"/>
        <v>84</v>
      </c>
      <c r="FC14" s="19">
        <f t="shared" si="68"/>
        <v>84.26666666666668</v>
      </c>
      <c r="FD14" s="19">
        <f t="shared" si="69"/>
        <v>84.466666666666669</v>
      </c>
      <c r="FE14" s="19">
        <f t="shared" si="69"/>
        <v>84</v>
      </c>
      <c r="FF14" s="19">
        <f t="shared" si="70"/>
        <v>80.066666666666677</v>
      </c>
      <c r="FG14" s="19">
        <f t="shared" si="71"/>
        <v>82.037647058823538</v>
      </c>
    </row>
    <row r="15" spans="1:163" ht="18">
      <c r="A15" s="11">
        <v>11</v>
      </c>
      <c r="B15" s="104" t="s">
        <v>685</v>
      </c>
      <c r="C15" s="105" t="s">
        <v>571</v>
      </c>
      <c r="D15" s="106" t="s">
        <v>675</v>
      </c>
      <c r="E15" s="113">
        <v>82</v>
      </c>
      <c r="F15" s="107">
        <v>84</v>
      </c>
      <c r="G15" s="113">
        <v>86</v>
      </c>
      <c r="H15" s="107">
        <v>84</v>
      </c>
      <c r="I15" s="108">
        <v>89</v>
      </c>
      <c r="J15" s="108">
        <v>81</v>
      </c>
      <c r="K15" s="108">
        <v>81</v>
      </c>
      <c r="L15" s="108">
        <v>81</v>
      </c>
      <c r="M15" s="113">
        <v>95</v>
      </c>
      <c r="N15" s="107">
        <v>90</v>
      </c>
      <c r="O15" s="107">
        <v>90</v>
      </c>
      <c r="P15" s="107">
        <v>82</v>
      </c>
      <c r="Q15" s="107">
        <v>87</v>
      </c>
      <c r="R15" s="107">
        <v>87</v>
      </c>
      <c r="S15" s="107">
        <v>88</v>
      </c>
      <c r="T15" s="107">
        <v>90</v>
      </c>
      <c r="U15" s="109">
        <v>80</v>
      </c>
      <c r="V15" s="110">
        <v>80</v>
      </c>
      <c r="W15" s="111">
        <v>83</v>
      </c>
      <c r="X15" s="111">
        <v>85</v>
      </c>
      <c r="Y15" s="107">
        <v>82</v>
      </c>
      <c r="Z15" s="107">
        <v>85</v>
      </c>
      <c r="AA15" s="107">
        <v>76</v>
      </c>
      <c r="AB15" s="107">
        <v>84</v>
      </c>
      <c r="AC15" s="107">
        <v>81</v>
      </c>
      <c r="AD15" s="107">
        <v>86</v>
      </c>
      <c r="AE15" s="107">
        <v>83</v>
      </c>
      <c r="AF15" s="107">
        <v>85</v>
      </c>
      <c r="AG15" s="108">
        <v>83</v>
      </c>
      <c r="AH15" s="108">
        <v>85</v>
      </c>
      <c r="AI15" s="108">
        <v>72</v>
      </c>
      <c r="AJ15" s="108">
        <v>86</v>
      </c>
      <c r="AK15" s="107">
        <v>84</v>
      </c>
      <c r="AL15" s="107">
        <v>80</v>
      </c>
      <c r="AM15" s="107">
        <v>77</v>
      </c>
      <c r="AN15" s="107">
        <v>78</v>
      </c>
      <c r="AO15" s="107">
        <v>78</v>
      </c>
      <c r="AP15" s="107">
        <v>79</v>
      </c>
      <c r="AQ15" s="108">
        <v>82</v>
      </c>
      <c r="AR15" s="108">
        <v>80</v>
      </c>
      <c r="AS15" s="108">
        <v>82</v>
      </c>
      <c r="AT15" s="108">
        <v>80</v>
      </c>
      <c r="AU15" s="107">
        <v>78</v>
      </c>
      <c r="AV15" s="107">
        <v>77</v>
      </c>
      <c r="AW15" s="107">
        <v>88</v>
      </c>
      <c r="AX15" s="107">
        <v>80</v>
      </c>
      <c r="AY15" s="107">
        <v>79</v>
      </c>
      <c r="AZ15" s="107">
        <v>83</v>
      </c>
      <c r="BA15" s="107">
        <v>78</v>
      </c>
      <c r="BB15" s="107">
        <v>86</v>
      </c>
      <c r="BC15" s="107">
        <v>83</v>
      </c>
      <c r="BD15" s="112">
        <v>85</v>
      </c>
      <c r="BE15" s="96">
        <v>83</v>
      </c>
      <c r="BF15" s="96">
        <v>85</v>
      </c>
      <c r="BG15" s="96">
        <v>85</v>
      </c>
      <c r="BH15" s="130">
        <v>83</v>
      </c>
      <c r="BI15" s="95">
        <v>82</v>
      </c>
      <c r="BJ15" s="95">
        <v>83</v>
      </c>
      <c r="BK15" s="95">
        <v>83</v>
      </c>
      <c r="BL15" s="130">
        <v>83</v>
      </c>
      <c r="BM15" s="95">
        <v>83</v>
      </c>
      <c r="BN15" s="95">
        <v>84</v>
      </c>
      <c r="BO15" s="95">
        <v>84</v>
      </c>
      <c r="BP15" s="130">
        <v>83</v>
      </c>
      <c r="BQ15" s="95">
        <v>82</v>
      </c>
      <c r="BR15" s="95">
        <v>84</v>
      </c>
      <c r="BS15" s="95">
        <v>83</v>
      </c>
      <c r="BT15" s="130">
        <v>83</v>
      </c>
      <c r="BU15" s="15">
        <f t="shared" si="19"/>
        <v>82.5</v>
      </c>
      <c r="BV15" s="15">
        <f t="shared" si="20"/>
        <v>84</v>
      </c>
      <c r="BW15" s="15">
        <f t="shared" si="21"/>
        <v>83.75</v>
      </c>
      <c r="BX15" s="15">
        <f t="shared" si="22"/>
        <v>83</v>
      </c>
      <c r="BY15" s="108">
        <v>83</v>
      </c>
      <c r="BZ15" s="108">
        <v>86</v>
      </c>
      <c r="CA15" s="108">
        <v>84</v>
      </c>
      <c r="CB15" s="126">
        <v>83</v>
      </c>
      <c r="CC15" s="126">
        <v>81</v>
      </c>
      <c r="CD15" s="126">
        <v>82</v>
      </c>
      <c r="CE15" s="107">
        <v>88</v>
      </c>
      <c r="CF15" s="107">
        <v>78</v>
      </c>
      <c r="CG15" s="107">
        <v>80</v>
      </c>
      <c r="CH15" s="39">
        <v>90</v>
      </c>
      <c r="CI15" s="39">
        <v>86</v>
      </c>
      <c r="CJ15" s="39">
        <v>81</v>
      </c>
      <c r="CK15" s="39">
        <v>80</v>
      </c>
      <c r="CL15" s="39">
        <v>82</v>
      </c>
      <c r="CM15" s="39">
        <v>83</v>
      </c>
      <c r="CN15" s="39">
        <v>84</v>
      </c>
      <c r="CO15" s="39">
        <v>86</v>
      </c>
      <c r="CP15" s="39">
        <v>77</v>
      </c>
      <c r="CQ15" s="41">
        <f t="shared" si="0"/>
        <v>85</v>
      </c>
      <c r="CR15" s="41">
        <f t="shared" si="1"/>
        <v>81</v>
      </c>
      <c r="CS15" s="41">
        <f t="shared" si="23"/>
        <v>90</v>
      </c>
      <c r="CT15" s="17">
        <f t="shared" si="24"/>
        <v>85.3</v>
      </c>
      <c r="CU15" s="16">
        <f t="shared" si="2"/>
        <v>87.4</v>
      </c>
      <c r="CV15" s="16">
        <f t="shared" si="3"/>
        <v>82</v>
      </c>
      <c r="CW15" s="16">
        <f t="shared" si="25"/>
        <v>86</v>
      </c>
      <c r="CX15" s="17">
        <f t="shared" si="26"/>
        <v>85.36</v>
      </c>
      <c r="CY15" s="17">
        <f t="shared" si="4"/>
        <v>86.4</v>
      </c>
      <c r="CZ15" s="17">
        <f t="shared" si="5"/>
        <v>80</v>
      </c>
      <c r="DA15" s="17">
        <f t="shared" si="27"/>
        <v>81</v>
      </c>
      <c r="DB15" s="17">
        <f t="shared" si="28"/>
        <v>82.86</v>
      </c>
      <c r="DC15" s="18">
        <f t="shared" si="6"/>
        <v>83.75</v>
      </c>
      <c r="DD15" s="18">
        <f t="shared" si="29"/>
        <v>83.75</v>
      </c>
      <c r="DE15" s="18">
        <f t="shared" si="7"/>
        <v>81.75</v>
      </c>
      <c r="DF15" s="18">
        <f t="shared" si="30"/>
        <v>81.75</v>
      </c>
      <c r="DG15" s="18">
        <f t="shared" si="8"/>
        <v>84</v>
      </c>
      <c r="DH15" s="18">
        <f t="shared" si="31"/>
        <v>84</v>
      </c>
      <c r="DI15" s="18">
        <f t="shared" si="9"/>
        <v>81.5</v>
      </c>
      <c r="DJ15" s="18">
        <f t="shared" si="32"/>
        <v>81.5</v>
      </c>
      <c r="DK15" s="18">
        <f t="shared" si="10"/>
        <v>84</v>
      </c>
      <c r="DL15" s="18">
        <f t="shared" si="11"/>
        <v>80</v>
      </c>
      <c r="DM15" s="18">
        <f t="shared" si="33"/>
        <v>80</v>
      </c>
      <c r="DN15" s="17">
        <f t="shared" si="34"/>
        <v>81.599999999999994</v>
      </c>
      <c r="DO15" s="18">
        <f t="shared" si="12"/>
        <v>78.8</v>
      </c>
      <c r="DP15" s="18">
        <f t="shared" si="13"/>
        <v>80</v>
      </c>
      <c r="DQ15" s="18">
        <f t="shared" si="35"/>
        <v>82</v>
      </c>
      <c r="DR15" s="17">
        <f t="shared" si="36"/>
        <v>80.12</v>
      </c>
      <c r="DS15" s="18">
        <f t="shared" si="14"/>
        <v>81</v>
      </c>
      <c r="DT15" s="18">
        <f t="shared" si="15"/>
        <v>80</v>
      </c>
      <c r="DU15" s="18">
        <f t="shared" si="37"/>
        <v>83</v>
      </c>
      <c r="DV15" s="17">
        <f t="shared" si="38"/>
        <v>81.3</v>
      </c>
      <c r="DW15" s="18">
        <f t="shared" si="16"/>
        <v>81</v>
      </c>
      <c r="DX15" s="18">
        <f t="shared" si="39"/>
        <v>81</v>
      </c>
      <c r="DY15" s="18">
        <f t="shared" si="17"/>
        <v>82</v>
      </c>
      <c r="DZ15" s="18">
        <f t="shared" si="40"/>
        <v>82</v>
      </c>
      <c r="EA15" s="18">
        <f t="shared" si="18"/>
        <v>84</v>
      </c>
      <c r="EB15" s="17">
        <f t="shared" si="41"/>
        <v>84</v>
      </c>
      <c r="EC15" s="18">
        <f t="shared" si="42"/>
        <v>83.416666666666671</v>
      </c>
      <c r="ED15" s="18">
        <f t="shared" si="43"/>
        <v>83</v>
      </c>
      <c r="EE15" s="18">
        <f t="shared" si="44"/>
        <v>77</v>
      </c>
      <c r="EF15" s="17">
        <f t="shared" si="45"/>
        <v>81.366666666666674</v>
      </c>
      <c r="EG15" s="18">
        <f t="shared" si="46"/>
        <v>84.333333333333329</v>
      </c>
      <c r="EH15" s="18">
        <f t="shared" si="47"/>
        <v>83</v>
      </c>
      <c r="EI15" s="18">
        <f t="shared" si="48"/>
        <v>86</v>
      </c>
      <c r="EJ15" s="17">
        <f t="shared" si="49"/>
        <v>84.433333333333323</v>
      </c>
      <c r="EK15" s="18">
        <f t="shared" si="50"/>
        <v>81</v>
      </c>
      <c r="EL15" s="18">
        <f t="shared" si="51"/>
        <v>82.666666666666671</v>
      </c>
      <c r="EM15" s="18">
        <f t="shared" si="52"/>
        <v>80</v>
      </c>
      <c r="EN15" s="18">
        <f t="shared" si="53"/>
        <v>84</v>
      </c>
      <c r="EO15" s="17">
        <f t="shared" si="54"/>
        <v>82.26666666666668</v>
      </c>
      <c r="EP15" s="19">
        <f t="shared" si="55"/>
        <v>85.3</v>
      </c>
      <c r="EQ15" s="19">
        <f t="shared" si="56"/>
        <v>85.36</v>
      </c>
      <c r="ER15" s="19">
        <f t="shared" si="57"/>
        <v>82.86</v>
      </c>
      <c r="ES15" s="19">
        <f t="shared" si="58"/>
        <v>83.75</v>
      </c>
      <c r="ET15" s="19">
        <f t="shared" si="59"/>
        <v>81.75</v>
      </c>
      <c r="EU15" s="19">
        <f t="shared" si="60"/>
        <v>84</v>
      </c>
      <c r="EV15" s="19">
        <f t="shared" si="61"/>
        <v>81.5</v>
      </c>
      <c r="EW15" s="19">
        <f t="shared" si="62"/>
        <v>81.599999999999994</v>
      </c>
      <c r="EX15" s="19">
        <f t="shared" si="63"/>
        <v>80.12</v>
      </c>
      <c r="EY15" s="19">
        <f t="shared" si="64"/>
        <v>81.3</v>
      </c>
      <c r="EZ15" s="19">
        <f t="shared" si="65"/>
        <v>81</v>
      </c>
      <c r="FA15" s="19">
        <f t="shared" si="66"/>
        <v>82</v>
      </c>
      <c r="FB15" s="19">
        <f t="shared" si="67"/>
        <v>84</v>
      </c>
      <c r="FC15" s="19">
        <f t="shared" si="68"/>
        <v>81.366666666666674</v>
      </c>
      <c r="FD15" s="19">
        <f t="shared" si="69"/>
        <v>84.433333333333323</v>
      </c>
      <c r="FE15" s="19">
        <f t="shared" si="69"/>
        <v>81</v>
      </c>
      <c r="FF15" s="19">
        <f t="shared" si="70"/>
        <v>82.26666666666668</v>
      </c>
      <c r="FG15" s="19">
        <f t="shared" si="71"/>
        <v>82.565098039215698</v>
      </c>
    </row>
    <row r="16" spans="1:163" ht="18">
      <c r="A16" s="11">
        <v>12</v>
      </c>
      <c r="B16" s="104" t="s">
        <v>686</v>
      </c>
      <c r="C16" s="105" t="s">
        <v>573</v>
      </c>
      <c r="D16" s="106" t="s">
        <v>675</v>
      </c>
      <c r="E16" s="113">
        <v>80</v>
      </c>
      <c r="F16" s="107">
        <v>85</v>
      </c>
      <c r="G16" s="113">
        <v>85</v>
      </c>
      <c r="H16" s="107">
        <v>85</v>
      </c>
      <c r="I16" s="108">
        <v>89</v>
      </c>
      <c r="J16" s="108">
        <v>94</v>
      </c>
      <c r="K16" s="108">
        <v>82</v>
      </c>
      <c r="L16" s="108">
        <v>87</v>
      </c>
      <c r="M16" s="113">
        <v>82</v>
      </c>
      <c r="N16" s="107">
        <v>77</v>
      </c>
      <c r="O16" s="107">
        <v>80</v>
      </c>
      <c r="P16" s="107">
        <v>94</v>
      </c>
      <c r="Q16" s="107">
        <v>90</v>
      </c>
      <c r="R16" s="107">
        <v>88</v>
      </c>
      <c r="S16" s="107">
        <v>80</v>
      </c>
      <c r="T16" s="107">
        <v>81</v>
      </c>
      <c r="U16" s="109">
        <v>83</v>
      </c>
      <c r="V16" s="110">
        <v>90</v>
      </c>
      <c r="W16" s="111">
        <v>83</v>
      </c>
      <c r="X16" s="111">
        <v>84</v>
      </c>
      <c r="Y16" s="107">
        <v>78</v>
      </c>
      <c r="Z16" s="107">
        <v>85</v>
      </c>
      <c r="AA16" s="107">
        <v>77</v>
      </c>
      <c r="AB16" s="107">
        <v>86</v>
      </c>
      <c r="AC16" s="107">
        <v>80</v>
      </c>
      <c r="AD16" s="107">
        <v>81</v>
      </c>
      <c r="AE16" s="107">
        <v>82</v>
      </c>
      <c r="AF16" s="107">
        <v>84</v>
      </c>
      <c r="AG16" s="108">
        <v>82</v>
      </c>
      <c r="AH16" s="108">
        <v>85</v>
      </c>
      <c r="AI16" s="108">
        <v>70</v>
      </c>
      <c r="AJ16" s="108">
        <v>81</v>
      </c>
      <c r="AK16" s="107">
        <v>82</v>
      </c>
      <c r="AL16" s="107">
        <v>90</v>
      </c>
      <c r="AM16" s="107">
        <v>71</v>
      </c>
      <c r="AN16" s="107">
        <v>73</v>
      </c>
      <c r="AO16" s="107">
        <v>74</v>
      </c>
      <c r="AP16" s="107">
        <v>75</v>
      </c>
      <c r="AQ16" s="108">
        <v>80</v>
      </c>
      <c r="AR16" s="108">
        <v>93</v>
      </c>
      <c r="AS16" s="108">
        <v>73</v>
      </c>
      <c r="AT16" s="108">
        <v>81</v>
      </c>
      <c r="AU16" s="107">
        <v>75</v>
      </c>
      <c r="AV16" s="107">
        <v>78</v>
      </c>
      <c r="AW16" s="107">
        <v>75</v>
      </c>
      <c r="AX16" s="107">
        <v>93</v>
      </c>
      <c r="AY16" s="107">
        <v>77</v>
      </c>
      <c r="AZ16" s="107">
        <v>82</v>
      </c>
      <c r="BA16" s="107">
        <v>77</v>
      </c>
      <c r="BB16" s="107">
        <v>80</v>
      </c>
      <c r="BC16" s="107">
        <v>83</v>
      </c>
      <c r="BD16" s="112">
        <v>84</v>
      </c>
      <c r="BE16" s="96">
        <v>80</v>
      </c>
      <c r="BF16" s="96">
        <v>83</v>
      </c>
      <c r="BG16" s="96">
        <v>86</v>
      </c>
      <c r="BH16" s="130">
        <v>95</v>
      </c>
      <c r="BI16" s="95">
        <v>80</v>
      </c>
      <c r="BJ16" s="95">
        <v>81</v>
      </c>
      <c r="BK16" s="95">
        <v>83</v>
      </c>
      <c r="BL16" s="130">
        <v>95</v>
      </c>
      <c r="BM16" s="95">
        <v>82</v>
      </c>
      <c r="BN16" s="95">
        <v>84</v>
      </c>
      <c r="BO16" s="95">
        <v>85</v>
      </c>
      <c r="BP16" s="130">
        <v>95</v>
      </c>
      <c r="BQ16" s="95">
        <v>80</v>
      </c>
      <c r="BR16" s="95">
        <v>82</v>
      </c>
      <c r="BS16" s="95">
        <v>84</v>
      </c>
      <c r="BT16" s="130">
        <v>95</v>
      </c>
      <c r="BU16" s="15">
        <f t="shared" si="19"/>
        <v>80.5</v>
      </c>
      <c r="BV16" s="15">
        <f t="shared" si="20"/>
        <v>82.5</v>
      </c>
      <c r="BW16" s="15">
        <f t="shared" si="21"/>
        <v>84.5</v>
      </c>
      <c r="BX16" s="15">
        <f t="shared" si="22"/>
        <v>95</v>
      </c>
      <c r="BY16" s="108">
        <v>82</v>
      </c>
      <c r="BZ16" s="108">
        <v>84</v>
      </c>
      <c r="CA16" s="108">
        <v>84</v>
      </c>
      <c r="CB16" s="126">
        <v>95</v>
      </c>
      <c r="CC16" s="126">
        <v>93</v>
      </c>
      <c r="CD16" s="126">
        <v>75</v>
      </c>
      <c r="CE16" s="107">
        <v>82</v>
      </c>
      <c r="CF16" s="107">
        <v>92</v>
      </c>
      <c r="CG16" s="107">
        <v>93</v>
      </c>
      <c r="CH16" s="39">
        <v>90</v>
      </c>
      <c r="CI16" s="39">
        <v>85</v>
      </c>
      <c r="CJ16" s="39">
        <v>82</v>
      </c>
      <c r="CK16" s="39">
        <v>82</v>
      </c>
      <c r="CL16" s="39">
        <v>80</v>
      </c>
      <c r="CM16" s="39">
        <v>85</v>
      </c>
      <c r="CN16" s="39">
        <v>82</v>
      </c>
      <c r="CO16" s="39">
        <v>85</v>
      </c>
      <c r="CP16" s="39">
        <v>70</v>
      </c>
      <c r="CQ16" s="41">
        <f t="shared" si="0"/>
        <v>84.8</v>
      </c>
      <c r="CR16" s="41">
        <f t="shared" si="1"/>
        <v>94</v>
      </c>
      <c r="CS16" s="41">
        <f t="shared" si="23"/>
        <v>90</v>
      </c>
      <c r="CT16" s="17">
        <f t="shared" si="24"/>
        <v>89.12</v>
      </c>
      <c r="CU16" s="16">
        <f t="shared" si="2"/>
        <v>81.599999999999994</v>
      </c>
      <c r="CV16" s="16">
        <f t="shared" si="3"/>
        <v>94</v>
      </c>
      <c r="CW16" s="16">
        <f t="shared" si="25"/>
        <v>85</v>
      </c>
      <c r="CX16" s="17">
        <f t="shared" si="26"/>
        <v>86.34</v>
      </c>
      <c r="CY16" s="17">
        <f t="shared" si="4"/>
        <v>84.4</v>
      </c>
      <c r="CZ16" s="17">
        <f t="shared" si="5"/>
        <v>90</v>
      </c>
      <c r="DA16" s="17">
        <f t="shared" si="27"/>
        <v>82</v>
      </c>
      <c r="DB16" s="17">
        <f t="shared" si="28"/>
        <v>85.36</v>
      </c>
      <c r="DC16" s="18">
        <f t="shared" si="6"/>
        <v>82.5</v>
      </c>
      <c r="DD16" s="18">
        <f t="shared" si="29"/>
        <v>82.5</v>
      </c>
      <c r="DE16" s="18">
        <f t="shared" si="7"/>
        <v>81</v>
      </c>
      <c r="DF16" s="18">
        <f t="shared" si="30"/>
        <v>81</v>
      </c>
      <c r="DG16" s="18">
        <f t="shared" si="8"/>
        <v>83</v>
      </c>
      <c r="DH16" s="18">
        <f t="shared" si="31"/>
        <v>83</v>
      </c>
      <c r="DI16" s="18">
        <f t="shared" si="9"/>
        <v>79.5</v>
      </c>
      <c r="DJ16" s="18">
        <f t="shared" si="32"/>
        <v>79.5</v>
      </c>
      <c r="DK16" s="18">
        <f t="shared" si="10"/>
        <v>82</v>
      </c>
      <c r="DL16" s="18">
        <f t="shared" si="11"/>
        <v>90</v>
      </c>
      <c r="DM16" s="18">
        <f t="shared" si="33"/>
        <v>82</v>
      </c>
      <c r="DN16" s="17">
        <f t="shared" si="34"/>
        <v>84.4</v>
      </c>
      <c r="DO16" s="18">
        <f t="shared" si="12"/>
        <v>74.599999999999994</v>
      </c>
      <c r="DP16" s="18">
        <f t="shared" si="13"/>
        <v>93</v>
      </c>
      <c r="DQ16" s="18">
        <f t="shared" si="35"/>
        <v>80</v>
      </c>
      <c r="DR16" s="17">
        <f t="shared" si="36"/>
        <v>81.739999999999995</v>
      </c>
      <c r="DS16" s="18">
        <f t="shared" si="14"/>
        <v>76.400000000000006</v>
      </c>
      <c r="DT16" s="18">
        <f t="shared" si="15"/>
        <v>93</v>
      </c>
      <c r="DU16" s="18">
        <f t="shared" si="37"/>
        <v>85</v>
      </c>
      <c r="DV16" s="17">
        <f t="shared" si="38"/>
        <v>83.960000000000008</v>
      </c>
      <c r="DW16" s="18">
        <f t="shared" si="16"/>
        <v>79.5</v>
      </c>
      <c r="DX16" s="18">
        <f t="shared" si="39"/>
        <v>79.5</v>
      </c>
      <c r="DY16" s="18">
        <f t="shared" si="17"/>
        <v>78.5</v>
      </c>
      <c r="DZ16" s="18">
        <f t="shared" si="40"/>
        <v>78.5</v>
      </c>
      <c r="EA16" s="18">
        <f t="shared" si="18"/>
        <v>83.5</v>
      </c>
      <c r="EB16" s="17">
        <f t="shared" si="41"/>
        <v>83.5</v>
      </c>
      <c r="EC16" s="18">
        <f t="shared" si="42"/>
        <v>82.5</v>
      </c>
      <c r="ED16" s="18">
        <f t="shared" si="43"/>
        <v>95</v>
      </c>
      <c r="EE16" s="18">
        <f t="shared" si="44"/>
        <v>70</v>
      </c>
      <c r="EF16" s="17">
        <f t="shared" si="45"/>
        <v>82.5</v>
      </c>
      <c r="EG16" s="18">
        <f t="shared" si="46"/>
        <v>83.333333333333329</v>
      </c>
      <c r="EH16" s="18">
        <f t="shared" si="47"/>
        <v>95</v>
      </c>
      <c r="EI16" s="18">
        <f t="shared" si="48"/>
        <v>85</v>
      </c>
      <c r="EJ16" s="17">
        <f t="shared" si="49"/>
        <v>87.333333333333329</v>
      </c>
      <c r="EK16" s="18">
        <f t="shared" si="50"/>
        <v>93</v>
      </c>
      <c r="EL16" s="18">
        <f t="shared" si="51"/>
        <v>83</v>
      </c>
      <c r="EM16" s="18">
        <f t="shared" si="52"/>
        <v>93</v>
      </c>
      <c r="EN16" s="18">
        <f t="shared" si="53"/>
        <v>82</v>
      </c>
      <c r="EO16" s="17">
        <f t="shared" si="54"/>
        <v>85.7</v>
      </c>
      <c r="EP16" s="19">
        <f t="shared" si="55"/>
        <v>89.12</v>
      </c>
      <c r="EQ16" s="19">
        <f t="shared" si="56"/>
        <v>86.34</v>
      </c>
      <c r="ER16" s="19">
        <f t="shared" si="57"/>
        <v>85.36</v>
      </c>
      <c r="ES16" s="19">
        <f t="shared" si="58"/>
        <v>82.5</v>
      </c>
      <c r="ET16" s="19">
        <f t="shared" si="59"/>
        <v>81</v>
      </c>
      <c r="EU16" s="19">
        <f t="shared" si="60"/>
        <v>83</v>
      </c>
      <c r="EV16" s="19">
        <f t="shared" si="61"/>
        <v>79.5</v>
      </c>
      <c r="EW16" s="19">
        <f t="shared" si="62"/>
        <v>84.4</v>
      </c>
      <c r="EX16" s="19">
        <f t="shared" si="63"/>
        <v>81.739999999999995</v>
      </c>
      <c r="EY16" s="19">
        <f t="shared" si="64"/>
        <v>83.960000000000008</v>
      </c>
      <c r="EZ16" s="19">
        <f t="shared" si="65"/>
        <v>79.5</v>
      </c>
      <c r="FA16" s="19">
        <f t="shared" si="66"/>
        <v>78.5</v>
      </c>
      <c r="FB16" s="19">
        <f t="shared" si="67"/>
        <v>83.5</v>
      </c>
      <c r="FC16" s="19">
        <f t="shared" si="68"/>
        <v>82.5</v>
      </c>
      <c r="FD16" s="19">
        <f t="shared" si="69"/>
        <v>87.333333333333329</v>
      </c>
      <c r="FE16" s="19">
        <f t="shared" si="69"/>
        <v>93</v>
      </c>
      <c r="FF16" s="19">
        <f t="shared" si="70"/>
        <v>85.7</v>
      </c>
      <c r="FG16" s="19">
        <f t="shared" si="71"/>
        <v>83.938431372549019</v>
      </c>
    </row>
    <row r="17" spans="1:163" ht="18">
      <c r="A17" s="11">
        <v>13</v>
      </c>
      <c r="B17" s="104" t="s">
        <v>687</v>
      </c>
      <c r="C17" s="105" t="s">
        <v>575</v>
      </c>
      <c r="D17" s="106" t="s">
        <v>675</v>
      </c>
      <c r="E17" s="113">
        <v>83</v>
      </c>
      <c r="F17" s="107">
        <v>92</v>
      </c>
      <c r="G17" s="113">
        <v>86</v>
      </c>
      <c r="H17" s="107">
        <v>82</v>
      </c>
      <c r="I17" s="108">
        <v>92</v>
      </c>
      <c r="J17" s="108">
        <v>95</v>
      </c>
      <c r="K17" s="108">
        <v>80</v>
      </c>
      <c r="L17" s="108">
        <v>80</v>
      </c>
      <c r="M17" s="113">
        <v>82</v>
      </c>
      <c r="N17" s="107">
        <v>87</v>
      </c>
      <c r="O17" s="107">
        <v>88</v>
      </c>
      <c r="P17" s="107">
        <v>94</v>
      </c>
      <c r="Q17" s="107">
        <v>82</v>
      </c>
      <c r="R17" s="107">
        <v>81</v>
      </c>
      <c r="S17" s="107">
        <v>82</v>
      </c>
      <c r="T17" s="107">
        <v>83</v>
      </c>
      <c r="U17" s="109">
        <v>81</v>
      </c>
      <c r="V17" s="110">
        <v>89</v>
      </c>
      <c r="W17" s="111">
        <v>82</v>
      </c>
      <c r="X17" s="111">
        <v>84</v>
      </c>
      <c r="Y17" s="107">
        <v>81</v>
      </c>
      <c r="Z17" s="107">
        <v>80</v>
      </c>
      <c r="AA17" s="107">
        <v>75</v>
      </c>
      <c r="AB17" s="107">
        <v>86</v>
      </c>
      <c r="AC17" s="107">
        <v>82</v>
      </c>
      <c r="AD17" s="107">
        <v>84</v>
      </c>
      <c r="AE17" s="107">
        <v>90</v>
      </c>
      <c r="AF17" s="107">
        <v>84</v>
      </c>
      <c r="AG17" s="108">
        <v>84</v>
      </c>
      <c r="AH17" s="108">
        <v>85</v>
      </c>
      <c r="AI17" s="108">
        <v>72</v>
      </c>
      <c r="AJ17" s="108">
        <v>84</v>
      </c>
      <c r="AK17" s="107">
        <v>88</v>
      </c>
      <c r="AL17" s="107">
        <v>89</v>
      </c>
      <c r="AM17" s="107">
        <v>84</v>
      </c>
      <c r="AN17" s="107">
        <v>85</v>
      </c>
      <c r="AO17" s="107">
        <v>92</v>
      </c>
      <c r="AP17" s="107">
        <v>90</v>
      </c>
      <c r="AQ17" s="108">
        <v>92</v>
      </c>
      <c r="AR17" s="108">
        <v>95</v>
      </c>
      <c r="AS17" s="108">
        <v>71</v>
      </c>
      <c r="AT17" s="108">
        <v>79</v>
      </c>
      <c r="AU17" s="107">
        <v>74</v>
      </c>
      <c r="AV17" s="107">
        <v>79</v>
      </c>
      <c r="AW17" s="107">
        <v>75</v>
      </c>
      <c r="AX17" s="107">
        <v>95</v>
      </c>
      <c r="AY17" s="107">
        <v>79</v>
      </c>
      <c r="AZ17" s="107">
        <v>79</v>
      </c>
      <c r="BA17" s="107">
        <v>77</v>
      </c>
      <c r="BB17" s="107">
        <v>83</v>
      </c>
      <c r="BC17" s="107">
        <v>82</v>
      </c>
      <c r="BD17" s="112">
        <v>85</v>
      </c>
      <c r="BE17" s="96">
        <v>87</v>
      </c>
      <c r="BF17" s="96">
        <v>87</v>
      </c>
      <c r="BG17" s="96">
        <v>86</v>
      </c>
      <c r="BH17" s="130">
        <v>95</v>
      </c>
      <c r="BI17" s="95">
        <v>85</v>
      </c>
      <c r="BJ17" s="95">
        <v>85</v>
      </c>
      <c r="BK17" s="95">
        <v>84</v>
      </c>
      <c r="BL17" s="130">
        <v>95</v>
      </c>
      <c r="BM17" s="95">
        <v>83</v>
      </c>
      <c r="BN17" s="95">
        <v>85</v>
      </c>
      <c r="BO17" s="95">
        <v>84</v>
      </c>
      <c r="BP17" s="130">
        <v>95</v>
      </c>
      <c r="BQ17" s="95">
        <v>86</v>
      </c>
      <c r="BR17" s="95">
        <v>85</v>
      </c>
      <c r="BS17" s="95">
        <v>85</v>
      </c>
      <c r="BT17" s="130">
        <v>95</v>
      </c>
      <c r="BU17" s="15">
        <f t="shared" si="19"/>
        <v>85.25</v>
      </c>
      <c r="BV17" s="15">
        <f t="shared" si="20"/>
        <v>85.5</v>
      </c>
      <c r="BW17" s="15">
        <f t="shared" si="21"/>
        <v>84.75</v>
      </c>
      <c r="BX17" s="15">
        <f t="shared" si="22"/>
        <v>95</v>
      </c>
      <c r="BY17" s="108">
        <v>84</v>
      </c>
      <c r="BZ17" s="108">
        <v>85</v>
      </c>
      <c r="CA17" s="108">
        <v>84</v>
      </c>
      <c r="CB17" s="126">
        <v>95</v>
      </c>
      <c r="CC17" s="126">
        <v>94</v>
      </c>
      <c r="CD17" s="126">
        <v>75</v>
      </c>
      <c r="CE17" s="107">
        <v>89</v>
      </c>
      <c r="CF17" s="107">
        <v>82</v>
      </c>
      <c r="CG17" s="107">
        <v>95</v>
      </c>
      <c r="CH17" s="39">
        <v>88</v>
      </c>
      <c r="CI17" s="39">
        <v>85</v>
      </c>
      <c r="CJ17" s="39">
        <v>80</v>
      </c>
      <c r="CK17" s="39">
        <v>85</v>
      </c>
      <c r="CL17" s="39">
        <v>92</v>
      </c>
      <c r="CM17" s="39">
        <v>83</v>
      </c>
      <c r="CN17" s="39">
        <v>85</v>
      </c>
      <c r="CO17" s="39">
        <v>89</v>
      </c>
      <c r="CP17" s="39">
        <v>70</v>
      </c>
      <c r="CQ17" s="41">
        <f t="shared" si="0"/>
        <v>87</v>
      </c>
      <c r="CR17" s="41">
        <f t="shared" si="1"/>
        <v>95</v>
      </c>
      <c r="CS17" s="41">
        <f t="shared" si="23"/>
        <v>88</v>
      </c>
      <c r="CT17" s="17">
        <f t="shared" si="24"/>
        <v>89.7</v>
      </c>
      <c r="CU17" s="16">
        <f t="shared" si="2"/>
        <v>83.4</v>
      </c>
      <c r="CV17" s="16">
        <f t="shared" si="3"/>
        <v>94</v>
      </c>
      <c r="CW17" s="16">
        <f t="shared" si="25"/>
        <v>85</v>
      </c>
      <c r="CX17" s="17">
        <f t="shared" si="26"/>
        <v>87.06</v>
      </c>
      <c r="CY17" s="17">
        <f t="shared" si="4"/>
        <v>81.8</v>
      </c>
      <c r="CZ17" s="17">
        <f t="shared" si="5"/>
        <v>89</v>
      </c>
      <c r="DA17" s="17">
        <f t="shared" si="27"/>
        <v>80</v>
      </c>
      <c r="DB17" s="17">
        <f t="shared" si="28"/>
        <v>83.42</v>
      </c>
      <c r="DC17" s="18">
        <f t="shared" si="6"/>
        <v>81.75</v>
      </c>
      <c r="DD17" s="18">
        <f t="shared" si="29"/>
        <v>81.75</v>
      </c>
      <c r="DE17" s="18">
        <f t="shared" si="7"/>
        <v>81.75</v>
      </c>
      <c r="DF17" s="18">
        <f t="shared" si="30"/>
        <v>81.75</v>
      </c>
      <c r="DG17" s="18">
        <f t="shared" si="8"/>
        <v>87</v>
      </c>
      <c r="DH17" s="18">
        <f t="shared" si="31"/>
        <v>87</v>
      </c>
      <c r="DI17" s="18">
        <f t="shared" si="9"/>
        <v>81.25</v>
      </c>
      <c r="DJ17" s="18">
        <f t="shared" si="32"/>
        <v>81.25</v>
      </c>
      <c r="DK17" s="18">
        <f t="shared" si="10"/>
        <v>88</v>
      </c>
      <c r="DL17" s="18">
        <f t="shared" si="11"/>
        <v>89</v>
      </c>
      <c r="DM17" s="18">
        <f t="shared" si="33"/>
        <v>85</v>
      </c>
      <c r="DN17" s="17">
        <f t="shared" si="34"/>
        <v>87.4</v>
      </c>
      <c r="DO17" s="18">
        <f t="shared" si="12"/>
        <v>88.6</v>
      </c>
      <c r="DP17" s="18">
        <f t="shared" si="13"/>
        <v>95</v>
      </c>
      <c r="DQ17" s="18">
        <f t="shared" si="35"/>
        <v>92</v>
      </c>
      <c r="DR17" s="17">
        <f t="shared" si="36"/>
        <v>91.539999999999992</v>
      </c>
      <c r="DS17" s="18">
        <f t="shared" si="14"/>
        <v>75.599999999999994</v>
      </c>
      <c r="DT17" s="18">
        <f t="shared" si="15"/>
        <v>95</v>
      </c>
      <c r="DU17" s="18">
        <f t="shared" si="37"/>
        <v>83</v>
      </c>
      <c r="DV17" s="17">
        <f t="shared" si="38"/>
        <v>83.64</v>
      </c>
      <c r="DW17" s="18">
        <f t="shared" si="16"/>
        <v>79</v>
      </c>
      <c r="DX17" s="18">
        <f t="shared" si="39"/>
        <v>79</v>
      </c>
      <c r="DY17" s="18">
        <f t="shared" si="17"/>
        <v>80</v>
      </c>
      <c r="DZ17" s="18">
        <f t="shared" si="40"/>
        <v>80</v>
      </c>
      <c r="EA17" s="18">
        <f t="shared" si="18"/>
        <v>83.5</v>
      </c>
      <c r="EB17" s="17">
        <f t="shared" si="41"/>
        <v>83.5</v>
      </c>
      <c r="EC17" s="18">
        <f t="shared" si="42"/>
        <v>85.166666666666671</v>
      </c>
      <c r="ED17" s="18">
        <f t="shared" si="43"/>
        <v>95</v>
      </c>
      <c r="EE17" s="18">
        <f t="shared" si="44"/>
        <v>70</v>
      </c>
      <c r="EF17" s="17">
        <f t="shared" si="45"/>
        <v>83.566666666666677</v>
      </c>
      <c r="EG17" s="18">
        <f t="shared" si="46"/>
        <v>84.333333333333329</v>
      </c>
      <c r="EH17" s="18">
        <f t="shared" si="47"/>
        <v>95</v>
      </c>
      <c r="EI17" s="18">
        <f t="shared" si="48"/>
        <v>89</v>
      </c>
      <c r="EJ17" s="17">
        <f t="shared" si="49"/>
        <v>88.933333333333323</v>
      </c>
      <c r="EK17" s="18">
        <f t="shared" si="50"/>
        <v>94</v>
      </c>
      <c r="EL17" s="18">
        <f t="shared" si="51"/>
        <v>82</v>
      </c>
      <c r="EM17" s="18">
        <f t="shared" si="52"/>
        <v>95</v>
      </c>
      <c r="EN17" s="18">
        <f t="shared" si="53"/>
        <v>85</v>
      </c>
      <c r="EO17" s="17">
        <f t="shared" si="54"/>
        <v>86.8</v>
      </c>
      <c r="EP17" s="19">
        <f t="shared" si="55"/>
        <v>89.7</v>
      </c>
      <c r="EQ17" s="19">
        <f t="shared" si="56"/>
        <v>87.06</v>
      </c>
      <c r="ER17" s="19">
        <f t="shared" si="57"/>
        <v>83.42</v>
      </c>
      <c r="ES17" s="19">
        <f t="shared" si="58"/>
        <v>81.75</v>
      </c>
      <c r="ET17" s="19">
        <f t="shared" si="59"/>
        <v>81.75</v>
      </c>
      <c r="EU17" s="19">
        <f t="shared" si="60"/>
        <v>87</v>
      </c>
      <c r="EV17" s="19">
        <f t="shared" si="61"/>
        <v>81.25</v>
      </c>
      <c r="EW17" s="19">
        <f t="shared" si="62"/>
        <v>87.4</v>
      </c>
      <c r="EX17" s="19">
        <f t="shared" si="63"/>
        <v>91.539999999999992</v>
      </c>
      <c r="EY17" s="19">
        <f t="shared" si="64"/>
        <v>83.64</v>
      </c>
      <c r="EZ17" s="19">
        <f t="shared" si="65"/>
        <v>79</v>
      </c>
      <c r="FA17" s="19">
        <f t="shared" si="66"/>
        <v>80</v>
      </c>
      <c r="FB17" s="19">
        <f t="shared" si="67"/>
        <v>83.5</v>
      </c>
      <c r="FC17" s="19">
        <f t="shared" si="68"/>
        <v>83.566666666666677</v>
      </c>
      <c r="FD17" s="19">
        <f t="shared" si="69"/>
        <v>88.933333333333323</v>
      </c>
      <c r="FE17" s="19">
        <f t="shared" si="69"/>
        <v>94</v>
      </c>
      <c r="FF17" s="19">
        <f t="shared" si="70"/>
        <v>86.8</v>
      </c>
      <c r="FG17" s="19">
        <f t="shared" si="71"/>
        <v>85.312352941176471</v>
      </c>
    </row>
    <row r="18" spans="1:163" ht="18">
      <c r="A18" s="11">
        <v>14</v>
      </c>
      <c r="B18" s="104" t="s">
        <v>688</v>
      </c>
      <c r="C18" s="105" t="s">
        <v>577</v>
      </c>
      <c r="D18" s="106" t="s">
        <v>675</v>
      </c>
      <c r="E18" s="113">
        <v>84</v>
      </c>
      <c r="F18" s="107">
        <v>80</v>
      </c>
      <c r="G18" s="113">
        <v>86</v>
      </c>
      <c r="H18" s="107">
        <v>82</v>
      </c>
      <c r="I18" s="108">
        <v>91</v>
      </c>
      <c r="J18" s="108">
        <v>90</v>
      </c>
      <c r="K18" s="108">
        <v>84</v>
      </c>
      <c r="L18" s="108">
        <v>78</v>
      </c>
      <c r="M18" s="113">
        <v>80</v>
      </c>
      <c r="N18" s="107">
        <v>87</v>
      </c>
      <c r="O18" s="107">
        <v>88</v>
      </c>
      <c r="P18" s="107">
        <v>89</v>
      </c>
      <c r="Q18" s="107">
        <v>80</v>
      </c>
      <c r="R18" s="107">
        <v>81</v>
      </c>
      <c r="S18" s="107">
        <v>82</v>
      </c>
      <c r="T18" s="107">
        <v>84</v>
      </c>
      <c r="U18" s="109">
        <v>82</v>
      </c>
      <c r="V18" s="110">
        <v>88</v>
      </c>
      <c r="W18" s="111">
        <v>84</v>
      </c>
      <c r="X18" s="111">
        <v>84</v>
      </c>
      <c r="Y18" s="107">
        <v>81</v>
      </c>
      <c r="Z18" s="107">
        <v>80</v>
      </c>
      <c r="AA18" s="107">
        <v>76</v>
      </c>
      <c r="AB18" s="107">
        <v>84</v>
      </c>
      <c r="AC18" s="107">
        <v>82</v>
      </c>
      <c r="AD18" s="107">
        <v>81</v>
      </c>
      <c r="AE18" s="107">
        <v>82</v>
      </c>
      <c r="AF18" s="107">
        <v>84</v>
      </c>
      <c r="AG18" s="108">
        <v>82</v>
      </c>
      <c r="AH18" s="108">
        <v>83</v>
      </c>
      <c r="AI18" s="108">
        <v>73</v>
      </c>
      <c r="AJ18" s="108">
        <v>81</v>
      </c>
      <c r="AK18" s="107">
        <v>80</v>
      </c>
      <c r="AL18" s="107">
        <v>88</v>
      </c>
      <c r="AM18" s="107">
        <v>71</v>
      </c>
      <c r="AN18" s="107">
        <v>77</v>
      </c>
      <c r="AO18" s="107">
        <v>73</v>
      </c>
      <c r="AP18" s="107">
        <v>74</v>
      </c>
      <c r="AQ18" s="108">
        <v>79</v>
      </c>
      <c r="AR18" s="108">
        <v>89</v>
      </c>
      <c r="AS18" s="108">
        <v>74</v>
      </c>
      <c r="AT18" s="108">
        <v>79</v>
      </c>
      <c r="AU18" s="107">
        <v>71</v>
      </c>
      <c r="AV18" s="107">
        <v>77</v>
      </c>
      <c r="AW18" s="107">
        <v>75</v>
      </c>
      <c r="AX18" s="107">
        <v>89</v>
      </c>
      <c r="AY18" s="107">
        <v>77</v>
      </c>
      <c r="AZ18" s="107">
        <v>80</v>
      </c>
      <c r="BA18" s="107">
        <v>82</v>
      </c>
      <c r="BB18" s="107">
        <v>83</v>
      </c>
      <c r="BC18" s="107">
        <v>82</v>
      </c>
      <c r="BD18" s="112">
        <v>83</v>
      </c>
      <c r="BE18" s="96">
        <v>82</v>
      </c>
      <c r="BF18" s="96">
        <v>83</v>
      </c>
      <c r="BG18" s="96">
        <v>85</v>
      </c>
      <c r="BH18" s="130">
        <v>89</v>
      </c>
      <c r="BI18" s="95">
        <v>82</v>
      </c>
      <c r="BJ18" s="95">
        <v>82</v>
      </c>
      <c r="BK18" s="95">
        <v>83</v>
      </c>
      <c r="BL18" s="130">
        <v>89</v>
      </c>
      <c r="BM18" s="95">
        <v>84</v>
      </c>
      <c r="BN18" s="95">
        <v>84</v>
      </c>
      <c r="BO18" s="95">
        <v>83</v>
      </c>
      <c r="BP18" s="130">
        <v>89</v>
      </c>
      <c r="BQ18" s="95">
        <v>85</v>
      </c>
      <c r="BR18" s="95">
        <v>84</v>
      </c>
      <c r="BS18" s="95">
        <v>83</v>
      </c>
      <c r="BT18" s="130">
        <v>89</v>
      </c>
      <c r="BU18" s="15">
        <f t="shared" si="19"/>
        <v>83.25</v>
      </c>
      <c r="BV18" s="15">
        <f t="shared" si="20"/>
        <v>83.25</v>
      </c>
      <c r="BW18" s="15">
        <f t="shared" si="21"/>
        <v>83.5</v>
      </c>
      <c r="BX18" s="15">
        <f t="shared" si="22"/>
        <v>89</v>
      </c>
      <c r="BY18" s="108">
        <v>85</v>
      </c>
      <c r="BZ18" s="108">
        <v>84</v>
      </c>
      <c r="CA18" s="108">
        <v>84</v>
      </c>
      <c r="CB18" s="126">
        <v>89</v>
      </c>
      <c r="CC18" s="126">
        <v>89</v>
      </c>
      <c r="CD18" s="126">
        <v>75</v>
      </c>
      <c r="CE18" s="107">
        <v>84</v>
      </c>
      <c r="CF18" s="107">
        <v>78</v>
      </c>
      <c r="CG18" s="107">
        <v>89</v>
      </c>
      <c r="CH18" s="39">
        <v>88</v>
      </c>
      <c r="CI18" s="39">
        <v>94</v>
      </c>
      <c r="CJ18" s="39">
        <v>80</v>
      </c>
      <c r="CK18" s="39">
        <v>82</v>
      </c>
      <c r="CL18" s="39">
        <v>79</v>
      </c>
      <c r="CM18" s="39">
        <v>88</v>
      </c>
      <c r="CN18" s="39">
        <v>85</v>
      </c>
      <c r="CO18" s="39">
        <v>87</v>
      </c>
      <c r="CP18" s="39">
        <v>70</v>
      </c>
      <c r="CQ18" s="41">
        <f t="shared" si="0"/>
        <v>84.6</v>
      </c>
      <c r="CR18" s="41">
        <f t="shared" si="1"/>
        <v>90</v>
      </c>
      <c r="CS18" s="41">
        <f t="shared" si="23"/>
        <v>88</v>
      </c>
      <c r="CT18" s="17">
        <f t="shared" si="24"/>
        <v>87.24</v>
      </c>
      <c r="CU18" s="16">
        <f t="shared" si="2"/>
        <v>83.4</v>
      </c>
      <c r="CV18" s="16">
        <f t="shared" si="3"/>
        <v>89</v>
      </c>
      <c r="CW18" s="16">
        <f t="shared" si="25"/>
        <v>94</v>
      </c>
      <c r="CX18" s="17">
        <f t="shared" si="26"/>
        <v>88.26</v>
      </c>
      <c r="CY18" s="17">
        <f t="shared" si="4"/>
        <v>81.8</v>
      </c>
      <c r="CZ18" s="17">
        <f t="shared" si="5"/>
        <v>88</v>
      </c>
      <c r="DA18" s="17">
        <f t="shared" si="27"/>
        <v>80</v>
      </c>
      <c r="DB18" s="17">
        <f t="shared" si="28"/>
        <v>83.12</v>
      </c>
      <c r="DC18" s="18">
        <f t="shared" si="6"/>
        <v>82.25</v>
      </c>
      <c r="DD18" s="18">
        <f t="shared" si="29"/>
        <v>82.25</v>
      </c>
      <c r="DE18" s="18">
        <f t="shared" si="7"/>
        <v>80.75</v>
      </c>
      <c r="DF18" s="18">
        <f t="shared" si="30"/>
        <v>80.75</v>
      </c>
      <c r="DG18" s="18">
        <f t="shared" si="8"/>
        <v>83</v>
      </c>
      <c r="DH18" s="18">
        <f t="shared" si="31"/>
        <v>83</v>
      </c>
      <c r="DI18" s="18">
        <f t="shared" si="9"/>
        <v>79.75</v>
      </c>
      <c r="DJ18" s="18">
        <f t="shared" si="32"/>
        <v>79.75</v>
      </c>
      <c r="DK18" s="18">
        <f t="shared" si="10"/>
        <v>80</v>
      </c>
      <c r="DL18" s="18">
        <f t="shared" si="11"/>
        <v>88</v>
      </c>
      <c r="DM18" s="18">
        <f t="shared" si="33"/>
        <v>82</v>
      </c>
      <c r="DN18" s="17">
        <f t="shared" si="34"/>
        <v>83</v>
      </c>
      <c r="DO18" s="18">
        <f t="shared" si="12"/>
        <v>74.8</v>
      </c>
      <c r="DP18" s="18">
        <f t="shared" si="13"/>
        <v>89</v>
      </c>
      <c r="DQ18" s="18">
        <f t="shared" si="35"/>
        <v>79</v>
      </c>
      <c r="DR18" s="17">
        <f t="shared" si="36"/>
        <v>80.320000000000007</v>
      </c>
      <c r="DS18" s="18">
        <f t="shared" si="14"/>
        <v>75.2</v>
      </c>
      <c r="DT18" s="18">
        <f t="shared" si="15"/>
        <v>89</v>
      </c>
      <c r="DU18" s="18">
        <f t="shared" si="37"/>
        <v>88</v>
      </c>
      <c r="DV18" s="17">
        <f t="shared" si="38"/>
        <v>83.179999999999993</v>
      </c>
      <c r="DW18" s="18">
        <f t="shared" si="16"/>
        <v>78.5</v>
      </c>
      <c r="DX18" s="18">
        <f t="shared" si="39"/>
        <v>78.5</v>
      </c>
      <c r="DY18" s="18">
        <f t="shared" si="17"/>
        <v>82.5</v>
      </c>
      <c r="DZ18" s="18">
        <f t="shared" si="40"/>
        <v>82.5</v>
      </c>
      <c r="EA18" s="18">
        <f t="shared" si="18"/>
        <v>82.5</v>
      </c>
      <c r="EB18" s="17">
        <f t="shared" si="41"/>
        <v>82.5</v>
      </c>
      <c r="EC18" s="18">
        <f t="shared" si="42"/>
        <v>83.333333333333329</v>
      </c>
      <c r="ED18" s="18">
        <f t="shared" si="43"/>
        <v>89</v>
      </c>
      <c r="EE18" s="18">
        <f t="shared" si="44"/>
        <v>70</v>
      </c>
      <c r="EF18" s="17">
        <f t="shared" si="45"/>
        <v>81.033333333333331</v>
      </c>
      <c r="EG18" s="18">
        <f t="shared" si="46"/>
        <v>84.333333333333329</v>
      </c>
      <c r="EH18" s="18">
        <f t="shared" si="47"/>
        <v>89</v>
      </c>
      <c r="EI18" s="18">
        <f t="shared" si="48"/>
        <v>87</v>
      </c>
      <c r="EJ18" s="17">
        <f t="shared" si="49"/>
        <v>86.533333333333331</v>
      </c>
      <c r="EK18" s="18">
        <f t="shared" si="50"/>
        <v>89</v>
      </c>
      <c r="EL18" s="18">
        <f t="shared" si="51"/>
        <v>79</v>
      </c>
      <c r="EM18" s="18">
        <f t="shared" si="52"/>
        <v>89</v>
      </c>
      <c r="EN18" s="18">
        <f t="shared" si="53"/>
        <v>85</v>
      </c>
      <c r="EO18" s="17">
        <f t="shared" si="54"/>
        <v>83.8</v>
      </c>
      <c r="EP18" s="19">
        <f t="shared" si="55"/>
        <v>87.24</v>
      </c>
      <c r="EQ18" s="19">
        <f t="shared" si="56"/>
        <v>88.26</v>
      </c>
      <c r="ER18" s="19">
        <f t="shared" si="57"/>
        <v>83.12</v>
      </c>
      <c r="ES18" s="19">
        <f t="shared" si="58"/>
        <v>82.25</v>
      </c>
      <c r="ET18" s="19">
        <f t="shared" si="59"/>
        <v>80.75</v>
      </c>
      <c r="EU18" s="19">
        <f t="shared" si="60"/>
        <v>83</v>
      </c>
      <c r="EV18" s="19">
        <f t="shared" si="61"/>
        <v>79.75</v>
      </c>
      <c r="EW18" s="19">
        <f t="shared" si="62"/>
        <v>83</v>
      </c>
      <c r="EX18" s="19">
        <f t="shared" si="63"/>
        <v>80.320000000000007</v>
      </c>
      <c r="EY18" s="19">
        <f t="shared" si="64"/>
        <v>83.179999999999993</v>
      </c>
      <c r="EZ18" s="19">
        <f t="shared" si="65"/>
        <v>78.5</v>
      </c>
      <c r="FA18" s="19">
        <f t="shared" si="66"/>
        <v>82.5</v>
      </c>
      <c r="FB18" s="19">
        <f t="shared" si="67"/>
        <v>82.5</v>
      </c>
      <c r="FC18" s="19">
        <f t="shared" si="68"/>
        <v>81.033333333333331</v>
      </c>
      <c r="FD18" s="19">
        <f t="shared" si="69"/>
        <v>86.533333333333331</v>
      </c>
      <c r="FE18" s="19">
        <f t="shared" si="69"/>
        <v>89</v>
      </c>
      <c r="FF18" s="19">
        <f t="shared" si="70"/>
        <v>83.8</v>
      </c>
      <c r="FG18" s="19">
        <f t="shared" si="71"/>
        <v>83.219803921568612</v>
      </c>
    </row>
    <row r="19" spans="1:163" ht="18">
      <c r="A19" s="11">
        <v>15</v>
      </c>
      <c r="B19" s="104" t="s">
        <v>689</v>
      </c>
      <c r="C19" s="105" t="s">
        <v>579</v>
      </c>
      <c r="D19" s="106" t="s">
        <v>675</v>
      </c>
      <c r="E19" s="113">
        <v>95</v>
      </c>
      <c r="F19" s="107">
        <v>95</v>
      </c>
      <c r="G19" s="113">
        <v>86</v>
      </c>
      <c r="H19" s="107">
        <v>88</v>
      </c>
      <c r="I19" s="108">
        <v>95</v>
      </c>
      <c r="J19" s="108">
        <v>93</v>
      </c>
      <c r="K19" s="108">
        <v>81</v>
      </c>
      <c r="L19" s="108">
        <v>97</v>
      </c>
      <c r="M19" s="113">
        <v>85</v>
      </c>
      <c r="N19" s="107">
        <v>94</v>
      </c>
      <c r="O19" s="107">
        <v>95</v>
      </c>
      <c r="P19" s="107">
        <v>94</v>
      </c>
      <c r="Q19" s="107">
        <v>96</v>
      </c>
      <c r="R19" s="107">
        <v>93</v>
      </c>
      <c r="S19" s="107">
        <v>93</v>
      </c>
      <c r="T19" s="107">
        <v>95</v>
      </c>
      <c r="U19" s="109">
        <v>92</v>
      </c>
      <c r="V19" s="110">
        <v>91</v>
      </c>
      <c r="W19" s="111">
        <v>83</v>
      </c>
      <c r="X19" s="111">
        <v>84</v>
      </c>
      <c r="Y19" s="107">
        <v>75</v>
      </c>
      <c r="Z19" s="107">
        <v>85</v>
      </c>
      <c r="AA19" s="107">
        <v>86</v>
      </c>
      <c r="AB19" s="107">
        <v>85</v>
      </c>
      <c r="AC19" s="107">
        <v>80</v>
      </c>
      <c r="AD19" s="107">
        <v>85</v>
      </c>
      <c r="AE19" s="107">
        <v>85</v>
      </c>
      <c r="AF19" s="107">
        <v>85</v>
      </c>
      <c r="AG19" s="108">
        <v>85</v>
      </c>
      <c r="AH19" s="108">
        <v>88</v>
      </c>
      <c r="AI19" s="108">
        <v>82</v>
      </c>
      <c r="AJ19" s="108">
        <v>85</v>
      </c>
      <c r="AK19" s="107">
        <v>88</v>
      </c>
      <c r="AL19" s="107">
        <v>91</v>
      </c>
      <c r="AM19" s="107">
        <v>93</v>
      </c>
      <c r="AN19" s="107">
        <v>95</v>
      </c>
      <c r="AO19" s="107">
        <v>94</v>
      </c>
      <c r="AP19" s="107">
        <v>95</v>
      </c>
      <c r="AQ19" s="108">
        <v>96</v>
      </c>
      <c r="AR19" s="108">
        <v>92</v>
      </c>
      <c r="AS19" s="108">
        <v>94</v>
      </c>
      <c r="AT19" s="108">
        <v>94</v>
      </c>
      <c r="AU19" s="107">
        <v>85</v>
      </c>
      <c r="AV19" s="107">
        <v>87</v>
      </c>
      <c r="AW19" s="107">
        <v>88</v>
      </c>
      <c r="AX19" s="107">
        <v>92</v>
      </c>
      <c r="AY19" s="107">
        <v>77</v>
      </c>
      <c r="AZ19" s="107">
        <v>80</v>
      </c>
      <c r="BA19" s="107">
        <v>88</v>
      </c>
      <c r="BB19" s="107">
        <v>96</v>
      </c>
      <c r="BC19" s="107">
        <v>87</v>
      </c>
      <c r="BD19" s="112">
        <v>87</v>
      </c>
      <c r="BE19" s="96">
        <v>83</v>
      </c>
      <c r="BF19" s="96">
        <v>90</v>
      </c>
      <c r="BG19" s="96">
        <v>89</v>
      </c>
      <c r="BH19" s="130">
        <v>95</v>
      </c>
      <c r="BI19" s="95">
        <v>83</v>
      </c>
      <c r="BJ19" s="95">
        <v>86</v>
      </c>
      <c r="BK19" s="95">
        <v>86</v>
      </c>
      <c r="BL19" s="130">
        <v>95</v>
      </c>
      <c r="BM19" s="95">
        <v>83</v>
      </c>
      <c r="BN19" s="95">
        <v>87</v>
      </c>
      <c r="BO19" s="95">
        <v>87</v>
      </c>
      <c r="BP19" s="130">
        <v>95</v>
      </c>
      <c r="BQ19" s="95">
        <v>81</v>
      </c>
      <c r="BR19" s="95">
        <v>88</v>
      </c>
      <c r="BS19" s="95">
        <v>88</v>
      </c>
      <c r="BT19" s="130">
        <v>95</v>
      </c>
      <c r="BU19" s="15">
        <f t="shared" si="19"/>
        <v>82.5</v>
      </c>
      <c r="BV19" s="15">
        <f t="shared" si="20"/>
        <v>87.75</v>
      </c>
      <c r="BW19" s="15">
        <f t="shared" si="21"/>
        <v>87.5</v>
      </c>
      <c r="BX19" s="15">
        <f t="shared" si="22"/>
        <v>95</v>
      </c>
      <c r="BY19" s="108">
        <v>82</v>
      </c>
      <c r="BZ19" s="108">
        <v>86</v>
      </c>
      <c r="CA19" s="108">
        <v>87</v>
      </c>
      <c r="CB19" s="126">
        <v>95</v>
      </c>
      <c r="CC19" s="126">
        <v>93</v>
      </c>
      <c r="CD19" s="126">
        <v>76</v>
      </c>
      <c r="CE19" s="107">
        <v>96</v>
      </c>
      <c r="CF19" s="107">
        <v>99</v>
      </c>
      <c r="CG19" s="107">
        <v>92</v>
      </c>
      <c r="CH19" s="39">
        <v>92</v>
      </c>
      <c r="CI19" s="39">
        <v>95</v>
      </c>
      <c r="CJ19" s="39">
        <v>90</v>
      </c>
      <c r="CK19" s="39">
        <v>95</v>
      </c>
      <c r="CL19" s="39">
        <v>96</v>
      </c>
      <c r="CM19" s="39">
        <v>83</v>
      </c>
      <c r="CN19" s="39">
        <v>96</v>
      </c>
      <c r="CO19" s="39">
        <v>94</v>
      </c>
      <c r="CP19" s="39">
        <v>95</v>
      </c>
      <c r="CQ19" s="41">
        <f t="shared" si="0"/>
        <v>91.8</v>
      </c>
      <c r="CR19" s="41">
        <f t="shared" si="1"/>
        <v>93</v>
      </c>
      <c r="CS19" s="41">
        <f t="shared" si="23"/>
        <v>92</v>
      </c>
      <c r="CT19" s="17">
        <f t="shared" si="24"/>
        <v>92.22</v>
      </c>
      <c r="CU19" s="16">
        <f t="shared" si="2"/>
        <v>90.4</v>
      </c>
      <c r="CV19" s="16">
        <f t="shared" si="3"/>
        <v>94</v>
      </c>
      <c r="CW19" s="16">
        <f t="shared" si="25"/>
        <v>95</v>
      </c>
      <c r="CX19" s="17">
        <f t="shared" si="26"/>
        <v>92.86</v>
      </c>
      <c r="CY19" s="17">
        <f t="shared" si="4"/>
        <v>93.8</v>
      </c>
      <c r="CZ19" s="17">
        <f t="shared" si="5"/>
        <v>91</v>
      </c>
      <c r="DA19" s="17">
        <f t="shared" si="27"/>
        <v>90</v>
      </c>
      <c r="DB19" s="17">
        <f t="shared" si="28"/>
        <v>91.820000000000007</v>
      </c>
      <c r="DC19" s="18">
        <f t="shared" si="6"/>
        <v>81.75</v>
      </c>
      <c r="DD19" s="18">
        <f t="shared" si="29"/>
        <v>81.75</v>
      </c>
      <c r="DE19" s="18">
        <f t="shared" si="7"/>
        <v>84</v>
      </c>
      <c r="DF19" s="18">
        <f t="shared" si="30"/>
        <v>84</v>
      </c>
      <c r="DG19" s="18">
        <f t="shared" si="8"/>
        <v>85</v>
      </c>
      <c r="DH19" s="18">
        <f t="shared" si="31"/>
        <v>85</v>
      </c>
      <c r="DI19" s="18">
        <f t="shared" si="9"/>
        <v>85</v>
      </c>
      <c r="DJ19" s="18">
        <f t="shared" si="32"/>
        <v>85</v>
      </c>
      <c r="DK19" s="18">
        <f t="shared" si="10"/>
        <v>88</v>
      </c>
      <c r="DL19" s="18">
        <f t="shared" si="11"/>
        <v>91</v>
      </c>
      <c r="DM19" s="18">
        <f t="shared" si="33"/>
        <v>95</v>
      </c>
      <c r="DN19" s="17">
        <f t="shared" si="34"/>
        <v>91</v>
      </c>
      <c r="DO19" s="18">
        <f t="shared" si="12"/>
        <v>94.6</v>
      </c>
      <c r="DP19" s="18">
        <f t="shared" si="13"/>
        <v>92</v>
      </c>
      <c r="DQ19" s="18">
        <f t="shared" si="35"/>
        <v>96</v>
      </c>
      <c r="DR19" s="17">
        <f t="shared" si="36"/>
        <v>94.24</v>
      </c>
      <c r="DS19" s="18">
        <f t="shared" si="14"/>
        <v>89.6</v>
      </c>
      <c r="DT19" s="18">
        <f t="shared" si="15"/>
        <v>92</v>
      </c>
      <c r="DU19" s="18">
        <f t="shared" si="37"/>
        <v>83</v>
      </c>
      <c r="DV19" s="17">
        <f t="shared" si="38"/>
        <v>88.34</v>
      </c>
      <c r="DW19" s="18">
        <f t="shared" si="16"/>
        <v>78.5</v>
      </c>
      <c r="DX19" s="18">
        <f t="shared" si="39"/>
        <v>78.5</v>
      </c>
      <c r="DY19" s="18">
        <f t="shared" si="17"/>
        <v>92</v>
      </c>
      <c r="DZ19" s="18">
        <f t="shared" si="40"/>
        <v>92</v>
      </c>
      <c r="EA19" s="18">
        <f t="shared" si="18"/>
        <v>87</v>
      </c>
      <c r="EB19" s="17">
        <f t="shared" si="41"/>
        <v>87</v>
      </c>
      <c r="EC19" s="18">
        <f t="shared" si="42"/>
        <v>85.916666666666671</v>
      </c>
      <c r="ED19" s="18">
        <f t="shared" si="43"/>
        <v>95</v>
      </c>
      <c r="EE19" s="18">
        <f t="shared" si="44"/>
        <v>95</v>
      </c>
      <c r="EF19" s="17">
        <f t="shared" si="45"/>
        <v>91.366666666666674</v>
      </c>
      <c r="EG19" s="18">
        <f t="shared" si="46"/>
        <v>85</v>
      </c>
      <c r="EH19" s="18">
        <f t="shared" si="47"/>
        <v>95</v>
      </c>
      <c r="EI19" s="18">
        <f t="shared" si="48"/>
        <v>94</v>
      </c>
      <c r="EJ19" s="17">
        <f t="shared" si="49"/>
        <v>90.7</v>
      </c>
      <c r="EK19" s="18">
        <f t="shared" si="50"/>
        <v>93</v>
      </c>
      <c r="EL19" s="18">
        <f t="shared" si="51"/>
        <v>90.333333333333329</v>
      </c>
      <c r="EM19" s="18">
        <f t="shared" si="52"/>
        <v>92</v>
      </c>
      <c r="EN19" s="18">
        <f t="shared" si="53"/>
        <v>96</v>
      </c>
      <c r="EO19" s="17">
        <f t="shared" si="54"/>
        <v>92.533333333333331</v>
      </c>
      <c r="EP19" s="19">
        <f t="shared" si="55"/>
        <v>92.22</v>
      </c>
      <c r="EQ19" s="19">
        <f t="shared" si="56"/>
        <v>92.86</v>
      </c>
      <c r="ER19" s="19">
        <f t="shared" si="57"/>
        <v>91.820000000000007</v>
      </c>
      <c r="ES19" s="19">
        <f t="shared" si="58"/>
        <v>81.75</v>
      </c>
      <c r="ET19" s="19">
        <f t="shared" si="59"/>
        <v>84</v>
      </c>
      <c r="EU19" s="19">
        <f t="shared" si="60"/>
        <v>85</v>
      </c>
      <c r="EV19" s="19">
        <f t="shared" si="61"/>
        <v>85</v>
      </c>
      <c r="EW19" s="19">
        <f t="shared" si="62"/>
        <v>91</v>
      </c>
      <c r="EX19" s="19">
        <f t="shared" si="63"/>
        <v>94.24</v>
      </c>
      <c r="EY19" s="19">
        <f t="shared" si="64"/>
        <v>88.34</v>
      </c>
      <c r="EZ19" s="19">
        <f t="shared" si="65"/>
        <v>78.5</v>
      </c>
      <c r="FA19" s="19">
        <f t="shared" si="66"/>
        <v>92</v>
      </c>
      <c r="FB19" s="19">
        <f t="shared" si="67"/>
        <v>87</v>
      </c>
      <c r="FC19" s="19">
        <f t="shared" si="68"/>
        <v>91.366666666666674</v>
      </c>
      <c r="FD19" s="19">
        <f t="shared" si="69"/>
        <v>90.7</v>
      </c>
      <c r="FE19" s="19">
        <f t="shared" si="69"/>
        <v>93</v>
      </c>
      <c r="FF19" s="19">
        <f t="shared" si="70"/>
        <v>92.533333333333331</v>
      </c>
      <c r="FG19" s="19">
        <f t="shared" si="71"/>
        <v>88.901764705882357</v>
      </c>
    </row>
    <row r="20" spans="1:163" ht="18">
      <c r="A20" s="11">
        <v>16</v>
      </c>
      <c r="B20" s="104" t="s">
        <v>690</v>
      </c>
      <c r="C20" s="105" t="s">
        <v>581</v>
      </c>
      <c r="D20" s="106" t="s">
        <v>675</v>
      </c>
      <c r="E20" s="113">
        <v>84</v>
      </c>
      <c r="F20" s="107">
        <v>80</v>
      </c>
      <c r="G20" s="113">
        <v>85</v>
      </c>
      <c r="H20" s="107">
        <v>82</v>
      </c>
      <c r="I20" s="108">
        <v>91</v>
      </c>
      <c r="J20" s="108">
        <v>90</v>
      </c>
      <c r="K20" s="108">
        <v>81</v>
      </c>
      <c r="L20" s="108">
        <v>81</v>
      </c>
      <c r="M20" s="113">
        <v>87</v>
      </c>
      <c r="N20" s="107">
        <v>80</v>
      </c>
      <c r="O20" s="107">
        <v>81</v>
      </c>
      <c r="P20" s="107">
        <v>93</v>
      </c>
      <c r="Q20" s="107">
        <v>88</v>
      </c>
      <c r="R20" s="107">
        <v>85</v>
      </c>
      <c r="S20" s="107">
        <v>81</v>
      </c>
      <c r="T20" s="107">
        <v>82</v>
      </c>
      <c r="U20" s="109">
        <v>81</v>
      </c>
      <c r="V20" s="110">
        <v>91</v>
      </c>
      <c r="W20" s="111">
        <v>82</v>
      </c>
      <c r="X20" s="111">
        <v>84</v>
      </c>
      <c r="Y20" s="107">
        <v>82</v>
      </c>
      <c r="Z20" s="107">
        <v>80</v>
      </c>
      <c r="AA20" s="107">
        <v>79</v>
      </c>
      <c r="AB20" s="107">
        <v>88</v>
      </c>
      <c r="AC20" s="107">
        <v>83</v>
      </c>
      <c r="AD20" s="107">
        <v>83</v>
      </c>
      <c r="AE20" s="107">
        <v>83</v>
      </c>
      <c r="AF20" s="107">
        <v>85</v>
      </c>
      <c r="AG20" s="108">
        <v>83</v>
      </c>
      <c r="AH20" s="108">
        <v>84</v>
      </c>
      <c r="AI20" s="108">
        <v>75</v>
      </c>
      <c r="AJ20" s="108">
        <v>83</v>
      </c>
      <c r="AK20" s="107">
        <v>84</v>
      </c>
      <c r="AL20" s="107">
        <v>91</v>
      </c>
      <c r="AM20" s="107">
        <v>77</v>
      </c>
      <c r="AN20" s="107">
        <v>78</v>
      </c>
      <c r="AO20" s="107">
        <v>78</v>
      </c>
      <c r="AP20" s="107">
        <v>79</v>
      </c>
      <c r="AQ20" s="108">
        <v>83</v>
      </c>
      <c r="AR20" s="108">
        <v>90</v>
      </c>
      <c r="AS20" s="108">
        <v>72</v>
      </c>
      <c r="AT20" s="108">
        <v>81</v>
      </c>
      <c r="AU20" s="107">
        <v>79</v>
      </c>
      <c r="AV20" s="107">
        <v>79</v>
      </c>
      <c r="AW20" s="107">
        <v>83</v>
      </c>
      <c r="AX20" s="107">
        <v>90</v>
      </c>
      <c r="AY20" s="107">
        <v>80</v>
      </c>
      <c r="AZ20" s="107">
        <v>80</v>
      </c>
      <c r="BA20" s="107">
        <v>78</v>
      </c>
      <c r="BB20" s="107">
        <v>80</v>
      </c>
      <c r="BC20" s="107">
        <v>83</v>
      </c>
      <c r="BD20" s="112">
        <v>84</v>
      </c>
      <c r="BE20" s="96">
        <v>81</v>
      </c>
      <c r="BF20" s="96">
        <v>81</v>
      </c>
      <c r="BG20" s="96">
        <v>85</v>
      </c>
      <c r="BH20" s="130">
        <v>95</v>
      </c>
      <c r="BI20" s="95">
        <v>81</v>
      </c>
      <c r="BJ20" s="95">
        <v>81</v>
      </c>
      <c r="BK20" s="95">
        <v>83</v>
      </c>
      <c r="BL20" s="130">
        <v>95</v>
      </c>
      <c r="BM20" s="95">
        <v>84</v>
      </c>
      <c r="BN20" s="95">
        <v>84</v>
      </c>
      <c r="BO20" s="95">
        <v>85</v>
      </c>
      <c r="BP20" s="130">
        <v>95</v>
      </c>
      <c r="BQ20" s="95">
        <v>81</v>
      </c>
      <c r="BR20" s="95">
        <v>81</v>
      </c>
      <c r="BS20" s="95">
        <v>83</v>
      </c>
      <c r="BT20" s="130">
        <v>95</v>
      </c>
      <c r="BU20" s="15">
        <f t="shared" si="19"/>
        <v>81.75</v>
      </c>
      <c r="BV20" s="15">
        <f t="shared" si="20"/>
        <v>81.75</v>
      </c>
      <c r="BW20" s="15">
        <f t="shared" si="21"/>
        <v>84</v>
      </c>
      <c r="BX20" s="15">
        <f t="shared" si="22"/>
        <v>95</v>
      </c>
      <c r="BY20" s="108">
        <v>83</v>
      </c>
      <c r="BZ20" s="108">
        <v>83</v>
      </c>
      <c r="CA20" s="108">
        <v>82</v>
      </c>
      <c r="CB20" s="126">
        <v>95</v>
      </c>
      <c r="CC20" s="126">
        <v>92</v>
      </c>
      <c r="CD20" s="126">
        <v>80</v>
      </c>
      <c r="CE20" s="107">
        <v>89</v>
      </c>
      <c r="CF20" s="107">
        <v>76</v>
      </c>
      <c r="CG20" s="107">
        <v>90</v>
      </c>
      <c r="CH20" s="39">
        <v>83</v>
      </c>
      <c r="CI20" s="39">
        <v>95</v>
      </c>
      <c r="CJ20" s="39">
        <v>86</v>
      </c>
      <c r="CK20" s="39">
        <v>87</v>
      </c>
      <c r="CL20" s="39">
        <v>82</v>
      </c>
      <c r="CM20" s="39">
        <v>88</v>
      </c>
      <c r="CN20" s="39">
        <v>85</v>
      </c>
      <c r="CO20" s="39">
        <v>85</v>
      </c>
      <c r="CP20" s="39">
        <v>85</v>
      </c>
      <c r="CQ20" s="41">
        <f t="shared" si="0"/>
        <v>84.4</v>
      </c>
      <c r="CR20" s="41">
        <f t="shared" si="1"/>
        <v>90</v>
      </c>
      <c r="CS20" s="41">
        <f t="shared" si="23"/>
        <v>83</v>
      </c>
      <c r="CT20" s="17">
        <f t="shared" si="24"/>
        <v>85.66</v>
      </c>
      <c r="CU20" s="16">
        <f t="shared" si="2"/>
        <v>82</v>
      </c>
      <c r="CV20" s="16">
        <f t="shared" si="3"/>
        <v>93</v>
      </c>
      <c r="CW20" s="16">
        <f t="shared" si="25"/>
        <v>95</v>
      </c>
      <c r="CX20" s="17">
        <f t="shared" si="26"/>
        <v>89.2</v>
      </c>
      <c r="CY20" s="17">
        <f t="shared" si="4"/>
        <v>83.4</v>
      </c>
      <c r="CZ20" s="17">
        <f t="shared" si="5"/>
        <v>91</v>
      </c>
      <c r="DA20" s="17">
        <f t="shared" si="27"/>
        <v>86</v>
      </c>
      <c r="DB20" s="17">
        <f t="shared" si="28"/>
        <v>86.460000000000008</v>
      </c>
      <c r="DC20" s="18">
        <f t="shared" si="6"/>
        <v>82</v>
      </c>
      <c r="DD20" s="18">
        <f t="shared" si="29"/>
        <v>82</v>
      </c>
      <c r="DE20" s="18">
        <f t="shared" si="7"/>
        <v>83.25</v>
      </c>
      <c r="DF20" s="18">
        <f t="shared" si="30"/>
        <v>83.25</v>
      </c>
      <c r="DG20" s="18">
        <f t="shared" si="8"/>
        <v>84</v>
      </c>
      <c r="DH20" s="18">
        <f t="shared" si="31"/>
        <v>84</v>
      </c>
      <c r="DI20" s="18">
        <f t="shared" si="9"/>
        <v>81.25</v>
      </c>
      <c r="DJ20" s="18">
        <f t="shared" si="32"/>
        <v>81.25</v>
      </c>
      <c r="DK20" s="18">
        <f t="shared" si="10"/>
        <v>84</v>
      </c>
      <c r="DL20" s="18">
        <f t="shared" si="11"/>
        <v>91</v>
      </c>
      <c r="DM20" s="18">
        <f t="shared" si="33"/>
        <v>87</v>
      </c>
      <c r="DN20" s="17">
        <f t="shared" si="34"/>
        <v>87</v>
      </c>
      <c r="DO20" s="18">
        <f t="shared" si="12"/>
        <v>79</v>
      </c>
      <c r="DP20" s="18">
        <f t="shared" si="13"/>
        <v>90</v>
      </c>
      <c r="DQ20" s="18">
        <f t="shared" si="35"/>
        <v>82</v>
      </c>
      <c r="DR20" s="17">
        <f t="shared" si="36"/>
        <v>83.2</v>
      </c>
      <c r="DS20" s="18">
        <f t="shared" si="14"/>
        <v>78.8</v>
      </c>
      <c r="DT20" s="18">
        <f t="shared" si="15"/>
        <v>90</v>
      </c>
      <c r="DU20" s="18">
        <f t="shared" si="37"/>
        <v>88</v>
      </c>
      <c r="DV20" s="17">
        <f t="shared" si="38"/>
        <v>84.92</v>
      </c>
      <c r="DW20" s="18">
        <f t="shared" si="16"/>
        <v>80</v>
      </c>
      <c r="DX20" s="18">
        <f t="shared" si="39"/>
        <v>80</v>
      </c>
      <c r="DY20" s="18">
        <f t="shared" si="17"/>
        <v>79</v>
      </c>
      <c r="DZ20" s="18">
        <f t="shared" si="40"/>
        <v>79</v>
      </c>
      <c r="EA20" s="18">
        <f t="shared" si="18"/>
        <v>83.5</v>
      </c>
      <c r="EB20" s="17">
        <f t="shared" si="41"/>
        <v>83.5</v>
      </c>
      <c r="EC20" s="18">
        <f t="shared" si="42"/>
        <v>82.5</v>
      </c>
      <c r="ED20" s="18">
        <f t="shared" si="43"/>
        <v>95</v>
      </c>
      <c r="EE20" s="18">
        <f t="shared" si="44"/>
        <v>85</v>
      </c>
      <c r="EF20" s="17">
        <f t="shared" si="45"/>
        <v>87</v>
      </c>
      <c r="EG20" s="18">
        <f t="shared" si="46"/>
        <v>82.666666666666671</v>
      </c>
      <c r="EH20" s="18">
        <f t="shared" si="47"/>
        <v>95</v>
      </c>
      <c r="EI20" s="18">
        <f t="shared" si="48"/>
        <v>85</v>
      </c>
      <c r="EJ20" s="17">
        <f t="shared" si="49"/>
        <v>87.066666666666677</v>
      </c>
      <c r="EK20" s="18">
        <f t="shared" si="50"/>
        <v>92</v>
      </c>
      <c r="EL20" s="18">
        <f t="shared" si="51"/>
        <v>81.666666666666671</v>
      </c>
      <c r="EM20" s="18">
        <f t="shared" si="52"/>
        <v>90</v>
      </c>
      <c r="EN20" s="18">
        <f t="shared" si="53"/>
        <v>85</v>
      </c>
      <c r="EO20" s="17">
        <f t="shared" si="54"/>
        <v>85.166666666666671</v>
      </c>
      <c r="EP20" s="19">
        <f t="shared" si="55"/>
        <v>85.66</v>
      </c>
      <c r="EQ20" s="19">
        <f t="shared" si="56"/>
        <v>89.2</v>
      </c>
      <c r="ER20" s="19">
        <f t="shared" si="57"/>
        <v>86.460000000000008</v>
      </c>
      <c r="ES20" s="19">
        <f t="shared" si="58"/>
        <v>82</v>
      </c>
      <c r="ET20" s="19">
        <f t="shared" si="59"/>
        <v>83.25</v>
      </c>
      <c r="EU20" s="19">
        <f t="shared" si="60"/>
        <v>84</v>
      </c>
      <c r="EV20" s="19">
        <f t="shared" si="61"/>
        <v>81.25</v>
      </c>
      <c r="EW20" s="19">
        <f t="shared" si="62"/>
        <v>87</v>
      </c>
      <c r="EX20" s="19">
        <f t="shared" si="63"/>
        <v>83.2</v>
      </c>
      <c r="EY20" s="19">
        <f t="shared" si="64"/>
        <v>84.92</v>
      </c>
      <c r="EZ20" s="19">
        <f t="shared" si="65"/>
        <v>80</v>
      </c>
      <c r="FA20" s="19">
        <f t="shared" si="66"/>
        <v>79</v>
      </c>
      <c r="FB20" s="19">
        <f t="shared" si="67"/>
        <v>83.5</v>
      </c>
      <c r="FC20" s="19">
        <f t="shared" si="68"/>
        <v>87</v>
      </c>
      <c r="FD20" s="19">
        <f t="shared" si="69"/>
        <v>87.066666666666677</v>
      </c>
      <c r="FE20" s="19">
        <f t="shared" si="69"/>
        <v>92</v>
      </c>
      <c r="FF20" s="19">
        <f t="shared" si="70"/>
        <v>85.166666666666671</v>
      </c>
      <c r="FG20" s="19">
        <f t="shared" si="71"/>
        <v>84.745490196078435</v>
      </c>
    </row>
    <row r="21" spans="1:163" ht="18">
      <c r="A21" s="11">
        <v>17</v>
      </c>
      <c r="B21" s="104" t="s">
        <v>691</v>
      </c>
      <c r="C21" s="105" t="s">
        <v>583</v>
      </c>
      <c r="D21" s="106" t="s">
        <v>675</v>
      </c>
      <c r="E21" s="113">
        <v>80</v>
      </c>
      <c r="F21" s="107">
        <v>85</v>
      </c>
      <c r="G21" s="113">
        <v>85</v>
      </c>
      <c r="H21" s="107">
        <v>85</v>
      </c>
      <c r="I21" s="108">
        <v>89</v>
      </c>
      <c r="J21" s="108">
        <v>87</v>
      </c>
      <c r="K21" s="108">
        <v>81</v>
      </c>
      <c r="L21" s="108">
        <v>83</v>
      </c>
      <c r="M21" s="113">
        <v>95</v>
      </c>
      <c r="N21" s="107">
        <v>95</v>
      </c>
      <c r="O21" s="107">
        <v>95</v>
      </c>
      <c r="P21" s="107">
        <v>85</v>
      </c>
      <c r="Q21" s="107">
        <v>92</v>
      </c>
      <c r="R21" s="107">
        <v>85</v>
      </c>
      <c r="S21" s="107">
        <v>85</v>
      </c>
      <c r="T21" s="107">
        <v>86</v>
      </c>
      <c r="U21" s="109">
        <v>84</v>
      </c>
      <c r="V21" s="110">
        <v>85</v>
      </c>
      <c r="W21" s="111">
        <v>84</v>
      </c>
      <c r="X21" s="111">
        <v>85</v>
      </c>
      <c r="Y21" s="107">
        <v>84</v>
      </c>
      <c r="Z21" s="107">
        <v>80</v>
      </c>
      <c r="AA21" s="107">
        <v>80</v>
      </c>
      <c r="AB21" s="107">
        <v>88</v>
      </c>
      <c r="AC21" s="107">
        <v>83</v>
      </c>
      <c r="AD21" s="107">
        <v>83</v>
      </c>
      <c r="AE21" s="107">
        <v>90</v>
      </c>
      <c r="AF21" s="107">
        <v>86</v>
      </c>
      <c r="AG21" s="108">
        <v>86</v>
      </c>
      <c r="AH21" s="108">
        <v>85</v>
      </c>
      <c r="AI21" s="108">
        <v>71</v>
      </c>
      <c r="AJ21" s="108">
        <v>83</v>
      </c>
      <c r="AK21" s="107">
        <v>88</v>
      </c>
      <c r="AL21" s="107">
        <v>85</v>
      </c>
      <c r="AM21" s="107">
        <v>73</v>
      </c>
      <c r="AN21" s="107">
        <v>74</v>
      </c>
      <c r="AO21" s="107">
        <v>87</v>
      </c>
      <c r="AP21" s="107">
        <v>86</v>
      </c>
      <c r="AQ21" s="108">
        <v>87</v>
      </c>
      <c r="AR21" s="108">
        <v>85</v>
      </c>
      <c r="AS21" s="108">
        <v>78</v>
      </c>
      <c r="AT21" s="108">
        <v>83</v>
      </c>
      <c r="AU21" s="107">
        <v>77</v>
      </c>
      <c r="AV21" s="107">
        <v>82</v>
      </c>
      <c r="AW21" s="107">
        <v>81</v>
      </c>
      <c r="AX21" s="107">
        <v>85</v>
      </c>
      <c r="AY21" s="107">
        <v>77</v>
      </c>
      <c r="AZ21" s="107">
        <v>83</v>
      </c>
      <c r="BA21" s="107">
        <v>83</v>
      </c>
      <c r="BB21" s="107">
        <v>82</v>
      </c>
      <c r="BC21" s="107">
        <v>83</v>
      </c>
      <c r="BD21" s="112">
        <v>84</v>
      </c>
      <c r="BE21" s="96">
        <v>84</v>
      </c>
      <c r="BF21" s="96">
        <v>85</v>
      </c>
      <c r="BG21" s="96">
        <v>89</v>
      </c>
      <c r="BH21" s="130">
        <v>85</v>
      </c>
      <c r="BI21" s="95">
        <v>84</v>
      </c>
      <c r="BJ21" s="95">
        <v>84</v>
      </c>
      <c r="BK21" s="95">
        <v>85</v>
      </c>
      <c r="BL21" s="130">
        <v>85</v>
      </c>
      <c r="BM21" s="95">
        <v>85</v>
      </c>
      <c r="BN21" s="95">
        <v>85</v>
      </c>
      <c r="BO21" s="95">
        <v>86</v>
      </c>
      <c r="BP21" s="130">
        <v>85</v>
      </c>
      <c r="BQ21" s="95">
        <v>84</v>
      </c>
      <c r="BR21" s="95">
        <v>84</v>
      </c>
      <c r="BS21" s="95">
        <v>85</v>
      </c>
      <c r="BT21" s="130">
        <v>85</v>
      </c>
      <c r="BU21" s="15">
        <f t="shared" si="19"/>
        <v>84.25</v>
      </c>
      <c r="BV21" s="15">
        <f t="shared" si="20"/>
        <v>84.5</v>
      </c>
      <c r="BW21" s="15">
        <f t="shared" si="21"/>
        <v>86.25</v>
      </c>
      <c r="BX21" s="15">
        <f t="shared" si="22"/>
        <v>85</v>
      </c>
      <c r="BY21" s="108">
        <v>85</v>
      </c>
      <c r="BZ21" s="108">
        <v>84</v>
      </c>
      <c r="CA21" s="108">
        <v>84</v>
      </c>
      <c r="CB21" s="126">
        <v>85</v>
      </c>
      <c r="CC21" s="126">
        <v>85</v>
      </c>
      <c r="CD21" s="126">
        <v>77</v>
      </c>
      <c r="CE21" s="107">
        <v>89</v>
      </c>
      <c r="CF21" s="107">
        <v>77</v>
      </c>
      <c r="CG21" s="107">
        <v>85</v>
      </c>
      <c r="CH21" s="39">
        <v>90</v>
      </c>
      <c r="CI21" s="39">
        <v>95</v>
      </c>
      <c r="CJ21" s="39">
        <v>90</v>
      </c>
      <c r="CK21" s="39">
        <v>94</v>
      </c>
      <c r="CL21" s="39">
        <v>87</v>
      </c>
      <c r="CM21" s="39">
        <v>83</v>
      </c>
      <c r="CN21" s="39">
        <v>92</v>
      </c>
      <c r="CO21" s="39">
        <v>89</v>
      </c>
      <c r="CP21" s="39">
        <v>92</v>
      </c>
      <c r="CQ21" s="41">
        <f t="shared" si="0"/>
        <v>84.8</v>
      </c>
      <c r="CR21" s="41">
        <f t="shared" si="1"/>
        <v>87</v>
      </c>
      <c r="CS21" s="41">
        <f t="shared" si="23"/>
        <v>90</v>
      </c>
      <c r="CT21" s="17">
        <f t="shared" si="24"/>
        <v>87.02000000000001</v>
      </c>
      <c r="CU21" s="16">
        <f t="shared" si="2"/>
        <v>89.8</v>
      </c>
      <c r="CV21" s="16">
        <f t="shared" si="3"/>
        <v>85</v>
      </c>
      <c r="CW21" s="16">
        <f t="shared" si="25"/>
        <v>95</v>
      </c>
      <c r="CX21" s="17">
        <f t="shared" si="26"/>
        <v>89.92</v>
      </c>
      <c r="CY21" s="17">
        <f t="shared" si="4"/>
        <v>86.4</v>
      </c>
      <c r="CZ21" s="17">
        <f t="shared" si="5"/>
        <v>85</v>
      </c>
      <c r="DA21" s="17">
        <f t="shared" si="27"/>
        <v>90</v>
      </c>
      <c r="DB21" s="17">
        <f t="shared" si="28"/>
        <v>87.06</v>
      </c>
      <c r="DC21" s="18">
        <f t="shared" si="6"/>
        <v>83.25</v>
      </c>
      <c r="DD21" s="18">
        <f t="shared" si="29"/>
        <v>83.25</v>
      </c>
      <c r="DE21" s="18">
        <f t="shared" si="7"/>
        <v>83.5</v>
      </c>
      <c r="DF21" s="18">
        <f t="shared" si="30"/>
        <v>83.5</v>
      </c>
      <c r="DG21" s="18">
        <f t="shared" si="8"/>
        <v>88</v>
      </c>
      <c r="DH21" s="18">
        <f t="shared" si="31"/>
        <v>88</v>
      </c>
      <c r="DI21" s="18">
        <f t="shared" si="9"/>
        <v>81.25</v>
      </c>
      <c r="DJ21" s="18">
        <f t="shared" si="32"/>
        <v>81.25</v>
      </c>
      <c r="DK21" s="18">
        <f t="shared" si="10"/>
        <v>88</v>
      </c>
      <c r="DL21" s="18">
        <f t="shared" si="11"/>
        <v>85</v>
      </c>
      <c r="DM21" s="18">
        <f t="shared" si="33"/>
        <v>94</v>
      </c>
      <c r="DN21" s="17">
        <f t="shared" si="34"/>
        <v>88.9</v>
      </c>
      <c r="DO21" s="18">
        <f t="shared" si="12"/>
        <v>81.400000000000006</v>
      </c>
      <c r="DP21" s="18">
        <f t="shared" si="13"/>
        <v>85</v>
      </c>
      <c r="DQ21" s="18">
        <f t="shared" si="35"/>
        <v>87</v>
      </c>
      <c r="DR21" s="17">
        <f t="shared" si="36"/>
        <v>84.16</v>
      </c>
      <c r="DS21" s="18">
        <f t="shared" si="14"/>
        <v>80.2</v>
      </c>
      <c r="DT21" s="18">
        <f t="shared" si="15"/>
        <v>85</v>
      </c>
      <c r="DU21" s="18">
        <f t="shared" si="37"/>
        <v>83</v>
      </c>
      <c r="DV21" s="17">
        <f t="shared" si="38"/>
        <v>82.47999999999999</v>
      </c>
      <c r="DW21" s="18">
        <f t="shared" si="16"/>
        <v>80</v>
      </c>
      <c r="DX21" s="18">
        <f t="shared" si="39"/>
        <v>80</v>
      </c>
      <c r="DY21" s="18">
        <f t="shared" si="17"/>
        <v>82.5</v>
      </c>
      <c r="DZ21" s="18">
        <f t="shared" si="40"/>
        <v>82.5</v>
      </c>
      <c r="EA21" s="18">
        <f t="shared" si="18"/>
        <v>83.5</v>
      </c>
      <c r="EB21" s="17">
        <f t="shared" si="41"/>
        <v>83.5</v>
      </c>
      <c r="EC21" s="18">
        <f t="shared" si="42"/>
        <v>85</v>
      </c>
      <c r="ED21" s="18">
        <f t="shared" si="43"/>
        <v>85</v>
      </c>
      <c r="EE21" s="18">
        <f t="shared" si="44"/>
        <v>92</v>
      </c>
      <c r="EF21" s="17">
        <f t="shared" si="45"/>
        <v>87.1</v>
      </c>
      <c r="EG21" s="18">
        <f t="shared" si="46"/>
        <v>84.333333333333329</v>
      </c>
      <c r="EH21" s="18">
        <f t="shared" si="47"/>
        <v>85</v>
      </c>
      <c r="EI21" s="18">
        <f t="shared" si="48"/>
        <v>89</v>
      </c>
      <c r="EJ21" s="17">
        <f t="shared" si="49"/>
        <v>85.933333333333323</v>
      </c>
      <c r="EK21" s="18">
        <f t="shared" si="50"/>
        <v>85</v>
      </c>
      <c r="EL21" s="18">
        <f t="shared" si="51"/>
        <v>81</v>
      </c>
      <c r="EM21" s="18">
        <f t="shared" si="52"/>
        <v>85</v>
      </c>
      <c r="EN21" s="18">
        <f t="shared" si="53"/>
        <v>92</v>
      </c>
      <c r="EO21" s="17">
        <f t="shared" si="54"/>
        <v>85.5</v>
      </c>
      <c r="EP21" s="19">
        <f t="shared" si="55"/>
        <v>87.02000000000001</v>
      </c>
      <c r="EQ21" s="19">
        <f t="shared" si="56"/>
        <v>89.92</v>
      </c>
      <c r="ER21" s="19">
        <f t="shared" si="57"/>
        <v>87.06</v>
      </c>
      <c r="ES21" s="19">
        <f t="shared" si="58"/>
        <v>83.25</v>
      </c>
      <c r="ET21" s="19">
        <f t="shared" si="59"/>
        <v>83.5</v>
      </c>
      <c r="EU21" s="19">
        <f t="shared" si="60"/>
        <v>88</v>
      </c>
      <c r="EV21" s="19">
        <f t="shared" si="61"/>
        <v>81.25</v>
      </c>
      <c r="EW21" s="19">
        <f t="shared" si="62"/>
        <v>88.9</v>
      </c>
      <c r="EX21" s="19">
        <f t="shared" si="63"/>
        <v>84.16</v>
      </c>
      <c r="EY21" s="19">
        <f t="shared" si="64"/>
        <v>82.47999999999999</v>
      </c>
      <c r="EZ21" s="19">
        <f t="shared" si="65"/>
        <v>80</v>
      </c>
      <c r="FA21" s="19">
        <f t="shared" si="66"/>
        <v>82.5</v>
      </c>
      <c r="FB21" s="19">
        <f t="shared" si="67"/>
        <v>83.5</v>
      </c>
      <c r="FC21" s="19">
        <f t="shared" si="68"/>
        <v>87.1</v>
      </c>
      <c r="FD21" s="19">
        <f t="shared" si="69"/>
        <v>85.933333333333323</v>
      </c>
      <c r="FE21" s="19">
        <f t="shared" si="69"/>
        <v>85</v>
      </c>
      <c r="FF21" s="19">
        <f t="shared" si="70"/>
        <v>85.5</v>
      </c>
      <c r="FG21" s="19">
        <f t="shared" si="71"/>
        <v>85.004313725490192</v>
      </c>
    </row>
    <row r="22" spans="1:163" ht="18">
      <c r="A22" s="11">
        <v>18</v>
      </c>
      <c r="B22" s="104" t="s">
        <v>692</v>
      </c>
      <c r="C22" s="105" t="s">
        <v>585</v>
      </c>
      <c r="D22" s="106" t="s">
        <v>675</v>
      </c>
      <c r="E22" s="113">
        <v>98</v>
      </c>
      <c r="F22" s="107">
        <v>95</v>
      </c>
      <c r="G22" s="113">
        <v>85</v>
      </c>
      <c r="H22" s="107">
        <v>88</v>
      </c>
      <c r="I22" s="108">
        <v>95</v>
      </c>
      <c r="J22" s="108">
        <v>90</v>
      </c>
      <c r="K22" s="108">
        <v>87</v>
      </c>
      <c r="L22" s="108">
        <v>95</v>
      </c>
      <c r="M22" s="113">
        <v>86</v>
      </c>
      <c r="N22" s="107">
        <v>95</v>
      </c>
      <c r="O22" s="107">
        <v>95</v>
      </c>
      <c r="P22" s="107">
        <v>95</v>
      </c>
      <c r="Q22" s="107">
        <v>96</v>
      </c>
      <c r="R22" s="107">
        <v>94</v>
      </c>
      <c r="S22" s="107">
        <v>91</v>
      </c>
      <c r="T22" s="107">
        <v>93</v>
      </c>
      <c r="U22" s="109">
        <v>93</v>
      </c>
      <c r="V22" s="110">
        <v>90</v>
      </c>
      <c r="W22" s="111">
        <v>82</v>
      </c>
      <c r="X22" s="111">
        <v>85</v>
      </c>
      <c r="Y22" s="107">
        <v>75</v>
      </c>
      <c r="Z22" s="107">
        <v>85</v>
      </c>
      <c r="AA22" s="107">
        <v>88</v>
      </c>
      <c r="AB22" s="107">
        <v>92</v>
      </c>
      <c r="AC22" s="107">
        <v>80</v>
      </c>
      <c r="AD22" s="107">
        <v>86</v>
      </c>
      <c r="AE22" s="107">
        <v>92</v>
      </c>
      <c r="AF22" s="107">
        <v>92</v>
      </c>
      <c r="AG22" s="108">
        <v>87</v>
      </c>
      <c r="AH22" s="108">
        <v>86</v>
      </c>
      <c r="AI22" s="108">
        <v>84</v>
      </c>
      <c r="AJ22" s="108">
        <v>86</v>
      </c>
      <c r="AK22" s="107">
        <v>89</v>
      </c>
      <c r="AL22" s="107">
        <v>90</v>
      </c>
      <c r="AM22" s="107">
        <v>86</v>
      </c>
      <c r="AN22" s="107">
        <v>88</v>
      </c>
      <c r="AO22" s="107">
        <v>93</v>
      </c>
      <c r="AP22" s="107">
        <v>93</v>
      </c>
      <c r="AQ22" s="108">
        <v>95</v>
      </c>
      <c r="AR22" s="108">
        <v>93</v>
      </c>
      <c r="AS22" s="108">
        <v>93</v>
      </c>
      <c r="AT22" s="108">
        <v>92</v>
      </c>
      <c r="AU22" s="107">
        <v>82</v>
      </c>
      <c r="AV22" s="107">
        <v>90</v>
      </c>
      <c r="AW22" s="107">
        <v>88</v>
      </c>
      <c r="AX22" s="107">
        <v>93</v>
      </c>
      <c r="AY22" s="107">
        <v>78</v>
      </c>
      <c r="AZ22" s="107">
        <v>81</v>
      </c>
      <c r="BA22" s="107">
        <v>90</v>
      </c>
      <c r="BB22" s="107">
        <v>92</v>
      </c>
      <c r="BC22" s="107">
        <v>86</v>
      </c>
      <c r="BD22" s="112">
        <v>86</v>
      </c>
      <c r="BE22" s="96">
        <v>83</v>
      </c>
      <c r="BF22" s="96">
        <v>87</v>
      </c>
      <c r="BG22" s="96">
        <v>89</v>
      </c>
      <c r="BH22" s="130">
        <v>93</v>
      </c>
      <c r="BI22" s="95">
        <v>83</v>
      </c>
      <c r="BJ22" s="95">
        <v>85</v>
      </c>
      <c r="BK22" s="95">
        <v>85</v>
      </c>
      <c r="BL22" s="130">
        <v>93</v>
      </c>
      <c r="BM22" s="95">
        <v>83</v>
      </c>
      <c r="BN22" s="95">
        <v>87</v>
      </c>
      <c r="BO22" s="95">
        <v>86</v>
      </c>
      <c r="BP22" s="130">
        <v>93</v>
      </c>
      <c r="BQ22" s="95">
        <v>81</v>
      </c>
      <c r="BR22" s="95">
        <v>87</v>
      </c>
      <c r="BS22" s="95">
        <v>86</v>
      </c>
      <c r="BT22" s="130">
        <v>93</v>
      </c>
      <c r="BU22" s="15">
        <f t="shared" si="19"/>
        <v>82.5</v>
      </c>
      <c r="BV22" s="15">
        <f t="shared" si="20"/>
        <v>86.5</v>
      </c>
      <c r="BW22" s="15">
        <f t="shared" si="21"/>
        <v>86.5</v>
      </c>
      <c r="BX22" s="15">
        <f t="shared" si="22"/>
        <v>93</v>
      </c>
      <c r="BY22" s="108">
        <v>82</v>
      </c>
      <c r="BZ22" s="108">
        <v>86</v>
      </c>
      <c r="CA22" s="108">
        <v>86</v>
      </c>
      <c r="CB22" s="126">
        <v>93</v>
      </c>
      <c r="CC22" s="126">
        <v>92</v>
      </c>
      <c r="CD22" s="126">
        <v>77</v>
      </c>
      <c r="CE22" s="107">
        <v>91</v>
      </c>
      <c r="CF22" s="107">
        <v>93</v>
      </c>
      <c r="CG22" s="107">
        <v>93</v>
      </c>
      <c r="CH22" s="39">
        <v>93</v>
      </c>
      <c r="CI22" s="39">
        <v>95</v>
      </c>
      <c r="CJ22" s="39">
        <v>90</v>
      </c>
      <c r="CK22" s="39">
        <v>94</v>
      </c>
      <c r="CL22" s="39">
        <v>94</v>
      </c>
      <c r="CM22" s="39">
        <v>88</v>
      </c>
      <c r="CN22" s="39">
        <v>93</v>
      </c>
      <c r="CO22" s="39">
        <v>88</v>
      </c>
      <c r="CP22" s="39">
        <v>85</v>
      </c>
      <c r="CQ22" s="41">
        <f t="shared" si="0"/>
        <v>92.2</v>
      </c>
      <c r="CR22" s="41">
        <f t="shared" si="1"/>
        <v>90</v>
      </c>
      <c r="CS22" s="41">
        <f t="shared" si="23"/>
        <v>93</v>
      </c>
      <c r="CT22" s="17">
        <f t="shared" si="24"/>
        <v>91.78</v>
      </c>
      <c r="CU22" s="16">
        <f t="shared" si="2"/>
        <v>91.6</v>
      </c>
      <c r="CV22" s="16">
        <f t="shared" si="3"/>
        <v>95</v>
      </c>
      <c r="CW22" s="16">
        <f t="shared" si="25"/>
        <v>95</v>
      </c>
      <c r="CX22" s="17">
        <f t="shared" si="26"/>
        <v>93.64</v>
      </c>
      <c r="CY22" s="17">
        <f t="shared" si="4"/>
        <v>93.4</v>
      </c>
      <c r="CZ22" s="17">
        <f t="shared" si="5"/>
        <v>90</v>
      </c>
      <c r="DA22" s="17">
        <f t="shared" si="27"/>
        <v>90</v>
      </c>
      <c r="DB22" s="17">
        <f t="shared" si="28"/>
        <v>91.36</v>
      </c>
      <c r="DC22" s="18">
        <f t="shared" si="6"/>
        <v>81.75</v>
      </c>
      <c r="DD22" s="18">
        <f t="shared" si="29"/>
        <v>81.75</v>
      </c>
      <c r="DE22" s="18">
        <f t="shared" si="7"/>
        <v>86.5</v>
      </c>
      <c r="DF22" s="18">
        <f t="shared" si="30"/>
        <v>86.5</v>
      </c>
      <c r="DG22" s="18">
        <f t="shared" si="8"/>
        <v>92</v>
      </c>
      <c r="DH22" s="18">
        <f t="shared" si="31"/>
        <v>92</v>
      </c>
      <c r="DI22" s="18">
        <f t="shared" si="9"/>
        <v>85.75</v>
      </c>
      <c r="DJ22" s="18">
        <f t="shared" si="32"/>
        <v>85.75</v>
      </c>
      <c r="DK22" s="18">
        <f t="shared" si="10"/>
        <v>89</v>
      </c>
      <c r="DL22" s="18">
        <f t="shared" si="11"/>
        <v>90</v>
      </c>
      <c r="DM22" s="18">
        <f t="shared" si="33"/>
        <v>94</v>
      </c>
      <c r="DN22" s="17">
        <f t="shared" si="34"/>
        <v>90.8</v>
      </c>
      <c r="DO22" s="18">
        <f t="shared" si="12"/>
        <v>91</v>
      </c>
      <c r="DP22" s="18">
        <f t="shared" si="13"/>
        <v>93</v>
      </c>
      <c r="DQ22" s="18">
        <f t="shared" si="35"/>
        <v>94</v>
      </c>
      <c r="DR22" s="17">
        <f t="shared" si="36"/>
        <v>92.5</v>
      </c>
      <c r="DS22" s="18">
        <f t="shared" si="14"/>
        <v>89</v>
      </c>
      <c r="DT22" s="18">
        <f t="shared" si="15"/>
        <v>93</v>
      </c>
      <c r="DU22" s="18">
        <f t="shared" si="37"/>
        <v>88</v>
      </c>
      <c r="DV22" s="17">
        <f t="shared" si="38"/>
        <v>89.9</v>
      </c>
      <c r="DW22" s="18">
        <f t="shared" si="16"/>
        <v>79.5</v>
      </c>
      <c r="DX22" s="18">
        <f t="shared" si="39"/>
        <v>79.5</v>
      </c>
      <c r="DY22" s="18">
        <f t="shared" si="17"/>
        <v>91</v>
      </c>
      <c r="DZ22" s="18">
        <f t="shared" si="40"/>
        <v>91</v>
      </c>
      <c r="EA22" s="18">
        <f t="shared" si="18"/>
        <v>86</v>
      </c>
      <c r="EB22" s="17">
        <f t="shared" si="41"/>
        <v>86</v>
      </c>
      <c r="EC22" s="18">
        <f t="shared" si="42"/>
        <v>85.166666666666671</v>
      </c>
      <c r="ED22" s="18">
        <f t="shared" si="43"/>
        <v>93</v>
      </c>
      <c r="EE22" s="18">
        <f t="shared" si="44"/>
        <v>85</v>
      </c>
      <c r="EF22" s="17">
        <f t="shared" si="45"/>
        <v>87.466666666666669</v>
      </c>
      <c r="EG22" s="18">
        <f t="shared" si="46"/>
        <v>84.666666666666671</v>
      </c>
      <c r="EH22" s="18">
        <f t="shared" si="47"/>
        <v>93</v>
      </c>
      <c r="EI22" s="18">
        <f t="shared" si="48"/>
        <v>88</v>
      </c>
      <c r="EJ22" s="17">
        <f t="shared" si="49"/>
        <v>88.166666666666671</v>
      </c>
      <c r="EK22" s="18">
        <f t="shared" si="50"/>
        <v>92</v>
      </c>
      <c r="EL22" s="18">
        <f t="shared" si="51"/>
        <v>87</v>
      </c>
      <c r="EM22" s="18">
        <f t="shared" si="52"/>
        <v>93</v>
      </c>
      <c r="EN22" s="18">
        <f t="shared" si="53"/>
        <v>93</v>
      </c>
      <c r="EO22" s="17">
        <f t="shared" si="54"/>
        <v>90.6</v>
      </c>
      <c r="EP22" s="19">
        <f t="shared" si="55"/>
        <v>91.78</v>
      </c>
      <c r="EQ22" s="19">
        <f t="shared" si="56"/>
        <v>93.64</v>
      </c>
      <c r="ER22" s="19">
        <f t="shared" si="57"/>
        <v>91.36</v>
      </c>
      <c r="ES22" s="19">
        <f t="shared" si="58"/>
        <v>81.75</v>
      </c>
      <c r="ET22" s="19">
        <f t="shared" si="59"/>
        <v>86.5</v>
      </c>
      <c r="EU22" s="19">
        <f t="shared" si="60"/>
        <v>92</v>
      </c>
      <c r="EV22" s="19">
        <f t="shared" si="61"/>
        <v>85.75</v>
      </c>
      <c r="EW22" s="19">
        <f t="shared" si="62"/>
        <v>90.8</v>
      </c>
      <c r="EX22" s="19">
        <f t="shared" si="63"/>
        <v>92.5</v>
      </c>
      <c r="EY22" s="19">
        <f t="shared" si="64"/>
        <v>89.9</v>
      </c>
      <c r="EZ22" s="19">
        <f t="shared" si="65"/>
        <v>79.5</v>
      </c>
      <c r="FA22" s="19">
        <f t="shared" si="66"/>
        <v>91</v>
      </c>
      <c r="FB22" s="19">
        <f t="shared" si="67"/>
        <v>86</v>
      </c>
      <c r="FC22" s="19">
        <f t="shared" si="68"/>
        <v>87.466666666666669</v>
      </c>
      <c r="FD22" s="19">
        <f t="shared" si="69"/>
        <v>88.166666666666671</v>
      </c>
      <c r="FE22" s="19">
        <f t="shared" si="69"/>
        <v>92</v>
      </c>
      <c r="FF22" s="19">
        <f t="shared" si="70"/>
        <v>90.6</v>
      </c>
      <c r="FG22" s="19">
        <f t="shared" si="71"/>
        <v>88.86549019607844</v>
      </c>
    </row>
    <row r="23" spans="1:163" ht="18">
      <c r="A23" s="11">
        <v>19</v>
      </c>
      <c r="B23" s="104" t="s">
        <v>693</v>
      </c>
      <c r="C23" s="105" t="s">
        <v>587</v>
      </c>
      <c r="D23" s="106" t="s">
        <v>675</v>
      </c>
      <c r="E23" s="113">
        <v>84</v>
      </c>
      <c r="F23" s="107">
        <v>80</v>
      </c>
      <c r="G23" s="113">
        <v>90</v>
      </c>
      <c r="H23" s="107">
        <v>84</v>
      </c>
      <c r="I23" s="108">
        <v>91</v>
      </c>
      <c r="J23" s="108">
        <v>90</v>
      </c>
      <c r="K23" s="108">
        <v>83</v>
      </c>
      <c r="L23" s="108">
        <v>79</v>
      </c>
      <c r="M23" s="113">
        <v>80</v>
      </c>
      <c r="N23" s="107">
        <v>86</v>
      </c>
      <c r="O23" s="107">
        <v>87</v>
      </c>
      <c r="P23" s="107">
        <v>90</v>
      </c>
      <c r="Q23" s="107">
        <v>90</v>
      </c>
      <c r="R23" s="107">
        <v>84</v>
      </c>
      <c r="S23" s="107">
        <v>78</v>
      </c>
      <c r="T23" s="107">
        <v>79</v>
      </c>
      <c r="U23" s="109">
        <v>80</v>
      </c>
      <c r="V23" s="110">
        <v>88</v>
      </c>
      <c r="W23" s="111">
        <v>84</v>
      </c>
      <c r="X23" s="111">
        <v>84</v>
      </c>
      <c r="Y23" s="107">
        <v>82</v>
      </c>
      <c r="Z23" s="107">
        <v>80</v>
      </c>
      <c r="AA23" s="107">
        <v>75</v>
      </c>
      <c r="AB23" s="107">
        <v>80</v>
      </c>
      <c r="AC23" s="107">
        <v>82</v>
      </c>
      <c r="AD23" s="107">
        <v>82</v>
      </c>
      <c r="AE23" s="107">
        <v>90</v>
      </c>
      <c r="AF23" s="107">
        <v>86</v>
      </c>
      <c r="AG23" s="108">
        <v>84</v>
      </c>
      <c r="AH23" s="108">
        <v>82</v>
      </c>
      <c r="AI23" s="108">
        <v>71</v>
      </c>
      <c r="AJ23" s="108">
        <v>82</v>
      </c>
      <c r="AK23" s="107">
        <v>81</v>
      </c>
      <c r="AL23" s="107">
        <v>88</v>
      </c>
      <c r="AM23" s="107">
        <v>75</v>
      </c>
      <c r="AN23" s="107">
        <v>75</v>
      </c>
      <c r="AO23" s="107">
        <v>75</v>
      </c>
      <c r="AP23" s="107">
        <v>75</v>
      </c>
      <c r="AQ23" s="108">
        <v>81</v>
      </c>
      <c r="AR23" s="108">
        <v>90</v>
      </c>
      <c r="AS23" s="108">
        <v>74</v>
      </c>
      <c r="AT23" s="108">
        <v>79</v>
      </c>
      <c r="AU23" s="107">
        <v>73</v>
      </c>
      <c r="AV23" s="107">
        <v>77</v>
      </c>
      <c r="AW23" s="107">
        <v>83</v>
      </c>
      <c r="AX23" s="107">
        <v>90</v>
      </c>
      <c r="AY23" s="107">
        <v>77</v>
      </c>
      <c r="AZ23" s="107">
        <v>81</v>
      </c>
      <c r="BA23" s="107">
        <v>80</v>
      </c>
      <c r="BB23" s="107">
        <v>81</v>
      </c>
      <c r="BC23" s="107">
        <v>83</v>
      </c>
      <c r="BD23" s="112">
        <v>83</v>
      </c>
      <c r="BE23" s="96">
        <v>83</v>
      </c>
      <c r="BF23" s="96">
        <v>83</v>
      </c>
      <c r="BG23" s="96">
        <v>84</v>
      </c>
      <c r="BH23" s="130">
        <v>90</v>
      </c>
      <c r="BI23" s="95">
        <v>83</v>
      </c>
      <c r="BJ23" s="95">
        <v>83</v>
      </c>
      <c r="BK23" s="95">
        <v>82</v>
      </c>
      <c r="BL23" s="130">
        <v>90</v>
      </c>
      <c r="BM23" s="95">
        <v>84</v>
      </c>
      <c r="BN23" s="95">
        <v>84</v>
      </c>
      <c r="BO23" s="95">
        <v>83</v>
      </c>
      <c r="BP23" s="130">
        <v>90</v>
      </c>
      <c r="BQ23" s="95">
        <v>81</v>
      </c>
      <c r="BR23" s="95">
        <v>82</v>
      </c>
      <c r="BS23" s="95">
        <v>82</v>
      </c>
      <c r="BT23" s="130">
        <v>90</v>
      </c>
      <c r="BU23" s="15">
        <f t="shared" si="19"/>
        <v>82.75</v>
      </c>
      <c r="BV23" s="15">
        <f t="shared" si="20"/>
        <v>83</v>
      </c>
      <c r="BW23" s="15">
        <f t="shared" si="21"/>
        <v>82.75</v>
      </c>
      <c r="BX23" s="15">
        <f t="shared" si="22"/>
        <v>90</v>
      </c>
      <c r="BY23" s="108">
        <v>83</v>
      </c>
      <c r="BZ23" s="108">
        <v>83</v>
      </c>
      <c r="CA23" s="108">
        <v>84</v>
      </c>
      <c r="CB23" s="126">
        <v>90</v>
      </c>
      <c r="CC23" s="126">
        <v>90</v>
      </c>
      <c r="CD23" s="126">
        <v>72</v>
      </c>
      <c r="CE23" s="107">
        <v>85</v>
      </c>
      <c r="CF23" s="107">
        <v>77</v>
      </c>
      <c r="CG23" s="107">
        <v>90</v>
      </c>
      <c r="CH23" s="39">
        <v>87</v>
      </c>
      <c r="CI23" s="39">
        <v>86</v>
      </c>
      <c r="CJ23" s="39">
        <v>83</v>
      </c>
      <c r="CK23" s="39">
        <v>94</v>
      </c>
      <c r="CL23" s="39">
        <v>80</v>
      </c>
      <c r="CM23" s="39">
        <v>86</v>
      </c>
      <c r="CN23" s="39">
        <v>85</v>
      </c>
      <c r="CO23" s="39">
        <v>89</v>
      </c>
      <c r="CP23" s="39">
        <v>77</v>
      </c>
      <c r="CQ23" s="41">
        <f t="shared" si="0"/>
        <v>85.8</v>
      </c>
      <c r="CR23" s="41">
        <f t="shared" si="1"/>
        <v>90</v>
      </c>
      <c r="CS23" s="41">
        <f t="shared" si="23"/>
        <v>87</v>
      </c>
      <c r="CT23" s="17">
        <f t="shared" si="24"/>
        <v>87.42</v>
      </c>
      <c r="CU23" s="16">
        <f t="shared" si="2"/>
        <v>83</v>
      </c>
      <c r="CV23" s="16">
        <f t="shared" si="3"/>
        <v>90</v>
      </c>
      <c r="CW23" s="16">
        <f t="shared" si="25"/>
        <v>86</v>
      </c>
      <c r="CX23" s="17">
        <f t="shared" si="26"/>
        <v>86</v>
      </c>
      <c r="CY23" s="17">
        <f t="shared" si="4"/>
        <v>82.2</v>
      </c>
      <c r="CZ23" s="17">
        <f t="shared" si="5"/>
        <v>88</v>
      </c>
      <c r="DA23" s="17">
        <f t="shared" si="27"/>
        <v>83</v>
      </c>
      <c r="DB23" s="17">
        <f t="shared" si="28"/>
        <v>84.179999999999993</v>
      </c>
      <c r="DC23" s="18">
        <f t="shared" si="6"/>
        <v>82.5</v>
      </c>
      <c r="DD23" s="18">
        <f t="shared" si="29"/>
        <v>82.5</v>
      </c>
      <c r="DE23" s="18">
        <f t="shared" si="7"/>
        <v>79.75</v>
      </c>
      <c r="DF23" s="18">
        <f t="shared" si="30"/>
        <v>79.75</v>
      </c>
      <c r="DG23" s="18">
        <f t="shared" si="8"/>
        <v>88</v>
      </c>
      <c r="DH23" s="18">
        <f t="shared" si="31"/>
        <v>88</v>
      </c>
      <c r="DI23" s="18">
        <f t="shared" si="9"/>
        <v>79.75</v>
      </c>
      <c r="DJ23" s="18">
        <f t="shared" si="32"/>
        <v>79.75</v>
      </c>
      <c r="DK23" s="18">
        <f t="shared" si="10"/>
        <v>81</v>
      </c>
      <c r="DL23" s="18">
        <f t="shared" si="11"/>
        <v>88</v>
      </c>
      <c r="DM23" s="18">
        <f t="shared" si="33"/>
        <v>94</v>
      </c>
      <c r="DN23" s="17">
        <f t="shared" si="34"/>
        <v>87</v>
      </c>
      <c r="DO23" s="18">
        <f t="shared" si="12"/>
        <v>76.2</v>
      </c>
      <c r="DP23" s="18">
        <f t="shared" si="13"/>
        <v>90</v>
      </c>
      <c r="DQ23" s="18">
        <f t="shared" si="35"/>
        <v>80</v>
      </c>
      <c r="DR23" s="17">
        <f t="shared" si="36"/>
        <v>81.47999999999999</v>
      </c>
      <c r="DS23" s="18">
        <f t="shared" si="14"/>
        <v>77.2</v>
      </c>
      <c r="DT23" s="18">
        <f t="shared" si="15"/>
        <v>90</v>
      </c>
      <c r="DU23" s="18">
        <f t="shared" si="37"/>
        <v>86</v>
      </c>
      <c r="DV23" s="17">
        <f t="shared" si="38"/>
        <v>83.679999999999993</v>
      </c>
      <c r="DW23" s="18">
        <f t="shared" si="16"/>
        <v>79</v>
      </c>
      <c r="DX23" s="18">
        <f t="shared" si="39"/>
        <v>79</v>
      </c>
      <c r="DY23" s="18">
        <f t="shared" si="17"/>
        <v>80.5</v>
      </c>
      <c r="DZ23" s="18">
        <f t="shared" si="40"/>
        <v>80.5</v>
      </c>
      <c r="EA23" s="18">
        <f t="shared" si="18"/>
        <v>83</v>
      </c>
      <c r="EB23" s="17">
        <f t="shared" si="41"/>
        <v>83</v>
      </c>
      <c r="EC23" s="18">
        <f t="shared" si="42"/>
        <v>82.833333333333329</v>
      </c>
      <c r="ED23" s="18">
        <f t="shared" si="43"/>
        <v>90</v>
      </c>
      <c r="EE23" s="18">
        <f t="shared" si="44"/>
        <v>77</v>
      </c>
      <c r="EF23" s="17">
        <f t="shared" si="45"/>
        <v>83.23333333333332</v>
      </c>
      <c r="EG23" s="18">
        <f t="shared" si="46"/>
        <v>83.333333333333329</v>
      </c>
      <c r="EH23" s="18">
        <f t="shared" si="47"/>
        <v>90</v>
      </c>
      <c r="EI23" s="18">
        <f t="shared" si="48"/>
        <v>89</v>
      </c>
      <c r="EJ23" s="17">
        <f t="shared" si="49"/>
        <v>87.033333333333331</v>
      </c>
      <c r="EK23" s="18">
        <f t="shared" si="50"/>
        <v>90</v>
      </c>
      <c r="EL23" s="18">
        <f t="shared" si="51"/>
        <v>78</v>
      </c>
      <c r="EM23" s="18">
        <f t="shared" si="52"/>
        <v>90</v>
      </c>
      <c r="EN23" s="18">
        <f t="shared" si="53"/>
        <v>85</v>
      </c>
      <c r="EO23" s="17">
        <f t="shared" si="54"/>
        <v>83.7</v>
      </c>
      <c r="EP23" s="19">
        <f t="shared" si="55"/>
        <v>87.42</v>
      </c>
      <c r="EQ23" s="19">
        <f t="shared" si="56"/>
        <v>86</v>
      </c>
      <c r="ER23" s="19">
        <f t="shared" si="57"/>
        <v>84.179999999999993</v>
      </c>
      <c r="ES23" s="19">
        <f t="shared" si="58"/>
        <v>82.5</v>
      </c>
      <c r="ET23" s="19">
        <f t="shared" si="59"/>
        <v>79.75</v>
      </c>
      <c r="EU23" s="19">
        <f t="shared" si="60"/>
        <v>88</v>
      </c>
      <c r="EV23" s="19">
        <f t="shared" si="61"/>
        <v>79.75</v>
      </c>
      <c r="EW23" s="19">
        <f t="shared" si="62"/>
        <v>87</v>
      </c>
      <c r="EX23" s="19">
        <f t="shared" si="63"/>
        <v>81.47999999999999</v>
      </c>
      <c r="EY23" s="19">
        <f t="shared" si="64"/>
        <v>83.679999999999993</v>
      </c>
      <c r="EZ23" s="19">
        <f t="shared" si="65"/>
        <v>79</v>
      </c>
      <c r="FA23" s="19">
        <f t="shared" si="66"/>
        <v>80.5</v>
      </c>
      <c r="FB23" s="19">
        <f t="shared" si="67"/>
        <v>83</v>
      </c>
      <c r="FC23" s="19">
        <f t="shared" si="68"/>
        <v>83.23333333333332</v>
      </c>
      <c r="FD23" s="19">
        <f t="shared" si="69"/>
        <v>87.033333333333331</v>
      </c>
      <c r="FE23" s="19">
        <f t="shared" si="69"/>
        <v>90</v>
      </c>
      <c r="FF23" s="19">
        <f t="shared" si="70"/>
        <v>83.7</v>
      </c>
      <c r="FG23" s="19">
        <f t="shared" si="71"/>
        <v>83.895686274509799</v>
      </c>
    </row>
    <row r="24" spans="1:163" ht="18">
      <c r="A24" s="11">
        <v>20</v>
      </c>
      <c r="B24" s="104" t="s">
        <v>694</v>
      </c>
      <c r="C24" s="105" t="s">
        <v>589</v>
      </c>
      <c r="D24" s="106" t="s">
        <v>675</v>
      </c>
      <c r="E24" s="113">
        <v>85</v>
      </c>
      <c r="F24" s="107">
        <v>80</v>
      </c>
      <c r="G24" s="113">
        <v>90</v>
      </c>
      <c r="H24" s="107">
        <v>81</v>
      </c>
      <c r="I24" s="108">
        <v>83</v>
      </c>
      <c r="J24" s="108">
        <v>90</v>
      </c>
      <c r="K24" s="108">
        <v>80</v>
      </c>
      <c r="L24" s="108">
        <v>77</v>
      </c>
      <c r="M24" s="113">
        <v>70</v>
      </c>
      <c r="N24" s="107">
        <v>83</v>
      </c>
      <c r="O24" s="107">
        <v>83</v>
      </c>
      <c r="P24" s="107">
        <v>87</v>
      </c>
      <c r="Q24" s="107">
        <v>80</v>
      </c>
      <c r="R24" s="107">
        <v>85</v>
      </c>
      <c r="S24" s="107">
        <v>74</v>
      </c>
      <c r="T24" s="107">
        <v>77</v>
      </c>
      <c r="U24" s="109">
        <v>78</v>
      </c>
      <c r="V24" s="110">
        <v>85</v>
      </c>
      <c r="W24" s="111">
        <v>83</v>
      </c>
      <c r="X24" s="111">
        <v>84</v>
      </c>
      <c r="Y24" s="107">
        <v>81</v>
      </c>
      <c r="Z24" s="107">
        <v>84</v>
      </c>
      <c r="AA24" s="107">
        <v>76</v>
      </c>
      <c r="AB24" s="107">
        <v>80</v>
      </c>
      <c r="AC24" s="107">
        <v>81</v>
      </c>
      <c r="AD24" s="107">
        <v>81</v>
      </c>
      <c r="AE24" s="107">
        <v>82</v>
      </c>
      <c r="AF24" s="107">
        <v>84</v>
      </c>
      <c r="AG24" s="108">
        <v>82</v>
      </c>
      <c r="AH24" s="108">
        <v>84</v>
      </c>
      <c r="AI24" s="108">
        <v>70</v>
      </c>
      <c r="AJ24" s="108">
        <v>81</v>
      </c>
      <c r="AK24" s="107">
        <v>80</v>
      </c>
      <c r="AL24" s="107">
        <v>85</v>
      </c>
      <c r="AM24" s="107">
        <v>71</v>
      </c>
      <c r="AN24" s="107">
        <v>74</v>
      </c>
      <c r="AO24" s="107">
        <v>71</v>
      </c>
      <c r="AP24" s="107">
        <v>72</v>
      </c>
      <c r="AQ24" s="108">
        <v>79</v>
      </c>
      <c r="AR24" s="108">
        <v>90</v>
      </c>
      <c r="AS24" s="108">
        <v>71</v>
      </c>
      <c r="AT24" s="108">
        <v>73</v>
      </c>
      <c r="AU24" s="107">
        <v>70</v>
      </c>
      <c r="AV24" s="107">
        <v>77</v>
      </c>
      <c r="AW24" s="107">
        <v>73</v>
      </c>
      <c r="AX24" s="107">
        <v>90</v>
      </c>
      <c r="AY24" s="107">
        <v>77</v>
      </c>
      <c r="AZ24" s="107">
        <v>80</v>
      </c>
      <c r="BA24" s="107">
        <v>77</v>
      </c>
      <c r="BB24" s="107">
        <v>80</v>
      </c>
      <c r="BC24" s="107">
        <v>82</v>
      </c>
      <c r="BD24" s="112">
        <v>81</v>
      </c>
      <c r="BE24" s="96">
        <v>81</v>
      </c>
      <c r="BF24" s="96">
        <v>83</v>
      </c>
      <c r="BG24" s="96">
        <v>80</v>
      </c>
      <c r="BH24" s="130">
        <v>90</v>
      </c>
      <c r="BI24" s="95">
        <v>81</v>
      </c>
      <c r="BJ24" s="95">
        <v>81</v>
      </c>
      <c r="BK24" s="95">
        <v>82</v>
      </c>
      <c r="BL24" s="130">
        <v>90</v>
      </c>
      <c r="BM24" s="95">
        <v>84</v>
      </c>
      <c r="BN24" s="95">
        <v>84</v>
      </c>
      <c r="BO24" s="95">
        <v>80</v>
      </c>
      <c r="BP24" s="130">
        <v>90</v>
      </c>
      <c r="BQ24" s="95">
        <v>80</v>
      </c>
      <c r="BR24" s="95">
        <v>82</v>
      </c>
      <c r="BS24" s="95">
        <v>80</v>
      </c>
      <c r="BT24" s="130">
        <v>90</v>
      </c>
      <c r="BU24" s="15">
        <f t="shared" si="19"/>
        <v>81.5</v>
      </c>
      <c r="BV24" s="15">
        <f t="shared" si="20"/>
        <v>82.5</v>
      </c>
      <c r="BW24" s="15">
        <f t="shared" si="21"/>
        <v>80.5</v>
      </c>
      <c r="BX24" s="15">
        <f t="shared" si="22"/>
        <v>90</v>
      </c>
      <c r="BY24" s="108">
        <v>83</v>
      </c>
      <c r="BZ24" s="108">
        <v>83</v>
      </c>
      <c r="CA24" s="108">
        <v>80</v>
      </c>
      <c r="CB24" s="126">
        <v>90</v>
      </c>
      <c r="CC24" s="126">
        <v>88</v>
      </c>
      <c r="CD24" s="126">
        <v>72</v>
      </c>
      <c r="CE24" s="107">
        <v>75</v>
      </c>
      <c r="CF24" s="107">
        <v>80</v>
      </c>
      <c r="CG24" s="107">
        <v>90</v>
      </c>
      <c r="CH24" s="39">
        <v>83</v>
      </c>
      <c r="CI24" s="39">
        <v>80</v>
      </c>
      <c r="CJ24" s="39">
        <v>80</v>
      </c>
      <c r="CK24" s="39">
        <v>72</v>
      </c>
      <c r="CL24" s="39">
        <v>79</v>
      </c>
      <c r="CM24" s="39">
        <v>88</v>
      </c>
      <c r="CN24" s="39">
        <v>80</v>
      </c>
      <c r="CO24" s="39">
        <v>85</v>
      </c>
      <c r="CP24" s="39">
        <v>72</v>
      </c>
      <c r="CQ24" s="41">
        <f t="shared" si="0"/>
        <v>83.8</v>
      </c>
      <c r="CR24" s="41">
        <f t="shared" si="1"/>
        <v>90</v>
      </c>
      <c r="CS24" s="41">
        <f t="shared" si="23"/>
        <v>83</v>
      </c>
      <c r="CT24" s="17">
        <f t="shared" si="24"/>
        <v>85.42</v>
      </c>
      <c r="CU24" s="16">
        <f t="shared" si="2"/>
        <v>78.599999999999994</v>
      </c>
      <c r="CV24" s="16">
        <f t="shared" si="3"/>
        <v>87</v>
      </c>
      <c r="CW24" s="16">
        <f t="shared" si="25"/>
        <v>80</v>
      </c>
      <c r="CX24" s="17">
        <f t="shared" si="26"/>
        <v>81.539999999999992</v>
      </c>
      <c r="CY24" s="17">
        <f t="shared" si="4"/>
        <v>78.8</v>
      </c>
      <c r="CZ24" s="17">
        <f t="shared" si="5"/>
        <v>85</v>
      </c>
      <c r="DA24" s="17">
        <f t="shared" si="27"/>
        <v>80</v>
      </c>
      <c r="DB24" s="17">
        <f t="shared" si="28"/>
        <v>81.02000000000001</v>
      </c>
      <c r="DC24" s="18">
        <f t="shared" si="6"/>
        <v>83</v>
      </c>
      <c r="DD24" s="18">
        <f t="shared" si="29"/>
        <v>83</v>
      </c>
      <c r="DE24" s="18">
        <f t="shared" si="7"/>
        <v>79.5</v>
      </c>
      <c r="DF24" s="18">
        <f t="shared" si="30"/>
        <v>79.5</v>
      </c>
      <c r="DG24" s="18">
        <f t="shared" si="8"/>
        <v>83</v>
      </c>
      <c r="DH24" s="18">
        <f t="shared" si="31"/>
        <v>83</v>
      </c>
      <c r="DI24" s="18">
        <f t="shared" si="9"/>
        <v>79.25</v>
      </c>
      <c r="DJ24" s="18">
        <f t="shared" si="32"/>
        <v>79.25</v>
      </c>
      <c r="DK24" s="18">
        <f t="shared" si="10"/>
        <v>80</v>
      </c>
      <c r="DL24" s="18">
        <f t="shared" si="11"/>
        <v>85</v>
      </c>
      <c r="DM24" s="18">
        <f t="shared" si="33"/>
        <v>72</v>
      </c>
      <c r="DN24" s="17">
        <f t="shared" si="34"/>
        <v>79.099999999999994</v>
      </c>
      <c r="DO24" s="18">
        <f t="shared" si="12"/>
        <v>73.400000000000006</v>
      </c>
      <c r="DP24" s="18">
        <f t="shared" si="13"/>
        <v>90</v>
      </c>
      <c r="DQ24" s="18">
        <f t="shared" si="35"/>
        <v>79</v>
      </c>
      <c r="DR24" s="17">
        <f t="shared" si="36"/>
        <v>80.06</v>
      </c>
      <c r="DS24" s="18">
        <f t="shared" si="14"/>
        <v>72.8</v>
      </c>
      <c r="DT24" s="18">
        <f t="shared" si="15"/>
        <v>90</v>
      </c>
      <c r="DU24" s="18">
        <f t="shared" si="37"/>
        <v>88</v>
      </c>
      <c r="DV24" s="17">
        <f t="shared" si="38"/>
        <v>82.52000000000001</v>
      </c>
      <c r="DW24" s="18">
        <f t="shared" si="16"/>
        <v>78.5</v>
      </c>
      <c r="DX24" s="18">
        <f t="shared" si="39"/>
        <v>78.5</v>
      </c>
      <c r="DY24" s="18">
        <f t="shared" si="17"/>
        <v>78.5</v>
      </c>
      <c r="DZ24" s="18">
        <f t="shared" si="40"/>
        <v>78.5</v>
      </c>
      <c r="EA24" s="18">
        <f t="shared" si="18"/>
        <v>81.5</v>
      </c>
      <c r="EB24" s="17">
        <f t="shared" si="41"/>
        <v>81.5</v>
      </c>
      <c r="EC24" s="18">
        <f t="shared" si="42"/>
        <v>81.5</v>
      </c>
      <c r="ED24" s="18">
        <f t="shared" si="43"/>
        <v>90</v>
      </c>
      <c r="EE24" s="18">
        <f t="shared" si="44"/>
        <v>72</v>
      </c>
      <c r="EF24" s="17">
        <f t="shared" si="45"/>
        <v>81.2</v>
      </c>
      <c r="EG24" s="18">
        <f t="shared" si="46"/>
        <v>82</v>
      </c>
      <c r="EH24" s="18">
        <f t="shared" si="47"/>
        <v>90</v>
      </c>
      <c r="EI24" s="18">
        <f t="shared" si="48"/>
        <v>85</v>
      </c>
      <c r="EJ24" s="17">
        <f t="shared" si="49"/>
        <v>85.3</v>
      </c>
      <c r="EK24" s="18">
        <f t="shared" si="50"/>
        <v>88</v>
      </c>
      <c r="EL24" s="18">
        <f t="shared" si="51"/>
        <v>75.666666666666671</v>
      </c>
      <c r="EM24" s="18">
        <f t="shared" si="52"/>
        <v>90</v>
      </c>
      <c r="EN24" s="18">
        <f t="shared" si="53"/>
        <v>80</v>
      </c>
      <c r="EO24" s="17">
        <f t="shared" si="54"/>
        <v>81.26666666666668</v>
      </c>
      <c r="EP24" s="19">
        <f t="shared" si="55"/>
        <v>85.42</v>
      </c>
      <c r="EQ24" s="19">
        <f t="shared" si="56"/>
        <v>81.539999999999992</v>
      </c>
      <c r="ER24" s="19">
        <f t="shared" si="57"/>
        <v>81.02000000000001</v>
      </c>
      <c r="ES24" s="19">
        <f t="shared" si="58"/>
        <v>83</v>
      </c>
      <c r="ET24" s="19">
        <f t="shared" si="59"/>
        <v>79.5</v>
      </c>
      <c r="EU24" s="19">
        <f t="shared" si="60"/>
        <v>83</v>
      </c>
      <c r="EV24" s="19">
        <f t="shared" si="61"/>
        <v>79.25</v>
      </c>
      <c r="EW24" s="19">
        <f t="shared" si="62"/>
        <v>79.099999999999994</v>
      </c>
      <c r="EX24" s="19">
        <f t="shared" si="63"/>
        <v>80.06</v>
      </c>
      <c r="EY24" s="19">
        <f t="shared" si="64"/>
        <v>82.52000000000001</v>
      </c>
      <c r="EZ24" s="19">
        <f t="shared" si="65"/>
        <v>78.5</v>
      </c>
      <c r="FA24" s="19">
        <f t="shared" si="66"/>
        <v>78.5</v>
      </c>
      <c r="FB24" s="19">
        <f t="shared" si="67"/>
        <v>81.5</v>
      </c>
      <c r="FC24" s="19">
        <f t="shared" si="68"/>
        <v>81.2</v>
      </c>
      <c r="FD24" s="19">
        <f t="shared" si="69"/>
        <v>85.3</v>
      </c>
      <c r="FE24" s="19">
        <f t="shared" si="69"/>
        <v>88</v>
      </c>
      <c r="FF24" s="19">
        <f t="shared" si="70"/>
        <v>81.26666666666668</v>
      </c>
      <c r="FG24" s="19">
        <f t="shared" si="71"/>
        <v>81.68686274509804</v>
      </c>
    </row>
    <row r="25" spans="1:163" ht="18">
      <c r="A25" s="11">
        <v>21</v>
      </c>
      <c r="B25" s="104" t="s">
        <v>695</v>
      </c>
      <c r="C25" s="105" t="s">
        <v>591</v>
      </c>
      <c r="D25" s="106" t="s">
        <v>675</v>
      </c>
      <c r="E25" s="113">
        <v>84</v>
      </c>
      <c r="F25" s="107">
        <v>92</v>
      </c>
      <c r="G25" s="113">
        <v>90</v>
      </c>
      <c r="H25" s="107">
        <v>85</v>
      </c>
      <c r="I25" s="108">
        <v>93</v>
      </c>
      <c r="J25" s="108">
        <v>95</v>
      </c>
      <c r="K25" s="108">
        <v>82</v>
      </c>
      <c r="L25" s="108">
        <v>80</v>
      </c>
      <c r="M25" s="113">
        <v>91</v>
      </c>
      <c r="N25" s="107">
        <v>91</v>
      </c>
      <c r="O25" s="107">
        <v>92</v>
      </c>
      <c r="P25" s="107">
        <v>90</v>
      </c>
      <c r="Q25" s="107">
        <v>89</v>
      </c>
      <c r="R25" s="107">
        <v>84</v>
      </c>
      <c r="S25" s="107">
        <v>88</v>
      </c>
      <c r="T25" s="107">
        <v>88</v>
      </c>
      <c r="U25" s="109">
        <v>88</v>
      </c>
      <c r="V25" s="110">
        <v>95</v>
      </c>
      <c r="W25" s="111">
        <v>83</v>
      </c>
      <c r="X25" s="111">
        <v>84</v>
      </c>
      <c r="Y25" s="107">
        <v>82</v>
      </c>
      <c r="Z25" s="107">
        <v>80</v>
      </c>
      <c r="AA25" s="107">
        <v>79</v>
      </c>
      <c r="AB25" s="107">
        <v>83</v>
      </c>
      <c r="AC25" s="107">
        <v>82</v>
      </c>
      <c r="AD25" s="107">
        <v>84</v>
      </c>
      <c r="AE25" s="107">
        <v>90</v>
      </c>
      <c r="AF25" s="107">
        <v>87</v>
      </c>
      <c r="AG25" s="108">
        <v>83</v>
      </c>
      <c r="AH25" s="108">
        <v>83</v>
      </c>
      <c r="AI25" s="108">
        <v>77</v>
      </c>
      <c r="AJ25" s="108">
        <v>84</v>
      </c>
      <c r="AK25" s="107">
        <v>89</v>
      </c>
      <c r="AL25" s="107">
        <v>95</v>
      </c>
      <c r="AM25" s="107">
        <v>84</v>
      </c>
      <c r="AN25" s="107">
        <v>86</v>
      </c>
      <c r="AO25" s="107">
        <v>90</v>
      </c>
      <c r="AP25" s="107">
        <v>90</v>
      </c>
      <c r="AQ25" s="108">
        <v>86</v>
      </c>
      <c r="AR25" s="108">
        <v>95</v>
      </c>
      <c r="AS25" s="108">
        <v>72</v>
      </c>
      <c r="AT25" s="108">
        <v>82</v>
      </c>
      <c r="AU25" s="107">
        <v>76</v>
      </c>
      <c r="AV25" s="107">
        <v>79</v>
      </c>
      <c r="AW25" s="107">
        <v>87</v>
      </c>
      <c r="AX25" s="107">
        <v>95</v>
      </c>
      <c r="AY25" s="107">
        <v>80</v>
      </c>
      <c r="AZ25" s="107">
        <v>81</v>
      </c>
      <c r="BA25" s="107">
        <v>82</v>
      </c>
      <c r="BB25" s="107">
        <v>86</v>
      </c>
      <c r="BC25" s="107">
        <v>83</v>
      </c>
      <c r="BD25" s="112">
        <v>85</v>
      </c>
      <c r="BE25" s="96">
        <v>86</v>
      </c>
      <c r="BF25" s="96">
        <v>86</v>
      </c>
      <c r="BG25" s="96">
        <v>88</v>
      </c>
      <c r="BH25" s="130">
        <v>95</v>
      </c>
      <c r="BI25" s="95">
        <v>86</v>
      </c>
      <c r="BJ25" s="95">
        <v>86</v>
      </c>
      <c r="BK25" s="95">
        <v>84</v>
      </c>
      <c r="BL25" s="130">
        <v>95</v>
      </c>
      <c r="BM25" s="95">
        <v>85</v>
      </c>
      <c r="BN25" s="95">
        <v>85</v>
      </c>
      <c r="BO25" s="95">
        <v>86</v>
      </c>
      <c r="BP25" s="130">
        <v>95</v>
      </c>
      <c r="BQ25" s="95">
        <v>87</v>
      </c>
      <c r="BR25" s="95">
        <v>85</v>
      </c>
      <c r="BS25" s="95">
        <v>85</v>
      </c>
      <c r="BT25" s="130">
        <v>95</v>
      </c>
      <c r="BU25" s="15">
        <f t="shared" si="19"/>
        <v>86</v>
      </c>
      <c r="BV25" s="15">
        <f t="shared" si="20"/>
        <v>85.5</v>
      </c>
      <c r="BW25" s="15">
        <f t="shared" si="21"/>
        <v>85.75</v>
      </c>
      <c r="BX25" s="15">
        <f t="shared" si="22"/>
        <v>95</v>
      </c>
      <c r="BY25" s="108">
        <v>86</v>
      </c>
      <c r="BZ25" s="108">
        <v>84</v>
      </c>
      <c r="CA25" s="108">
        <v>86</v>
      </c>
      <c r="CB25" s="126">
        <v>95</v>
      </c>
      <c r="CC25" s="126">
        <v>94</v>
      </c>
      <c r="CD25" s="126">
        <v>84</v>
      </c>
      <c r="CE25" s="107">
        <v>94</v>
      </c>
      <c r="CF25" s="107">
        <v>82</v>
      </c>
      <c r="CG25" s="107">
        <v>95</v>
      </c>
      <c r="CH25" s="39">
        <v>87</v>
      </c>
      <c r="CI25" s="39">
        <v>94</v>
      </c>
      <c r="CJ25" s="39">
        <v>90</v>
      </c>
      <c r="CK25" s="39">
        <v>85</v>
      </c>
      <c r="CL25" s="39">
        <v>87</v>
      </c>
      <c r="CM25" s="39">
        <v>83</v>
      </c>
      <c r="CN25" s="39">
        <v>93</v>
      </c>
      <c r="CO25" s="39">
        <v>90</v>
      </c>
      <c r="CP25" s="39">
        <v>87</v>
      </c>
      <c r="CQ25" s="41">
        <f t="shared" si="0"/>
        <v>88.8</v>
      </c>
      <c r="CR25" s="41">
        <f t="shared" si="1"/>
        <v>95</v>
      </c>
      <c r="CS25" s="41">
        <f t="shared" si="23"/>
        <v>87</v>
      </c>
      <c r="CT25" s="17">
        <f t="shared" si="24"/>
        <v>90.12</v>
      </c>
      <c r="CU25" s="16">
        <f t="shared" si="2"/>
        <v>87.2</v>
      </c>
      <c r="CV25" s="16">
        <f t="shared" si="3"/>
        <v>90</v>
      </c>
      <c r="CW25" s="16">
        <f t="shared" si="25"/>
        <v>94</v>
      </c>
      <c r="CX25" s="17">
        <f t="shared" si="26"/>
        <v>90.08</v>
      </c>
      <c r="CY25" s="17">
        <f t="shared" si="4"/>
        <v>87.4</v>
      </c>
      <c r="CZ25" s="17">
        <f t="shared" si="5"/>
        <v>95</v>
      </c>
      <c r="DA25" s="17">
        <f t="shared" si="27"/>
        <v>90</v>
      </c>
      <c r="DB25" s="17">
        <f t="shared" si="28"/>
        <v>90.460000000000008</v>
      </c>
      <c r="DC25" s="18">
        <f t="shared" si="6"/>
        <v>82.25</v>
      </c>
      <c r="DD25" s="18">
        <f t="shared" si="29"/>
        <v>82.25</v>
      </c>
      <c r="DE25" s="18">
        <f t="shared" si="7"/>
        <v>82</v>
      </c>
      <c r="DF25" s="18">
        <f t="shared" si="30"/>
        <v>82</v>
      </c>
      <c r="DG25" s="18">
        <f t="shared" si="8"/>
        <v>88.5</v>
      </c>
      <c r="DH25" s="18">
        <f t="shared" si="31"/>
        <v>88.5</v>
      </c>
      <c r="DI25" s="18">
        <f t="shared" si="9"/>
        <v>81.75</v>
      </c>
      <c r="DJ25" s="18">
        <f t="shared" si="32"/>
        <v>81.75</v>
      </c>
      <c r="DK25" s="18">
        <f t="shared" si="10"/>
        <v>89</v>
      </c>
      <c r="DL25" s="18">
        <f t="shared" si="11"/>
        <v>95</v>
      </c>
      <c r="DM25" s="18">
        <f t="shared" si="33"/>
        <v>85</v>
      </c>
      <c r="DN25" s="17">
        <f t="shared" si="34"/>
        <v>89.6</v>
      </c>
      <c r="DO25" s="18">
        <f t="shared" si="12"/>
        <v>87.2</v>
      </c>
      <c r="DP25" s="18">
        <f t="shared" si="13"/>
        <v>95</v>
      </c>
      <c r="DQ25" s="18">
        <f t="shared" si="35"/>
        <v>87</v>
      </c>
      <c r="DR25" s="17">
        <f t="shared" si="36"/>
        <v>89.47999999999999</v>
      </c>
      <c r="DS25" s="18">
        <f t="shared" si="14"/>
        <v>79.2</v>
      </c>
      <c r="DT25" s="18">
        <f t="shared" si="15"/>
        <v>95</v>
      </c>
      <c r="DU25" s="18">
        <f t="shared" si="37"/>
        <v>83</v>
      </c>
      <c r="DV25" s="17">
        <f t="shared" si="38"/>
        <v>85.08</v>
      </c>
      <c r="DW25" s="18">
        <f t="shared" si="16"/>
        <v>80.5</v>
      </c>
      <c r="DX25" s="18">
        <f t="shared" si="39"/>
        <v>80.5</v>
      </c>
      <c r="DY25" s="18">
        <f t="shared" si="17"/>
        <v>84</v>
      </c>
      <c r="DZ25" s="18">
        <f t="shared" si="40"/>
        <v>84</v>
      </c>
      <c r="EA25" s="18">
        <f t="shared" si="18"/>
        <v>84</v>
      </c>
      <c r="EB25" s="17">
        <f t="shared" si="41"/>
        <v>84</v>
      </c>
      <c r="EC25" s="18">
        <f t="shared" si="42"/>
        <v>85.75</v>
      </c>
      <c r="ED25" s="18">
        <f t="shared" si="43"/>
        <v>95</v>
      </c>
      <c r="EE25" s="18">
        <f t="shared" si="44"/>
        <v>87</v>
      </c>
      <c r="EF25" s="17">
        <f t="shared" si="45"/>
        <v>88.9</v>
      </c>
      <c r="EG25" s="18">
        <f t="shared" si="46"/>
        <v>85.333333333333329</v>
      </c>
      <c r="EH25" s="18">
        <f t="shared" si="47"/>
        <v>95</v>
      </c>
      <c r="EI25" s="18">
        <f t="shared" si="48"/>
        <v>90</v>
      </c>
      <c r="EJ25" s="17">
        <f t="shared" si="49"/>
        <v>89.633333333333326</v>
      </c>
      <c r="EK25" s="18">
        <f t="shared" si="50"/>
        <v>94</v>
      </c>
      <c r="EL25" s="18">
        <f t="shared" si="51"/>
        <v>86.666666666666671</v>
      </c>
      <c r="EM25" s="18">
        <f t="shared" si="52"/>
        <v>95</v>
      </c>
      <c r="EN25" s="18">
        <f t="shared" si="53"/>
        <v>93</v>
      </c>
      <c r="EO25" s="17">
        <f t="shared" si="54"/>
        <v>91.066666666666677</v>
      </c>
      <c r="EP25" s="19">
        <f t="shared" si="55"/>
        <v>90.12</v>
      </c>
      <c r="EQ25" s="19">
        <f t="shared" si="56"/>
        <v>90.08</v>
      </c>
      <c r="ER25" s="19">
        <f t="shared" si="57"/>
        <v>90.460000000000008</v>
      </c>
      <c r="ES25" s="19">
        <f t="shared" si="58"/>
        <v>82.25</v>
      </c>
      <c r="ET25" s="19">
        <f t="shared" si="59"/>
        <v>82</v>
      </c>
      <c r="EU25" s="19">
        <f t="shared" si="60"/>
        <v>88.5</v>
      </c>
      <c r="EV25" s="19">
        <f t="shared" si="61"/>
        <v>81.75</v>
      </c>
      <c r="EW25" s="19">
        <f t="shared" si="62"/>
        <v>89.6</v>
      </c>
      <c r="EX25" s="19">
        <f t="shared" si="63"/>
        <v>89.47999999999999</v>
      </c>
      <c r="EY25" s="19">
        <f t="shared" si="64"/>
        <v>85.08</v>
      </c>
      <c r="EZ25" s="19">
        <f t="shared" si="65"/>
        <v>80.5</v>
      </c>
      <c r="FA25" s="19">
        <f t="shared" si="66"/>
        <v>84</v>
      </c>
      <c r="FB25" s="19">
        <f t="shared" si="67"/>
        <v>84</v>
      </c>
      <c r="FC25" s="19">
        <f t="shared" si="68"/>
        <v>88.9</v>
      </c>
      <c r="FD25" s="19">
        <f t="shared" si="69"/>
        <v>89.633333333333326</v>
      </c>
      <c r="FE25" s="19">
        <f t="shared" si="69"/>
        <v>94</v>
      </c>
      <c r="FF25" s="19">
        <f t="shared" si="70"/>
        <v>91.066666666666677</v>
      </c>
      <c r="FG25" s="19">
        <f t="shared" si="71"/>
        <v>87.142352941176469</v>
      </c>
    </row>
    <row r="26" spans="1:163" ht="18">
      <c r="A26" s="11">
        <v>22</v>
      </c>
      <c r="B26" s="104" t="s">
        <v>696</v>
      </c>
      <c r="C26" s="105" t="s">
        <v>593</v>
      </c>
      <c r="D26" s="106" t="s">
        <v>675</v>
      </c>
      <c r="E26" s="113">
        <v>88</v>
      </c>
      <c r="F26" s="107">
        <v>84</v>
      </c>
      <c r="G26" s="113">
        <v>90</v>
      </c>
      <c r="H26" s="107">
        <v>85</v>
      </c>
      <c r="I26" s="108">
        <v>89</v>
      </c>
      <c r="J26" s="108">
        <v>86</v>
      </c>
      <c r="K26" s="108">
        <v>85</v>
      </c>
      <c r="L26" s="108">
        <v>85</v>
      </c>
      <c r="M26" s="113">
        <v>85</v>
      </c>
      <c r="N26" s="107">
        <v>83</v>
      </c>
      <c r="O26" s="107">
        <v>84</v>
      </c>
      <c r="P26" s="107">
        <v>85</v>
      </c>
      <c r="Q26" s="107">
        <v>85</v>
      </c>
      <c r="R26" s="107">
        <v>84</v>
      </c>
      <c r="S26" s="107">
        <v>85</v>
      </c>
      <c r="T26" s="107">
        <v>89</v>
      </c>
      <c r="U26" s="109">
        <v>81</v>
      </c>
      <c r="V26" s="110">
        <v>82</v>
      </c>
      <c r="W26" s="111">
        <v>84</v>
      </c>
      <c r="X26" s="111">
        <v>83</v>
      </c>
      <c r="Y26" s="107">
        <v>82</v>
      </c>
      <c r="Z26" s="107">
        <v>84</v>
      </c>
      <c r="AA26" s="107">
        <v>82</v>
      </c>
      <c r="AB26" s="107">
        <v>80</v>
      </c>
      <c r="AC26" s="107">
        <v>82</v>
      </c>
      <c r="AD26" s="107">
        <v>86</v>
      </c>
      <c r="AE26" s="107">
        <v>83</v>
      </c>
      <c r="AF26" s="107">
        <v>82</v>
      </c>
      <c r="AG26" s="108">
        <v>83</v>
      </c>
      <c r="AH26" s="108">
        <v>83</v>
      </c>
      <c r="AI26" s="108">
        <v>77</v>
      </c>
      <c r="AJ26" s="108">
        <v>86</v>
      </c>
      <c r="AK26" s="107">
        <v>83</v>
      </c>
      <c r="AL26" s="107">
        <v>82</v>
      </c>
      <c r="AM26" s="107">
        <v>72</v>
      </c>
      <c r="AN26" s="107">
        <v>73</v>
      </c>
      <c r="AO26" s="107">
        <v>76</v>
      </c>
      <c r="AP26" s="107">
        <v>77</v>
      </c>
      <c r="AQ26" s="108">
        <v>84</v>
      </c>
      <c r="AR26" s="108">
        <v>86</v>
      </c>
      <c r="AS26" s="108">
        <v>73</v>
      </c>
      <c r="AT26" s="108">
        <v>80</v>
      </c>
      <c r="AU26" s="107">
        <v>75</v>
      </c>
      <c r="AV26" s="107">
        <v>77</v>
      </c>
      <c r="AW26" s="107">
        <v>75</v>
      </c>
      <c r="AX26" s="107">
        <v>86</v>
      </c>
      <c r="AY26" s="107">
        <v>80</v>
      </c>
      <c r="AZ26" s="107">
        <v>79</v>
      </c>
      <c r="BA26" s="107">
        <v>80</v>
      </c>
      <c r="BB26" s="107">
        <v>80</v>
      </c>
      <c r="BC26" s="107">
        <v>82</v>
      </c>
      <c r="BD26" s="112">
        <v>84</v>
      </c>
      <c r="BE26" s="96">
        <v>84</v>
      </c>
      <c r="BF26" s="96">
        <v>86</v>
      </c>
      <c r="BG26" s="96">
        <v>86</v>
      </c>
      <c r="BH26" s="130">
        <v>85</v>
      </c>
      <c r="BI26" s="95">
        <v>84</v>
      </c>
      <c r="BJ26" s="95">
        <v>84</v>
      </c>
      <c r="BK26" s="95">
        <v>83</v>
      </c>
      <c r="BL26" s="130">
        <v>85</v>
      </c>
      <c r="BM26" s="95">
        <v>83</v>
      </c>
      <c r="BN26" s="95">
        <v>84</v>
      </c>
      <c r="BO26" s="95">
        <v>86</v>
      </c>
      <c r="BP26" s="130">
        <v>85</v>
      </c>
      <c r="BQ26" s="95">
        <v>84</v>
      </c>
      <c r="BR26" s="95">
        <v>84</v>
      </c>
      <c r="BS26" s="95">
        <v>83</v>
      </c>
      <c r="BT26" s="130">
        <v>85</v>
      </c>
      <c r="BU26" s="15">
        <f t="shared" si="19"/>
        <v>83.75</v>
      </c>
      <c r="BV26" s="15">
        <f t="shared" si="20"/>
        <v>84.5</v>
      </c>
      <c r="BW26" s="15">
        <f t="shared" si="21"/>
        <v>84.5</v>
      </c>
      <c r="BX26" s="15">
        <f t="shared" si="22"/>
        <v>85</v>
      </c>
      <c r="BY26" s="108">
        <v>84</v>
      </c>
      <c r="BZ26" s="108">
        <v>85</v>
      </c>
      <c r="CA26" s="108">
        <v>82</v>
      </c>
      <c r="CB26" s="126">
        <v>85</v>
      </c>
      <c r="CC26" s="126">
        <v>85</v>
      </c>
      <c r="CD26" s="126">
        <v>79</v>
      </c>
      <c r="CE26" s="107">
        <v>89</v>
      </c>
      <c r="CF26" s="107">
        <v>77</v>
      </c>
      <c r="CG26" s="107">
        <v>86</v>
      </c>
      <c r="CH26" s="39">
        <v>86</v>
      </c>
      <c r="CI26" s="39">
        <v>85</v>
      </c>
      <c r="CJ26" s="39">
        <v>88</v>
      </c>
      <c r="CK26" s="39">
        <v>92</v>
      </c>
      <c r="CL26" s="39">
        <v>84</v>
      </c>
      <c r="CM26" s="39">
        <v>73</v>
      </c>
      <c r="CN26" s="39">
        <v>83</v>
      </c>
      <c r="CO26" s="39">
        <v>88</v>
      </c>
      <c r="CP26" s="39">
        <v>92</v>
      </c>
      <c r="CQ26" s="41">
        <f t="shared" si="0"/>
        <v>87.2</v>
      </c>
      <c r="CR26" s="41">
        <f t="shared" si="1"/>
        <v>86</v>
      </c>
      <c r="CS26" s="41">
        <f t="shared" si="23"/>
        <v>86</v>
      </c>
      <c r="CT26" s="17">
        <f t="shared" si="24"/>
        <v>86.47999999999999</v>
      </c>
      <c r="CU26" s="16">
        <f t="shared" si="2"/>
        <v>84.4</v>
      </c>
      <c r="CV26" s="16">
        <f t="shared" si="3"/>
        <v>85</v>
      </c>
      <c r="CW26" s="16">
        <f t="shared" si="25"/>
        <v>85</v>
      </c>
      <c r="CX26" s="17">
        <f t="shared" si="26"/>
        <v>84.76</v>
      </c>
      <c r="CY26" s="17">
        <f t="shared" si="4"/>
        <v>84.8</v>
      </c>
      <c r="CZ26" s="17">
        <f t="shared" si="5"/>
        <v>82</v>
      </c>
      <c r="DA26" s="17">
        <f t="shared" si="27"/>
        <v>88</v>
      </c>
      <c r="DB26" s="17">
        <f t="shared" si="28"/>
        <v>84.92</v>
      </c>
      <c r="DC26" s="18">
        <f t="shared" si="6"/>
        <v>83.25</v>
      </c>
      <c r="DD26" s="18">
        <f t="shared" si="29"/>
        <v>83.25</v>
      </c>
      <c r="DE26" s="18">
        <f t="shared" si="7"/>
        <v>82.5</v>
      </c>
      <c r="DF26" s="18">
        <f t="shared" si="30"/>
        <v>82.5</v>
      </c>
      <c r="DG26" s="18">
        <f t="shared" si="8"/>
        <v>82.5</v>
      </c>
      <c r="DH26" s="18">
        <f t="shared" si="31"/>
        <v>82.5</v>
      </c>
      <c r="DI26" s="18">
        <f t="shared" si="9"/>
        <v>82.25</v>
      </c>
      <c r="DJ26" s="18">
        <f t="shared" si="32"/>
        <v>82.25</v>
      </c>
      <c r="DK26" s="18">
        <f t="shared" si="10"/>
        <v>83</v>
      </c>
      <c r="DL26" s="18">
        <f t="shared" si="11"/>
        <v>82</v>
      </c>
      <c r="DM26" s="18">
        <f t="shared" si="33"/>
        <v>92</v>
      </c>
      <c r="DN26" s="17">
        <f t="shared" si="34"/>
        <v>85.4</v>
      </c>
      <c r="DO26" s="18">
        <f t="shared" si="12"/>
        <v>76.400000000000006</v>
      </c>
      <c r="DP26" s="18">
        <f t="shared" si="13"/>
        <v>86</v>
      </c>
      <c r="DQ26" s="18">
        <f t="shared" si="35"/>
        <v>84</v>
      </c>
      <c r="DR26" s="17">
        <f t="shared" si="36"/>
        <v>81.56</v>
      </c>
      <c r="DS26" s="18">
        <f t="shared" si="14"/>
        <v>76</v>
      </c>
      <c r="DT26" s="18">
        <f t="shared" si="15"/>
        <v>86</v>
      </c>
      <c r="DU26" s="18">
        <f t="shared" si="37"/>
        <v>73</v>
      </c>
      <c r="DV26" s="17">
        <f t="shared" si="38"/>
        <v>78.099999999999994</v>
      </c>
      <c r="DW26" s="18">
        <f t="shared" si="16"/>
        <v>79.5</v>
      </c>
      <c r="DX26" s="18">
        <f t="shared" si="39"/>
        <v>79.5</v>
      </c>
      <c r="DY26" s="18">
        <f t="shared" si="17"/>
        <v>80</v>
      </c>
      <c r="DZ26" s="18">
        <f t="shared" si="40"/>
        <v>80</v>
      </c>
      <c r="EA26" s="18">
        <f t="shared" si="18"/>
        <v>83</v>
      </c>
      <c r="EB26" s="17">
        <f t="shared" si="41"/>
        <v>83</v>
      </c>
      <c r="EC26" s="18">
        <f t="shared" si="42"/>
        <v>84.25</v>
      </c>
      <c r="ED26" s="18">
        <f t="shared" si="43"/>
        <v>85</v>
      </c>
      <c r="EE26" s="18">
        <f t="shared" si="44"/>
        <v>92</v>
      </c>
      <c r="EF26" s="17">
        <f t="shared" si="45"/>
        <v>86.8</v>
      </c>
      <c r="EG26" s="18">
        <f t="shared" si="46"/>
        <v>83.666666666666671</v>
      </c>
      <c r="EH26" s="18">
        <f t="shared" si="47"/>
        <v>85</v>
      </c>
      <c r="EI26" s="18">
        <f t="shared" si="48"/>
        <v>88</v>
      </c>
      <c r="EJ26" s="17">
        <f t="shared" si="49"/>
        <v>85.366666666666674</v>
      </c>
      <c r="EK26" s="18">
        <f t="shared" si="50"/>
        <v>85</v>
      </c>
      <c r="EL26" s="18">
        <f t="shared" si="51"/>
        <v>81.666666666666671</v>
      </c>
      <c r="EM26" s="18">
        <f t="shared" si="52"/>
        <v>86</v>
      </c>
      <c r="EN26" s="18">
        <f t="shared" si="53"/>
        <v>83</v>
      </c>
      <c r="EO26" s="17">
        <f t="shared" si="54"/>
        <v>83.366666666666674</v>
      </c>
      <c r="EP26" s="19">
        <f t="shared" si="55"/>
        <v>86.47999999999999</v>
      </c>
      <c r="EQ26" s="19">
        <f t="shared" si="56"/>
        <v>84.76</v>
      </c>
      <c r="ER26" s="19">
        <f t="shared" si="57"/>
        <v>84.92</v>
      </c>
      <c r="ES26" s="19">
        <f t="shared" si="58"/>
        <v>83.25</v>
      </c>
      <c r="ET26" s="19">
        <f t="shared" si="59"/>
        <v>82.5</v>
      </c>
      <c r="EU26" s="19">
        <f t="shared" si="60"/>
        <v>82.5</v>
      </c>
      <c r="EV26" s="19">
        <f t="shared" si="61"/>
        <v>82.25</v>
      </c>
      <c r="EW26" s="19">
        <f t="shared" si="62"/>
        <v>85.4</v>
      </c>
      <c r="EX26" s="19">
        <f t="shared" si="63"/>
        <v>81.56</v>
      </c>
      <c r="EY26" s="19">
        <f t="shared" si="64"/>
        <v>78.099999999999994</v>
      </c>
      <c r="EZ26" s="19">
        <f t="shared" si="65"/>
        <v>79.5</v>
      </c>
      <c r="FA26" s="19">
        <f t="shared" si="66"/>
        <v>80</v>
      </c>
      <c r="FB26" s="19">
        <f t="shared" si="67"/>
        <v>83</v>
      </c>
      <c r="FC26" s="19">
        <f t="shared" si="68"/>
        <v>86.8</v>
      </c>
      <c r="FD26" s="19">
        <f t="shared" si="69"/>
        <v>85.366666666666674</v>
      </c>
      <c r="FE26" s="19">
        <f t="shared" si="69"/>
        <v>85</v>
      </c>
      <c r="FF26" s="19">
        <f t="shared" si="70"/>
        <v>83.366666666666674</v>
      </c>
      <c r="FG26" s="19">
        <f t="shared" si="71"/>
        <v>83.220784313725503</v>
      </c>
    </row>
    <row r="27" spans="1:163" ht="18">
      <c r="A27" s="11">
        <v>23</v>
      </c>
      <c r="B27" s="104" t="s">
        <v>697</v>
      </c>
      <c r="C27" s="105" t="s">
        <v>595</v>
      </c>
      <c r="D27" s="106" t="s">
        <v>675</v>
      </c>
      <c r="E27" s="113">
        <v>80</v>
      </c>
      <c r="F27" s="107">
        <v>83</v>
      </c>
      <c r="G27" s="113">
        <v>87</v>
      </c>
      <c r="H27" s="107">
        <v>81</v>
      </c>
      <c r="I27" s="108">
        <v>87</v>
      </c>
      <c r="J27" s="108">
        <v>95</v>
      </c>
      <c r="K27" s="108">
        <v>79</v>
      </c>
      <c r="L27" s="108">
        <v>77</v>
      </c>
      <c r="M27" s="113">
        <v>73</v>
      </c>
      <c r="N27" s="107">
        <v>80</v>
      </c>
      <c r="O27" s="107">
        <v>81</v>
      </c>
      <c r="P27" s="107">
        <v>93</v>
      </c>
      <c r="Q27" s="107">
        <v>80</v>
      </c>
      <c r="R27" s="107">
        <v>84</v>
      </c>
      <c r="S27" s="107">
        <v>77</v>
      </c>
      <c r="T27" s="107">
        <v>80</v>
      </c>
      <c r="U27" s="109">
        <v>75</v>
      </c>
      <c r="V27" s="110">
        <v>90</v>
      </c>
      <c r="W27" s="111">
        <v>83</v>
      </c>
      <c r="X27" s="111">
        <v>83</v>
      </c>
      <c r="Y27" s="107">
        <v>75</v>
      </c>
      <c r="Z27" s="107">
        <v>84</v>
      </c>
      <c r="AA27" s="107">
        <v>79</v>
      </c>
      <c r="AB27" s="107">
        <v>88</v>
      </c>
      <c r="AC27" s="107">
        <v>79</v>
      </c>
      <c r="AD27" s="107">
        <v>83</v>
      </c>
      <c r="AE27" s="107">
        <v>82</v>
      </c>
      <c r="AF27" s="107">
        <v>84</v>
      </c>
      <c r="AG27" s="108">
        <v>82</v>
      </c>
      <c r="AH27" s="108">
        <v>83</v>
      </c>
      <c r="AI27" s="108">
        <v>70</v>
      </c>
      <c r="AJ27" s="108">
        <v>83</v>
      </c>
      <c r="AK27" s="107">
        <v>80</v>
      </c>
      <c r="AL27" s="107">
        <v>90</v>
      </c>
      <c r="AM27" s="107">
        <v>71</v>
      </c>
      <c r="AN27" s="107">
        <v>72</v>
      </c>
      <c r="AO27" s="107">
        <v>75</v>
      </c>
      <c r="AP27" s="107">
        <v>76</v>
      </c>
      <c r="AQ27" s="108">
        <v>79</v>
      </c>
      <c r="AR27" s="108">
        <v>92</v>
      </c>
      <c r="AS27" s="108">
        <v>71</v>
      </c>
      <c r="AT27" s="108">
        <v>74</v>
      </c>
      <c r="AU27" s="107">
        <v>71</v>
      </c>
      <c r="AV27" s="107">
        <v>77</v>
      </c>
      <c r="AW27" s="107">
        <v>75</v>
      </c>
      <c r="AX27" s="107">
        <v>92</v>
      </c>
      <c r="AY27" s="107">
        <v>78</v>
      </c>
      <c r="AZ27" s="107">
        <v>79</v>
      </c>
      <c r="BA27" s="107">
        <v>82</v>
      </c>
      <c r="BB27" s="107">
        <v>82</v>
      </c>
      <c r="BC27" s="107">
        <v>82</v>
      </c>
      <c r="BD27" s="112">
        <v>83</v>
      </c>
      <c r="BE27" s="96">
        <v>80</v>
      </c>
      <c r="BF27" s="96">
        <v>81</v>
      </c>
      <c r="BG27" s="96">
        <v>85</v>
      </c>
      <c r="BH27" s="130">
        <v>86</v>
      </c>
      <c r="BI27" s="95">
        <v>80</v>
      </c>
      <c r="BJ27" s="95">
        <v>80</v>
      </c>
      <c r="BK27" s="95">
        <v>83</v>
      </c>
      <c r="BL27" s="130">
        <v>86</v>
      </c>
      <c r="BM27" s="95">
        <v>80</v>
      </c>
      <c r="BN27" s="95">
        <v>83</v>
      </c>
      <c r="BO27" s="95">
        <v>83</v>
      </c>
      <c r="BP27" s="130">
        <v>86</v>
      </c>
      <c r="BQ27" s="95">
        <v>80</v>
      </c>
      <c r="BR27" s="95">
        <v>83</v>
      </c>
      <c r="BS27" s="95">
        <v>83</v>
      </c>
      <c r="BT27" s="130">
        <v>86</v>
      </c>
      <c r="BU27" s="15">
        <f t="shared" si="19"/>
        <v>80</v>
      </c>
      <c r="BV27" s="15">
        <f t="shared" si="20"/>
        <v>81.75</v>
      </c>
      <c r="BW27" s="15">
        <f t="shared" si="21"/>
        <v>83.5</v>
      </c>
      <c r="BX27" s="15">
        <f t="shared" si="22"/>
        <v>86</v>
      </c>
      <c r="BY27" s="108">
        <v>82</v>
      </c>
      <c r="BZ27" s="108">
        <v>84</v>
      </c>
      <c r="CA27" s="108">
        <v>83</v>
      </c>
      <c r="CB27" s="126">
        <v>86</v>
      </c>
      <c r="CC27" s="126">
        <v>91</v>
      </c>
      <c r="CD27" s="126">
        <v>71</v>
      </c>
      <c r="CE27" s="107">
        <v>84</v>
      </c>
      <c r="CF27" s="107">
        <v>82</v>
      </c>
      <c r="CG27" s="107">
        <v>92</v>
      </c>
      <c r="CH27" s="39">
        <v>87</v>
      </c>
      <c r="CI27" s="39">
        <v>80</v>
      </c>
      <c r="CJ27" s="39">
        <v>80</v>
      </c>
      <c r="CK27" s="39">
        <v>70</v>
      </c>
      <c r="CL27" s="39">
        <v>79</v>
      </c>
      <c r="CM27" s="39">
        <v>87</v>
      </c>
      <c r="CN27" s="39">
        <v>80</v>
      </c>
      <c r="CO27" s="39">
        <v>85</v>
      </c>
      <c r="CP27" s="39">
        <v>70</v>
      </c>
      <c r="CQ27" s="41">
        <f t="shared" si="0"/>
        <v>83.6</v>
      </c>
      <c r="CR27" s="41">
        <f t="shared" si="1"/>
        <v>95</v>
      </c>
      <c r="CS27" s="41">
        <f t="shared" si="23"/>
        <v>87</v>
      </c>
      <c r="CT27" s="17">
        <f t="shared" si="24"/>
        <v>88.039999999999992</v>
      </c>
      <c r="CU27" s="16">
        <f t="shared" si="2"/>
        <v>78</v>
      </c>
      <c r="CV27" s="16">
        <f t="shared" si="3"/>
        <v>93</v>
      </c>
      <c r="CW27" s="16">
        <f t="shared" si="25"/>
        <v>80</v>
      </c>
      <c r="CX27" s="17">
        <f t="shared" si="26"/>
        <v>83.1</v>
      </c>
      <c r="CY27" s="17">
        <f t="shared" si="4"/>
        <v>79.2</v>
      </c>
      <c r="CZ27" s="17">
        <f t="shared" si="5"/>
        <v>90</v>
      </c>
      <c r="DA27" s="17">
        <f t="shared" si="27"/>
        <v>80</v>
      </c>
      <c r="DB27" s="17">
        <f t="shared" si="28"/>
        <v>82.679999999999993</v>
      </c>
      <c r="DC27" s="18">
        <f t="shared" si="6"/>
        <v>81.25</v>
      </c>
      <c r="DD27" s="18">
        <f t="shared" si="29"/>
        <v>81.25</v>
      </c>
      <c r="DE27" s="18">
        <f t="shared" si="7"/>
        <v>82.25</v>
      </c>
      <c r="DF27" s="18">
        <f t="shared" si="30"/>
        <v>82.25</v>
      </c>
      <c r="DG27" s="18">
        <f t="shared" si="8"/>
        <v>83</v>
      </c>
      <c r="DH27" s="18">
        <f t="shared" si="31"/>
        <v>83</v>
      </c>
      <c r="DI27" s="18">
        <f t="shared" si="9"/>
        <v>79.5</v>
      </c>
      <c r="DJ27" s="18">
        <f t="shared" si="32"/>
        <v>79.5</v>
      </c>
      <c r="DK27" s="18">
        <f t="shared" si="10"/>
        <v>80</v>
      </c>
      <c r="DL27" s="18">
        <f t="shared" si="11"/>
        <v>90</v>
      </c>
      <c r="DM27" s="18">
        <f t="shared" si="33"/>
        <v>70</v>
      </c>
      <c r="DN27" s="17">
        <f t="shared" si="34"/>
        <v>80</v>
      </c>
      <c r="DO27" s="18">
        <f t="shared" si="12"/>
        <v>74.599999999999994</v>
      </c>
      <c r="DP27" s="18">
        <f t="shared" si="13"/>
        <v>92</v>
      </c>
      <c r="DQ27" s="18">
        <f t="shared" si="35"/>
        <v>79</v>
      </c>
      <c r="DR27" s="17">
        <f t="shared" si="36"/>
        <v>81.14</v>
      </c>
      <c r="DS27" s="18">
        <f t="shared" si="14"/>
        <v>73.599999999999994</v>
      </c>
      <c r="DT27" s="18">
        <f t="shared" si="15"/>
        <v>92</v>
      </c>
      <c r="DU27" s="18">
        <f t="shared" si="37"/>
        <v>87</v>
      </c>
      <c r="DV27" s="17">
        <f t="shared" si="38"/>
        <v>83.14</v>
      </c>
      <c r="DW27" s="18">
        <f t="shared" si="16"/>
        <v>78.5</v>
      </c>
      <c r="DX27" s="18">
        <f t="shared" si="39"/>
        <v>78.5</v>
      </c>
      <c r="DY27" s="18">
        <f t="shared" si="17"/>
        <v>82</v>
      </c>
      <c r="DZ27" s="18">
        <f t="shared" si="40"/>
        <v>82</v>
      </c>
      <c r="EA27" s="18">
        <f t="shared" si="18"/>
        <v>82.5</v>
      </c>
      <c r="EB27" s="17">
        <f t="shared" si="41"/>
        <v>82.5</v>
      </c>
      <c r="EC27" s="18">
        <f t="shared" si="42"/>
        <v>81.75</v>
      </c>
      <c r="ED27" s="18">
        <f t="shared" si="43"/>
        <v>86</v>
      </c>
      <c r="EE27" s="18">
        <f t="shared" si="44"/>
        <v>70</v>
      </c>
      <c r="EF27" s="17">
        <f t="shared" si="45"/>
        <v>79.5</v>
      </c>
      <c r="EG27" s="18">
        <f t="shared" si="46"/>
        <v>83</v>
      </c>
      <c r="EH27" s="18">
        <f t="shared" si="47"/>
        <v>86</v>
      </c>
      <c r="EI27" s="18">
        <f t="shared" si="48"/>
        <v>85</v>
      </c>
      <c r="EJ27" s="17">
        <f t="shared" si="49"/>
        <v>84.5</v>
      </c>
      <c r="EK27" s="18">
        <f t="shared" si="50"/>
        <v>91</v>
      </c>
      <c r="EL27" s="18">
        <f t="shared" si="51"/>
        <v>79</v>
      </c>
      <c r="EM27" s="18">
        <f t="shared" si="52"/>
        <v>92</v>
      </c>
      <c r="EN27" s="18">
        <f t="shared" si="53"/>
        <v>80</v>
      </c>
      <c r="EO27" s="17">
        <f t="shared" si="54"/>
        <v>83.2</v>
      </c>
      <c r="EP27" s="19">
        <f t="shared" si="55"/>
        <v>88.039999999999992</v>
      </c>
      <c r="EQ27" s="19">
        <f t="shared" si="56"/>
        <v>83.1</v>
      </c>
      <c r="ER27" s="19">
        <f t="shared" si="57"/>
        <v>82.679999999999993</v>
      </c>
      <c r="ES27" s="19">
        <f t="shared" si="58"/>
        <v>81.25</v>
      </c>
      <c r="ET27" s="19">
        <f t="shared" si="59"/>
        <v>82.25</v>
      </c>
      <c r="EU27" s="19">
        <f t="shared" si="60"/>
        <v>83</v>
      </c>
      <c r="EV27" s="19">
        <f t="shared" si="61"/>
        <v>79.5</v>
      </c>
      <c r="EW27" s="19">
        <f t="shared" si="62"/>
        <v>80</v>
      </c>
      <c r="EX27" s="19">
        <f t="shared" si="63"/>
        <v>81.14</v>
      </c>
      <c r="EY27" s="19">
        <f t="shared" si="64"/>
        <v>83.14</v>
      </c>
      <c r="EZ27" s="19">
        <f t="shared" si="65"/>
        <v>78.5</v>
      </c>
      <c r="FA27" s="19">
        <f t="shared" si="66"/>
        <v>82</v>
      </c>
      <c r="FB27" s="19">
        <f t="shared" si="67"/>
        <v>82.5</v>
      </c>
      <c r="FC27" s="19">
        <f t="shared" si="68"/>
        <v>79.5</v>
      </c>
      <c r="FD27" s="19">
        <f t="shared" si="69"/>
        <v>84.5</v>
      </c>
      <c r="FE27" s="19">
        <f t="shared" si="69"/>
        <v>91</v>
      </c>
      <c r="FF27" s="19">
        <f t="shared" si="70"/>
        <v>83.2</v>
      </c>
      <c r="FG27" s="19">
        <f t="shared" si="71"/>
        <v>82.664705882352933</v>
      </c>
    </row>
    <row r="28" spans="1:163" ht="18">
      <c r="A28" s="11">
        <v>24</v>
      </c>
      <c r="B28" s="104" t="s">
        <v>698</v>
      </c>
      <c r="C28" s="105" t="s">
        <v>597</v>
      </c>
      <c r="D28" s="106" t="s">
        <v>675</v>
      </c>
      <c r="E28" s="113">
        <v>89</v>
      </c>
      <c r="F28" s="107">
        <v>92</v>
      </c>
      <c r="G28" s="113">
        <v>87</v>
      </c>
      <c r="H28" s="107">
        <v>87</v>
      </c>
      <c r="I28" s="108">
        <v>90</v>
      </c>
      <c r="J28" s="108">
        <v>95</v>
      </c>
      <c r="K28" s="108">
        <v>84</v>
      </c>
      <c r="L28" s="108">
        <v>88</v>
      </c>
      <c r="M28" s="113">
        <v>89</v>
      </c>
      <c r="N28" s="107">
        <v>87</v>
      </c>
      <c r="O28" s="107">
        <v>88</v>
      </c>
      <c r="P28" s="107">
        <v>92</v>
      </c>
      <c r="Q28" s="107">
        <v>99</v>
      </c>
      <c r="R28" s="107">
        <v>84</v>
      </c>
      <c r="S28" s="107">
        <v>80</v>
      </c>
      <c r="T28" s="107">
        <v>85</v>
      </c>
      <c r="U28" s="109">
        <v>86</v>
      </c>
      <c r="V28" s="110">
        <v>90</v>
      </c>
      <c r="W28" s="111">
        <v>83</v>
      </c>
      <c r="X28" s="111">
        <v>84</v>
      </c>
      <c r="Y28" s="107">
        <v>81</v>
      </c>
      <c r="Z28" s="107">
        <v>84</v>
      </c>
      <c r="AA28" s="107">
        <v>82</v>
      </c>
      <c r="AB28" s="107">
        <v>84</v>
      </c>
      <c r="AC28" s="107">
        <v>83</v>
      </c>
      <c r="AD28" s="107">
        <v>87</v>
      </c>
      <c r="AE28" s="107">
        <v>90</v>
      </c>
      <c r="AF28" s="107">
        <v>90</v>
      </c>
      <c r="AG28" s="108">
        <v>83</v>
      </c>
      <c r="AH28" s="108">
        <v>82</v>
      </c>
      <c r="AI28" s="108">
        <v>72</v>
      </c>
      <c r="AJ28" s="108">
        <v>87</v>
      </c>
      <c r="AK28" s="107">
        <v>81</v>
      </c>
      <c r="AL28" s="107">
        <v>90</v>
      </c>
      <c r="AM28" s="107">
        <v>74</v>
      </c>
      <c r="AN28" s="107">
        <v>76</v>
      </c>
      <c r="AO28" s="107">
        <v>74</v>
      </c>
      <c r="AP28" s="107">
        <v>75</v>
      </c>
      <c r="AQ28" s="108">
        <v>80</v>
      </c>
      <c r="AR28" s="108">
        <v>95</v>
      </c>
      <c r="AS28" s="108">
        <v>84</v>
      </c>
      <c r="AT28" s="108">
        <v>78</v>
      </c>
      <c r="AU28" s="107">
        <v>82</v>
      </c>
      <c r="AV28" s="107">
        <v>79</v>
      </c>
      <c r="AW28" s="107">
        <v>85</v>
      </c>
      <c r="AX28" s="107">
        <v>95</v>
      </c>
      <c r="AY28" s="107">
        <v>77</v>
      </c>
      <c r="AZ28" s="107">
        <v>79</v>
      </c>
      <c r="BA28" s="107">
        <v>82</v>
      </c>
      <c r="BB28" s="107">
        <v>84</v>
      </c>
      <c r="BC28" s="107">
        <v>82</v>
      </c>
      <c r="BD28" s="112">
        <v>85</v>
      </c>
      <c r="BE28" s="96">
        <v>82</v>
      </c>
      <c r="BF28" s="96">
        <v>84</v>
      </c>
      <c r="BG28" s="96">
        <v>84</v>
      </c>
      <c r="BH28" s="130">
        <v>95</v>
      </c>
      <c r="BI28" s="95">
        <v>82</v>
      </c>
      <c r="BJ28" s="95">
        <v>83</v>
      </c>
      <c r="BK28" s="95">
        <v>82</v>
      </c>
      <c r="BL28" s="130">
        <v>95</v>
      </c>
      <c r="BM28" s="95">
        <v>84</v>
      </c>
      <c r="BN28" s="95">
        <v>85</v>
      </c>
      <c r="BO28" s="95">
        <v>82</v>
      </c>
      <c r="BP28" s="130">
        <v>95</v>
      </c>
      <c r="BQ28" s="95">
        <v>85</v>
      </c>
      <c r="BR28" s="95">
        <v>85</v>
      </c>
      <c r="BS28" s="95">
        <v>83</v>
      </c>
      <c r="BT28" s="130">
        <v>95</v>
      </c>
      <c r="BU28" s="15">
        <f t="shared" si="19"/>
        <v>83.25</v>
      </c>
      <c r="BV28" s="15">
        <f t="shared" si="20"/>
        <v>84.25</v>
      </c>
      <c r="BW28" s="15">
        <f t="shared" si="21"/>
        <v>82.75</v>
      </c>
      <c r="BX28" s="15">
        <f t="shared" si="22"/>
        <v>95</v>
      </c>
      <c r="BY28" s="108">
        <v>84</v>
      </c>
      <c r="BZ28" s="108">
        <v>85</v>
      </c>
      <c r="CA28" s="108">
        <v>83</v>
      </c>
      <c r="CB28" s="126">
        <v>95</v>
      </c>
      <c r="CC28" s="126">
        <v>93</v>
      </c>
      <c r="CD28" s="126">
        <v>90</v>
      </c>
      <c r="CE28" s="107">
        <v>96</v>
      </c>
      <c r="CF28" s="107">
        <v>92</v>
      </c>
      <c r="CG28" s="107">
        <v>95</v>
      </c>
      <c r="CH28" s="39">
        <v>89</v>
      </c>
      <c r="CI28" s="39">
        <v>94</v>
      </c>
      <c r="CJ28" s="39">
        <v>88</v>
      </c>
      <c r="CK28" s="39">
        <v>85</v>
      </c>
      <c r="CL28" s="39">
        <v>80</v>
      </c>
      <c r="CM28" s="39">
        <v>85</v>
      </c>
      <c r="CN28" s="39">
        <v>84</v>
      </c>
      <c r="CO28" s="39">
        <v>87</v>
      </c>
      <c r="CP28" s="39">
        <v>90</v>
      </c>
      <c r="CQ28" s="41">
        <f t="shared" si="0"/>
        <v>89</v>
      </c>
      <c r="CR28" s="41">
        <f t="shared" si="1"/>
        <v>95</v>
      </c>
      <c r="CS28" s="41">
        <f t="shared" si="23"/>
        <v>89</v>
      </c>
      <c r="CT28" s="17">
        <f t="shared" si="24"/>
        <v>90.8</v>
      </c>
      <c r="CU28" s="16">
        <f t="shared" si="2"/>
        <v>87.2</v>
      </c>
      <c r="CV28" s="16">
        <f t="shared" si="3"/>
        <v>92</v>
      </c>
      <c r="CW28" s="16">
        <f t="shared" si="25"/>
        <v>94</v>
      </c>
      <c r="CX28" s="17">
        <f t="shared" si="26"/>
        <v>90.679999999999993</v>
      </c>
      <c r="CY28" s="17">
        <f t="shared" si="4"/>
        <v>86.8</v>
      </c>
      <c r="CZ28" s="17">
        <f t="shared" si="5"/>
        <v>90</v>
      </c>
      <c r="DA28" s="17">
        <f t="shared" si="27"/>
        <v>88</v>
      </c>
      <c r="DB28" s="17">
        <f t="shared" si="28"/>
        <v>88.12</v>
      </c>
      <c r="DC28" s="18">
        <f t="shared" si="6"/>
        <v>83</v>
      </c>
      <c r="DD28" s="18">
        <f t="shared" si="29"/>
        <v>83</v>
      </c>
      <c r="DE28" s="18">
        <f t="shared" si="7"/>
        <v>84</v>
      </c>
      <c r="DF28" s="18">
        <f t="shared" si="30"/>
        <v>84</v>
      </c>
      <c r="DG28" s="18">
        <f t="shared" si="8"/>
        <v>90</v>
      </c>
      <c r="DH28" s="18">
        <f t="shared" si="31"/>
        <v>90</v>
      </c>
      <c r="DI28" s="18">
        <f t="shared" si="9"/>
        <v>81</v>
      </c>
      <c r="DJ28" s="18">
        <f t="shared" si="32"/>
        <v>81</v>
      </c>
      <c r="DK28" s="18">
        <f t="shared" si="10"/>
        <v>81</v>
      </c>
      <c r="DL28" s="18">
        <f t="shared" si="11"/>
        <v>90</v>
      </c>
      <c r="DM28" s="18">
        <f t="shared" si="33"/>
        <v>85</v>
      </c>
      <c r="DN28" s="17">
        <f t="shared" si="34"/>
        <v>84.9</v>
      </c>
      <c r="DO28" s="18">
        <f t="shared" si="12"/>
        <v>75.8</v>
      </c>
      <c r="DP28" s="18">
        <f t="shared" si="13"/>
        <v>95</v>
      </c>
      <c r="DQ28" s="18">
        <f t="shared" si="35"/>
        <v>80</v>
      </c>
      <c r="DR28" s="17">
        <f t="shared" si="36"/>
        <v>82.820000000000007</v>
      </c>
      <c r="DS28" s="18">
        <f t="shared" si="14"/>
        <v>81.599999999999994</v>
      </c>
      <c r="DT28" s="18">
        <f t="shared" si="15"/>
        <v>95</v>
      </c>
      <c r="DU28" s="18">
        <f t="shared" si="37"/>
        <v>85</v>
      </c>
      <c r="DV28" s="17">
        <f t="shared" si="38"/>
        <v>86.64</v>
      </c>
      <c r="DW28" s="18">
        <f t="shared" si="16"/>
        <v>78</v>
      </c>
      <c r="DX28" s="18">
        <f t="shared" si="39"/>
        <v>78</v>
      </c>
      <c r="DY28" s="18">
        <f t="shared" si="17"/>
        <v>83</v>
      </c>
      <c r="DZ28" s="18">
        <f t="shared" si="40"/>
        <v>83</v>
      </c>
      <c r="EA28" s="18">
        <f t="shared" si="18"/>
        <v>83.5</v>
      </c>
      <c r="EB28" s="17">
        <f t="shared" si="41"/>
        <v>83.5</v>
      </c>
      <c r="EC28" s="18">
        <f t="shared" si="42"/>
        <v>83.416666666666671</v>
      </c>
      <c r="ED28" s="18">
        <f t="shared" si="43"/>
        <v>95</v>
      </c>
      <c r="EE28" s="18">
        <f t="shared" si="44"/>
        <v>90</v>
      </c>
      <c r="EF28" s="17">
        <f t="shared" si="45"/>
        <v>88.866666666666674</v>
      </c>
      <c r="EG28" s="18">
        <f t="shared" si="46"/>
        <v>84</v>
      </c>
      <c r="EH28" s="18">
        <f t="shared" si="47"/>
        <v>95</v>
      </c>
      <c r="EI28" s="18">
        <f t="shared" si="48"/>
        <v>87</v>
      </c>
      <c r="EJ28" s="17">
        <f t="shared" si="49"/>
        <v>88.2</v>
      </c>
      <c r="EK28" s="18">
        <f t="shared" si="50"/>
        <v>93</v>
      </c>
      <c r="EL28" s="18">
        <f t="shared" si="51"/>
        <v>92.666666666666671</v>
      </c>
      <c r="EM28" s="18">
        <f t="shared" si="52"/>
        <v>95</v>
      </c>
      <c r="EN28" s="18">
        <f t="shared" si="53"/>
        <v>84</v>
      </c>
      <c r="EO28" s="17">
        <f t="shared" si="54"/>
        <v>90.76666666666668</v>
      </c>
      <c r="EP28" s="19">
        <f t="shared" si="55"/>
        <v>90.8</v>
      </c>
      <c r="EQ28" s="19">
        <f t="shared" si="56"/>
        <v>90.679999999999993</v>
      </c>
      <c r="ER28" s="19">
        <f t="shared" si="57"/>
        <v>88.12</v>
      </c>
      <c r="ES28" s="19">
        <f t="shared" si="58"/>
        <v>83</v>
      </c>
      <c r="ET28" s="19">
        <f t="shared" si="59"/>
        <v>84</v>
      </c>
      <c r="EU28" s="19">
        <f t="shared" si="60"/>
        <v>90</v>
      </c>
      <c r="EV28" s="19">
        <f t="shared" si="61"/>
        <v>81</v>
      </c>
      <c r="EW28" s="19">
        <f t="shared" si="62"/>
        <v>84.9</v>
      </c>
      <c r="EX28" s="19">
        <f t="shared" si="63"/>
        <v>82.820000000000007</v>
      </c>
      <c r="EY28" s="19">
        <f t="shared" si="64"/>
        <v>86.64</v>
      </c>
      <c r="EZ28" s="19">
        <f t="shared" si="65"/>
        <v>78</v>
      </c>
      <c r="FA28" s="19">
        <f t="shared" si="66"/>
        <v>83</v>
      </c>
      <c r="FB28" s="19">
        <f t="shared" si="67"/>
        <v>83.5</v>
      </c>
      <c r="FC28" s="19">
        <f t="shared" si="68"/>
        <v>88.866666666666674</v>
      </c>
      <c r="FD28" s="19">
        <f t="shared" si="69"/>
        <v>88.2</v>
      </c>
      <c r="FE28" s="19">
        <f t="shared" si="69"/>
        <v>93</v>
      </c>
      <c r="FF28" s="19">
        <f t="shared" si="70"/>
        <v>90.76666666666668</v>
      </c>
      <c r="FG28" s="19">
        <f t="shared" si="71"/>
        <v>86.311372549019623</v>
      </c>
    </row>
    <row r="29" spans="1:163" ht="18">
      <c r="A29" s="11">
        <v>25</v>
      </c>
      <c r="B29" s="104" t="s">
        <v>699</v>
      </c>
      <c r="C29" s="105" t="s">
        <v>599</v>
      </c>
      <c r="D29" s="106" t="s">
        <v>675</v>
      </c>
      <c r="E29" s="107">
        <v>80</v>
      </c>
      <c r="F29" s="107">
        <v>82</v>
      </c>
      <c r="G29" s="107">
        <v>83</v>
      </c>
      <c r="H29" s="107">
        <v>80</v>
      </c>
      <c r="I29" s="108">
        <v>84</v>
      </c>
      <c r="J29" s="108">
        <v>89</v>
      </c>
      <c r="K29" s="108">
        <v>82</v>
      </c>
      <c r="L29" s="108">
        <v>82</v>
      </c>
      <c r="M29" s="107">
        <v>79</v>
      </c>
      <c r="N29" s="107">
        <v>84</v>
      </c>
      <c r="O29" s="107">
        <v>84</v>
      </c>
      <c r="P29" s="107">
        <v>85</v>
      </c>
      <c r="Q29" s="107">
        <v>88</v>
      </c>
      <c r="R29" s="107">
        <v>87</v>
      </c>
      <c r="S29" s="107">
        <v>80</v>
      </c>
      <c r="T29" s="107">
        <v>82</v>
      </c>
      <c r="U29" s="109">
        <v>80</v>
      </c>
      <c r="V29" s="110">
        <v>80</v>
      </c>
      <c r="W29" s="111">
        <v>83</v>
      </c>
      <c r="X29" s="111">
        <v>84</v>
      </c>
      <c r="Y29" s="107">
        <v>82</v>
      </c>
      <c r="Z29" s="107">
        <v>84</v>
      </c>
      <c r="AA29" s="107">
        <v>79</v>
      </c>
      <c r="AB29" s="107">
        <v>80</v>
      </c>
      <c r="AC29" s="107">
        <v>82</v>
      </c>
      <c r="AD29" s="107">
        <v>82</v>
      </c>
      <c r="AE29" s="107">
        <v>82</v>
      </c>
      <c r="AF29" s="107">
        <v>86</v>
      </c>
      <c r="AG29" s="108">
        <v>82</v>
      </c>
      <c r="AH29" s="108">
        <v>84</v>
      </c>
      <c r="AI29" s="108">
        <v>73</v>
      </c>
      <c r="AJ29" s="108">
        <v>82</v>
      </c>
      <c r="AK29" s="107">
        <v>80</v>
      </c>
      <c r="AL29" s="107">
        <v>80</v>
      </c>
      <c r="AM29" s="107">
        <v>73</v>
      </c>
      <c r="AN29" s="107">
        <v>74</v>
      </c>
      <c r="AO29" s="107">
        <v>75</v>
      </c>
      <c r="AP29" s="107">
        <v>76</v>
      </c>
      <c r="AQ29" s="108">
        <v>72</v>
      </c>
      <c r="AR29" s="108">
        <v>80</v>
      </c>
      <c r="AS29" s="108">
        <v>70</v>
      </c>
      <c r="AT29" s="108">
        <v>73</v>
      </c>
      <c r="AU29" s="107">
        <v>75</v>
      </c>
      <c r="AV29" s="107">
        <v>77</v>
      </c>
      <c r="AW29" s="107">
        <v>75</v>
      </c>
      <c r="AX29" s="107">
        <v>80</v>
      </c>
      <c r="AY29" s="107">
        <v>78</v>
      </c>
      <c r="AZ29" s="107">
        <v>80</v>
      </c>
      <c r="BA29" s="107">
        <v>81</v>
      </c>
      <c r="BB29" s="107">
        <v>80</v>
      </c>
      <c r="BC29" s="107">
        <v>81</v>
      </c>
      <c r="BD29" s="112">
        <v>82</v>
      </c>
      <c r="BE29" s="96">
        <v>80</v>
      </c>
      <c r="BF29" s="96">
        <v>81</v>
      </c>
      <c r="BG29" s="96">
        <v>80</v>
      </c>
      <c r="BH29" s="130">
        <v>80</v>
      </c>
      <c r="BI29" s="95">
        <v>80</v>
      </c>
      <c r="BJ29" s="95">
        <v>80</v>
      </c>
      <c r="BK29" s="95">
        <v>82</v>
      </c>
      <c r="BL29" s="130">
        <v>80</v>
      </c>
      <c r="BM29" s="95">
        <v>83</v>
      </c>
      <c r="BN29" s="95">
        <v>83</v>
      </c>
      <c r="BO29" s="95">
        <v>80</v>
      </c>
      <c r="BP29" s="130">
        <v>80</v>
      </c>
      <c r="BQ29" s="95">
        <v>82</v>
      </c>
      <c r="BR29" s="95">
        <v>82</v>
      </c>
      <c r="BS29" s="95">
        <v>80</v>
      </c>
      <c r="BT29" s="130">
        <v>80</v>
      </c>
      <c r="BU29" s="15">
        <f t="shared" si="19"/>
        <v>81.25</v>
      </c>
      <c r="BV29" s="15">
        <f t="shared" si="20"/>
        <v>81.5</v>
      </c>
      <c r="BW29" s="15">
        <f t="shared" si="21"/>
        <v>80.5</v>
      </c>
      <c r="BX29" s="15">
        <f t="shared" si="22"/>
        <v>80</v>
      </c>
      <c r="BY29" s="108">
        <v>84</v>
      </c>
      <c r="BZ29" s="108">
        <v>83</v>
      </c>
      <c r="CA29" s="108">
        <v>80</v>
      </c>
      <c r="CB29" s="126">
        <v>80</v>
      </c>
      <c r="CC29" s="126">
        <v>83</v>
      </c>
      <c r="CD29" s="126">
        <v>75</v>
      </c>
      <c r="CE29" s="107">
        <v>88</v>
      </c>
      <c r="CF29" s="107">
        <v>91</v>
      </c>
      <c r="CG29" s="107">
        <v>80</v>
      </c>
      <c r="CH29" s="39">
        <v>80</v>
      </c>
      <c r="CI29" s="39">
        <v>88</v>
      </c>
      <c r="CJ29" s="39">
        <v>80</v>
      </c>
      <c r="CK29" s="39">
        <v>75</v>
      </c>
      <c r="CL29" s="39">
        <v>77</v>
      </c>
      <c r="CM29" s="39">
        <v>85</v>
      </c>
      <c r="CN29" s="39">
        <v>81</v>
      </c>
      <c r="CO29" s="39">
        <v>84</v>
      </c>
      <c r="CP29" s="39">
        <v>77</v>
      </c>
      <c r="CQ29" s="41">
        <f t="shared" si="0"/>
        <v>81.8</v>
      </c>
      <c r="CR29" s="41">
        <f t="shared" si="1"/>
        <v>89</v>
      </c>
      <c r="CS29" s="41">
        <f t="shared" si="23"/>
        <v>80</v>
      </c>
      <c r="CT29" s="17">
        <f t="shared" si="24"/>
        <v>83.42</v>
      </c>
      <c r="CU29" s="16">
        <f t="shared" si="2"/>
        <v>82.2</v>
      </c>
      <c r="CV29" s="16">
        <f t="shared" si="3"/>
        <v>85</v>
      </c>
      <c r="CW29" s="16">
        <f t="shared" si="25"/>
        <v>88</v>
      </c>
      <c r="CX29" s="17">
        <f t="shared" si="26"/>
        <v>84.78</v>
      </c>
      <c r="CY29" s="17">
        <f t="shared" si="4"/>
        <v>83.4</v>
      </c>
      <c r="CZ29" s="17">
        <f t="shared" si="5"/>
        <v>80</v>
      </c>
      <c r="DA29" s="17">
        <f t="shared" si="27"/>
        <v>80</v>
      </c>
      <c r="DB29" s="17">
        <f t="shared" si="28"/>
        <v>81.36</v>
      </c>
      <c r="DC29" s="18">
        <f t="shared" si="6"/>
        <v>83.25</v>
      </c>
      <c r="DD29" s="18">
        <f t="shared" si="29"/>
        <v>83.25</v>
      </c>
      <c r="DE29" s="18">
        <f t="shared" si="7"/>
        <v>80.75</v>
      </c>
      <c r="DF29" s="18">
        <f t="shared" si="30"/>
        <v>80.75</v>
      </c>
      <c r="DG29" s="18">
        <f t="shared" si="8"/>
        <v>84</v>
      </c>
      <c r="DH29" s="18">
        <f t="shared" si="31"/>
        <v>84</v>
      </c>
      <c r="DI29" s="18">
        <f t="shared" si="9"/>
        <v>80.25</v>
      </c>
      <c r="DJ29" s="18">
        <f t="shared" si="32"/>
        <v>80.25</v>
      </c>
      <c r="DK29" s="18">
        <f t="shared" si="10"/>
        <v>80</v>
      </c>
      <c r="DL29" s="18">
        <f t="shared" si="11"/>
        <v>80</v>
      </c>
      <c r="DM29" s="18">
        <f t="shared" si="33"/>
        <v>75</v>
      </c>
      <c r="DN29" s="17">
        <f t="shared" si="34"/>
        <v>78.5</v>
      </c>
      <c r="DO29" s="18">
        <f t="shared" si="12"/>
        <v>74</v>
      </c>
      <c r="DP29" s="18">
        <f t="shared" si="13"/>
        <v>80</v>
      </c>
      <c r="DQ29" s="18">
        <f t="shared" si="35"/>
        <v>77</v>
      </c>
      <c r="DR29" s="17">
        <f t="shared" si="36"/>
        <v>76.7</v>
      </c>
      <c r="DS29" s="18">
        <f t="shared" si="14"/>
        <v>74</v>
      </c>
      <c r="DT29" s="18">
        <f t="shared" si="15"/>
        <v>80</v>
      </c>
      <c r="DU29" s="18">
        <f t="shared" si="37"/>
        <v>85</v>
      </c>
      <c r="DV29" s="17">
        <f t="shared" si="38"/>
        <v>79.099999999999994</v>
      </c>
      <c r="DW29" s="18">
        <f t="shared" si="16"/>
        <v>79</v>
      </c>
      <c r="DX29" s="18">
        <f t="shared" si="39"/>
        <v>79</v>
      </c>
      <c r="DY29" s="18">
        <f t="shared" si="17"/>
        <v>80.5</v>
      </c>
      <c r="DZ29" s="18">
        <f t="shared" si="40"/>
        <v>80.5</v>
      </c>
      <c r="EA29" s="18">
        <f t="shared" si="18"/>
        <v>81.5</v>
      </c>
      <c r="EB29" s="17">
        <f t="shared" si="41"/>
        <v>81.5</v>
      </c>
      <c r="EC29" s="18">
        <f t="shared" si="42"/>
        <v>81.083333333333329</v>
      </c>
      <c r="ED29" s="18">
        <f t="shared" si="43"/>
        <v>80</v>
      </c>
      <c r="EE29" s="18">
        <f t="shared" si="44"/>
        <v>77</v>
      </c>
      <c r="EF29" s="17">
        <f t="shared" si="45"/>
        <v>79.533333333333331</v>
      </c>
      <c r="EG29" s="18">
        <f t="shared" si="46"/>
        <v>82.333333333333329</v>
      </c>
      <c r="EH29" s="18">
        <f t="shared" si="47"/>
        <v>80</v>
      </c>
      <c r="EI29" s="18">
        <f t="shared" si="48"/>
        <v>84</v>
      </c>
      <c r="EJ29" s="17">
        <f t="shared" si="49"/>
        <v>82.133333333333326</v>
      </c>
      <c r="EK29" s="18">
        <f t="shared" si="50"/>
        <v>83</v>
      </c>
      <c r="EL29" s="18">
        <f t="shared" si="51"/>
        <v>84.666666666666671</v>
      </c>
      <c r="EM29" s="18">
        <f t="shared" si="52"/>
        <v>80</v>
      </c>
      <c r="EN29" s="18">
        <f t="shared" si="53"/>
        <v>81</v>
      </c>
      <c r="EO29" s="17">
        <f t="shared" si="54"/>
        <v>82.166666666666671</v>
      </c>
      <c r="EP29" s="19">
        <f t="shared" si="55"/>
        <v>83.42</v>
      </c>
      <c r="EQ29" s="19">
        <f t="shared" si="56"/>
        <v>84.78</v>
      </c>
      <c r="ER29" s="19">
        <f t="shared" si="57"/>
        <v>81.36</v>
      </c>
      <c r="ES29" s="19">
        <f t="shared" si="58"/>
        <v>83.25</v>
      </c>
      <c r="ET29" s="19">
        <f t="shared" si="59"/>
        <v>80.75</v>
      </c>
      <c r="EU29" s="19">
        <f t="shared" si="60"/>
        <v>84</v>
      </c>
      <c r="EV29" s="19">
        <f t="shared" si="61"/>
        <v>80.25</v>
      </c>
      <c r="EW29" s="19">
        <f t="shared" si="62"/>
        <v>78.5</v>
      </c>
      <c r="EX29" s="19">
        <f t="shared" si="63"/>
        <v>76.7</v>
      </c>
      <c r="EY29" s="19">
        <f t="shared" si="64"/>
        <v>79.099999999999994</v>
      </c>
      <c r="EZ29" s="19">
        <f t="shared" si="65"/>
        <v>79</v>
      </c>
      <c r="FA29" s="19">
        <f t="shared" si="66"/>
        <v>80.5</v>
      </c>
      <c r="FB29" s="19">
        <f t="shared" si="67"/>
        <v>81.5</v>
      </c>
      <c r="FC29" s="19">
        <f t="shared" si="68"/>
        <v>79.533333333333331</v>
      </c>
      <c r="FD29" s="19">
        <f t="shared" si="69"/>
        <v>82.133333333333326</v>
      </c>
      <c r="FE29" s="19">
        <f t="shared" si="69"/>
        <v>83</v>
      </c>
      <c r="FF29" s="19">
        <f t="shared" si="70"/>
        <v>82.166666666666671</v>
      </c>
      <c r="FG29" s="19">
        <f t="shared" si="71"/>
        <v>81.17313725490196</v>
      </c>
    </row>
    <row r="30" spans="1:163" ht="18">
      <c r="A30" s="11">
        <v>26</v>
      </c>
      <c r="B30" s="104" t="s">
        <v>700</v>
      </c>
      <c r="C30" s="105" t="s">
        <v>601</v>
      </c>
      <c r="D30" s="106" t="s">
        <v>675</v>
      </c>
      <c r="E30" s="107">
        <v>80</v>
      </c>
      <c r="F30" s="107">
        <v>85</v>
      </c>
      <c r="G30" s="107">
        <v>85</v>
      </c>
      <c r="H30" s="107">
        <v>87</v>
      </c>
      <c r="I30" s="108">
        <v>85</v>
      </c>
      <c r="J30" s="108">
        <v>74</v>
      </c>
      <c r="K30" s="108">
        <v>83</v>
      </c>
      <c r="L30" s="108">
        <v>81</v>
      </c>
      <c r="M30" s="107">
        <v>94</v>
      </c>
      <c r="N30" s="107">
        <v>94</v>
      </c>
      <c r="O30" s="107">
        <v>95</v>
      </c>
      <c r="P30" s="107">
        <v>89</v>
      </c>
      <c r="Q30" s="107">
        <v>86</v>
      </c>
      <c r="R30" s="107">
        <v>88</v>
      </c>
      <c r="S30" s="107">
        <v>84</v>
      </c>
      <c r="T30" s="107">
        <v>85</v>
      </c>
      <c r="U30" s="109">
        <v>81</v>
      </c>
      <c r="V30" s="110">
        <v>82</v>
      </c>
      <c r="W30" s="111">
        <v>83</v>
      </c>
      <c r="X30" s="111">
        <v>84</v>
      </c>
      <c r="Y30" s="107">
        <v>81</v>
      </c>
      <c r="Z30" s="107">
        <v>85</v>
      </c>
      <c r="AA30" s="107">
        <v>79</v>
      </c>
      <c r="AB30" s="107">
        <v>85</v>
      </c>
      <c r="AC30" s="107">
        <v>85</v>
      </c>
      <c r="AD30" s="107">
        <v>84</v>
      </c>
      <c r="AE30" s="107">
        <v>90</v>
      </c>
      <c r="AF30" s="107">
        <v>90</v>
      </c>
      <c r="AG30" s="108">
        <v>84</v>
      </c>
      <c r="AH30" s="108">
        <v>83</v>
      </c>
      <c r="AI30" s="108">
        <v>74</v>
      </c>
      <c r="AJ30" s="108">
        <v>84</v>
      </c>
      <c r="AK30" s="107">
        <v>86</v>
      </c>
      <c r="AL30" s="107">
        <v>82</v>
      </c>
      <c r="AM30" s="107">
        <v>84</v>
      </c>
      <c r="AN30" s="107">
        <v>86</v>
      </c>
      <c r="AO30" s="107">
        <v>89</v>
      </c>
      <c r="AP30" s="107">
        <v>90</v>
      </c>
      <c r="AQ30" s="108">
        <v>83</v>
      </c>
      <c r="AR30" s="108">
        <v>85</v>
      </c>
      <c r="AS30" s="108">
        <v>79</v>
      </c>
      <c r="AT30" s="108">
        <v>81</v>
      </c>
      <c r="AU30" s="107">
        <v>78</v>
      </c>
      <c r="AV30" s="107">
        <v>89</v>
      </c>
      <c r="AW30" s="107">
        <v>85</v>
      </c>
      <c r="AX30" s="107">
        <v>85</v>
      </c>
      <c r="AY30" s="107">
        <v>79</v>
      </c>
      <c r="AZ30" s="107">
        <v>81</v>
      </c>
      <c r="BA30" s="107">
        <v>88</v>
      </c>
      <c r="BB30" s="107">
        <v>88</v>
      </c>
      <c r="BC30" s="107">
        <v>84</v>
      </c>
      <c r="BD30" s="112">
        <v>85</v>
      </c>
      <c r="BE30" s="96">
        <v>87</v>
      </c>
      <c r="BF30" s="96">
        <v>89</v>
      </c>
      <c r="BG30" s="96">
        <v>84</v>
      </c>
      <c r="BH30" s="130">
        <v>80</v>
      </c>
      <c r="BI30" s="95">
        <v>86</v>
      </c>
      <c r="BJ30" s="95">
        <v>86</v>
      </c>
      <c r="BK30" s="95">
        <v>83</v>
      </c>
      <c r="BL30" s="130">
        <v>80</v>
      </c>
      <c r="BM30" s="95">
        <v>85</v>
      </c>
      <c r="BN30" s="95">
        <v>86</v>
      </c>
      <c r="BO30" s="95">
        <v>84</v>
      </c>
      <c r="BP30" s="130">
        <v>80</v>
      </c>
      <c r="BQ30" s="95">
        <v>82</v>
      </c>
      <c r="BR30" s="95">
        <v>84</v>
      </c>
      <c r="BS30" s="95">
        <v>83</v>
      </c>
      <c r="BT30" s="130">
        <v>80</v>
      </c>
      <c r="BU30" s="15">
        <f t="shared" si="19"/>
        <v>85</v>
      </c>
      <c r="BV30" s="15">
        <f t="shared" si="20"/>
        <v>86.25</v>
      </c>
      <c r="BW30" s="15">
        <f t="shared" si="21"/>
        <v>83.5</v>
      </c>
      <c r="BX30" s="15">
        <f t="shared" si="22"/>
        <v>80</v>
      </c>
      <c r="BY30" s="108">
        <v>83</v>
      </c>
      <c r="BZ30" s="108">
        <v>86</v>
      </c>
      <c r="CA30" s="108">
        <v>83</v>
      </c>
      <c r="CB30" s="126">
        <v>80</v>
      </c>
      <c r="CC30" s="126">
        <v>82</v>
      </c>
      <c r="CD30" s="126">
        <v>81</v>
      </c>
      <c r="CE30" s="107">
        <v>92</v>
      </c>
      <c r="CF30" s="107">
        <v>82</v>
      </c>
      <c r="CG30" s="107">
        <v>85</v>
      </c>
      <c r="CH30" s="39">
        <v>90</v>
      </c>
      <c r="CI30" s="39">
        <v>95</v>
      </c>
      <c r="CJ30" s="39">
        <v>85</v>
      </c>
      <c r="CK30" s="39">
        <v>94</v>
      </c>
      <c r="CL30" s="39">
        <v>84</v>
      </c>
      <c r="CM30" s="39">
        <v>88</v>
      </c>
      <c r="CN30" s="39">
        <v>85</v>
      </c>
      <c r="CO30" s="39">
        <v>89</v>
      </c>
      <c r="CP30" s="39">
        <v>87</v>
      </c>
      <c r="CQ30" s="41">
        <f t="shared" si="0"/>
        <v>84.4</v>
      </c>
      <c r="CR30" s="41">
        <f t="shared" si="1"/>
        <v>74</v>
      </c>
      <c r="CS30" s="41">
        <f t="shared" si="23"/>
        <v>90</v>
      </c>
      <c r="CT30" s="17">
        <f t="shared" si="24"/>
        <v>82.960000000000008</v>
      </c>
      <c r="CU30" s="16">
        <f t="shared" si="2"/>
        <v>89.4</v>
      </c>
      <c r="CV30" s="16">
        <f t="shared" si="3"/>
        <v>89</v>
      </c>
      <c r="CW30" s="16">
        <f t="shared" si="25"/>
        <v>95</v>
      </c>
      <c r="CX30" s="17">
        <f t="shared" si="26"/>
        <v>90.960000000000008</v>
      </c>
      <c r="CY30" s="17">
        <f t="shared" si="4"/>
        <v>84.8</v>
      </c>
      <c r="CZ30" s="17">
        <f t="shared" si="5"/>
        <v>82</v>
      </c>
      <c r="DA30" s="17">
        <f t="shared" si="27"/>
        <v>85</v>
      </c>
      <c r="DB30" s="17">
        <f t="shared" si="28"/>
        <v>84.02000000000001</v>
      </c>
      <c r="DC30" s="18">
        <f t="shared" si="6"/>
        <v>83.25</v>
      </c>
      <c r="DD30" s="18">
        <f t="shared" si="29"/>
        <v>83.25</v>
      </c>
      <c r="DE30" s="18">
        <f t="shared" si="7"/>
        <v>83.25</v>
      </c>
      <c r="DF30" s="18">
        <f t="shared" si="30"/>
        <v>83.25</v>
      </c>
      <c r="DG30" s="18">
        <f t="shared" si="8"/>
        <v>90</v>
      </c>
      <c r="DH30" s="18">
        <f t="shared" si="31"/>
        <v>90</v>
      </c>
      <c r="DI30" s="18">
        <f t="shared" si="9"/>
        <v>81.25</v>
      </c>
      <c r="DJ30" s="18">
        <f t="shared" si="32"/>
        <v>81.25</v>
      </c>
      <c r="DK30" s="18">
        <f t="shared" si="10"/>
        <v>86</v>
      </c>
      <c r="DL30" s="18">
        <f t="shared" si="11"/>
        <v>82</v>
      </c>
      <c r="DM30" s="18">
        <f t="shared" si="33"/>
        <v>94</v>
      </c>
      <c r="DN30" s="17">
        <f t="shared" si="34"/>
        <v>87.2</v>
      </c>
      <c r="DO30" s="18">
        <f t="shared" si="12"/>
        <v>86.4</v>
      </c>
      <c r="DP30" s="18">
        <f t="shared" si="13"/>
        <v>85</v>
      </c>
      <c r="DQ30" s="18">
        <f t="shared" si="35"/>
        <v>84</v>
      </c>
      <c r="DR30" s="17">
        <f t="shared" si="36"/>
        <v>85.26</v>
      </c>
      <c r="DS30" s="18">
        <f t="shared" si="14"/>
        <v>82.4</v>
      </c>
      <c r="DT30" s="18">
        <f t="shared" si="15"/>
        <v>85</v>
      </c>
      <c r="DU30" s="18">
        <f t="shared" si="37"/>
        <v>88</v>
      </c>
      <c r="DV30" s="17">
        <f t="shared" si="38"/>
        <v>84.86</v>
      </c>
      <c r="DW30" s="18">
        <f t="shared" si="16"/>
        <v>80</v>
      </c>
      <c r="DX30" s="18">
        <f t="shared" si="39"/>
        <v>80</v>
      </c>
      <c r="DY30" s="18">
        <f t="shared" si="17"/>
        <v>88</v>
      </c>
      <c r="DZ30" s="18">
        <f t="shared" si="40"/>
        <v>88</v>
      </c>
      <c r="EA30" s="18">
        <f t="shared" si="18"/>
        <v>84.5</v>
      </c>
      <c r="EB30" s="17">
        <f t="shared" si="41"/>
        <v>84.5</v>
      </c>
      <c r="EC30" s="18">
        <f t="shared" si="42"/>
        <v>84.916666666666671</v>
      </c>
      <c r="ED30" s="18">
        <f t="shared" si="43"/>
        <v>80</v>
      </c>
      <c r="EE30" s="18">
        <f t="shared" si="44"/>
        <v>87</v>
      </c>
      <c r="EF30" s="17">
        <f t="shared" si="45"/>
        <v>84.066666666666677</v>
      </c>
      <c r="EG30" s="18">
        <f t="shared" si="46"/>
        <v>84</v>
      </c>
      <c r="EH30" s="18">
        <f t="shared" si="47"/>
        <v>80</v>
      </c>
      <c r="EI30" s="18">
        <f t="shared" si="48"/>
        <v>89</v>
      </c>
      <c r="EJ30" s="17">
        <f t="shared" si="49"/>
        <v>84.3</v>
      </c>
      <c r="EK30" s="18">
        <f t="shared" si="50"/>
        <v>82</v>
      </c>
      <c r="EL30" s="18">
        <f t="shared" si="51"/>
        <v>85</v>
      </c>
      <c r="EM30" s="18">
        <f t="shared" si="52"/>
        <v>85</v>
      </c>
      <c r="EN30" s="18">
        <f t="shared" si="53"/>
        <v>85</v>
      </c>
      <c r="EO30" s="17">
        <f t="shared" si="54"/>
        <v>85</v>
      </c>
      <c r="EP30" s="19">
        <f t="shared" si="55"/>
        <v>82.960000000000008</v>
      </c>
      <c r="EQ30" s="19">
        <f t="shared" si="56"/>
        <v>90.960000000000008</v>
      </c>
      <c r="ER30" s="19">
        <f t="shared" si="57"/>
        <v>84.02000000000001</v>
      </c>
      <c r="ES30" s="19">
        <f t="shared" si="58"/>
        <v>83.25</v>
      </c>
      <c r="ET30" s="19">
        <f t="shared" si="59"/>
        <v>83.25</v>
      </c>
      <c r="EU30" s="19">
        <f t="shared" si="60"/>
        <v>90</v>
      </c>
      <c r="EV30" s="19">
        <f t="shared" si="61"/>
        <v>81.25</v>
      </c>
      <c r="EW30" s="19">
        <f t="shared" si="62"/>
        <v>87.2</v>
      </c>
      <c r="EX30" s="19">
        <f t="shared" si="63"/>
        <v>85.26</v>
      </c>
      <c r="EY30" s="19">
        <f t="shared" si="64"/>
        <v>84.86</v>
      </c>
      <c r="EZ30" s="19">
        <f t="shared" si="65"/>
        <v>80</v>
      </c>
      <c r="FA30" s="19">
        <f t="shared" si="66"/>
        <v>88</v>
      </c>
      <c r="FB30" s="19">
        <f t="shared" si="67"/>
        <v>84.5</v>
      </c>
      <c r="FC30" s="19">
        <f t="shared" si="68"/>
        <v>84.066666666666677</v>
      </c>
      <c r="FD30" s="19">
        <f t="shared" si="69"/>
        <v>84.3</v>
      </c>
      <c r="FE30" s="19">
        <f t="shared" si="69"/>
        <v>82</v>
      </c>
      <c r="FF30" s="19">
        <f t="shared" si="70"/>
        <v>85</v>
      </c>
      <c r="FG30" s="19">
        <f t="shared" si="71"/>
        <v>84.757450980392164</v>
      </c>
    </row>
    <row r="31" spans="1:163" ht="18">
      <c r="A31" s="11">
        <v>27</v>
      </c>
      <c r="B31" s="104" t="s">
        <v>701</v>
      </c>
      <c r="C31" s="105" t="s">
        <v>603</v>
      </c>
      <c r="D31" s="106" t="s">
        <v>675</v>
      </c>
      <c r="E31" s="107">
        <v>87</v>
      </c>
      <c r="F31" s="107">
        <v>83</v>
      </c>
      <c r="G31" s="107">
        <v>92</v>
      </c>
      <c r="H31" s="107">
        <v>87</v>
      </c>
      <c r="I31" s="108">
        <v>91</v>
      </c>
      <c r="J31" s="108">
        <v>92</v>
      </c>
      <c r="K31" s="108">
        <v>84</v>
      </c>
      <c r="L31" s="108">
        <v>80</v>
      </c>
      <c r="M31" s="107">
        <v>91</v>
      </c>
      <c r="N31" s="107">
        <v>87</v>
      </c>
      <c r="O31" s="107">
        <v>88</v>
      </c>
      <c r="P31" s="107">
        <v>95</v>
      </c>
      <c r="Q31" s="107">
        <v>93</v>
      </c>
      <c r="R31" s="107">
        <v>81</v>
      </c>
      <c r="S31" s="107">
        <v>84</v>
      </c>
      <c r="T31" s="107">
        <v>85</v>
      </c>
      <c r="U31" s="109">
        <v>82</v>
      </c>
      <c r="V31" s="110">
        <v>88</v>
      </c>
      <c r="W31" s="111">
        <v>84</v>
      </c>
      <c r="X31" s="111">
        <v>84</v>
      </c>
      <c r="Y31" s="107">
        <v>81</v>
      </c>
      <c r="Z31" s="107">
        <v>85</v>
      </c>
      <c r="AA31" s="107">
        <v>79</v>
      </c>
      <c r="AB31" s="107">
        <v>84</v>
      </c>
      <c r="AC31" s="107">
        <v>85</v>
      </c>
      <c r="AD31" s="107">
        <v>83</v>
      </c>
      <c r="AE31" s="107">
        <v>83</v>
      </c>
      <c r="AF31" s="107">
        <v>83</v>
      </c>
      <c r="AG31" s="108">
        <v>83</v>
      </c>
      <c r="AH31" s="108">
        <v>84</v>
      </c>
      <c r="AI31" s="108">
        <v>74</v>
      </c>
      <c r="AJ31" s="108">
        <v>83</v>
      </c>
      <c r="AK31" s="107">
        <v>86</v>
      </c>
      <c r="AL31" s="107">
        <v>88</v>
      </c>
      <c r="AM31" s="107">
        <v>76</v>
      </c>
      <c r="AN31" s="107">
        <v>77</v>
      </c>
      <c r="AO31" s="107">
        <v>79</v>
      </c>
      <c r="AP31" s="107">
        <v>80</v>
      </c>
      <c r="AQ31" s="108">
        <v>83</v>
      </c>
      <c r="AR31" s="108">
        <v>91</v>
      </c>
      <c r="AS31" s="108">
        <v>74</v>
      </c>
      <c r="AT31" s="108">
        <v>80</v>
      </c>
      <c r="AU31" s="107">
        <v>83</v>
      </c>
      <c r="AV31" s="107">
        <v>82</v>
      </c>
      <c r="AW31" s="107">
        <v>83</v>
      </c>
      <c r="AX31" s="107">
        <v>91</v>
      </c>
      <c r="AY31" s="107">
        <v>80</v>
      </c>
      <c r="AZ31" s="107">
        <v>79</v>
      </c>
      <c r="BA31" s="107">
        <v>77</v>
      </c>
      <c r="BB31" s="107">
        <v>83</v>
      </c>
      <c r="BC31" s="107">
        <v>82</v>
      </c>
      <c r="BD31" s="112">
        <v>83</v>
      </c>
      <c r="BE31" s="96">
        <v>84</v>
      </c>
      <c r="BF31" s="96">
        <v>85</v>
      </c>
      <c r="BG31" s="96">
        <v>86</v>
      </c>
      <c r="BH31" s="130">
        <v>93</v>
      </c>
      <c r="BI31" s="95">
        <v>84</v>
      </c>
      <c r="BJ31" s="95">
        <v>84</v>
      </c>
      <c r="BK31" s="95">
        <v>82</v>
      </c>
      <c r="BL31" s="130">
        <v>93</v>
      </c>
      <c r="BM31" s="95">
        <v>85</v>
      </c>
      <c r="BN31" s="95">
        <v>86</v>
      </c>
      <c r="BO31" s="95">
        <v>85</v>
      </c>
      <c r="BP31" s="130">
        <v>93</v>
      </c>
      <c r="BQ31" s="95">
        <v>85</v>
      </c>
      <c r="BR31" s="95">
        <v>86</v>
      </c>
      <c r="BS31" s="95">
        <v>82</v>
      </c>
      <c r="BT31" s="130">
        <v>93</v>
      </c>
      <c r="BU31" s="15">
        <f t="shared" si="19"/>
        <v>84.5</v>
      </c>
      <c r="BV31" s="15">
        <f t="shared" si="20"/>
        <v>85.25</v>
      </c>
      <c r="BW31" s="15">
        <f t="shared" si="21"/>
        <v>83.75</v>
      </c>
      <c r="BX31" s="15">
        <f t="shared" si="22"/>
        <v>93</v>
      </c>
      <c r="BY31" s="108">
        <v>84</v>
      </c>
      <c r="BZ31" s="108">
        <v>85</v>
      </c>
      <c r="CA31" s="108">
        <v>83</v>
      </c>
      <c r="CB31" s="126">
        <v>93</v>
      </c>
      <c r="CC31" s="126">
        <v>92</v>
      </c>
      <c r="CD31" s="126">
        <v>79</v>
      </c>
      <c r="CE31" s="107">
        <v>91</v>
      </c>
      <c r="CF31" s="107">
        <v>85</v>
      </c>
      <c r="CG31" s="107">
        <v>91</v>
      </c>
      <c r="CH31" s="39">
        <v>85</v>
      </c>
      <c r="CI31" s="39">
        <v>94</v>
      </c>
      <c r="CJ31" s="39">
        <v>82</v>
      </c>
      <c r="CK31" s="39">
        <v>90</v>
      </c>
      <c r="CL31" s="39">
        <v>83</v>
      </c>
      <c r="CM31" s="39">
        <v>87</v>
      </c>
      <c r="CN31" s="39">
        <v>84</v>
      </c>
      <c r="CO31" s="39">
        <v>89</v>
      </c>
      <c r="CP31" s="39">
        <v>92</v>
      </c>
      <c r="CQ31" s="41">
        <f t="shared" si="0"/>
        <v>88</v>
      </c>
      <c r="CR31" s="41">
        <f t="shared" si="1"/>
        <v>92</v>
      </c>
      <c r="CS31" s="41">
        <f t="shared" si="23"/>
        <v>85</v>
      </c>
      <c r="CT31" s="17">
        <f t="shared" si="24"/>
        <v>88.3</v>
      </c>
      <c r="CU31" s="16">
        <f t="shared" si="2"/>
        <v>86</v>
      </c>
      <c r="CV31" s="16">
        <f t="shared" si="3"/>
        <v>95</v>
      </c>
      <c r="CW31" s="16">
        <f t="shared" si="25"/>
        <v>94</v>
      </c>
      <c r="CX31" s="17">
        <f t="shared" si="26"/>
        <v>91.1</v>
      </c>
      <c r="CY31" s="17">
        <f t="shared" si="4"/>
        <v>85</v>
      </c>
      <c r="CZ31" s="17">
        <f t="shared" si="5"/>
        <v>88</v>
      </c>
      <c r="DA31" s="17">
        <f t="shared" si="27"/>
        <v>82</v>
      </c>
      <c r="DB31" s="17">
        <f t="shared" si="28"/>
        <v>85</v>
      </c>
      <c r="DC31" s="18">
        <f t="shared" si="6"/>
        <v>83.5</v>
      </c>
      <c r="DD31" s="18">
        <f t="shared" si="29"/>
        <v>83.5</v>
      </c>
      <c r="DE31" s="18">
        <f t="shared" si="7"/>
        <v>82.75</v>
      </c>
      <c r="DF31" s="18">
        <f t="shared" si="30"/>
        <v>82.75</v>
      </c>
      <c r="DG31" s="18">
        <f t="shared" si="8"/>
        <v>83</v>
      </c>
      <c r="DH31" s="18">
        <f t="shared" si="31"/>
        <v>83</v>
      </c>
      <c r="DI31" s="18">
        <f t="shared" si="9"/>
        <v>81</v>
      </c>
      <c r="DJ31" s="18">
        <f t="shared" si="32"/>
        <v>81</v>
      </c>
      <c r="DK31" s="18">
        <f t="shared" si="10"/>
        <v>86</v>
      </c>
      <c r="DL31" s="18">
        <f t="shared" si="11"/>
        <v>88</v>
      </c>
      <c r="DM31" s="18">
        <f t="shared" si="33"/>
        <v>90</v>
      </c>
      <c r="DN31" s="17">
        <f t="shared" si="34"/>
        <v>87.8</v>
      </c>
      <c r="DO31" s="18">
        <f t="shared" si="12"/>
        <v>79</v>
      </c>
      <c r="DP31" s="18">
        <f t="shared" si="13"/>
        <v>91</v>
      </c>
      <c r="DQ31" s="18">
        <f t="shared" si="35"/>
        <v>83</v>
      </c>
      <c r="DR31" s="17">
        <f t="shared" si="36"/>
        <v>83.8</v>
      </c>
      <c r="DS31" s="18">
        <f t="shared" si="14"/>
        <v>80.400000000000006</v>
      </c>
      <c r="DT31" s="18">
        <f t="shared" si="15"/>
        <v>91</v>
      </c>
      <c r="DU31" s="18">
        <f t="shared" si="37"/>
        <v>87</v>
      </c>
      <c r="DV31" s="17">
        <f t="shared" si="38"/>
        <v>85.56</v>
      </c>
      <c r="DW31" s="18">
        <f t="shared" si="16"/>
        <v>79.5</v>
      </c>
      <c r="DX31" s="18">
        <f t="shared" si="39"/>
        <v>79.5</v>
      </c>
      <c r="DY31" s="18">
        <f t="shared" si="17"/>
        <v>80</v>
      </c>
      <c r="DZ31" s="18">
        <f t="shared" si="40"/>
        <v>80</v>
      </c>
      <c r="EA31" s="18">
        <f t="shared" si="18"/>
        <v>82.5</v>
      </c>
      <c r="EB31" s="17">
        <f t="shared" si="41"/>
        <v>82.5</v>
      </c>
      <c r="EC31" s="18">
        <f t="shared" si="42"/>
        <v>84.5</v>
      </c>
      <c r="ED31" s="18">
        <f t="shared" si="43"/>
        <v>93</v>
      </c>
      <c r="EE31" s="18">
        <f t="shared" si="44"/>
        <v>92</v>
      </c>
      <c r="EF31" s="17">
        <f t="shared" si="45"/>
        <v>89.3</v>
      </c>
      <c r="EG31" s="18">
        <f t="shared" si="46"/>
        <v>84</v>
      </c>
      <c r="EH31" s="18">
        <f t="shared" si="47"/>
        <v>93</v>
      </c>
      <c r="EI31" s="18">
        <f t="shared" si="48"/>
        <v>89</v>
      </c>
      <c r="EJ31" s="17">
        <f t="shared" si="49"/>
        <v>88.2</v>
      </c>
      <c r="EK31" s="18">
        <f t="shared" si="50"/>
        <v>92</v>
      </c>
      <c r="EL31" s="18">
        <f t="shared" si="51"/>
        <v>85</v>
      </c>
      <c r="EM31" s="18">
        <f t="shared" si="52"/>
        <v>91</v>
      </c>
      <c r="EN31" s="18">
        <f t="shared" si="53"/>
        <v>84</v>
      </c>
      <c r="EO31" s="17">
        <f t="shared" si="54"/>
        <v>86.5</v>
      </c>
      <c r="EP31" s="19">
        <f t="shared" si="55"/>
        <v>88.3</v>
      </c>
      <c r="EQ31" s="19">
        <f t="shared" si="56"/>
        <v>91.1</v>
      </c>
      <c r="ER31" s="19">
        <f t="shared" si="57"/>
        <v>85</v>
      </c>
      <c r="ES31" s="19">
        <f t="shared" si="58"/>
        <v>83.5</v>
      </c>
      <c r="ET31" s="19">
        <f t="shared" si="59"/>
        <v>82.75</v>
      </c>
      <c r="EU31" s="19">
        <f t="shared" si="60"/>
        <v>83</v>
      </c>
      <c r="EV31" s="19">
        <f t="shared" si="61"/>
        <v>81</v>
      </c>
      <c r="EW31" s="19">
        <f t="shared" si="62"/>
        <v>87.8</v>
      </c>
      <c r="EX31" s="19">
        <f t="shared" si="63"/>
        <v>83.8</v>
      </c>
      <c r="EY31" s="19">
        <f t="shared" si="64"/>
        <v>85.56</v>
      </c>
      <c r="EZ31" s="19">
        <f t="shared" si="65"/>
        <v>79.5</v>
      </c>
      <c r="FA31" s="19">
        <f t="shared" si="66"/>
        <v>80</v>
      </c>
      <c r="FB31" s="19">
        <f t="shared" si="67"/>
        <v>82.5</v>
      </c>
      <c r="FC31" s="19">
        <f t="shared" si="68"/>
        <v>89.3</v>
      </c>
      <c r="FD31" s="19">
        <f t="shared" si="69"/>
        <v>88.2</v>
      </c>
      <c r="FE31" s="19">
        <f t="shared" si="69"/>
        <v>92</v>
      </c>
      <c r="FF31" s="19">
        <f t="shared" si="70"/>
        <v>86.5</v>
      </c>
      <c r="FG31" s="19">
        <f t="shared" si="71"/>
        <v>85.282941176470587</v>
      </c>
    </row>
    <row r="32" spans="1:163" ht="18">
      <c r="A32" s="11">
        <v>28</v>
      </c>
      <c r="B32" s="104" t="s">
        <v>702</v>
      </c>
      <c r="C32" s="105" t="s">
        <v>605</v>
      </c>
      <c r="D32" s="106" t="s">
        <v>675</v>
      </c>
      <c r="E32" s="107">
        <v>93</v>
      </c>
      <c r="F32" s="107">
        <v>90</v>
      </c>
      <c r="G32" s="107">
        <v>88</v>
      </c>
      <c r="H32" s="107">
        <v>81</v>
      </c>
      <c r="I32" s="108">
        <v>92</v>
      </c>
      <c r="J32" s="108">
        <v>95</v>
      </c>
      <c r="K32" s="108">
        <v>81</v>
      </c>
      <c r="L32" s="108">
        <v>84</v>
      </c>
      <c r="M32" s="107">
        <v>88</v>
      </c>
      <c r="N32" s="107">
        <v>88</v>
      </c>
      <c r="O32" s="107">
        <v>89</v>
      </c>
      <c r="P32" s="107">
        <v>94</v>
      </c>
      <c r="Q32" s="107">
        <v>87</v>
      </c>
      <c r="R32" s="107">
        <v>87</v>
      </c>
      <c r="S32" s="107">
        <v>82</v>
      </c>
      <c r="T32" s="107">
        <v>83</v>
      </c>
      <c r="U32" s="109">
        <v>88</v>
      </c>
      <c r="V32" s="110">
        <v>89</v>
      </c>
      <c r="W32" s="111">
        <v>83</v>
      </c>
      <c r="X32" s="111">
        <v>84</v>
      </c>
      <c r="Y32" s="107">
        <v>81</v>
      </c>
      <c r="Z32" s="107">
        <v>80</v>
      </c>
      <c r="AA32" s="107">
        <v>77</v>
      </c>
      <c r="AB32" s="107">
        <v>80</v>
      </c>
      <c r="AC32" s="107">
        <v>82</v>
      </c>
      <c r="AD32" s="107">
        <v>82</v>
      </c>
      <c r="AE32" s="107">
        <v>82</v>
      </c>
      <c r="AF32" s="107">
        <v>84</v>
      </c>
      <c r="AG32" s="108">
        <v>82</v>
      </c>
      <c r="AH32" s="108">
        <v>83</v>
      </c>
      <c r="AI32" s="108">
        <v>73</v>
      </c>
      <c r="AJ32" s="108">
        <v>82</v>
      </c>
      <c r="AK32" s="107">
        <v>87</v>
      </c>
      <c r="AL32" s="107">
        <v>89</v>
      </c>
      <c r="AM32" s="107">
        <v>77</v>
      </c>
      <c r="AN32" s="107">
        <v>78</v>
      </c>
      <c r="AO32" s="107">
        <v>78</v>
      </c>
      <c r="AP32" s="107">
        <v>79</v>
      </c>
      <c r="AQ32" s="108">
        <v>84</v>
      </c>
      <c r="AR32" s="108">
        <v>95</v>
      </c>
      <c r="AS32" s="108">
        <v>82</v>
      </c>
      <c r="AT32" s="108">
        <v>76</v>
      </c>
      <c r="AU32" s="107">
        <v>77</v>
      </c>
      <c r="AV32" s="107">
        <v>77</v>
      </c>
      <c r="AW32" s="107">
        <v>81</v>
      </c>
      <c r="AX32" s="107">
        <v>95</v>
      </c>
      <c r="AY32" s="107">
        <v>77</v>
      </c>
      <c r="AZ32" s="107">
        <v>79</v>
      </c>
      <c r="BA32" s="107">
        <v>79</v>
      </c>
      <c r="BB32" s="107">
        <v>80</v>
      </c>
      <c r="BC32" s="107">
        <v>82</v>
      </c>
      <c r="BD32" s="112">
        <v>83</v>
      </c>
      <c r="BE32" s="96">
        <v>84</v>
      </c>
      <c r="BF32" s="96">
        <v>84</v>
      </c>
      <c r="BG32" s="96">
        <v>85</v>
      </c>
      <c r="BH32" s="130">
        <v>95</v>
      </c>
      <c r="BI32" s="95">
        <v>84</v>
      </c>
      <c r="BJ32" s="95">
        <v>84</v>
      </c>
      <c r="BK32" s="95">
        <v>84</v>
      </c>
      <c r="BL32" s="130">
        <v>95</v>
      </c>
      <c r="BM32" s="95">
        <v>83</v>
      </c>
      <c r="BN32" s="95">
        <v>83</v>
      </c>
      <c r="BO32" s="95">
        <v>82</v>
      </c>
      <c r="BP32" s="130">
        <v>95</v>
      </c>
      <c r="BQ32" s="95">
        <v>84</v>
      </c>
      <c r="BR32" s="95">
        <v>84</v>
      </c>
      <c r="BS32" s="95">
        <v>84</v>
      </c>
      <c r="BT32" s="130">
        <v>95</v>
      </c>
      <c r="BU32" s="15">
        <f t="shared" si="19"/>
        <v>83.75</v>
      </c>
      <c r="BV32" s="15">
        <f t="shared" si="20"/>
        <v>83.75</v>
      </c>
      <c r="BW32" s="15">
        <f t="shared" si="21"/>
        <v>83.75</v>
      </c>
      <c r="BX32" s="15">
        <f t="shared" si="22"/>
        <v>95</v>
      </c>
      <c r="BY32" s="108">
        <v>84</v>
      </c>
      <c r="BZ32" s="108">
        <v>84</v>
      </c>
      <c r="CA32" s="108">
        <v>85</v>
      </c>
      <c r="CB32" s="126">
        <v>95</v>
      </c>
      <c r="CC32" s="126">
        <v>94</v>
      </c>
      <c r="CD32" s="126">
        <v>76</v>
      </c>
      <c r="CE32" s="107">
        <v>89</v>
      </c>
      <c r="CF32" s="107">
        <v>82</v>
      </c>
      <c r="CG32" s="107">
        <v>95</v>
      </c>
      <c r="CH32" s="39">
        <v>87</v>
      </c>
      <c r="CI32" s="39">
        <v>95</v>
      </c>
      <c r="CJ32" s="39">
        <v>80</v>
      </c>
      <c r="CK32" s="39">
        <v>93</v>
      </c>
      <c r="CL32" s="39">
        <v>84</v>
      </c>
      <c r="CM32" s="39">
        <v>85</v>
      </c>
      <c r="CN32" s="39">
        <v>84</v>
      </c>
      <c r="CO32" s="39">
        <v>88</v>
      </c>
      <c r="CP32" s="39">
        <v>75</v>
      </c>
      <c r="CQ32" s="41">
        <f t="shared" si="0"/>
        <v>88.8</v>
      </c>
      <c r="CR32" s="41">
        <f t="shared" si="1"/>
        <v>95</v>
      </c>
      <c r="CS32" s="41">
        <f t="shared" si="23"/>
        <v>87</v>
      </c>
      <c r="CT32" s="17">
        <f t="shared" si="24"/>
        <v>90.12</v>
      </c>
      <c r="CU32" s="16">
        <f t="shared" si="2"/>
        <v>86</v>
      </c>
      <c r="CV32" s="16">
        <f t="shared" si="3"/>
        <v>94</v>
      </c>
      <c r="CW32" s="16">
        <f t="shared" si="25"/>
        <v>95</v>
      </c>
      <c r="CX32" s="17">
        <f t="shared" si="26"/>
        <v>91.1</v>
      </c>
      <c r="CY32" s="17">
        <f t="shared" si="4"/>
        <v>85.4</v>
      </c>
      <c r="CZ32" s="17">
        <f t="shared" si="5"/>
        <v>89</v>
      </c>
      <c r="DA32" s="17">
        <f t="shared" si="27"/>
        <v>80</v>
      </c>
      <c r="DB32" s="17">
        <f t="shared" si="28"/>
        <v>84.86</v>
      </c>
      <c r="DC32" s="18">
        <f t="shared" si="6"/>
        <v>82</v>
      </c>
      <c r="DD32" s="18">
        <f t="shared" si="29"/>
        <v>82</v>
      </c>
      <c r="DE32" s="18">
        <f t="shared" si="7"/>
        <v>80.25</v>
      </c>
      <c r="DF32" s="18">
        <f t="shared" si="30"/>
        <v>80.25</v>
      </c>
      <c r="DG32" s="18">
        <f t="shared" si="8"/>
        <v>83</v>
      </c>
      <c r="DH32" s="18">
        <f t="shared" si="31"/>
        <v>83</v>
      </c>
      <c r="DI32" s="18">
        <f t="shared" si="9"/>
        <v>80</v>
      </c>
      <c r="DJ32" s="18">
        <f t="shared" si="32"/>
        <v>80</v>
      </c>
      <c r="DK32" s="18">
        <f t="shared" si="10"/>
        <v>87</v>
      </c>
      <c r="DL32" s="18">
        <f t="shared" si="11"/>
        <v>89</v>
      </c>
      <c r="DM32" s="18">
        <f t="shared" si="33"/>
        <v>93</v>
      </c>
      <c r="DN32" s="17">
        <f t="shared" si="34"/>
        <v>89.4</v>
      </c>
      <c r="DO32" s="18">
        <f t="shared" si="12"/>
        <v>79.2</v>
      </c>
      <c r="DP32" s="18">
        <f t="shared" si="13"/>
        <v>95</v>
      </c>
      <c r="DQ32" s="18">
        <f t="shared" si="35"/>
        <v>84</v>
      </c>
      <c r="DR32" s="17">
        <f t="shared" si="36"/>
        <v>85.38</v>
      </c>
      <c r="DS32" s="18">
        <f t="shared" si="14"/>
        <v>78.599999999999994</v>
      </c>
      <c r="DT32" s="18">
        <f t="shared" si="15"/>
        <v>95</v>
      </c>
      <c r="DU32" s="18">
        <f t="shared" si="37"/>
        <v>85</v>
      </c>
      <c r="DV32" s="17">
        <f t="shared" si="38"/>
        <v>85.44</v>
      </c>
      <c r="DW32" s="18">
        <f t="shared" si="16"/>
        <v>78</v>
      </c>
      <c r="DX32" s="18">
        <f t="shared" si="39"/>
        <v>78</v>
      </c>
      <c r="DY32" s="18">
        <f t="shared" si="17"/>
        <v>79.5</v>
      </c>
      <c r="DZ32" s="18">
        <f t="shared" si="40"/>
        <v>79.5</v>
      </c>
      <c r="EA32" s="18">
        <f t="shared" si="18"/>
        <v>82.5</v>
      </c>
      <c r="EB32" s="17">
        <f t="shared" si="41"/>
        <v>82.5</v>
      </c>
      <c r="EC32" s="18">
        <f t="shared" si="42"/>
        <v>83.75</v>
      </c>
      <c r="ED32" s="18">
        <f t="shared" si="43"/>
        <v>95</v>
      </c>
      <c r="EE32" s="18">
        <f t="shared" si="44"/>
        <v>75</v>
      </c>
      <c r="EF32" s="17">
        <f t="shared" si="45"/>
        <v>84.5</v>
      </c>
      <c r="EG32" s="18">
        <f t="shared" si="46"/>
        <v>84.333333333333329</v>
      </c>
      <c r="EH32" s="18">
        <f t="shared" si="47"/>
        <v>95</v>
      </c>
      <c r="EI32" s="18">
        <f t="shared" si="48"/>
        <v>88</v>
      </c>
      <c r="EJ32" s="17">
        <f t="shared" si="49"/>
        <v>88.633333333333326</v>
      </c>
      <c r="EK32" s="18">
        <f t="shared" si="50"/>
        <v>94</v>
      </c>
      <c r="EL32" s="18">
        <f t="shared" si="51"/>
        <v>82.333333333333329</v>
      </c>
      <c r="EM32" s="18">
        <f t="shared" si="52"/>
        <v>95</v>
      </c>
      <c r="EN32" s="18">
        <f t="shared" si="53"/>
        <v>84</v>
      </c>
      <c r="EO32" s="17">
        <f t="shared" si="54"/>
        <v>86.633333333333326</v>
      </c>
      <c r="EP32" s="19">
        <f t="shared" si="55"/>
        <v>90.12</v>
      </c>
      <c r="EQ32" s="19">
        <f t="shared" si="56"/>
        <v>91.1</v>
      </c>
      <c r="ER32" s="19">
        <f t="shared" si="57"/>
        <v>84.86</v>
      </c>
      <c r="ES32" s="19">
        <f t="shared" si="58"/>
        <v>82</v>
      </c>
      <c r="ET32" s="19">
        <f t="shared" si="59"/>
        <v>80.25</v>
      </c>
      <c r="EU32" s="19">
        <f t="shared" si="60"/>
        <v>83</v>
      </c>
      <c r="EV32" s="19">
        <f t="shared" si="61"/>
        <v>80</v>
      </c>
      <c r="EW32" s="19">
        <f t="shared" si="62"/>
        <v>89.4</v>
      </c>
      <c r="EX32" s="19">
        <f t="shared" si="63"/>
        <v>85.38</v>
      </c>
      <c r="EY32" s="19">
        <f t="shared" si="64"/>
        <v>85.44</v>
      </c>
      <c r="EZ32" s="19">
        <f t="shared" si="65"/>
        <v>78</v>
      </c>
      <c r="FA32" s="19">
        <f t="shared" si="66"/>
        <v>79.5</v>
      </c>
      <c r="FB32" s="19">
        <f t="shared" si="67"/>
        <v>82.5</v>
      </c>
      <c r="FC32" s="19">
        <f t="shared" si="68"/>
        <v>84.5</v>
      </c>
      <c r="FD32" s="19">
        <f t="shared" si="69"/>
        <v>88.633333333333326</v>
      </c>
      <c r="FE32" s="19">
        <f t="shared" si="69"/>
        <v>94</v>
      </c>
      <c r="FF32" s="19">
        <f t="shared" si="70"/>
        <v>86.633333333333326</v>
      </c>
      <c r="FG32" s="19">
        <f t="shared" si="71"/>
        <v>85.018627450980389</v>
      </c>
    </row>
    <row r="33" spans="1:163" ht="18">
      <c r="A33" s="11">
        <v>29</v>
      </c>
      <c r="B33" s="104" t="s">
        <v>703</v>
      </c>
      <c r="C33" s="105" t="s">
        <v>607</v>
      </c>
      <c r="D33" s="106" t="s">
        <v>675</v>
      </c>
      <c r="E33" s="107">
        <v>91</v>
      </c>
      <c r="F33" s="107">
        <v>95</v>
      </c>
      <c r="G33" s="107">
        <v>88</v>
      </c>
      <c r="H33" s="107">
        <v>83</v>
      </c>
      <c r="I33" s="108">
        <v>93</v>
      </c>
      <c r="J33" s="108">
        <v>94</v>
      </c>
      <c r="K33" s="108">
        <v>84</v>
      </c>
      <c r="L33" s="108">
        <v>89</v>
      </c>
      <c r="M33" s="107">
        <v>83</v>
      </c>
      <c r="N33" s="107">
        <v>85</v>
      </c>
      <c r="O33" s="107">
        <v>86</v>
      </c>
      <c r="P33" s="107">
        <v>90</v>
      </c>
      <c r="Q33" s="107">
        <v>96</v>
      </c>
      <c r="R33" s="107">
        <v>86</v>
      </c>
      <c r="S33" s="107">
        <v>85</v>
      </c>
      <c r="T33" s="107">
        <v>93</v>
      </c>
      <c r="U33" s="109">
        <v>91</v>
      </c>
      <c r="V33" s="110">
        <v>90</v>
      </c>
      <c r="W33" s="111">
        <v>83</v>
      </c>
      <c r="X33" s="111">
        <v>84</v>
      </c>
      <c r="Y33" s="107">
        <v>75</v>
      </c>
      <c r="Z33" s="107">
        <v>85</v>
      </c>
      <c r="AA33" s="107">
        <v>78</v>
      </c>
      <c r="AB33" s="107">
        <v>85</v>
      </c>
      <c r="AC33" s="107">
        <v>80</v>
      </c>
      <c r="AD33" s="107">
        <v>85</v>
      </c>
      <c r="AE33" s="107">
        <v>83</v>
      </c>
      <c r="AF33" s="107">
        <v>90</v>
      </c>
      <c r="AG33" s="108">
        <v>83</v>
      </c>
      <c r="AH33" s="108">
        <v>84</v>
      </c>
      <c r="AI33" s="108">
        <v>76</v>
      </c>
      <c r="AJ33" s="108">
        <v>85</v>
      </c>
      <c r="AK33" s="107">
        <v>88</v>
      </c>
      <c r="AL33" s="107">
        <v>90</v>
      </c>
      <c r="AM33" s="107">
        <v>78</v>
      </c>
      <c r="AN33" s="107">
        <v>82</v>
      </c>
      <c r="AO33" s="107">
        <v>76</v>
      </c>
      <c r="AP33" s="107">
        <v>83</v>
      </c>
      <c r="AQ33" s="108">
        <v>86</v>
      </c>
      <c r="AR33" s="108">
        <v>93</v>
      </c>
      <c r="AS33" s="108">
        <v>83</v>
      </c>
      <c r="AT33" s="108">
        <v>82</v>
      </c>
      <c r="AU33" s="107">
        <v>80</v>
      </c>
      <c r="AV33" s="107">
        <v>81</v>
      </c>
      <c r="AW33" s="107">
        <v>83</v>
      </c>
      <c r="AX33" s="107">
        <v>93</v>
      </c>
      <c r="AY33" s="107">
        <v>79</v>
      </c>
      <c r="AZ33" s="107">
        <v>81</v>
      </c>
      <c r="BA33" s="107">
        <v>86</v>
      </c>
      <c r="BB33" s="107">
        <v>87</v>
      </c>
      <c r="BC33" s="107">
        <v>85</v>
      </c>
      <c r="BD33" s="112">
        <v>85</v>
      </c>
      <c r="BE33" s="96">
        <v>83</v>
      </c>
      <c r="BF33" s="96">
        <v>87</v>
      </c>
      <c r="BG33" s="96">
        <v>88</v>
      </c>
      <c r="BH33" s="130">
        <v>93</v>
      </c>
      <c r="BI33" s="95">
        <v>83</v>
      </c>
      <c r="BJ33" s="95">
        <v>84</v>
      </c>
      <c r="BK33" s="95">
        <v>85</v>
      </c>
      <c r="BL33" s="130">
        <v>93</v>
      </c>
      <c r="BM33" s="95">
        <v>83</v>
      </c>
      <c r="BN33" s="95">
        <v>86</v>
      </c>
      <c r="BO33" s="95">
        <v>86</v>
      </c>
      <c r="BP33" s="130">
        <v>93</v>
      </c>
      <c r="BQ33" s="95">
        <v>80</v>
      </c>
      <c r="BR33" s="95">
        <v>84</v>
      </c>
      <c r="BS33" s="95">
        <v>85</v>
      </c>
      <c r="BT33" s="130">
        <v>93</v>
      </c>
      <c r="BU33" s="15">
        <f t="shared" si="19"/>
        <v>82.25</v>
      </c>
      <c r="BV33" s="15">
        <f t="shared" si="20"/>
        <v>85.25</v>
      </c>
      <c r="BW33" s="15">
        <f t="shared" si="21"/>
        <v>86</v>
      </c>
      <c r="BX33" s="15">
        <f t="shared" si="22"/>
        <v>93</v>
      </c>
      <c r="BY33" s="108">
        <v>82</v>
      </c>
      <c r="BZ33" s="108">
        <v>85</v>
      </c>
      <c r="CA33" s="108">
        <v>84</v>
      </c>
      <c r="CB33" s="126">
        <v>93</v>
      </c>
      <c r="CC33" s="126">
        <v>92</v>
      </c>
      <c r="CD33" s="126">
        <v>78</v>
      </c>
      <c r="CE33" s="107">
        <v>91</v>
      </c>
      <c r="CF33" s="107">
        <v>95</v>
      </c>
      <c r="CG33" s="107">
        <v>93</v>
      </c>
      <c r="CH33" s="39">
        <v>89</v>
      </c>
      <c r="CI33" s="39">
        <v>95</v>
      </c>
      <c r="CJ33" s="39">
        <v>88</v>
      </c>
      <c r="CK33" s="39">
        <v>82</v>
      </c>
      <c r="CL33" s="39">
        <v>87</v>
      </c>
      <c r="CM33" s="39">
        <v>83</v>
      </c>
      <c r="CN33" s="39">
        <v>93</v>
      </c>
      <c r="CO33" s="39">
        <v>88</v>
      </c>
      <c r="CP33" s="39">
        <v>82</v>
      </c>
      <c r="CQ33" s="41">
        <f t="shared" si="0"/>
        <v>90</v>
      </c>
      <c r="CR33" s="41">
        <f t="shared" si="1"/>
        <v>94</v>
      </c>
      <c r="CS33" s="41">
        <f t="shared" si="23"/>
        <v>89</v>
      </c>
      <c r="CT33" s="17">
        <f t="shared" si="24"/>
        <v>90.9</v>
      </c>
      <c r="CU33" s="16">
        <f t="shared" si="2"/>
        <v>85.4</v>
      </c>
      <c r="CV33" s="16">
        <f t="shared" si="3"/>
        <v>90</v>
      </c>
      <c r="CW33" s="16">
        <f t="shared" si="25"/>
        <v>95</v>
      </c>
      <c r="CX33" s="17">
        <f t="shared" si="26"/>
        <v>89.66</v>
      </c>
      <c r="CY33" s="17">
        <f t="shared" si="4"/>
        <v>90.2</v>
      </c>
      <c r="CZ33" s="17">
        <f t="shared" si="5"/>
        <v>90</v>
      </c>
      <c r="DA33" s="17">
        <f t="shared" si="27"/>
        <v>88</v>
      </c>
      <c r="DB33" s="17">
        <f t="shared" si="28"/>
        <v>89.47999999999999</v>
      </c>
      <c r="DC33" s="18">
        <f t="shared" si="6"/>
        <v>81.75</v>
      </c>
      <c r="DD33" s="18">
        <f t="shared" si="29"/>
        <v>81.75</v>
      </c>
      <c r="DE33" s="18">
        <f t="shared" si="7"/>
        <v>82</v>
      </c>
      <c r="DF33" s="18">
        <f t="shared" si="30"/>
        <v>82</v>
      </c>
      <c r="DG33" s="18">
        <f t="shared" si="8"/>
        <v>86.5</v>
      </c>
      <c r="DH33" s="18">
        <f t="shared" si="31"/>
        <v>86.5</v>
      </c>
      <c r="DI33" s="18">
        <f t="shared" si="9"/>
        <v>82</v>
      </c>
      <c r="DJ33" s="18">
        <f t="shared" si="32"/>
        <v>82</v>
      </c>
      <c r="DK33" s="18">
        <f t="shared" si="10"/>
        <v>88</v>
      </c>
      <c r="DL33" s="18">
        <f t="shared" si="11"/>
        <v>90</v>
      </c>
      <c r="DM33" s="18">
        <f t="shared" si="33"/>
        <v>82</v>
      </c>
      <c r="DN33" s="17">
        <f t="shared" si="34"/>
        <v>86.8</v>
      </c>
      <c r="DO33" s="18">
        <f t="shared" si="12"/>
        <v>81</v>
      </c>
      <c r="DP33" s="18">
        <f t="shared" si="13"/>
        <v>93</v>
      </c>
      <c r="DQ33" s="18">
        <f t="shared" si="35"/>
        <v>87</v>
      </c>
      <c r="DR33" s="17">
        <f t="shared" si="36"/>
        <v>86.4</v>
      </c>
      <c r="DS33" s="18">
        <f t="shared" si="14"/>
        <v>81.8</v>
      </c>
      <c r="DT33" s="18">
        <f t="shared" si="15"/>
        <v>93</v>
      </c>
      <c r="DU33" s="18">
        <f t="shared" si="37"/>
        <v>83</v>
      </c>
      <c r="DV33" s="17">
        <f t="shared" si="38"/>
        <v>85.52000000000001</v>
      </c>
      <c r="DW33" s="18">
        <f t="shared" si="16"/>
        <v>80</v>
      </c>
      <c r="DX33" s="18">
        <f t="shared" si="39"/>
        <v>80</v>
      </c>
      <c r="DY33" s="18">
        <f t="shared" si="17"/>
        <v>86.5</v>
      </c>
      <c r="DZ33" s="18">
        <f t="shared" si="40"/>
        <v>86.5</v>
      </c>
      <c r="EA33" s="18">
        <f t="shared" si="18"/>
        <v>85</v>
      </c>
      <c r="EB33" s="17">
        <f t="shared" si="41"/>
        <v>85</v>
      </c>
      <c r="EC33" s="18">
        <f t="shared" si="42"/>
        <v>84.5</v>
      </c>
      <c r="ED33" s="18">
        <f t="shared" si="43"/>
        <v>93</v>
      </c>
      <c r="EE33" s="18">
        <f t="shared" si="44"/>
        <v>82</v>
      </c>
      <c r="EF33" s="17">
        <f t="shared" si="45"/>
        <v>86.3</v>
      </c>
      <c r="EG33" s="18">
        <f t="shared" si="46"/>
        <v>83.666666666666671</v>
      </c>
      <c r="EH33" s="18">
        <f t="shared" si="47"/>
        <v>93</v>
      </c>
      <c r="EI33" s="18">
        <f t="shared" si="48"/>
        <v>88</v>
      </c>
      <c r="EJ33" s="17">
        <f t="shared" si="49"/>
        <v>87.76666666666668</v>
      </c>
      <c r="EK33" s="18">
        <f t="shared" si="50"/>
        <v>92</v>
      </c>
      <c r="EL33" s="18">
        <f t="shared" si="51"/>
        <v>88</v>
      </c>
      <c r="EM33" s="18">
        <f t="shared" si="52"/>
        <v>93</v>
      </c>
      <c r="EN33" s="18">
        <f t="shared" si="53"/>
        <v>93</v>
      </c>
      <c r="EO33" s="17">
        <f t="shared" si="54"/>
        <v>91</v>
      </c>
      <c r="EP33" s="19">
        <f t="shared" si="55"/>
        <v>90.9</v>
      </c>
      <c r="EQ33" s="19">
        <f t="shared" si="56"/>
        <v>89.66</v>
      </c>
      <c r="ER33" s="19">
        <f t="shared" si="57"/>
        <v>89.47999999999999</v>
      </c>
      <c r="ES33" s="19">
        <f t="shared" si="58"/>
        <v>81.75</v>
      </c>
      <c r="ET33" s="19">
        <f t="shared" si="59"/>
        <v>82</v>
      </c>
      <c r="EU33" s="19">
        <f t="shared" si="60"/>
        <v>86.5</v>
      </c>
      <c r="EV33" s="19">
        <f t="shared" si="61"/>
        <v>82</v>
      </c>
      <c r="EW33" s="19">
        <f t="shared" si="62"/>
        <v>86.8</v>
      </c>
      <c r="EX33" s="19">
        <f t="shared" si="63"/>
        <v>86.4</v>
      </c>
      <c r="EY33" s="19">
        <f t="shared" si="64"/>
        <v>85.52000000000001</v>
      </c>
      <c r="EZ33" s="19">
        <f t="shared" si="65"/>
        <v>80</v>
      </c>
      <c r="FA33" s="19">
        <f t="shared" si="66"/>
        <v>86.5</v>
      </c>
      <c r="FB33" s="19">
        <f t="shared" si="67"/>
        <v>85</v>
      </c>
      <c r="FC33" s="19">
        <f t="shared" si="68"/>
        <v>86.3</v>
      </c>
      <c r="FD33" s="19">
        <f t="shared" si="69"/>
        <v>87.76666666666668</v>
      </c>
      <c r="FE33" s="19">
        <f t="shared" si="69"/>
        <v>92</v>
      </c>
      <c r="FF33" s="19">
        <f t="shared" si="70"/>
        <v>91</v>
      </c>
      <c r="FG33" s="19">
        <f t="shared" si="71"/>
        <v>86.445686274509782</v>
      </c>
    </row>
    <row r="34" spans="1:163" ht="20.100000000000001" customHeight="1">
      <c r="A34" s="11">
        <v>30</v>
      </c>
      <c r="B34" s="104" t="s">
        <v>704</v>
      </c>
      <c r="C34" s="105" t="s">
        <v>609</v>
      </c>
      <c r="D34" s="106" t="s">
        <v>675</v>
      </c>
      <c r="E34" s="107">
        <v>82</v>
      </c>
      <c r="F34" s="107">
        <v>84</v>
      </c>
      <c r="G34" s="107">
        <v>90</v>
      </c>
      <c r="H34" s="107">
        <v>88</v>
      </c>
      <c r="I34" s="108">
        <v>84</v>
      </c>
      <c r="J34" s="108">
        <v>85</v>
      </c>
      <c r="K34" s="108">
        <v>81</v>
      </c>
      <c r="L34" s="108">
        <v>82</v>
      </c>
      <c r="M34" s="107">
        <v>89</v>
      </c>
      <c r="N34" s="107">
        <v>87</v>
      </c>
      <c r="O34" s="107">
        <v>88</v>
      </c>
      <c r="P34" s="107">
        <v>90</v>
      </c>
      <c r="Q34" s="107">
        <v>86</v>
      </c>
      <c r="R34" s="107">
        <v>82</v>
      </c>
      <c r="S34" s="107">
        <v>89</v>
      </c>
      <c r="T34" s="107">
        <v>90</v>
      </c>
      <c r="U34" s="109">
        <v>77</v>
      </c>
      <c r="V34" s="110">
        <v>82</v>
      </c>
      <c r="W34" s="111">
        <v>80</v>
      </c>
      <c r="X34" s="111">
        <v>84</v>
      </c>
      <c r="Y34" s="107">
        <v>81</v>
      </c>
      <c r="Z34" s="107">
        <v>85</v>
      </c>
      <c r="AA34" s="107">
        <v>80</v>
      </c>
      <c r="AB34" s="107">
        <v>88</v>
      </c>
      <c r="AC34" s="107">
        <v>83</v>
      </c>
      <c r="AD34" s="107">
        <v>84</v>
      </c>
      <c r="AE34" s="107">
        <v>81</v>
      </c>
      <c r="AF34" s="107">
        <v>91</v>
      </c>
      <c r="AG34" s="108">
        <v>81</v>
      </c>
      <c r="AH34" s="108">
        <v>86</v>
      </c>
      <c r="AI34" s="108">
        <v>76</v>
      </c>
      <c r="AJ34" s="108">
        <v>84</v>
      </c>
      <c r="AK34" s="107">
        <v>83</v>
      </c>
      <c r="AL34" s="107">
        <v>82</v>
      </c>
      <c r="AM34" s="107">
        <v>78</v>
      </c>
      <c r="AN34" s="107">
        <v>81</v>
      </c>
      <c r="AO34" s="107">
        <v>82</v>
      </c>
      <c r="AP34" s="107">
        <v>83</v>
      </c>
      <c r="AQ34" s="108">
        <v>82</v>
      </c>
      <c r="AR34" s="108">
        <v>80</v>
      </c>
      <c r="AS34" s="108">
        <v>75</v>
      </c>
      <c r="AT34" s="108">
        <v>77</v>
      </c>
      <c r="AU34" s="107">
        <v>76</v>
      </c>
      <c r="AV34" s="107">
        <v>78</v>
      </c>
      <c r="AW34" s="107">
        <v>85</v>
      </c>
      <c r="AX34" s="107">
        <v>80</v>
      </c>
      <c r="AY34" s="107">
        <v>77</v>
      </c>
      <c r="AZ34" s="107">
        <v>82</v>
      </c>
      <c r="BA34" s="107">
        <v>80</v>
      </c>
      <c r="BB34" s="107">
        <v>83</v>
      </c>
      <c r="BC34" s="107">
        <v>82</v>
      </c>
      <c r="BD34" s="112">
        <v>84</v>
      </c>
      <c r="BE34" s="96">
        <v>83</v>
      </c>
      <c r="BF34" s="96">
        <v>86</v>
      </c>
      <c r="BG34" s="96">
        <v>84</v>
      </c>
      <c r="BH34" s="130">
        <v>80</v>
      </c>
      <c r="BI34" s="95">
        <v>83</v>
      </c>
      <c r="BJ34" s="95">
        <v>84</v>
      </c>
      <c r="BK34" s="95">
        <v>82</v>
      </c>
      <c r="BL34" s="130">
        <v>80</v>
      </c>
      <c r="BM34" s="95">
        <v>84</v>
      </c>
      <c r="BN34" s="95">
        <v>85</v>
      </c>
      <c r="BO34" s="95">
        <v>80</v>
      </c>
      <c r="BP34" s="130">
        <v>80</v>
      </c>
      <c r="BQ34" s="95">
        <v>84</v>
      </c>
      <c r="BR34" s="95">
        <v>85</v>
      </c>
      <c r="BS34" s="95">
        <v>82</v>
      </c>
      <c r="BT34" s="130">
        <v>80</v>
      </c>
      <c r="BU34" s="15">
        <f t="shared" si="19"/>
        <v>83.5</v>
      </c>
      <c r="BV34" s="15">
        <f t="shared" si="20"/>
        <v>85</v>
      </c>
      <c r="BW34" s="15">
        <f t="shared" si="21"/>
        <v>82</v>
      </c>
      <c r="BX34" s="15">
        <f t="shared" si="22"/>
        <v>80</v>
      </c>
      <c r="BY34" s="108">
        <v>85</v>
      </c>
      <c r="BZ34" s="108">
        <v>86</v>
      </c>
      <c r="CA34" s="108">
        <v>82</v>
      </c>
      <c r="CB34" s="126">
        <v>80</v>
      </c>
      <c r="CC34" s="126">
        <v>83</v>
      </c>
      <c r="CD34" s="126">
        <v>76</v>
      </c>
      <c r="CE34" s="107">
        <v>88</v>
      </c>
      <c r="CF34" s="107">
        <v>92</v>
      </c>
      <c r="CG34" s="107">
        <v>80</v>
      </c>
      <c r="CH34" s="39">
        <v>82</v>
      </c>
      <c r="CI34" s="39">
        <v>80</v>
      </c>
      <c r="CJ34" s="39">
        <v>80</v>
      </c>
      <c r="CK34" s="39">
        <v>90</v>
      </c>
      <c r="CL34" s="39">
        <v>82</v>
      </c>
      <c r="CM34" s="39">
        <v>81</v>
      </c>
      <c r="CN34" s="39">
        <v>84</v>
      </c>
      <c r="CO34" s="39">
        <v>89</v>
      </c>
      <c r="CP34" s="39">
        <v>75</v>
      </c>
      <c r="CQ34" s="41">
        <f t="shared" si="0"/>
        <v>85.6</v>
      </c>
      <c r="CR34" s="41">
        <f t="shared" si="1"/>
        <v>85</v>
      </c>
      <c r="CS34" s="41">
        <f t="shared" si="23"/>
        <v>82</v>
      </c>
      <c r="CT34" s="17">
        <f t="shared" si="24"/>
        <v>84.34</v>
      </c>
      <c r="CU34" s="16">
        <f t="shared" si="2"/>
        <v>85.4</v>
      </c>
      <c r="CV34" s="16">
        <f t="shared" si="3"/>
        <v>90</v>
      </c>
      <c r="CW34" s="16">
        <f t="shared" si="25"/>
        <v>80</v>
      </c>
      <c r="CX34" s="17">
        <f t="shared" si="26"/>
        <v>85.16</v>
      </c>
      <c r="CY34" s="17">
        <f t="shared" si="4"/>
        <v>84.8</v>
      </c>
      <c r="CZ34" s="17">
        <f t="shared" si="5"/>
        <v>82</v>
      </c>
      <c r="DA34" s="17">
        <f t="shared" si="27"/>
        <v>80</v>
      </c>
      <c r="DB34" s="17">
        <f t="shared" si="28"/>
        <v>82.52000000000001</v>
      </c>
      <c r="DC34" s="18">
        <f t="shared" si="6"/>
        <v>82.5</v>
      </c>
      <c r="DD34" s="18">
        <f t="shared" si="29"/>
        <v>82.5</v>
      </c>
      <c r="DE34" s="18">
        <f t="shared" si="7"/>
        <v>83.75</v>
      </c>
      <c r="DF34" s="18">
        <f t="shared" si="30"/>
        <v>83.75</v>
      </c>
      <c r="DG34" s="18">
        <f t="shared" si="8"/>
        <v>86</v>
      </c>
      <c r="DH34" s="18">
        <f t="shared" si="31"/>
        <v>86</v>
      </c>
      <c r="DI34" s="18">
        <f t="shared" si="9"/>
        <v>81.75</v>
      </c>
      <c r="DJ34" s="18">
        <f t="shared" si="32"/>
        <v>81.75</v>
      </c>
      <c r="DK34" s="18">
        <f t="shared" si="10"/>
        <v>83</v>
      </c>
      <c r="DL34" s="18">
        <f t="shared" si="11"/>
        <v>82</v>
      </c>
      <c r="DM34" s="18">
        <f t="shared" si="33"/>
        <v>90</v>
      </c>
      <c r="DN34" s="17">
        <f t="shared" si="34"/>
        <v>84.8</v>
      </c>
      <c r="DO34" s="18">
        <f t="shared" si="12"/>
        <v>81.2</v>
      </c>
      <c r="DP34" s="18">
        <f t="shared" si="13"/>
        <v>80</v>
      </c>
      <c r="DQ34" s="18">
        <f t="shared" si="35"/>
        <v>82</v>
      </c>
      <c r="DR34" s="17">
        <f t="shared" si="36"/>
        <v>81.08</v>
      </c>
      <c r="DS34" s="18">
        <f t="shared" si="14"/>
        <v>78.2</v>
      </c>
      <c r="DT34" s="18">
        <f t="shared" si="15"/>
        <v>80</v>
      </c>
      <c r="DU34" s="18">
        <f t="shared" si="37"/>
        <v>81</v>
      </c>
      <c r="DV34" s="17">
        <f t="shared" si="38"/>
        <v>79.58</v>
      </c>
      <c r="DW34" s="18">
        <f t="shared" si="16"/>
        <v>79.5</v>
      </c>
      <c r="DX34" s="18">
        <f t="shared" si="39"/>
        <v>79.5</v>
      </c>
      <c r="DY34" s="18">
        <f t="shared" si="17"/>
        <v>81.5</v>
      </c>
      <c r="DZ34" s="18">
        <f t="shared" si="40"/>
        <v>81.5</v>
      </c>
      <c r="EA34" s="18">
        <f t="shared" si="18"/>
        <v>83</v>
      </c>
      <c r="EB34" s="17">
        <f t="shared" si="41"/>
        <v>83</v>
      </c>
      <c r="EC34" s="18">
        <f t="shared" si="42"/>
        <v>83.5</v>
      </c>
      <c r="ED34" s="18">
        <f t="shared" si="43"/>
        <v>80</v>
      </c>
      <c r="EE34" s="18">
        <f t="shared" si="44"/>
        <v>75</v>
      </c>
      <c r="EF34" s="17">
        <f t="shared" si="45"/>
        <v>79.900000000000006</v>
      </c>
      <c r="EG34" s="18">
        <f t="shared" si="46"/>
        <v>84.333333333333329</v>
      </c>
      <c r="EH34" s="18">
        <f t="shared" si="47"/>
        <v>80</v>
      </c>
      <c r="EI34" s="18">
        <f t="shared" si="48"/>
        <v>89</v>
      </c>
      <c r="EJ34" s="17">
        <f t="shared" si="49"/>
        <v>84.433333333333323</v>
      </c>
      <c r="EK34" s="18">
        <f t="shared" si="50"/>
        <v>83</v>
      </c>
      <c r="EL34" s="18">
        <f t="shared" si="51"/>
        <v>85.333333333333329</v>
      </c>
      <c r="EM34" s="18">
        <f t="shared" si="52"/>
        <v>80</v>
      </c>
      <c r="EN34" s="18">
        <f t="shared" si="53"/>
        <v>84</v>
      </c>
      <c r="EO34" s="17">
        <f t="shared" si="54"/>
        <v>83.333333333333329</v>
      </c>
      <c r="EP34" s="19">
        <f t="shared" si="55"/>
        <v>84.34</v>
      </c>
      <c r="EQ34" s="19">
        <f t="shared" si="56"/>
        <v>85.16</v>
      </c>
      <c r="ER34" s="19">
        <f t="shared" si="57"/>
        <v>82.52000000000001</v>
      </c>
      <c r="ES34" s="19">
        <f t="shared" si="58"/>
        <v>82.5</v>
      </c>
      <c r="ET34" s="19">
        <f t="shared" si="59"/>
        <v>83.75</v>
      </c>
      <c r="EU34" s="19">
        <f t="shared" si="60"/>
        <v>86</v>
      </c>
      <c r="EV34" s="19">
        <f t="shared" si="61"/>
        <v>81.75</v>
      </c>
      <c r="EW34" s="19">
        <f t="shared" si="62"/>
        <v>84.8</v>
      </c>
      <c r="EX34" s="19">
        <f t="shared" si="63"/>
        <v>81.08</v>
      </c>
      <c r="EY34" s="19">
        <f t="shared" si="64"/>
        <v>79.58</v>
      </c>
      <c r="EZ34" s="19">
        <f t="shared" si="65"/>
        <v>79.5</v>
      </c>
      <c r="FA34" s="19">
        <f t="shared" si="66"/>
        <v>81.5</v>
      </c>
      <c r="FB34" s="19">
        <f t="shared" si="67"/>
        <v>83</v>
      </c>
      <c r="FC34" s="19">
        <f t="shared" si="68"/>
        <v>79.900000000000006</v>
      </c>
      <c r="FD34" s="19">
        <f t="shared" si="69"/>
        <v>84.433333333333323</v>
      </c>
      <c r="FE34" s="19">
        <f t="shared" si="69"/>
        <v>83</v>
      </c>
      <c r="FF34" s="19">
        <f t="shared" si="70"/>
        <v>83.333333333333329</v>
      </c>
      <c r="FG34" s="19">
        <f t="shared" si="71"/>
        <v>82.714509803921572</v>
      </c>
    </row>
    <row r="35" spans="1:163" ht="20.100000000000001" customHeight="1">
      <c r="A35" s="11">
        <v>31</v>
      </c>
      <c r="B35" s="104" t="s">
        <v>705</v>
      </c>
      <c r="C35" s="105" t="s">
        <v>611</v>
      </c>
      <c r="D35" s="106" t="s">
        <v>675</v>
      </c>
      <c r="E35" s="107">
        <v>80</v>
      </c>
      <c r="F35" s="107">
        <v>80</v>
      </c>
      <c r="G35" s="107">
        <v>89</v>
      </c>
      <c r="H35" s="107">
        <v>83</v>
      </c>
      <c r="I35" s="108">
        <v>84</v>
      </c>
      <c r="J35" s="108">
        <v>85</v>
      </c>
      <c r="K35" s="108">
        <v>80</v>
      </c>
      <c r="L35" s="108">
        <v>84</v>
      </c>
      <c r="M35" s="107">
        <v>75</v>
      </c>
      <c r="N35" s="107">
        <v>75</v>
      </c>
      <c r="O35" s="107">
        <v>81</v>
      </c>
      <c r="P35" s="107">
        <v>80</v>
      </c>
      <c r="Q35" s="107">
        <v>82</v>
      </c>
      <c r="R35" s="107">
        <v>84</v>
      </c>
      <c r="S35" s="107">
        <v>75</v>
      </c>
      <c r="T35" s="107">
        <v>77</v>
      </c>
      <c r="U35" s="109">
        <v>77</v>
      </c>
      <c r="V35" s="110">
        <v>81</v>
      </c>
      <c r="W35" s="111">
        <v>83</v>
      </c>
      <c r="X35" s="111">
        <v>84</v>
      </c>
      <c r="Y35" s="107">
        <v>82</v>
      </c>
      <c r="Z35" s="107">
        <v>86</v>
      </c>
      <c r="AA35" s="107">
        <v>77</v>
      </c>
      <c r="AB35" s="107">
        <v>80</v>
      </c>
      <c r="AC35" s="107">
        <v>83</v>
      </c>
      <c r="AD35" s="107">
        <v>83</v>
      </c>
      <c r="AE35" s="107">
        <v>81</v>
      </c>
      <c r="AF35" s="107">
        <v>86</v>
      </c>
      <c r="AG35" s="108">
        <v>81</v>
      </c>
      <c r="AH35" s="108">
        <v>85</v>
      </c>
      <c r="AI35" s="108">
        <v>70</v>
      </c>
      <c r="AJ35" s="108">
        <v>83</v>
      </c>
      <c r="AK35" s="107">
        <v>80</v>
      </c>
      <c r="AL35" s="107">
        <v>81</v>
      </c>
      <c r="AM35" s="107">
        <v>74</v>
      </c>
      <c r="AN35" s="107">
        <v>76</v>
      </c>
      <c r="AO35" s="107">
        <v>74</v>
      </c>
      <c r="AP35" s="107">
        <v>75</v>
      </c>
      <c r="AQ35" s="108">
        <v>79</v>
      </c>
      <c r="AR35" s="108">
        <v>80</v>
      </c>
      <c r="AS35" s="108">
        <v>71</v>
      </c>
      <c r="AT35" s="108">
        <v>73</v>
      </c>
      <c r="AU35" s="107">
        <v>72</v>
      </c>
      <c r="AV35" s="107">
        <v>77</v>
      </c>
      <c r="AW35" s="107">
        <v>75</v>
      </c>
      <c r="AX35" s="107">
        <v>80</v>
      </c>
      <c r="AY35" s="107">
        <v>77</v>
      </c>
      <c r="AZ35" s="107">
        <v>80</v>
      </c>
      <c r="BA35" s="107">
        <v>78</v>
      </c>
      <c r="BB35" s="107">
        <v>84</v>
      </c>
      <c r="BC35" s="107">
        <v>82</v>
      </c>
      <c r="BD35" s="112">
        <v>84</v>
      </c>
      <c r="BE35" s="96">
        <v>82</v>
      </c>
      <c r="BF35" s="96">
        <v>84</v>
      </c>
      <c r="BG35" s="96">
        <v>82</v>
      </c>
      <c r="BH35" s="130">
        <v>80</v>
      </c>
      <c r="BI35" s="96">
        <v>82</v>
      </c>
      <c r="BJ35" s="96">
        <v>82</v>
      </c>
      <c r="BK35" s="96">
        <v>82</v>
      </c>
      <c r="BL35" s="130">
        <v>80</v>
      </c>
      <c r="BM35" s="96">
        <v>84</v>
      </c>
      <c r="BN35" s="96">
        <v>84</v>
      </c>
      <c r="BO35" s="96">
        <v>80</v>
      </c>
      <c r="BP35" s="130">
        <v>80</v>
      </c>
      <c r="BQ35" s="96">
        <v>83</v>
      </c>
      <c r="BR35" s="96">
        <v>83</v>
      </c>
      <c r="BS35" s="96">
        <v>82</v>
      </c>
      <c r="BT35" s="130">
        <v>80</v>
      </c>
      <c r="BU35" s="15">
        <f t="shared" si="19"/>
        <v>82.75</v>
      </c>
      <c r="BV35" s="15">
        <f t="shared" si="20"/>
        <v>83.25</v>
      </c>
      <c r="BW35" s="15">
        <f t="shared" si="21"/>
        <v>81.5</v>
      </c>
      <c r="BX35" s="15">
        <f t="shared" si="22"/>
        <v>80</v>
      </c>
      <c r="BY35" s="108">
        <v>84</v>
      </c>
      <c r="BZ35" s="108">
        <v>84</v>
      </c>
      <c r="CA35" s="108">
        <v>81</v>
      </c>
      <c r="CB35" s="126">
        <v>80</v>
      </c>
      <c r="CC35" s="126">
        <v>81</v>
      </c>
      <c r="CD35" s="126">
        <v>73</v>
      </c>
      <c r="CE35" s="107">
        <v>83</v>
      </c>
      <c r="CF35" s="107">
        <v>80</v>
      </c>
      <c r="CG35" s="107">
        <v>80</v>
      </c>
      <c r="CH35" s="39">
        <v>81</v>
      </c>
      <c r="CI35" s="39">
        <v>80</v>
      </c>
      <c r="CJ35" s="39">
        <v>80</v>
      </c>
      <c r="CK35" s="39">
        <v>70</v>
      </c>
      <c r="CL35" s="39">
        <v>80</v>
      </c>
      <c r="CM35" s="39">
        <v>83</v>
      </c>
      <c r="CN35" s="39">
        <v>81</v>
      </c>
      <c r="CO35" s="39">
        <v>84</v>
      </c>
      <c r="CP35" s="39">
        <v>70</v>
      </c>
      <c r="CQ35" s="41">
        <f t="shared" si="0"/>
        <v>83.2</v>
      </c>
      <c r="CR35" s="41">
        <f t="shared" si="1"/>
        <v>85</v>
      </c>
      <c r="CS35" s="41">
        <f t="shared" si="23"/>
        <v>81</v>
      </c>
      <c r="CT35" s="17">
        <f t="shared" si="24"/>
        <v>83.08</v>
      </c>
      <c r="CU35" s="16">
        <f t="shared" si="2"/>
        <v>79</v>
      </c>
      <c r="CV35" s="16">
        <f t="shared" si="3"/>
        <v>80</v>
      </c>
      <c r="CW35" s="16">
        <f t="shared" si="25"/>
        <v>80</v>
      </c>
      <c r="CX35" s="17">
        <f t="shared" si="26"/>
        <v>79.599999999999994</v>
      </c>
      <c r="CY35" s="17">
        <f t="shared" si="4"/>
        <v>79</v>
      </c>
      <c r="CZ35" s="17">
        <f t="shared" si="5"/>
        <v>81</v>
      </c>
      <c r="DA35" s="17">
        <f t="shared" si="27"/>
        <v>80</v>
      </c>
      <c r="DB35" s="17">
        <f t="shared" si="28"/>
        <v>79.900000000000006</v>
      </c>
      <c r="DC35" s="18">
        <f t="shared" si="6"/>
        <v>83.75</v>
      </c>
      <c r="DD35" s="18">
        <f t="shared" si="29"/>
        <v>83.75</v>
      </c>
      <c r="DE35" s="18">
        <f t="shared" si="7"/>
        <v>80.75</v>
      </c>
      <c r="DF35" s="18">
        <f t="shared" si="30"/>
        <v>80.75</v>
      </c>
      <c r="DG35" s="18">
        <f t="shared" si="8"/>
        <v>83.5</v>
      </c>
      <c r="DH35" s="18">
        <f t="shared" si="31"/>
        <v>83.5</v>
      </c>
      <c r="DI35" s="18">
        <f t="shared" si="9"/>
        <v>79.75</v>
      </c>
      <c r="DJ35" s="18">
        <f t="shared" si="32"/>
        <v>79.75</v>
      </c>
      <c r="DK35" s="18">
        <f t="shared" si="10"/>
        <v>80</v>
      </c>
      <c r="DL35" s="18">
        <f t="shared" si="11"/>
        <v>81</v>
      </c>
      <c r="DM35" s="18">
        <f t="shared" si="33"/>
        <v>70</v>
      </c>
      <c r="DN35" s="17">
        <f t="shared" si="34"/>
        <v>77.3</v>
      </c>
      <c r="DO35" s="18">
        <f t="shared" si="12"/>
        <v>75.599999999999994</v>
      </c>
      <c r="DP35" s="18">
        <f t="shared" si="13"/>
        <v>80</v>
      </c>
      <c r="DQ35" s="18">
        <f t="shared" si="35"/>
        <v>80</v>
      </c>
      <c r="DR35" s="17">
        <f t="shared" si="36"/>
        <v>78.239999999999995</v>
      </c>
      <c r="DS35" s="18">
        <f t="shared" si="14"/>
        <v>73.599999999999994</v>
      </c>
      <c r="DT35" s="18">
        <f t="shared" si="15"/>
        <v>80</v>
      </c>
      <c r="DU35" s="18">
        <f t="shared" si="37"/>
        <v>83</v>
      </c>
      <c r="DV35" s="17">
        <f t="shared" si="38"/>
        <v>78.34</v>
      </c>
      <c r="DW35" s="18">
        <f t="shared" si="16"/>
        <v>78.5</v>
      </c>
      <c r="DX35" s="18">
        <f t="shared" si="39"/>
        <v>78.5</v>
      </c>
      <c r="DY35" s="18">
        <f t="shared" si="17"/>
        <v>81</v>
      </c>
      <c r="DZ35" s="18">
        <f t="shared" si="40"/>
        <v>81</v>
      </c>
      <c r="EA35" s="18">
        <f t="shared" si="18"/>
        <v>83</v>
      </c>
      <c r="EB35" s="17">
        <f t="shared" si="41"/>
        <v>83</v>
      </c>
      <c r="EC35" s="18">
        <f t="shared" si="42"/>
        <v>82.5</v>
      </c>
      <c r="ED35" s="18">
        <f t="shared" si="43"/>
        <v>80</v>
      </c>
      <c r="EE35" s="18">
        <f t="shared" si="44"/>
        <v>70</v>
      </c>
      <c r="EF35" s="17">
        <f t="shared" si="45"/>
        <v>78</v>
      </c>
      <c r="EG35" s="18">
        <f t="shared" si="46"/>
        <v>83</v>
      </c>
      <c r="EH35" s="18">
        <f t="shared" si="47"/>
        <v>80</v>
      </c>
      <c r="EI35" s="18">
        <f t="shared" si="48"/>
        <v>84</v>
      </c>
      <c r="EJ35" s="17">
        <f t="shared" si="49"/>
        <v>82.4</v>
      </c>
      <c r="EK35" s="18">
        <f t="shared" si="50"/>
        <v>81</v>
      </c>
      <c r="EL35" s="18">
        <f t="shared" si="51"/>
        <v>78.666666666666671</v>
      </c>
      <c r="EM35" s="18">
        <f t="shared" si="52"/>
        <v>80</v>
      </c>
      <c r="EN35" s="18">
        <f t="shared" si="53"/>
        <v>81</v>
      </c>
      <c r="EO35" s="17">
        <f t="shared" si="54"/>
        <v>79.76666666666668</v>
      </c>
      <c r="EP35" s="19">
        <f t="shared" si="55"/>
        <v>83.08</v>
      </c>
      <c r="EQ35" s="19">
        <f t="shared" si="56"/>
        <v>79.599999999999994</v>
      </c>
      <c r="ER35" s="19">
        <f t="shared" si="57"/>
        <v>79.900000000000006</v>
      </c>
      <c r="ES35" s="19">
        <f t="shared" si="58"/>
        <v>83.75</v>
      </c>
      <c r="ET35" s="19">
        <f t="shared" si="59"/>
        <v>80.75</v>
      </c>
      <c r="EU35" s="19">
        <f t="shared" si="60"/>
        <v>83.5</v>
      </c>
      <c r="EV35" s="19">
        <f t="shared" si="61"/>
        <v>79.75</v>
      </c>
      <c r="EW35" s="19">
        <f t="shared" si="62"/>
        <v>77.3</v>
      </c>
      <c r="EX35" s="19">
        <f t="shared" si="63"/>
        <v>78.239999999999995</v>
      </c>
      <c r="EY35" s="19">
        <f t="shared" si="64"/>
        <v>78.34</v>
      </c>
      <c r="EZ35" s="19">
        <f t="shared" si="65"/>
        <v>78.5</v>
      </c>
      <c r="FA35" s="19">
        <f t="shared" si="66"/>
        <v>81</v>
      </c>
      <c r="FB35" s="19">
        <f t="shared" si="67"/>
        <v>83</v>
      </c>
      <c r="FC35" s="19">
        <f t="shared" si="68"/>
        <v>78</v>
      </c>
      <c r="FD35" s="19">
        <f t="shared" si="69"/>
        <v>82.4</v>
      </c>
      <c r="FE35" s="19">
        <f t="shared" si="69"/>
        <v>81</v>
      </c>
      <c r="FF35" s="19">
        <f t="shared" si="70"/>
        <v>79.76666666666668</v>
      </c>
      <c r="FG35" s="19">
        <f t="shared" si="71"/>
        <v>80.463333333333338</v>
      </c>
    </row>
    <row r="36" spans="1:163" ht="20.100000000000001" customHeight="1">
      <c r="A36" s="11">
        <v>32</v>
      </c>
      <c r="B36" s="104" t="s">
        <v>706</v>
      </c>
      <c r="C36" s="105" t="s">
        <v>613</v>
      </c>
      <c r="D36" s="106" t="s">
        <v>675</v>
      </c>
      <c r="E36" s="107">
        <v>92</v>
      </c>
      <c r="F36" s="107">
        <v>90</v>
      </c>
      <c r="G36" s="107">
        <v>89</v>
      </c>
      <c r="H36" s="107">
        <v>87</v>
      </c>
      <c r="I36" s="108">
        <v>94</v>
      </c>
      <c r="J36" s="108">
        <v>95</v>
      </c>
      <c r="K36" s="108">
        <v>87</v>
      </c>
      <c r="L36" s="108">
        <v>90</v>
      </c>
      <c r="M36" s="107">
        <v>91</v>
      </c>
      <c r="N36" s="107">
        <v>91</v>
      </c>
      <c r="O36" s="107">
        <v>92</v>
      </c>
      <c r="P36" s="107">
        <v>95</v>
      </c>
      <c r="Q36" s="107">
        <v>93</v>
      </c>
      <c r="R36" s="107">
        <v>92</v>
      </c>
      <c r="S36" s="107">
        <v>88</v>
      </c>
      <c r="T36" s="107">
        <v>88</v>
      </c>
      <c r="U36" s="109">
        <v>90</v>
      </c>
      <c r="V36" s="110">
        <v>91</v>
      </c>
      <c r="W36" s="111">
        <v>83</v>
      </c>
      <c r="X36" s="111">
        <v>84</v>
      </c>
      <c r="Y36" s="107">
        <v>81</v>
      </c>
      <c r="Z36" s="107">
        <v>80</v>
      </c>
      <c r="AA36" s="107">
        <v>83</v>
      </c>
      <c r="AB36" s="107">
        <v>87</v>
      </c>
      <c r="AC36" s="107">
        <v>85</v>
      </c>
      <c r="AD36" s="107">
        <v>84</v>
      </c>
      <c r="AE36" s="107">
        <v>90</v>
      </c>
      <c r="AF36" s="107">
        <v>85</v>
      </c>
      <c r="AG36" s="108">
        <v>82</v>
      </c>
      <c r="AH36" s="108">
        <v>84</v>
      </c>
      <c r="AI36" s="108">
        <v>75</v>
      </c>
      <c r="AJ36" s="108">
        <v>84</v>
      </c>
      <c r="AK36" s="107">
        <v>88</v>
      </c>
      <c r="AL36" s="107">
        <v>91</v>
      </c>
      <c r="AM36" s="107">
        <v>85</v>
      </c>
      <c r="AN36" s="107">
        <v>87</v>
      </c>
      <c r="AO36" s="107">
        <v>92</v>
      </c>
      <c r="AP36" s="107">
        <v>92</v>
      </c>
      <c r="AQ36" s="108">
        <v>94</v>
      </c>
      <c r="AR36" s="108">
        <v>95</v>
      </c>
      <c r="AS36" s="108">
        <v>86</v>
      </c>
      <c r="AT36" s="108">
        <v>82</v>
      </c>
      <c r="AU36" s="107">
        <v>81</v>
      </c>
      <c r="AV36" s="107">
        <v>79</v>
      </c>
      <c r="AW36" s="107">
        <v>88</v>
      </c>
      <c r="AX36" s="107">
        <v>95</v>
      </c>
      <c r="AY36" s="107">
        <v>80</v>
      </c>
      <c r="AZ36" s="107">
        <v>80</v>
      </c>
      <c r="BA36" s="107">
        <v>88</v>
      </c>
      <c r="BB36" s="107">
        <v>85</v>
      </c>
      <c r="BC36" s="107">
        <v>85</v>
      </c>
      <c r="BD36" s="112">
        <v>85</v>
      </c>
      <c r="BE36" s="96">
        <v>85</v>
      </c>
      <c r="BF36" s="96">
        <v>86</v>
      </c>
      <c r="BG36" s="96">
        <v>88</v>
      </c>
      <c r="BH36" s="130">
        <v>95</v>
      </c>
      <c r="BI36" s="96">
        <v>85</v>
      </c>
      <c r="BJ36" s="96">
        <v>85</v>
      </c>
      <c r="BK36" s="96">
        <v>84</v>
      </c>
      <c r="BL36" s="130">
        <v>95</v>
      </c>
      <c r="BM36" s="96">
        <v>86</v>
      </c>
      <c r="BN36" s="96">
        <v>86</v>
      </c>
      <c r="BO36" s="96">
        <v>84</v>
      </c>
      <c r="BP36" s="130">
        <v>95</v>
      </c>
      <c r="BQ36" s="96">
        <v>86</v>
      </c>
      <c r="BR36" s="96">
        <v>85</v>
      </c>
      <c r="BS36" s="96">
        <v>85</v>
      </c>
      <c r="BT36" s="130">
        <v>95</v>
      </c>
      <c r="BU36" s="15">
        <f t="shared" si="19"/>
        <v>85.5</v>
      </c>
      <c r="BV36" s="15">
        <f t="shared" si="20"/>
        <v>85.5</v>
      </c>
      <c r="BW36" s="15">
        <f t="shared" si="21"/>
        <v>85.25</v>
      </c>
      <c r="BX36" s="15">
        <f t="shared" si="22"/>
        <v>95</v>
      </c>
      <c r="BY36" s="108">
        <v>84</v>
      </c>
      <c r="BZ36" s="108">
        <v>84</v>
      </c>
      <c r="CA36" s="108">
        <v>84</v>
      </c>
      <c r="CB36" s="126">
        <v>95</v>
      </c>
      <c r="CC36" s="126">
        <v>94</v>
      </c>
      <c r="CD36" s="126">
        <v>89</v>
      </c>
      <c r="CE36" s="107">
        <v>92</v>
      </c>
      <c r="CF36" s="107">
        <v>92</v>
      </c>
      <c r="CG36" s="107">
        <v>95</v>
      </c>
      <c r="CH36" s="39">
        <v>87</v>
      </c>
      <c r="CI36" s="39">
        <v>95</v>
      </c>
      <c r="CJ36" s="39">
        <v>89</v>
      </c>
      <c r="CK36" s="39">
        <v>94</v>
      </c>
      <c r="CL36" s="39">
        <v>94</v>
      </c>
      <c r="CM36" s="39">
        <v>88</v>
      </c>
      <c r="CN36" s="39">
        <v>84</v>
      </c>
      <c r="CO36" s="39">
        <v>87</v>
      </c>
      <c r="CP36" s="39">
        <v>90</v>
      </c>
      <c r="CQ36" s="41">
        <f t="shared" si="0"/>
        <v>90.4</v>
      </c>
      <c r="CR36" s="41">
        <f t="shared" si="1"/>
        <v>95</v>
      </c>
      <c r="CS36" s="41">
        <f t="shared" si="23"/>
        <v>87</v>
      </c>
      <c r="CT36" s="17">
        <f t="shared" si="24"/>
        <v>90.76</v>
      </c>
      <c r="CU36" s="16">
        <f t="shared" si="2"/>
        <v>90.2</v>
      </c>
      <c r="CV36" s="16">
        <f t="shared" si="3"/>
        <v>95</v>
      </c>
      <c r="CW36" s="16">
        <f t="shared" si="25"/>
        <v>95</v>
      </c>
      <c r="CX36" s="17">
        <f t="shared" si="26"/>
        <v>93.08</v>
      </c>
      <c r="CY36" s="17">
        <f t="shared" si="4"/>
        <v>90.2</v>
      </c>
      <c r="CZ36" s="17">
        <f t="shared" si="5"/>
        <v>91</v>
      </c>
      <c r="DA36" s="17">
        <f t="shared" si="27"/>
        <v>89</v>
      </c>
      <c r="DB36" s="17">
        <f t="shared" si="28"/>
        <v>90.08</v>
      </c>
      <c r="DC36" s="18">
        <f t="shared" si="6"/>
        <v>82</v>
      </c>
      <c r="DD36" s="18">
        <f t="shared" si="29"/>
        <v>82</v>
      </c>
      <c r="DE36" s="18">
        <f t="shared" si="7"/>
        <v>84.75</v>
      </c>
      <c r="DF36" s="18">
        <f t="shared" si="30"/>
        <v>84.75</v>
      </c>
      <c r="DG36" s="18">
        <f t="shared" si="8"/>
        <v>87.5</v>
      </c>
      <c r="DH36" s="18">
        <f t="shared" si="31"/>
        <v>87.5</v>
      </c>
      <c r="DI36" s="18">
        <f t="shared" si="9"/>
        <v>81.25</v>
      </c>
      <c r="DJ36" s="18">
        <f t="shared" si="32"/>
        <v>81.25</v>
      </c>
      <c r="DK36" s="18">
        <f t="shared" si="10"/>
        <v>88</v>
      </c>
      <c r="DL36" s="18">
        <f t="shared" si="11"/>
        <v>91</v>
      </c>
      <c r="DM36" s="18">
        <f t="shared" si="33"/>
        <v>94</v>
      </c>
      <c r="DN36" s="17">
        <f t="shared" si="34"/>
        <v>90.7</v>
      </c>
      <c r="DO36" s="18">
        <f t="shared" si="12"/>
        <v>90</v>
      </c>
      <c r="DP36" s="18">
        <f t="shared" si="13"/>
        <v>95</v>
      </c>
      <c r="DQ36" s="18">
        <f t="shared" si="35"/>
        <v>94</v>
      </c>
      <c r="DR36" s="17">
        <f t="shared" si="36"/>
        <v>92.7</v>
      </c>
      <c r="DS36" s="18">
        <f t="shared" si="14"/>
        <v>83.2</v>
      </c>
      <c r="DT36" s="18">
        <f t="shared" si="15"/>
        <v>95</v>
      </c>
      <c r="DU36" s="18">
        <f t="shared" si="37"/>
        <v>88</v>
      </c>
      <c r="DV36" s="17">
        <f t="shared" si="38"/>
        <v>88.179999999999993</v>
      </c>
      <c r="DW36" s="18">
        <f t="shared" si="16"/>
        <v>80</v>
      </c>
      <c r="DX36" s="18">
        <f t="shared" si="39"/>
        <v>80</v>
      </c>
      <c r="DY36" s="18">
        <f t="shared" si="17"/>
        <v>86.5</v>
      </c>
      <c r="DZ36" s="18">
        <f t="shared" si="40"/>
        <v>86.5</v>
      </c>
      <c r="EA36" s="18">
        <f t="shared" si="18"/>
        <v>85</v>
      </c>
      <c r="EB36" s="17">
        <f t="shared" si="41"/>
        <v>85</v>
      </c>
      <c r="EC36" s="18">
        <f t="shared" si="42"/>
        <v>85.416666666666671</v>
      </c>
      <c r="ED36" s="18">
        <f t="shared" si="43"/>
        <v>95</v>
      </c>
      <c r="EE36" s="18">
        <f t="shared" si="44"/>
        <v>90</v>
      </c>
      <c r="EF36" s="17">
        <f t="shared" si="45"/>
        <v>89.666666666666671</v>
      </c>
      <c r="EG36" s="18">
        <f t="shared" si="46"/>
        <v>84</v>
      </c>
      <c r="EH36" s="18">
        <f t="shared" si="47"/>
        <v>95</v>
      </c>
      <c r="EI36" s="18">
        <f t="shared" si="48"/>
        <v>87</v>
      </c>
      <c r="EJ36" s="17">
        <f t="shared" si="49"/>
        <v>88.2</v>
      </c>
      <c r="EK36" s="18">
        <f t="shared" si="50"/>
        <v>94</v>
      </c>
      <c r="EL36" s="18">
        <f t="shared" si="51"/>
        <v>91</v>
      </c>
      <c r="EM36" s="18">
        <f t="shared" si="52"/>
        <v>95</v>
      </c>
      <c r="EN36" s="18">
        <f t="shared" si="53"/>
        <v>84</v>
      </c>
      <c r="EO36" s="17">
        <f t="shared" si="54"/>
        <v>90.1</v>
      </c>
      <c r="EP36" s="19">
        <f t="shared" si="55"/>
        <v>90.76</v>
      </c>
      <c r="EQ36" s="19">
        <f t="shared" si="56"/>
        <v>93.08</v>
      </c>
      <c r="ER36" s="19">
        <f t="shared" si="57"/>
        <v>90.08</v>
      </c>
      <c r="ES36" s="19">
        <f t="shared" si="58"/>
        <v>82</v>
      </c>
      <c r="ET36" s="19">
        <f t="shared" si="59"/>
        <v>84.75</v>
      </c>
      <c r="EU36" s="19">
        <f t="shared" si="60"/>
        <v>87.5</v>
      </c>
      <c r="EV36" s="19">
        <f t="shared" si="61"/>
        <v>81.25</v>
      </c>
      <c r="EW36" s="19">
        <f t="shared" si="62"/>
        <v>90.7</v>
      </c>
      <c r="EX36" s="19">
        <f t="shared" si="63"/>
        <v>92.7</v>
      </c>
      <c r="EY36" s="19">
        <f t="shared" si="64"/>
        <v>88.179999999999993</v>
      </c>
      <c r="EZ36" s="19">
        <f t="shared" si="65"/>
        <v>80</v>
      </c>
      <c r="FA36" s="19">
        <f t="shared" si="66"/>
        <v>86.5</v>
      </c>
      <c r="FB36" s="19">
        <f t="shared" si="67"/>
        <v>85</v>
      </c>
      <c r="FC36" s="19">
        <f t="shared" si="68"/>
        <v>89.666666666666671</v>
      </c>
      <c r="FD36" s="19">
        <f t="shared" si="69"/>
        <v>88.2</v>
      </c>
      <c r="FE36" s="19">
        <f t="shared" si="69"/>
        <v>94</v>
      </c>
      <c r="FF36" s="19">
        <f t="shared" si="70"/>
        <v>90.1</v>
      </c>
      <c r="FG36" s="19">
        <f t="shared" si="71"/>
        <v>87.909803921568624</v>
      </c>
    </row>
    <row r="37" spans="1:163" ht="20.100000000000001" customHeight="1">
      <c r="A37" s="11">
        <v>33</v>
      </c>
      <c r="B37" s="104" t="s">
        <v>707</v>
      </c>
      <c r="C37" s="105" t="s">
        <v>615</v>
      </c>
      <c r="D37" s="106" t="s">
        <v>675</v>
      </c>
      <c r="E37" s="107">
        <v>80</v>
      </c>
      <c r="F37" s="107">
        <v>80</v>
      </c>
      <c r="G37" s="107">
        <v>90</v>
      </c>
      <c r="H37" s="107">
        <v>85</v>
      </c>
      <c r="I37" s="108">
        <v>92</v>
      </c>
      <c r="J37" s="108">
        <v>90</v>
      </c>
      <c r="K37" s="108">
        <v>83</v>
      </c>
      <c r="L37" s="108">
        <v>83</v>
      </c>
      <c r="M37" s="107">
        <v>87</v>
      </c>
      <c r="N37" s="107">
        <v>90</v>
      </c>
      <c r="O37" s="107">
        <v>91</v>
      </c>
      <c r="P37" s="107">
        <v>89</v>
      </c>
      <c r="Q37" s="107">
        <v>86</v>
      </c>
      <c r="R37" s="107">
        <v>84</v>
      </c>
      <c r="S37" s="107">
        <v>83</v>
      </c>
      <c r="T37" s="107">
        <v>82</v>
      </c>
      <c r="U37" s="109">
        <v>78</v>
      </c>
      <c r="V37" s="110">
        <v>88</v>
      </c>
      <c r="W37" s="111">
        <v>83</v>
      </c>
      <c r="X37" s="111">
        <v>83</v>
      </c>
      <c r="Y37" s="107">
        <v>80</v>
      </c>
      <c r="Z37" s="107">
        <v>80</v>
      </c>
      <c r="AA37" s="107">
        <v>75</v>
      </c>
      <c r="AB37" s="107">
        <v>80</v>
      </c>
      <c r="AC37" s="107">
        <v>81</v>
      </c>
      <c r="AD37" s="107">
        <v>81</v>
      </c>
      <c r="AE37" s="107">
        <v>90</v>
      </c>
      <c r="AF37" s="107">
        <v>86</v>
      </c>
      <c r="AG37" s="108">
        <v>82</v>
      </c>
      <c r="AH37" s="108">
        <v>84</v>
      </c>
      <c r="AI37" s="108">
        <v>70</v>
      </c>
      <c r="AJ37" s="108">
        <v>81</v>
      </c>
      <c r="AK37" s="107">
        <v>81</v>
      </c>
      <c r="AL37" s="107">
        <v>88</v>
      </c>
      <c r="AM37" s="107">
        <v>72</v>
      </c>
      <c r="AN37" s="107">
        <v>73</v>
      </c>
      <c r="AO37" s="107">
        <v>73</v>
      </c>
      <c r="AP37" s="107">
        <v>74</v>
      </c>
      <c r="AQ37" s="108">
        <v>80</v>
      </c>
      <c r="AR37" s="108">
        <v>89</v>
      </c>
      <c r="AS37" s="108">
        <v>71</v>
      </c>
      <c r="AT37" s="108">
        <v>73</v>
      </c>
      <c r="AU37" s="107">
        <v>77</v>
      </c>
      <c r="AV37" s="107">
        <v>77</v>
      </c>
      <c r="AW37" s="107">
        <v>75</v>
      </c>
      <c r="AX37" s="107">
        <v>89</v>
      </c>
      <c r="AY37" s="107">
        <v>77</v>
      </c>
      <c r="AZ37" s="107">
        <v>79</v>
      </c>
      <c r="BA37" s="107">
        <v>75</v>
      </c>
      <c r="BB37" s="107">
        <v>81</v>
      </c>
      <c r="BC37" s="107">
        <v>81</v>
      </c>
      <c r="BD37" s="112">
        <v>81</v>
      </c>
      <c r="BE37" s="96">
        <v>82</v>
      </c>
      <c r="BF37" s="96">
        <v>82</v>
      </c>
      <c r="BG37" s="96">
        <v>82</v>
      </c>
      <c r="BH37" s="130">
        <v>89</v>
      </c>
      <c r="BI37" s="96">
        <v>82</v>
      </c>
      <c r="BJ37" s="96">
        <v>81</v>
      </c>
      <c r="BK37" s="96">
        <v>82</v>
      </c>
      <c r="BL37" s="130">
        <v>89</v>
      </c>
      <c r="BM37" s="96">
        <v>83</v>
      </c>
      <c r="BN37" s="96">
        <v>83</v>
      </c>
      <c r="BO37" s="96">
        <v>83</v>
      </c>
      <c r="BP37" s="130">
        <v>89</v>
      </c>
      <c r="BQ37" s="96">
        <v>80</v>
      </c>
      <c r="BR37" s="96">
        <v>81</v>
      </c>
      <c r="BS37" s="96">
        <v>81</v>
      </c>
      <c r="BT37" s="130">
        <v>89</v>
      </c>
      <c r="BU37" s="15">
        <f t="shared" si="19"/>
        <v>81.75</v>
      </c>
      <c r="BV37" s="15">
        <f t="shared" si="20"/>
        <v>81.75</v>
      </c>
      <c r="BW37" s="15">
        <f t="shared" si="21"/>
        <v>82</v>
      </c>
      <c r="BX37" s="15">
        <f t="shared" si="22"/>
        <v>89</v>
      </c>
      <c r="BY37" s="108">
        <v>83</v>
      </c>
      <c r="BZ37" s="108">
        <v>83</v>
      </c>
      <c r="CA37" s="108">
        <v>83</v>
      </c>
      <c r="CB37" s="126">
        <v>89</v>
      </c>
      <c r="CC37" s="126">
        <v>89</v>
      </c>
      <c r="CD37" s="126">
        <v>72</v>
      </c>
      <c r="CE37" s="107">
        <v>89</v>
      </c>
      <c r="CF37" s="107">
        <v>77</v>
      </c>
      <c r="CG37" s="107">
        <v>89</v>
      </c>
      <c r="CH37" s="39">
        <v>87</v>
      </c>
      <c r="CI37" s="39">
        <v>85</v>
      </c>
      <c r="CJ37" s="39">
        <v>80</v>
      </c>
      <c r="CK37" s="39">
        <v>90</v>
      </c>
      <c r="CL37" s="39">
        <v>80</v>
      </c>
      <c r="CM37" s="39">
        <v>83</v>
      </c>
      <c r="CN37" s="39">
        <v>84</v>
      </c>
      <c r="CO37" s="39">
        <v>87</v>
      </c>
      <c r="CP37" s="39">
        <v>87</v>
      </c>
      <c r="CQ37" s="41">
        <f t="shared" si="0"/>
        <v>85.4</v>
      </c>
      <c r="CR37" s="41">
        <f t="shared" si="1"/>
        <v>90</v>
      </c>
      <c r="CS37" s="41">
        <f t="shared" si="23"/>
        <v>87</v>
      </c>
      <c r="CT37" s="17">
        <f t="shared" si="24"/>
        <v>87.26</v>
      </c>
      <c r="CU37" s="16">
        <f t="shared" si="2"/>
        <v>86.8</v>
      </c>
      <c r="CV37" s="16">
        <f t="shared" si="3"/>
        <v>89</v>
      </c>
      <c r="CW37" s="16">
        <f t="shared" si="25"/>
        <v>85</v>
      </c>
      <c r="CX37" s="17">
        <f t="shared" si="26"/>
        <v>86.92</v>
      </c>
      <c r="CY37" s="17">
        <f t="shared" si="4"/>
        <v>82.6</v>
      </c>
      <c r="CZ37" s="17">
        <f t="shared" si="5"/>
        <v>88</v>
      </c>
      <c r="DA37" s="17">
        <f t="shared" si="27"/>
        <v>80</v>
      </c>
      <c r="DB37" s="17">
        <f t="shared" si="28"/>
        <v>83.44</v>
      </c>
      <c r="DC37" s="18">
        <f t="shared" si="6"/>
        <v>81.5</v>
      </c>
      <c r="DD37" s="18">
        <f t="shared" si="29"/>
        <v>81.5</v>
      </c>
      <c r="DE37" s="18">
        <f t="shared" si="7"/>
        <v>79.25</v>
      </c>
      <c r="DF37" s="18">
        <f t="shared" si="30"/>
        <v>79.25</v>
      </c>
      <c r="DG37" s="18">
        <f t="shared" si="8"/>
        <v>88</v>
      </c>
      <c r="DH37" s="18">
        <f t="shared" si="31"/>
        <v>88</v>
      </c>
      <c r="DI37" s="18">
        <f t="shared" si="9"/>
        <v>79.25</v>
      </c>
      <c r="DJ37" s="18">
        <f t="shared" si="32"/>
        <v>79.25</v>
      </c>
      <c r="DK37" s="18">
        <f t="shared" si="10"/>
        <v>81</v>
      </c>
      <c r="DL37" s="18">
        <f t="shared" si="11"/>
        <v>88</v>
      </c>
      <c r="DM37" s="18">
        <f t="shared" si="33"/>
        <v>90</v>
      </c>
      <c r="DN37" s="17">
        <f t="shared" si="34"/>
        <v>85.8</v>
      </c>
      <c r="DO37" s="18">
        <f t="shared" si="12"/>
        <v>74.400000000000006</v>
      </c>
      <c r="DP37" s="18">
        <f t="shared" si="13"/>
        <v>89</v>
      </c>
      <c r="DQ37" s="18">
        <f t="shared" si="35"/>
        <v>80</v>
      </c>
      <c r="DR37" s="17">
        <f t="shared" si="36"/>
        <v>80.460000000000008</v>
      </c>
      <c r="DS37" s="18">
        <f t="shared" si="14"/>
        <v>74.599999999999994</v>
      </c>
      <c r="DT37" s="18">
        <f t="shared" si="15"/>
        <v>89</v>
      </c>
      <c r="DU37" s="18">
        <f t="shared" si="37"/>
        <v>83</v>
      </c>
      <c r="DV37" s="17">
        <f t="shared" si="38"/>
        <v>81.44</v>
      </c>
      <c r="DW37" s="18">
        <f t="shared" si="16"/>
        <v>78</v>
      </c>
      <c r="DX37" s="18">
        <f t="shared" si="39"/>
        <v>78</v>
      </c>
      <c r="DY37" s="18">
        <f t="shared" si="17"/>
        <v>78</v>
      </c>
      <c r="DZ37" s="18">
        <f t="shared" si="40"/>
        <v>78</v>
      </c>
      <c r="EA37" s="18">
        <f t="shared" si="18"/>
        <v>81</v>
      </c>
      <c r="EB37" s="17">
        <f t="shared" si="41"/>
        <v>81</v>
      </c>
      <c r="EC37" s="18">
        <f t="shared" si="42"/>
        <v>81.833333333333329</v>
      </c>
      <c r="ED37" s="18">
        <f t="shared" si="43"/>
        <v>89</v>
      </c>
      <c r="EE37" s="18">
        <f t="shared" si="44"/>
        <v>87</v>
      </c>
      <c r="EF37" s="17">
        <f t="shared" si="45"/>
        <v>85.533333333333331</v>
      </c>
      <c r="EG37" s="18">
        <f t="shared" si="46"/>
        <v>83</v>
      </c>
      <c r="EH37" s="18">
        <f t="shared" si="47"/>
        <v>89</v>
      </c>
      <c r="EI37" s="18">
        <f t="shared" si="48"/>
        <v>87</v>
      </c>
      <c r="EJ37" s="17">
        <f t="shared" si="49"/>
        <v>86</v>
      </c>
      <c r="EK37" s="18">
        <f t="shared" si="50"/>
        <v>89</v>
      </c>
      <c r="EL37" s="18">
        <f t="shared" si="51"/>
        <v>79.333333333333329</v>
      </c>
      <c r="EM37" s="18">
        <f t="shared" si="52"/>
        <v>89</v>
      </c>
      <c r="EN37" s="18">
        <f t="shared" si="53"/>
        <v>84</v>
      </c>
      <c r="EO37" s="17">
        <f t="shared" si="54"/>
        <v>83.633333333333326</v>
      </c>
      <c r="EP37" s="19">
        <f t="shared" si="55"/>
        <v>87.26</v>
      </c>
      <c r="EQ37" s="19">
        <f t="shared" si="56"/>
        <v>86.92</v>
      </c>
      <c r="ER37" s="19">
        <f t="shared" si="57"/>
        <v>83.44</v>
      </c>
      <c r="ES37" s="19">
        <f t="shared" si="58"/>
        <v>81.5</v>
      </c>
      <c r="ET37" s="19">
        <f t="shared" si="59"/>
        <v>79.25</v>
      </c>
      <c r="EU37" s="19">
        <f t="shared" si="60"/>
        <v>88</v>
      </c>
      <c r="EV37" s="19">
        <f t="shared" si="61"/>
        <v>79.25</v>
      </c>
      <c r="EW37" s="19">
        <f t="shared" si="62"/>
        <v>85.8</v>
      </c>
      <c r="EX37" s="19">
        <f t="shared" si="63"/>
        <v>80.460000000000008</v>
      </c>
      <c r="EY37" s="19">
        <f t="shared" si="64"/>
        <v>81.44</v>
      </c>
      <c r="EZ37" s="19">
        <f t="shared" si="65"/>
        <v>78</v>
      </c>
      <c r="FA37" s="19">
        <f t="shared" si="66"/>
        <v>78</v>
      </c>
      <c r="FB37" s="19">
        <f t="shared" si="67"/>
        <v>81</v>
      </c>
      <c r="FC37" s="19">
        <f t="shared" si="68"/>
        <v>85.533333333333331</v>
      </c>
      <c r="FD37" s="19">
        <f t="shared" si="69"/>
        <v>86</v>
      </c>
      <c r="FE37" s="19">
        <f t="shared" si="69"/>
        <v>89</v>
      </c>
      <c r="FF37" s="19">
        <f t="shared" si="70"/>
        <v>83.633333333333326</v>
      </c>
      <c r="FG37" s="19">
        <f t="shared" si="71"/>
        <v>83.205098039215684</v>
      </c>
    </row>
    <row r="38" spans="1:163" ht="20.100000000000001" customHeight="1">
      <c r="A38" s="11">
        <v>34</v>
      </c>
      <c r="B38" s="104" t="s">
        <v>708</v>
      </c>
      <c r="C38" s="105" t="s">
        <v>617</v>
      </c>
      <c r="D38" s="106" t="s">
        <v>675</v>
      </c>
      <c r="E38" s="107">
        <v>84</v>
      </c>
      <c r="F38" s="107">
        <v>85</v>
      </c>
      <c r="G38" s="107">
        <v>85</v>
      </c>
      <c r="H38" s="107">
        <v>87</v>
      </c>
      <c r="I38" s="108">
        <v>89</v>
      </c>
      <c r="J38" s="108">
        <v>83</v>
      </c>
      <c r="K38" s="108">
        <v>81</v>
      </c>
      <c r="L38" s="108">
        <v>73</v>
      </c>
      <c r="M38" s="107">
        <v>79</v>
      </c>
      <c r="N38" s="107">
        <v>76</v>
      </c>
      <c r="O38" s="107">
        <v>80</v>
      </c>
      <c r="P38" s="107">
        <v>82</v>
      </c>
      <c r="Q38" s="107">
        <v>78</v>
      </c>
      <c r="R38" s="107">
        <v>77</v>
      </c>
      <c r="S38" s="107">
        <v>72</v>
      </c>
      <c r="T38" s="107">
        <v>74</v>
      </c>
      <c r="U38" s="109">
        <v>72</v>
      </c>
      <c r="V38" s="110">
        <v>80</v>
      </c>
      <c r="W38" s="111">
        <v>84</v>
      </c>
      <c r="X38" s="111">
        <v>85</v>
      </c>
      <c r="Y38" s="107">
        <v>81</v>
      </c>
      <c r="Z38" s="107">
        <v>85</v>
      </c>
      <c r="AA38" s="107">
        <v>74</v>
      </c>
      <c r="AB38" s="107">
        <v>80</v>
      </c>
      <c r="AC38" s="107">
        <v>81</v>
      </c>
      <c r="AD38" s="107">
        <v>80</v>
      </c>
      <c r="AE38" s="107">
        <v>90</v>
      </c>
      <c r="AF38" s="107">
        <v>83</v>
      </c>
      <c r="AG38" s="108">
        <v>82</v>
      </c>
      <c r="AH38" s="108">
        <v>83</v>
      </c>
      <c r="AI38" s="108">
        <v>70</v>
      </c>
      <c r="AJ38" s="108">
        <v>80</v>
      </c>
      <c r="AK38" s="107">
        <v>80</v>
      </c>
      <c r="AL38" s="107">
        <v>80</v>
      </c>
      <c r="AM38" s="107">
        <v>73</v>
      </c>
      <c r="AN38" s="107">
        <v>73</v>
      </c>
      <c r="AO38" s="107">
        <v>72</v>
      </c>
      <c r="AP38" s="107">
        <v>73</v>
      </c>
      <c r="AQ38" s="108">
        <v>71</v>
      </c>
      <c r="AR38" s="108">
        <v>83</v>
      </c>
      <c r="AS38" s="108">
        <v>71</v>
      </c>
      <c r="AT38" s="108">
        <v>73</v>
      </c>
      <c r="AU38" s="107">
        <v>70</v>
      </c>
      <c r="AV38" s="107">
        <v>77</v>
      </c>
      <c r="AW38" s="107">
        <v>75</v>
      </c>
      <c r="AX38" s="107">
        <v>83</v>
      </c>
      <c r="AY38" s="107">
        <v>78</v>
      </c>
      <c r="AZ38" s="107">
        <v>78</v>
      </c>
      <c r="BA38" s="107">
        <v>73</v>
      </c>
      <c r="BB38" s="107">
        <v>78</v>
      </c>
      <c r="BC38" s="107">
        <v>81</v>
      </c>
      <c r="BD38" s="112">
        <v>80</v>
      </c>
      <c r="BE38" s="96">
        <v>80</v>
      </c>
      <c r="BF38" s="96">
        <v>81</v>
      </c>
      <c r="BG38" s="96">
        <v>80</v>
      </c>
      <c r="BH38" s="130">
        <v>81</v>
      </c>
      <c r="BI38" s="96">
        <v>80</v>
      </c>
      <c r="BJ38" s="96">
        <v>80</v>
      </c>
      <c r="BK38" s="96">
        <v>82</v>
      </c>
      <c r="BL38" s="130">
        <v>81</v>
      </c>
      <c r="BM38" s="96">
        <v>83</v>
      </c>
      <c r="BN38" s="96">
        <v>83</v>
      </c>
      <c r="BO38" s="96">
        <v>80</v>
      </c>
      <c r="BP38" s="130">
        <v>81</v>
      </c>
      <c r="BQ38" s="96">
        <v>80</v>
      </c>
      <c r="BR38" s="96">
        <v>82</v>
      </c>
      <c r="BS38" s="96">
        <v>80</v>
      </c>
      <c r="BT38" s="130">
        <v>81</v>
      </c>
      <c r="BU38" s="15">
        <f t="shared" si="19"/>
        <v>80.75</v>
      </c>
      <c r="BV38" s="15">
        <f t="shared" si="20"/>
        <v>81.5</v>
      </c>
      <c r="BW38" s="15">
        <f t="shared" si="21"/>
        <v>80.5</v>
      </c>
      <c r="BX38" s="15">
        <f t="shared" si="22"/>
        <v>81</v>
      </c>
      <c r="BY38" s="108">
        <v>83</v>
      </c>
      <c r="BZ38" s="108">
        <v>83</v>
      </c>
      <c r="CA38" s="108">
        <v>81</v>
      </c>
      <c r="CB38" s="126">
        <v>81</v>
      </c>
      <c r="CC38" s="126">
        <v>82</v>
      </c>
      <c r="CD38" s="126">
        <v>71</v>
      </c>
      <c r="CE38" s="107">
        <v>76</v>
      </c>
      <c r="CF38" s="107">
        <v>73</v>
      </c>
      <c r="CG38" s="107">
        <v>83</v>
      </c>
      <c r="CH38" s="39">
        <v>87</v>
      </c>
      <c r="CI38" s="39">
        <v>70</v>
      </c>
      <c r="CJ38" s="39">
        <v>78</v>
      </c>
      <c r="CK38" s="39">
        <v>70</v>
      </c>
      <c r="CL38" s="39">
        <v>75</v>
      </c>
      <c r="CM38" s="39">
        <v>83</v>
      </c>
      <c r="CN38" s="39">
        <v>78</v>
      </c>
      <c r="CO38" s="39">
        <v>84</v>
      </c>
      <c r="CP38" s="39">
        <v>70</v>
      </c>
      <c r="CQ38" s="41">
        <f t="shared" si="0"/>
        <v>86</v>
      </c>
      <c r="CR38" s="41">
        <f t="shared" si="1"/>
        <v>83</v>
      </c>
      <c r="CS38" s="41">
        <f t="shared" si="23"/>
        <v>87</v>
      </c>
      <c r="CT38" s="17">
        <f t="shared" si="24"/>
        <v>85.4</v>
      </c>
      <c r="CU38" s="16">
        <f t="shared" si="2"/>
        <v>77.8</v>
      </c>
      <c r="CV38" s="16">
        <f t="shared" si="3"/>
        <v>82</v>
      </c>
      <c r="CW38" s="16">
        <f t="shared" si="25"/>
        <v>70</v>
      </c>
      <c r="CX38" s="17">
        <f t="shared" si="26"/>
        <v>76.72</v>
      </c>
      <c r="CY38" s="17">
        <f t="shared" si="4"/>
        <v>74.599999999999994</v>
      </c>
      <c r="CZ38" s="17">
        <f t="shared" si="5"/>
        <v>80</v>
      </c>
      <c r="DA38" s="17">
        <f t="shared" si="27"/>
        <v>78</v>
      </c>
      <c r="DB38" s="17">
        <f t="shared" si="28"/>
        <v>77.239999999999995</v>
      </c>
      <c r="DC38" s="18">
        <f t="shared" si="6"/>
        <v>83.75</v>
      </c>
      <c r="DD38" s="18">
        <f t="shared" si="29"/>
        <v>83.75</v>
      </c>
      <c r="DE38" s="18">
        <f t="shared" si="7"/>
        <v>78.75</v>
      </c>
      <c r="DF38" s="18">
        <f t="shared" si="30"/>
        <v>78.75</v>
      </c>
      <c r="DG38" s="18">
        <f t="shared" si="8"/>
        <v>86.5</v>
      </c>
      <c r="DH38" s="18">
        <f t="shared" si="31"/>
        <v>86.5</v>
      </c>
      <c r="DI38" s="18">
        <f t="shared" si="9"/>
        <v>78.75</v>
      </c>
      <c r="DJ38" s="18">
        <f t="shared" si="32"/>
        <v>78.75</v>
      </c>
      <c r="DK38" s="18">
        <f t="shared" si="10"/>
        <v>80</v>
      </c>
      <c r="DL38" s="18">
        <f t="shared" si="11"/>
        <v>80</v>
      </c>
      <c r="DM38" s="18">
        <f t="shared" si="33"/>
        <v>70</v>
      </c>
      <c r="DN38" s="17">
        <f t="shared" si="34"/>
        <v>77</v>
      </c>
      <c r="DO38" s="18">
        <f t="shared" si="12"/>
        <v>72.400000000000006</v>
      </c>
      <c r="DP38" s="18">
        <f t="shared" si="13"/>
        <v>83</v>
      </c>
      <c r="DQ38" s="18">
        <f t="shared" si="35"/>
        <v>75</v>
      </c>
      <c r="DR38" s="17">
        <f t="shared" si="36"/>
        <v>76.36</v>
      </c>
      <c r="DS38" s="18">
        <f t="shared" si="14"/>
        <v>73.2</v>
      </c>
      <c r="DT38" s="18">
        <f t="shared" si="15"/>
        <v>83</v>
      </c>
      <c r="DU38" s="18">
        <f t="shared" si="37"/>
        <v>83</v>
      </c>
      <c r="DV38" s="17">
        <f t="shared" si="38"/>
        <v>79.08</v>
      </c>
      <c r="DW38" s="18">
        <f t="shared" si="16"/>
        <v>78</v>
      </c>
      <c r="DX38" s="18">
        <f t="shared" si="39"/>
        <v>78</v>
      </c>
      <c r="DY38" s="18">
        <f t="shared" si="17"/>
        <v>75.5</v>
      </c>
      <c r="DZ38" s="18">
        <f t="shared" si="40"/>
        <v>75.5</v>
      </c>
      <c r="EA38" s="18">
        <f t="shared" si="18"/>
        <v>80.5</v>
      </c>
      <c r="EB38" s="17">
        <f t="shared" si="41"/>
        <v>80.5</v>
      </c>
      <c r="EC38" s="18">
        <f t="shared" si="42"/>
        <v>80.916666666666671</v>
      </c>
      <c r="ED38" s="18">
        <f t="shared" si="43"/>
        <v>81</v>
      </c>
      <c r="EE38" s="18">
        <f t="shared" si="44"/>
        <v>70</v>
      </c>
      <c r="EF38" s="17">
        <f t="shared" si="45"/>
        <v>77.666666666666671</v>
      </c>
      <c r="EG38" s="18">
        <f t="shared" si="46"/>
        <v>82.333333333333329</v>
      </c>
      <c r="EH38" s="18">
        <f t="shared" si="47"/>
        <v>81</v>
      </c>
      <c r="EI38" s="18">
        <f t="shared" si="48"/>
        <v>84</v>
      </c>
      <c r="EJ38" s="17">
        <f t="shared" si="49"/>
        <v>82.433333333333323</v>
      </c>
      <c r="EK38" s="18">
        <f t="shared" si="50"/>
        <v>82</v>
      </c>
      <c r="EL38" s="18">
        <f t="shared" si="51"/>
        <v>73.333333333333329</v>
      </c>
      <c r="EM38" s="18">
        <f t="shared" si="52"/>
        <v>83</v>
      </c>
      <c r="EN38" s="18">
        <f t="shared" si="53"/>
        <v>78</v>
      </c>
      <c r="EO38" s="17">
        <f t="shared" si="54"/>
        <v>77.633333333333326</v>
      </c>
      <c r="EP38" s="19">
        <f t="shared" si="55"/>
        <v>85.4</v>
      </c>
      <c r="EQ38" s="19">
        <f t="shared" si="56"/>
        <v>76.72</v>
      </c>
      <c r="ER38" s="19">
        <f t="shared" si="57"/>
        <v>77.239999999999995</v>
      </c>
      <c r="ES38" s="19">
        <f t="shared" si="58"/>
        <v>83.75</v>
      </c>
      <c r="ET38" s="19">
        <f t="shared" si="59"/>
        <v>78.75</v>
      </c>
      <c r="EU38" s="19">
        <f t="shared" si="60"/>
        <v>86.5</v>
      </c>
      <c r="EV38" s="19">
        <f t="shared" si="61"/>
        <v>78.75</v>
      </c>
      <c r="EW38" s="19">
        <f t="shared" si="62"/>
        <v>77</v>
      </c>
      <c r="EX38" s="19">
        <f t="shared" si="63"/>
        <v>76.36</v>
      </c>
      <c r="EY38" s="19">
        <f t="shared" si="64"/>
        <v>79.08</v>
      </c>
      <c r="EZ38" s="19">
        <f t="shared" si="65"/>
        <v>78</v>
      </c>
      <c r="FA38" s="19">
        <f t="shared" si="66"/>
        <v>75.5</v>
      </c>
      <c r="FB38" s="19">
        <f t="shared" si="67"/>
        <v>80.5</v>
      </c>
      <c r="FC38" s="19">
        <f t="shared" si="68"/>
        <v>77.666666666666671</v>
      </c>
      <c r="FD38" s="19">
        <f t="shared" si="69"/>
        <v>82.433333333333323</v>
      </c>
      <c r="FE38" s="19">
        <f t="shared" si="69"/>
        <v>82</v>
      </c>
      <c r="FF38" s="19">
        <f t="shared" si="70"/>
        <v>77.633333333333326</v>
      </c>
      <c r="FG38" s="19">
        <f t="shared" si="71"/>
        <v>79.604901960784332</v>
      </c>
    </row>
    <row r="39" spans="1:163" ht="20.100000000000001" customHeight="1">
      <c r="A39" s="11">
        <v>35</v>
      </c>
      <c r="B39" s="104" t="s">
        <v>709</v>
      </c>
      <c r="C39" s="105" t="s">
        <v>619</v>
      </c>
      <c r="D39" s="106" t="s">
        <v>675</v>
      </c>
      <c r="E39" s="114">
        <v>87</v>
      </c>
      <c r="F39" s="114">
        <v>80</v>
      </c>
      <c r="G39" s="114">
        <v>87</v>
      </c>
      <c r="H39" s="114">
        <v>84</v>
      </c>
      <c r="I39" s="115">
        <v>93</v>
      </c>
      <c r="J39" s="115">
        <v>90</v>
      </c>
      <c r="K39" s="115">
        <v>83</v>
      </c>
      <c r="L39" s="115">
        <v>79</v>
      </c>
      <c r="M39" s="114">
        <v>83</v>
      </c>
      <c r="N39" s="114">
        <v>89</v>
      </c>
      <c r="O39" s="114">
        <v>90</v>
      </c>
      <c r="P39" s="114">
        <v>90</v>
      </c>
      <c r="Q39" s="114">
        <v>85</v>
      </c>
      <c r="R39" s="114">
        <v>85</v>
      </c>
      <c r="S39" s="114">
        <v>83</v>
      </c>
      <c r="T39" s="114">
        <v>85</v>
      </c>
      <c r="U39" s="116">
        <v>78</v>
      </c>
      <c r="V39" s="117">
        <v>86</v>
      </c>
      <c r="W39" s="118">
        <v>83</v>
      </c>
      <c r="X39" s="118">
        <v>84</v>
      </c>
      <c r="Y39" s="114">
        <v>81</v>
      </c>
      <c r="Z39" s="114">
        <v>80</v>
      </c>
      <c r="AA39" s="114">
        <v>78</v>
      </c>
      <c r="AB39" s="114">
        <v>80</v>
      </c>
      <c r="AC39" s="114">
        <v>81</v>
      </c>
      <c r="AD39" s="114">
        <v>81</v>
      </c>
      <c r="AE39" s="114">
        <v>84</v>
      </c>
      <c r="AF39" s="114">
        <v>85</v>
      </c>
      <c r="AG39" s="115">
        <v>84</v>
      </c>
      <c r="AH39" s="115">
        <v>83</v>
      </c>
      <c r="AI39" s="115">
        <v>72</v>
      </c>
      <c r="AJ39" s="115">
        <v>81</v>
      </c>
      <c r="AK39" s="114">
        <v>83</v>
      </c>
      <c r="AL39" s="114">
        <v>86</v>
      </c>
      <c r="AM39" s="114">
        <v>78</v>
      </c>
      <c r="AN39" s="114">
        <v>80</v>
      </c>
      <c r="AO39" s="114">
        <v>73</v>
      </c>
      <c r="AP39" s="114">
        <v>74</v>
      </c>
      <c r="AQ39" s="115">
        <v>83</v>
      </c>
      <c r="AR39" s="115">
        <v>85</v>
      </c>
      <c r="AS39" s="115">
        <v>75</v>
      </c>
      <c r="AT39" s="115">
        <v>75</v>
      </c>
      <c r="AU39" s="114">
        <v>74</v>
      </c>
      <c r="AV39" s="114">
        <v>77</v>
      </c>
      <c r="AW39" s="114">
        <v>80</v>
      </c>
      <c r="AX39" s="114">
        <v>85</v>
      </c>
      <c r="AY39" s="114">
        <v>77</v>
      </c>
      <c r="AZ39" s="114">
        <v>79</v>
      </c>
      <c r="BA39" s="114">
        <v>90</v>
      </c>
      <c r="BB39" s="114">
        <v>82</v>
      </c>
      <c r="BC39" s="114">
        <v>82</v>
      </c>
      <c r="BD39" s="119">
        <v>82</v>
      </c>
      <c r="BE39" s="96">
        <v>80</v>
      </c>
      <c r="BF39" s="96">
        <v>81</v>
      </c>
      <c r="BG39" s="96">
        <v>84</v>
      </c>
      <c r="BH39" s="131">
        <v>88</v>
      </c>
      <c r="BI39" s="96">
        <v>80</v>
      </c>
      <c r="BJ39" s="96">
        <v>80</v>
      </c>
      <c r="BK39" s="96">
        <v>82</v>
      </c>
      <c r="BL39" s="131">
        <v>88</v>
      </c>
      <c r="BM39" s="96">
        <v>83</v>
      </c>
      <c r="BN39" s="96">
        <v>83</v>
      </c>
      <c r="BO39" s="96">
        <v>83</v>
      </c>
      <c r="BP39" s="131">
        <v>88</v>
      </c>
      <c r="BQ39" s="96">
        <v>80</v>
      </c>
      <c r="BR39" s="96">
        <v>81</v>
      </c>
      <c r="BS39" s="96">
        <v>83</v>
      </c>
      <c r="BT39" s="131">
        <v>88</v>
      </c>
      <c r="BU39" s="15">
        <f t="shared" si="19"/>
        <v>80.75</v>
      </c>
      <c r="BV39" s="15">
        <f t="shared" si="20"/>
        <v>81.25</v>
      </c>
      <c r="BW39" s="15">
        <f t="shared" si="21"/>
        <v>83</v>
      </c>
      <c r="BX39" s="15">
        <f t="shared" si="22"/>
        <v>88</v>
      </c>
      <c r="BY39" s="115">
        <v>83</v>
      </c>
      <c r="BZ39" s="115">
        <v>82</v>
      </c>
      <c r="CA39" s="115">
        <v>82</v>
      </c>
      <c r="CB39" s="124">
        <v>88</v>
      </c>
      <c r="CC39" s="124">
        <v>88</v>
      </c>
      <c r="CD39" s="124">
        <v>78</v>
      </c>
      <c r="CE39" s="114">
        <v>89</v>
      </c>
      <c r="CF39" s="114">
        <v>77</v>
      </c>
      <c r="CG39" s="114">
        <v>85</v>
      </c>
      <c r="CH39" s="39">
        <v>82</v>
      </c>
      <c r="CI39" s="39">
        <v>85</v>
      </c>
      <c r="CJ39" s="39">
        <v>80</v>
      </c>
      <c r="CK39" s="39">
        <v>90</v>
      </c>
      <c r="CL39" s="39">
        <v>80</v>
      </c>
      <c r="CM39" s="39">
        <v>83</v>
      </c>
      <c r="CN39" s="39">
        <v>83</v>
      </c>
      <c r="CO39" s="39">
        <v>87</v>
      </c>
      <c r="CP39" s="39">
        <v>90</v>
      </c>
      <c r="CQ39" s="41">
        <f t="shared" si="0"/>
        <v>86.2</v>
      </c>
      <c r="CR39" s="41">
        <f t="shared" si="1"/>
        <v>90</v>
      </c>
      <c r="CS39" s="41">
        <f t="shared" si="23"/>
        <v>82</v>
      </c>
      <c r="CT39" s="17">
        <f t="shared" si="24"/>
        <v>86.08</v>
      </c>
      <c r="CU39" s="16">
        <f t="shared" si="2"/>
        <v>84.8</v>
      </c>
      <c r="CV39" s="16">
        <f t="shared" si="3"/>
        <v>90</v>
      </c>
      <c r="CW39" s="16">
        <f t="shared" si="25"/>
        <v>85</v>
      </c>
      <c r="CX39" s="17">
        <f t="shared" si="26"/>
        <v>86.42</v>
      </c>
      <c r="CY39" s="17">
        <f t="shared" si="4"/>
        <v>83.2</v>
      </c>
      <c r="CZ39" s="17">
        <f t="shared" si="5"/>
        <v>86</v>
      </c>
      <c r="DA39" s="17">
        <f t="shared" si="27"/>
        <v>80</v>
      </c>
      <c r="DB39" s="17">
        <f t="shared" si="28"/>
        <v>83.08</v>
      </c>
      <c r="DC39" s="18">
        <f t="shared" si="6"/>
        <v>82</v>
      </c>
      <c r="DD39" s="18">
        <f t="shared" si="29"/>
        <v>82</v>
      </c>
      <c r="DE39" s="18">
        <f t="shared" si="7"/>
        <v>80</v>
      </c>
      <c r="DF39" s="18">
        <f t="shared" si="30"/>
        <v>80</v>
      </c>
      <c r="DG39" s="18">
        <f t="shared" si="8"/>
        <v>84.5</v>
      </c>
      <c r="DH39" s="18">
        <f t="shared" si="31"/>
        <v>84.5</v>
      </c>
      <c r="DI39" s="18">
        <f t="shared" si="9"/>
        <v>80</v>
      </c>
      <c r="DJ39" s="18">
        <f t="shared" si="32"/>
        <v>80</v>
      </c>
      <c r="DK39" s="18">
        <f t="shared" si="10"/>
        <v>83</v>
      </c>
      <c r="DL39" s="18">
        <f t="shared" si="11"/>
        <v>86</v>
      </c>
      <c r="DM39" s="18">
        <f t="shared" si="33"/>
        <v>90</v>
      </c>
      <c r="DN39" s="17">
        <f t="shared" si="34"/>
        <v>86</v>
      </c>
      <c r="DO39" s="18">
        <f t="shared" si="12"/>
        <v>77.599999999999994</v>
      </c>
      <c r="DP39" s="18">
        <f t="shared" si="13"/>
        <v>85</v>
      </c>
      <c r="DQ39" s="18">
        <f t="shared" si="35"/>
        <v>80</v>
      </c>
      <c r="DR39" s="17">
        <f t="shared" si="36"/>
        <v>80.539999999999992</v>
      </c>
      <c r="DS39" s="18">
        <f t="shared" si="14"/>
        <v>76.2</v>
      </c>
      <c r="DT39" s="18">
        <f t="shared" si="15"/>
        <v>85</v>
      </c>
      <c r="DU39" s="18">
        <f t="shared" si="37"/>
        <v>83</v>
      </c>
      <c r="DV39" s="17">
        <f t="shared" si="38"/>
        <v>80.88</v>
      </c>
      <c r="DW39" s="18">
        <f t="shared" si="16"/>
        <v>78</v>
      </c>
      <c r="DX39" s="18">
        <f t="shared" si="39"/>
        <v>78</v>
      </c>
      <c r="DY39" s="18">
        <f t="shared" si="17"/>
        <v>86</v>
      </c>
      <c r="DZ39" s="18">
        <f t="shared" si="40"/>
        <v>86</v>
      </c>
      <c r="EA39" s="18">
        <f t="shared" si="18"/>
        <v>82</v>
      </c>
      <c r="EB39" s="17">
        <f t="shared" si="41"/>
        <v>82</v>
      </c>
      <c r="EC39" s="18">
        <f t="shared" si="42"/>
        <v>81.666666666666671</v>
      </c>
      <c r="ED39" s="18">
        <f t="shared" si="43"/>
        <v>88</v>
      </c>
      <c r="EE39" s="18">
        <f t="shared" si="44"/>
        <v>90</v>
      </c>
      <c r="EF39" s="17">
        <f t="shared" si="45"/>
        <v>86.066666666666677</v>
      </c>
      <c r="EG39" s="18">
        <f t="shared" si="46"/>
        <v>82.333333333333329</v>
      </c>
      <c r="EH39" s="18">
        <f t="shared" si="47"/>
        <v>88</v>
      </c>
      <c r="EI39" s="18">
        <f t="shared" si="48"/>
        <v>87</v>
      </c>
      <c r="EJ39" s="17">
        <f t="shared" si="49"/>
        <v>85.433333333333323</v>
      </c>
      <c r="EK39" s="18">
        <f t="shared" si="50"/>
        <v>88</v>
      </c>
      <c r="EL39" s="18">
        <f t="shared" si="51"/>
        <v>81.333333333333329</v>
      </c>
      <c r="EM39" s="18">
        <f t="shared" si="52"/>
        <v>85</v>
      </c>
      <c r="EN39" s="18">
        <f t="shared" si="53"/>
        <v>83</v>
      </c>
      <c r="EO39" s="17">
        <f t="shared" si="54"/>
        <v>82.933333333333323</v>
      </c>
      <c r="EP39" s="19">
        <f t="shared" si="55"/>
        <v>86.08</v>
      </c>
      <c r="EQ39" s="19">
        <f t="shared" si="56"/>
        <v>86.42</v>
      </c>
      <c r="ER39" s="19">
        <f t="shared" si="57"/>
        <v>83.08</v>
      </c>
      <c r="ES39" s="19">
        <f t="shared" si="58"/>
        <v>82</v>
      </c>
      <c r="ET39" s="19">
        <f t="shared" si="59"/>
        <v>80</v>
      </c>
      <c r="EU39" s="19">
        <f t="shared" si="60"/>
        <v>84.5</v>
      </c>
      <c r="EV39" s="19">
        <f t="shared" si="61"/>
        <v>80</v>
      </c>
      <c r="EW39" s="19">
        <f t="shared" si="62"/>
        <v>86</v>
      </c>
      <c r="EX39" s="19">
        <f t="shared" si="63"/>
        <v>80.539999999999992</v>
      </c>
      <c r="EY39" s="19">
        <f t="shared" si="64"/>
        <v>80.88</v>
      </c>
      <c r="EZ39" s="19">
        <f t="shared" si="65"/>
        <v>78</v>
      </c>
      <c r="FA39" s="19">
        <f t="shared" si="66"/>
        <v>86</v>
      </c>
      <c r="FB39" s="19">
        <f t="shared" si="67"/>
        <v>82</v>
      </c>
      <c r="FC39" s="19">
        <f t="shared" si="68"/>
        <v>86.066666666666677</v>
      </c>
      <c r="FD39" s="19">
        <f t="shared" si="69"/>
        <v>85.433333333333323</v>
      </c>
      <c r="FE39" s="19">
        <f t="shared" si="69"/>
        <v>88</v>
      </c>
      <c r="FF39" s="19">
        <f t="shared" si="70"/>
        <v>82.933333333333323</v>
      </c>
      <c r="FG39" s="19">
        <f t="shared" si="71"/>
        <v>83.407843137254901</v>
      </c>
    </row>
    <row r="40" spans="1:163" ht="20.100000000000001" customHeight="1">
      <c r="A40" s="11">
        <v>36</v>
      </c>
      <c r="B40" s="104" t="s">
        <v>710</v>
      </c>
      <c r="C40" s="105" t="s">
        <v>621</v>
      </c>
      <c r="D40" s="106" t="s">
        <v>675</v>
      </c>
      <c r="E40" s="114">
        <v>80</v>
      </c>
      <c r="F40" s="107">
        <v>81</v>
      </c>
      <c r="G40" s="114">
        <v>90</v>
      </c>
      <c r="H40" s="107">
        <v>88</v>
      </c>
      <c r="I40" s="120">
        <v>90</v>
      </c>
      <c r="J40" s="120">
        <v>92</v>
      </c>
      <c r="K40" s="121">
        <v>85</v>
      </c>
      <c r="L40" s="121">
        <v>86</v>
      </c>
      <c r="M40" s="114">
        <v>86</v>
      </c>
      <c r="N40" s="107">
        <v>91</v>
      </c>
      <c r="O40" s="114">
        <v>92</v>
      </c>
      <c r="P40" s="114">
        <v>95</v>
      </c>
      <c r="Q40" s="114">
        <v>91</v>
      </c>
      <c r="R40" s="107">
        <v>82</v>
      </c>
      <c r="S40" s="114">
        <v>86</v>
      </c>
      <c r="T40" s="107">
        <v>88</v>
      </c>
      <c r="U40" s="122">
        <v>86</v>
      </c>
      <c r="V40" s="122">
        <v>88</v>
      </c>
      <c r="W40" s="123">
        <v>83</v>
      </c>
      <c r="X40" s="123">
        <v>84</v>
      </c>
      <c r="Y40" s="114">
        <v>81</v>
      </c>
      <c r="Z40" s="107">
        <v>85</v>
      </c>
      <c r="AA40" s="114">
        <v>77</v>
      </c>
      <c r="AB40" s="114">
        <v>80</v>
      </c>
      <c r="AC40" s="114">
        <v>83</v>
      </c>
      <c r="AD40" s="114">
        <v>83</v>
      </c>
      <c r="AE40" s="107">
        <v>90</v>
      </c>
      <c r="AF40" s="107">
        <v>90</v>
      </c>
      <c r="AG40" s="124">
        <v>84</v>
      </c>
      <c r="AH40" s="124">
        <v>85</v>
      </c>
      <c r="AI40" s="121">
        <v>70</v>
      </c>
      <c r="AJ40" s="121">
        <v>83</v>
      </c>
      <c r="AK40" s="114">
        <v>86</v>
      </c>
      <c r="AL40" s="114">
        <v>88</v>
      </c>
      <c r="AM40" s="107">
        <v>75</v>
      </c>
      <c r="AN40" s="107">
        <v>85</v>
      </c>
      <c r="AO40" s="115">
        <v>86</v>
      </c>
      <c r="AP40" s="115">
        <v>87</v>
      </c>
      <c r="AQ40" s="125">
        <v>85</v>
      </c>
      <c r="AR40" s="120">
        <v>91</v>
      </c>
      <c r="AS40" s="121">
        <v>83</v>
      </c>
      <c r="AT40" s="121">
        <v>78</v>
      </c>
      <c r="AU40" s="107">
        <v>79</v>
      </c>
      <c r="AV40" s="107">
        <v>79</v>
      </c>
      <c r="AW40" s="114">
        <v>85</v>
      </c>
      <c r="AX40" s="114">
        <v>91</v>
      </c>
      <c r="AY40" s="126">
        <v>80</v>
      </c>
      <c r="AZ40" s="126">
        <v>81</v>
      </c>
      <c r="BA40" s="127">
        <v>84</v>
      </c>
      <c r="BB40" s="127">
        <v>82</v>
      </c>
      <c r="BC40" s="107">
        <v>82</v>
      </c>
      <c r="BD40" s="112">
        <v>84</v>
      </c>
      <c r="BE40" s="96">
        <v>84</v>
      </c>
      <c r="BF40" s="96">
        <v>85</v>
      </c>
      <c r="BG40" s="96">
        <v>85</v>
      </c>
      <c r="BH40" s="131">
        <v>93</v>
      </c>
      <c r="BI40" s="96">
        <v>84</v>
      </c>
      <c r="BJ40" s="96">
        <v>84</v>
      </c>
      <c r="BK40" s="96">
        <v>82</v>
      </c>
      <c r="BL40" s="131">
        <v>93</v>
      </c>
      <c r="BM40" s="96">
        <v>85</v>
      </c>
      <c r="BN40" s="96">
        <v>86</v>
      </c>
      <c r="BO40" s="96">
        <v>83</v>
      </c>
      <c r="BP40" s="131">
        <v>93</v>
      </c>
      <c r="BQ40" s="96">
        <v>87</v>
      </c>
      <c r="BR40" s="96">
        <v>86</v>
      </c>
      <c r="BS40" s="96">
        <v>83</v>
      </c>
      <c r="BT40" s="131">
        <v>93</v>
      </c>
      <c r="BU40" s="15">
        <f t="shared" si="19"/>
        <v>85</v>
      </c>
      <c r="BV40" s="15">
        <f t="shared" si="20"/>
        <v>85.25</v>
      </c>
      <c r="BW40" s="15">
        <f t="shared" si="21"/>
        <v>83.25</v>
      </c>
      <c r="BX40" s="15">
        <f t="shared" si="22"/>
        <v>93</v>
      </c>
      <c r="BY40" s="129">
        <v>86</v>
      </c>
      <c r="BZ40" s="121">
        <v>86</v>
      </c>
      <c r="CA40" s="121">
        <v>83</v>
      </c>
      <c r="CB40" s="107">
        <v>93</v>
      </c>
      <c r="CC40" s="107">
        <v>92</v>
      </c>
      <c r="CD40" s="107">
        <v>80</v>
      </c>
      <c r="CE40" s="114">
        <v>90</v>
      </c>
      <c r="CF40" s="114">
        <v>82</v>
      </c>
      <c r="CG40" s="129">
        <v>91</v>
      </c>
      <c r="CH40" s="39">
        <v>85</v>
      </c>
      <c r="CI40" s="39">
        <v>85</v>
      </c>
      <c r="CJ40" s="39">
        <v>85</v>
      </c>
      <c r="CK40" s="39">
        <v>92</v>
      </c>
      <c r="CL40" s="40">
        <v>84</v>
      </c>
      <c r="CM40" s="40">
        <v>83</v>
      </c>
      <c r="CN40" s="39">
        <v>84</v>
      </c>
      <c r="CO40" s="39">
        <v>88</v>
      </c>
      <c r="CP40" s="39">
        <v>92</v>
      </c>
      <c r="CQ40" s="41">
        <f t="shared" si="0"/>
        <v>85.8</v>
      </c>
      <c r="CR40" s="41">
        <f t="shared" si="1"/>
        <v>92</v>
      </c>
      <c r="CS40" s="41">
        <f t="shared" si="23"/>
        <v>85</v>
      </c>
      <c r="CT40" s="17">
        <f t="shared" si="24"/>
        <v>87.42</v>
      </c>
      <c r="CU40" s="16">
        <f t="shared" si="2"/>
        <v>88</v>
      </c>
      <c r="CV40" s="16">
        <f t="shared" si="3"/>
        <v>95</v>
      </c>
      <c r="CW40" s="16">
        <f t="shared" si="25"/>
        <v>85</v>
      </c>
      <c r="CX40" s="17">
        <f t="shared" si="26"/>
        <v>89.2</v>
      </c>
      <c r="CY40" s="17">
        <f t="shared" si="4"/>
        <v>86.6</v>
      </c>
      <c r="CZ40" s="17">
        <f t="shared" si="5"/>
        <v>88</v>
      </c>
      <c r="DA40" s="17">
        <f t="shared" si="27"/>
        <v>85</v>
      </c>
      <c r="DB40" s="17">
        <f t="shared" si="28"/>
        <v>86.539999999999992</v>
      </c>
      <c r="DC40" s="18">
        <f t="shared" si="6"/>
        <v>83.25</v>
      </c>
      <c r="DD40" s="18">
        <f t="shared" si="29"/>
        <v>83.25</v>
      </c>
      <c r="DE40" s="18">
        <f t="shared" si="7"/>
        <v>80.75</v>
      </c>
      <c r="DF40" s="18">
        <f t="shared" si="30"/>
        <v>80.75</v>
      </c>
      <c r="DG40" s="18">
        <f t="shared" si="8"/>
        <v>90</v>
      </c>
      <c r="DH40" s="18">
        <f t="shared" si="31"/>
        <v>90</v>
      </c>
      <c r="DI40" s="18">
        <f t="shared" si="9"/>
        <v>80.5</v>
      </c>
      <c r="DJ40" s="18">
        <f t="shared" si="32"/>
        <v>80.5</v>
      </c>
      <c r="DK40" s="18">
        <f t="shared" si="10"/>
        <v>86</v>
      </c>
      <c r="DL40" s="18">
        <f t="shared" si="11"/>
        <v>88</v>
      </c>
      <c r="DM40" s="18">
        <f t="shared" si="33"/>
        <v>92</v>
      </c>
      <c r="DN40" s="17">
        <f t="shared" si="34"/>
        <v>88.4</v>
      </c>
      <c r="DO40" s="18">
        <f t="shared" si="12"/>
        <v>83.6</v>
      </c>
      <c r="DP40" s="18">
        <f t="shared" si="13"/>
        <v>91</v>
      </c>
      <c r="DQ40" s="18">
        <f t="shared" si="35"/>
        <v>84</v>
      </c>
      <c r="DR40" s="17">
        <f t="shared" si="36"/>
        <v>85.94</v>
      </c>
      <c r="DS40" s="18">
        <f t="shared" si="14"/>
        <v>80.8</v>
      </c>
      <c r="DT40" s="18">
        <f t="shared" si="15"/>
        <v>91</v>
      </c>
      <c r="DU40" s="18">
        <f t="shared" si="37"/>
        <v>83</v>
      </c>
      <c r="DV40" s="17">
        <f t="shared" si="38"/>
        <v>84.52000000000001</v>
      </c>
      <c r="DW40" s="18">
        <f t="shared" si="16"/>
        <v>80.5</v>
      </c>
      <c r="DX40" s="18">
        <f t="shared" si="39"/>
        <v>80.5</v>
      </c>
      <c r="DY40" s="18">
        <f t="shared" si="17"/>
        <v>83</v>
      </c>
      <c r="DZ40" s="18">
        <f t="shared" si="40"/>
        <v>83</v>
      </c>
      <c r="EA40" s="18">
        <f t="shared" si="18"/>
        <v>83</v>
      </c>
      <c r="EB40" s="17">
        <f t="shared" si="41"/>
        <v>83</v>
      </c>
      <c r="EC40" s="18">
        <f t="shared" si="42"/>
        <v>84.5</v>
      </c>
      <c r="ED40" s="18">
        <f t="shared" si="43"/>
        <v>93</v>
      </c>
      <c r="EE40" s="18">
        <f t="shared" si="44"/>
        <v>92</v>
      </c>
      <c r="EF40" s="17">
        <f t="shared" si="45"/>
        <v>89.3</v>
      </c>
      <c r="EG40" s="18">
        <f t="shared" si="46"/>
        <v>85</v>
      </c>
      <c r="EH40" s="18">
        <f t="shared" si="47"/>
        <v>93</v>
      </c>
      <c r="EI40" s="18">
        <f t="shared" si="48"/>
        <v>88</v>
      </c>
      <c r="EJ40" s="17">
        <f t="shared" si="49"/>
        <v>88.3</v>
      </c>
      <c r="EK40" s="18">
        <f t="shared" si="50"/>
        <v>92</v>
      </c>
      <c r="EL40" s="18">
        <f t="shared" si="51"/>
        <v>84</v>
      </c>
      <c r="EM40" s="18">
        <f t="shared" si="52"/>
        <v>91</v>
      </c>
      <c r="EN40" s="18">
        <f t="shared" si="53"/>
        <v>84</v>
      </c>
      <c r="EO40" s="17">
        <f t="shared" si="54"/>
        <v>86.1</v>
      </c>
      <c r="EP40" s="19">
        <f t="shared" si="55"/>
        <v>87.42</v>
      </c>
      <c r="EQ40" s="19">
        <f t="shared" si="56"/>
        <v>89.2</v>
      </c>
      <c r="ER40" s="19">
        <f t="shared" si="57"/>
        <v>86.539999999999992</v>
      </c>
      <c r="ES40" s="19">
        <f t="shared" si="58"/>
        <v>83.25</v>
      </c>
      <c r="ET40" s="19">
        <f t="shared" si="59"/>
        <v>80.75</v>
      </c>
      <c r="EU40" s="19">
        <f t="shared" si="60"/>
        <v>90</v>
      </c>
      <c r="EV40" s="19">
        <f t="shared" si="61"/>
        <v>80.5</v>
      </c>
      <c r="EW40" s="19">
        <f t="shared" si="62"/>
        <v>88.4</v>
      </c>
      <c r="EX40" s="19">
        <f t="shared" si="63"/>
        <v>85.94</v>
      </c>
      <c r="EY40" s="19">
        <f t="shared" si="64"/>
        <v>84.52000000000001</v>
      </c>
      <c r="EZ40" s="19">
        <f t="shared" si="65"/>
        <v>80.5</v>
      </c>
      <c r="FA40" s="19">
        <f t="shared" si="66"/>
        <v>83</v>
      </c>
      <c r="FB40" s="19">
        <f t="shared" si="67"/>
        <v>83</v>
      </c>
      <c r="FC40" s="19">
        <f t="shared" si="68"/>
        <v>89.3</v>
      </c>
      <c r="FD40" s="19">
        <f t="shared" si="69"/>
        <v>88.3</v>
      </c>
      <c r="FE40" s="19">
        <f t="shared" si="69"/>
        <v>92</v>
      </c>
      <c r="FF40" s="19">
        <f t="shared" si="70"/>
        <v>86.1</v>
      </c>
      <c r="FG40" s="19">
        <f t="shared" si="71"/>
        <v>85.807058823529403</v>
      </c>
    </row>
    <row r="41" spans="1:163" ht="20.100000000000001" customHeight="1">
      <c r="A41" s="11">
        <v>37</v>
      </c>
      <c r="B41" s="104" t="s">
        <v>711</v>
      </c>
      <c r="C41" s="105" t="s">
        <v>623</v>
      </c>
      <c r="D41" s="106" t="s">
        <v>675</v>
      </c>
      <c r="E41" s="128">
        <v>88</v>
      </c>
      <c r="F41" s="107">
        <v>90</v>
      </c>
      <c r="G41" s="128">
        <v>88</v>
      </c>
      <c r="H41" s="107">
        <v>84</v>
      </c>
      <c r="I41" s="120">
        <v>94</v>
      </c>
      <c r="J41" s="120">
        <v>91</v>
      </c>
      <c r="K41" s="121">
        <v>81</v>
      </c>
      <c r="L41" s="121">
        <v>87</v>
      </c>
      <c r="M41" s="128">
        <v>85</v>
      </c>
      <c r="N41" s="107">
        <v>85</v>
      </c>
      <c r="O41" s="114">
        <v>86</v>
      </c>
      <c r="P41" s="114">
        <v>90</v>
      </c>
      <c r="Q41" s="114">
        <v>93</v>
      </c>
      <c r="R41" s="107">
        <v>87</v>
      </c>
      <c r="S41" s="114">
        <v>86</v>
      </c>
      <c r="T41" s="107">
        <v>85</v>
      </c>
      <c r="U41" s="122">
        <v>82</v>
      </c>
      <c r="V41" s="122">
        <v>90</v>
      </c>
      <c r="W41" s="123">
        <v>83</v>
      </c>
      <c r="X41" s="123">
        <v>84</v>
      </c>
      <c r="Y41" s="114">
        <v>76</v>
      </c>
      <c r="Z41" s="107">
        <v>85</v>
      </c>
      <c r="AA41" s="114">
        <v>79</v>
      </c>
      <c r="AB41" s="114">
        <v>88</v>
      </c>
      <c r="AC41" s="114">
        <v>80</v>
      </c>
      <c r="AD41" s="114">
        <v>82</v>
      </c>
      <c r="AE41" s="107">
        <v>83</v>
      </c>
      <c r="AF41" s="107">
        <v>84</v>
      </c>
      <c r="AG41" s="124">
        <v>83</v>
      </c>
      <c r="AH41" s="124">
        <v>84</v>
      </c>
      <c r="AI41" s="121">
        <v>78</v>
      </c>
      <c r="AJ41" s="121">
        <v>82</v>
      </c>
      <c r="AK41" s="114">
        <v>88</v>
      </c>
      <c r="AL41" s="114">
        <v>90</v>
      </c>
      <c r="AM41" s="107">
        <v>80</v>
      </c>
      <c r="AN41" s="107">
        <v>85</v>
      </c>
      <c r="AO41" s="115">
        <v>85</v>
      </c>
      <c r="AP41" s="115">
        <v>86</v>
      </c>
      <c r="AQ41" s="125">
        <v>86</v>
      </c>
      <c r="AR41" s="120">
        <v>93</v>
      </c>
      <c r="AS41" s="121">
        <v>76</v>
      </c>
      <c r="AT41" s="121">
        <v>76</v>
      </c>
      <c r="AU41" s="107">
        <v>77</v>
      </c>
      <c r="AV41" s="107">
        <v>77</v>
      </c>
      <c r="AW41" s="114">
        <v>84</v>
      </c>
      <c r="AX41" s="114">
        <v>93</v>
      </c>
      <c r="AY41" s="126">
        <v>77</v>
      </c>
      <c r="AZ41" s="126">
        <v>81</v>
      </c>
      <c r="BA41" s="127">
        <v>81</v>
      </c>
      <c r="BB41" s="127">
        <v>85</v>
      </c>
      <c r="BC41" s="107">
        <v>83</v>
      </c>
      <c r="BD41" s="112">
        <v>84</v>
      </c>
      <c r="BE41" s="96">
        <v>82</v>
      </c>
      <c r="BF41" s="96">
        <v>84</v>
      </c>
      <c r="BG41" s="96">
        <v>86</v>
      </c>
      <c r="BH41" s="131">
        <v>94</v>
      </c>
      <c r="BI41" s="96">
        <v>82</v>
      </c>
      <c r="BJ41" s="96">
        <v>82</v>
      </c>
      <c r="BK41" s="96">
        <v>84</v>
      </c>
      <c r="BL41" s="131">
        <v>94</v>
      </c>
      <c r="BM41" s="96">
        <v>82</v>
      </c>
      <c r="BN41" s="96">
        <v>83</v>
      </c>
      <c r="BO41" s="96">
        <v>85</v>
      </c>
      <c r="BP41" s="131">
        <v>94</v>
      </c>
      <c r="BQ41" s="96">
        <v>80</v>
      </c>
      <c r="BR41" s="96">
        <v>83</v>
      </c>
      <c r="BS41" s="96">
        <v>84</v>
      </c>
      <c r="BT41" s="131">
        <v>94</v>
      </c>
      <c r="BU41" s="15">
        <f t="shared" si="19"/>
        <v>81.5</v>
      </c>
      <c r="BV41" s="15">
        <f t="shared" si="20"/>
        <v>83</v>
      </c>
      <c r="BW41" s="15">
        <f t="shared" si="21"/>
        <v>84.75</v>
      </c>
      <c r="BX41" s="15">
        <f t="shared" si="22"/>
        <v>94</v>
      </c>
      <c r="BY41" s="129">
        <v>82</v>
      </c>
      <c r="BZ41" s="121">
        <v>84</v>
      </c>
      <c r="CA41" s="121">
        <v>84</v>
      </c>
      <c r="CB41" s="107">
        <v>94</v>
      </c>
      <c r="CC41" s="107">
        <v>92</v>
      </c>
      <c r="CD41" s="107">
        <v>75</v>
      </c>
      <c r="CE41" s="114">
        <v>83</v>
      </c>
      <c r="CF41" s="114">
        <v>82</v>
      </c>
      <c r="CG41" s="129">
        <v>93</v>
      </c>
      <c r="CH41" s="39">
        <v>89</v>
      </c>
      <c r="CI41" s="39">
        <v>91</v>
      </c>
      <c r="CJ41" s="39">
        <v>80</v>
      </c>
      <c r="CK41" s="39">
        <v>87</v>
      </c>
      <c r="CL41" s="40">
        <v>86</v>
      </c>
      <c r="CM41" s="40">
        <v>80</v>
      </c>
      <c r="CN41" s="39">
        <v>84</v>
      </c>
      <c r="CO41" s="39">
        <v>87</v>
      </c>
      <c r="CP41" s="39">
        <v>80</v>
      </c>
      <c r="CQ41" s="41">
        <f t="shared" si="0"/>
        <v>88.8</v>
      </c>
      <c r="CR41" s="41">
        <f t="shared" si="1"/>
        <v>91</v>
      </c>
      <c r="CS41" s="41">
        <f t="shared" si="23"/>
        <v>89</v>
      </c>
      <c r="CT41" s="17">
        <f t="shared" si="24"/>
        <v>89.52000000000001</v>
      </c>
      <c r="CU41" s="16">
        <f t="shared" si="2"/>
        <v>84.8</v>
      </c>
      <c r="CV41" s="16">
        <f t="shared" si="3"/>
        <v>90</v>
      </c>
      <c r="CW41" s="16">
        <f t="shared" si="25"/>
        <v>91</v>
      </c>
      <c r="CX41" s="17">
        <f t="shared" si="26"/>
        <v>88.22</v>
      </c>
      <c r="CY41" s="17">
        <f t="shared" si="4"/>
        <v>86.6</v>
      </c>
      <c r="CZ41" s="17">
        <f t="shared" si="5"/>
        <v>90</v>
      </c>
      <c r="DA41" s="17">
        <f t="shared" si="27"/>
        <v>80</v>
      </c>
      <c r="DB41" s="17">
        <f t="shared" si="28"/>
        <v>85.64</v>
      </c>
      <c r="DC41" s="18">
        <f t="shared" si="6"/>
        <v>82</v>
      </c>
      <c r="DD41" s="18">
        <f t="shared" si="29"/>
        <v>82</v>
      </c>
      <c r="DE41" s="18">
        <f t="shared" si="7"/>
        <v>82.25</v>
      </c>
      <c r="DF41" s="18">
        <f t="shared" si="30"/>
        <v>82.25</v>
      </c>
      <c r="DG41" s="18">
        <f t="shared" si="8"/>
        <v>83.5</v>
      </c>
      <c r="DH41" s="18">
        <f t="shared" si="31"/>
        <v>83.5</v>
      </c>
      <c r="DI41" s="18">
        <f t="shared" si="9"/>
        <v>81.75</v>
      </c>
      <c r="DJ41" s="18">
        <f t="shared" si="32"/>
        <v>81.75</v>
      </c>
      <c r="DK41" s="18">
        <f t="shared" si="10"/>
        <v>88</v>
      </c>
      <c r="DL41" s="18">
        <f t="shared" si="11"/>
        <v>90</v>
      </c>
      <c r="DM41" s="18">
        <f t="shared" si="33"/>
        <v>87</v>
      </c>
      <c r="DN41" s="17">
        <f t="shared" si="34"/>
        <v>88.3</v>
      </c>
      <c r="DO41" s="18">
        <f t="shared" si="12"/>
        <v>84.4</v>
      </c>
      <c r="DP41" s="18">
        <f t="shared" si="13"/>
        <v>93</v>
      </c>
      <c r="DQ41" s="18">
        <f t="shared" si="35"/>
        <v>86</v>
      </c>
      <c r="DR41" s="17">
        <f t="shared" si="36"/>
        <v>87.460000000000008</v>
      </c>
      <c r="DS41" s="18">
        <f t="shared" si="14"/>
        <v>78</v>
      </c>
      <c r="DT41" s="18">
        <f t="shared" si="15"/>
        <v>93</v>
      </c>
      <c r="DU41" s="18">
        <f t="shared" si="37"/>
        <v>80</v>
      </c>
      <c r="DV41" s="17">
        <f t="shared" si="38"/>
        <v>83.1</v>
      </c>
      <c r="DW41" s="18">
        <f t="shared" si="16"/>
        <v>79</v>
      </c>
      <c r="DX41" s="18">
        <f t="shared" si="39"/>
        <v>79</v>
      </c>
      <c r="DY41" s="18">
        <f t="shared" si="17"/>
        <v>83</v>
      </c>
      <c r="DZ41" s="18">
        <f t="shared" si="40"/>
        <v>83</v>
      </c>
      <c r="EA41" s="18">
        <f t="shared" si="18"/>
        <v>83.5</v>
      </c>
      <c r="EB41" s="17">
        <f t="shared" si="41"/>
        <v>83.5</v>
      </c>
      <c r="EC41" s="18">
        <f t="shared" si="42"/>
        <v>83.083333333333329</v>
      </c>
      <c r="ED41" s="18">
        <f t="shared" si="43"/>
        <v>94</v>
      </c>
      <c r="EE41" s="18">
        <f t="shared" si="44"/>
        <v>80</v>
      </c>
      <c r="EF41" s="17">
        <f t="shared" si="45"/>
        <v>85.433333333333323</v>
      </c>
      <c r="EG41" s="18">
        <f t="shared" si="46"/>
        <v>83.333333333333329</v>
      </c>
      <c r="EH41" s="18">
        <f t="shared" si="47"/>
        <v>94</v>
      </c>
      <c r="EI41" s="18">
        <f t="shared" si="48"/>
        <v>87</v>
      </c>
      <c r="EJ41" s="17">
        <f t="shared" si="49"/>
        <v>87.633333333333326</v>
      </c>
      <c r="EK41" s="18">
        <f t="shared" si="50"/>
        <v>92</v>
      </c>
      <c r="EL41" s="18">
        <f t="shared" si="51"/>
        <v>80</v>
      </c>
      <c r="EM41" s="18">
        <f t="shared" si="52"/>
        <v>93</v>
      </c>
      <c r="EN41" s="18">
        <f t="shared" si="53"/>
        <v>84</v>
      </c>
      <c r="EO41" s="17">
        <f t="shared" si="54"/>
        <v>85.1</v>
      </c>
      <c r="EP41" s="19">
        <f t="shared" si="55"/>
        <v>89.52000000000001</v>
      </c>
      <c r="EQ41" s="19">
        <f t="shared" si="56"/>
        <v>88.22</v>
      </c>
      <c r="ER41" s="19">
        <f t="shared" si="57"/>
        <v>85.64</v>
      </c>
      <c r="ES41" s="19">
        <f t="shared" si="58"/>
        <v>82</v>
      </c>
      <c r="ET41" s="19">
        <f t="shared" si="59"/>
        <v>82.25</v>
      </c>
      <c r="EU41" s="19">
        <f t="shared" si="60"/>
        <v>83.5</v>
      </c>
      <c r="EV41" s="19">
        <f t="shared" si="61"/>
        <v>81.75</v>
      </c>
      <c r="EW41" s="19">
        <f t="shared" si="62"/>
        <v>88.3</v>
      </c>
      <c r="EX41" s="19">
        <f t="shared" si="63"/>
        <v>87.460000000000008</v>
      </c>
      <c r="EY41" s="19">
        <f t="shared" si="64"/>
        <v>83.1</v>
      </c>
      <c r="EZ41" s="19">
        <f t="shared" si="65"/>
        <v>79</v>
      </c>
      <c r="FA41" s="19">
        <f t="shared" si="66"/>
        <v>83</v>
      </c>
      <c r="FB41" s="19">
        <f t="shared" si="67"/>
        <v>83.5</v>
      </c>
      <c r="FC41" s="19">
        <f t="shared" si="68"/>
        <v>85.433333333333323</v>
      </c>
      <c r="FD41" s="19">
        <f t="shared" si="69"/>
        <v>87.633333333333326</v>
      </c>
      <c r="FE41" s="19">
        <f t="shared" si="69"/>
        <v>92</v>
      </c>
      <c r="FF41" s="19">
        <f t="shared" si="70"/>
        <v>85.1</v>
      </c>
      <c r="FG41" s="19">
        <f t="shared" si="71"/>
        <v>85.14156862745098</v>
      </c>
    </row>
    <row r="42" spans="1:163" ht="20.100000000000001" customHeight="1">
      <c r="A42" s="11">
        <v>38</v>
      </c>
      <c r="B42" s="104" t="s">
        <v>712</v>
      </c>
      <c r="C42" s="105" t="s">
        <v>625</v>
      </c>
      <c r="D42" s="106" t="s">
        <v>675</v>
      </c>
      <c r="E42" s="128">
        <v>84</v>
      </c>
      <c r="F42" s="107">
        <v>80</v>
      </c>
      <c r="G42" s="128">
        <v>88</v>
      </c>
      <c r="H42" s="107">
        <v>84</v>
      </c>
      <c r="I42" s="120">
        <v>88</v>
      </c>
      <c r="J42" s="120">
        <v>95</v>
      </c>
      <c r="K42" s="121">
        <v>85</v>
      </c>
      <c r="L42" s="121">
        <v>78</v>
      </c>
      <c r="M42" s="128">
        <v>87</v>
      </c>
      <c r="N42" s="107">
        <v>90</v>
      </c>
      <c r="O42" s="114">
        <v>91</v>
      </c>
      <c r="P42" s="114">
        <v>95</v>
      </c>
      <c r="Q42" s="114">
        <v>86</v>
      </c>
      <c r="R42" s="107">
        <v>84</v>
      </c>
      <c r="S42" s="114">
        <v>85</v>
      </c>
      <c r="T42" s="107">
        <v>85</v>
      </c>
      <c r="U42" s="122">
        <v>89</v>
      </c>
      <c r="V42" s="122">
        <v>89</v>
      </c>
      <c r="W42" s="123">
        <v>83</v>
      </c>
      <c r="X42" s="123">
        <v>86</v>
      </c>
      <c r="Y42" s="114">
        <v>83</v>
      </c>
      <c r="Z42" s="107">
        <v>87</v>
      </c>
      <c r="AA42" s="114">
        <v>79</v>
      </c>
      <c r="AB42" s="114">
        <v>85</v>
      </c>
      <c r="AC42" s="114">
        <v>81</v>
      </c>
      <c r="AD42" s="114">
        <v>87</v>
      </c>
      <c r="AE42" s="107">
        <v>82</v>
      </c>
      <c r="AF42" s="107">
        <v>85</v>
      </c>
      <c r="AG42" s="124">
        <v>82</v>
      </c>
      <c r="AH42" s="124">
        <v>85</v>
      </c>
      <c r="AI42" s="121">
        <v>70</v>
      </c>
      <c r="AJ42" s="121">
        <v>87</v>
      </c>
      <c r="AK42" s="114">
        <v>84</v>
      </c>
      <c r="AL42" s="114">
        <v>89</v>
      </c>
      <c r="AM42" s="107">
        <v>74</v>
      </c>
      <c r="AN42" s="107">
        <v>75</v>
      </c>
      <c r="AO42" s="115">
        <v>78</v>
      </c>
      <c r="AP42" s="115">
        <v>79</v>
      </c>
      <c r="AQ42" s="125">
        <v>83</v>
      </c>
      <c r="AR42" s="120">
        <v>95</v>
      </c>
      <c r="AS42" s="121">
        <v>75</v>
      </c>
      <c r="AT42" s="121">
        <v>75</v>
      </c>
      <c r="AU42" s="107">
        <v>80</v>
      </c>
      <c r="AV42" s="107">
        <v>77</v>
      </c>
      <c r="AW42" s="114">
        <v>83</v>
      </c>
      <c r="AX42" s="114">
        <v>95</v>
      </c>
      <c r="AY42" s="126">
        <v>80</v>
      </c>
      <c r="AZ42" s="126">
        <v>80</v>
      </c>
      <c r="BA42" s="127">
        <v>82</v>
      </c>
      <c r="BB42" s="127">
        <v>81</v>
      </c>
      <c r="BC42" s="107">
        <v>83</v>
      </c>
      <c r="BD42" s="112">
        <v>84</v>
      </c>
      <c r="BE42" s="96">
        <v>84</v>
      </c>
      <c r="BF42" s="96">
        <v>85</v>
      </c>
      <c r="BG42" s="96">
        <v>85</v>
      </c>
      <c r="BH42" s="131">
        <v>95</v>
      </c>
      <c r="BI42" s="96">
        <v>84</v>
      </c>
      <c r="BJ42" s="96">
        <v>84</v>
      </c>
      <c r="BK42" s="96">
        <v>82</v>
      </c>
      <c r="BL42" s="131">
        <v>95</v>
      </c>
      <c r="BM42" s="96">
        <v>83</v>
      </c>
      <c r="BN42" s="96">
        <v>84</v>
      </c>
      <c r="BO42" s="96">
        <v>84</v>
      </c>
      <c r="BP42" s="131">
        <v>95</v>
      </c>
      <c r="BQ42" s="96">
        <v>83</v>
      </c>
      <c r="BR42" s="96">
        <v>86</v>
      </c>
      <c r="BS42" s="96">
        <v>83</v>
      </c>
      <c r="BT42" s="131">
        <v>95</v>
      </c>
      <c r="BU42" s="15">
        <f t="shared" si="19"/>
        <v>83.5</v>
      </c>
      <c r="BV42" s="15">
        <f t="shared" si="20"/>
        <v>84.75</v>
      </c>
      <c r="BW42" s="15">
        <f t="shared" si="21"/>
        <v>83.5</v>
      </c>
      <c r="BX42" s="15">
        <f t="shared" si="22"/>
        <v>95</v>
      </c>
      <c r="BY42" s="129">
        <v>84</v>
      </c>
      <c r="BZ42" s="121">
        <v>85</v>
      </c>
      <c r="CA42" s="121">
        <v>84</v>
      </c>
      <c r="CB42" s="107">
        <v>95</v>
      </c>
      <c r="CC42" s="107">
        <v>94</v>
      </c>
      <c r="CD42" s="107">
        <v>78</v>
      </c>
      <c r="CE42" s="114">
        <v>94</v>
      </c>
      <c r="CF42" s="114">
        <v>90</v>
      </c>
      <c r="CG42" s="129">
        <v>95</v>
      </c>
      <c r="CH42" s="39">
        <v>88</v>
      </c>
      <c r="CI42" s="39">
        <v>82</v>
      </c>
      <c r="CJ42" s="39">
        <v>88</v>
      </c>
      <c r="CK42" s="39">
        <v>93</v>
      </c>
      <c r="CL42" s="40">
        <v>83</v>
      </c>
      <c r="CM42" s="40">
        <v>85</v>
      </c>
      <c r="CN42" s="39">
        <v>85</v>
      </c>
      <c r="CO42" s="39">
        <v>88</v>
      </c>
      <c r="CP42" s="39">
        <v>95</v>
      </c>
      <c r="CQ42" s="41">
        <f t="shared" si="0"/>
        <v>84.8</v>
      </c>
      <c r="CR42" s="41">
        <f t="shared" si="1"/>
        <v>95</v>
      </c>
      <c r="CS42" s="41">
        <f t="shared" si="23"/>
        <v>88</v>
      </c>
      <c r="CT42" s="17">
        <f t="shared" si="24"/>
        <v>88.820000000000007</v>
      </c>
      <c r="CU42" s="16">
        <f t="shared" si="2"/>
        <v>86.2</v>
      </c>
      <c r="CV42" s="16">
        <f t="shared" si="3"/>
        <v>95</v>
      </c>
      <c r="CW42" s="16">
        <f t="shared" si="25"/>
        <v>82</v>
      </c>
      <c r="CX42" s="17">
        <f t="shared" si="26"/>
        <v>87.58</v>
      </c>
      <c r="CY42" s="17">
        <f t="shared" si="4"/>
        <v>85.8</v>
      </c>
      <c r="CZ42" s="17">
        <f t="shared" si="5"/>
        <v>89</v>
      </c>
      <c r="DA42" s="17">
        <f t="shared" si="27"/>
        <v>88</v>
      </c>
      <c r="DB42" s="17">
        <f t="shared" si="28"/>
        <v>87.42</v>
      </c>
      <c r="DC42" s="18">
        <f t="shared" si="6"/>
        <v>84.75</v>
      </c>
      <c r="DD42" s="18">
        <f t="shared" si="29"/>
        <v>84.75</v>
      </c>
      <c r="DE42" s="18">
        <f t="shared" si="7"/>
        <v>83</v>
      </c>
      <c r="DF42" s="18">
        <f t="shared" si="30"/>
        <v>83</v>
      </c>
      <c r="DG42" s="18">
        <f t="shared" si="8"/>
        <v>83.5</v>
      </c>
      <c r="DH42" s="18">
        <f t="shared" si="31"/>
        <v>83.5</v>
      </c>
      <c r="DI42" s="18">
        <f t="shared" si="9"/>
        <v>81</v>
      </c>
      <c r="DJ42" s="18">
        <f t="shared" si="32"/>
        <v>81</v>
      </c>
      <c r="DK42" s="18">
        <f t="shared" si="10"/>
        <v>84</v>
      </c>
      <c r="DL42" s="18">
        <f t="shared" si="11"/>
        <v>89</v>
      </c>
      <c r="DM42" s="18">
        <f t="shared" si="33"/>
        <v>93</v>
      </c>
      <c r="DN42" s="17">
        <f t="shared" si="34"/>
        <v>88.2</v>
      </c>
      <c r="DO42" s="18">
        <f t="shared" si="12"/>
        <v>77.8</v>
      </c>
      <c r="DP42" s="18">
        <f t="shared" si="13"/>
        <v>95</v>
      </c>
      <c r="DQ42" s="18">
        <f t="shared" si="35"/>
        <v>83</v>
      </c>
      <c r="DR42" s="17">
        <f t="shared" si="36"/>
        <v>84.52000000000001</v>
      </c>
      <c r="DS42" s="18">
        <f t="shared" si="14"/>
        <v>78</v>
      </c>
      <c r="DT42" s="18">
        <f t="shared" si="15"/>
        <v>95</v>
      </c>
      <c r="DU42" s="18">
        <f t="shared" si="37"/>
        <v>85</v>
      </c>
      <c r="DV42" s="17">
        <f t="shared" si="38"/>
        <v>85.2</v>
      </c>
      <c r="DW42" s="18">
        <f t="shared" si="16"/>
        <v>80</v>
      </c>
      <c r="DX42" s="18">
        <f t="shared" si="39"/>
        <v>80</v>
      </c>
      <c r="DY42" s="18">
        <f t="shared" si="17"/>
        <v>81.5</v>
      </c>
      <c r="DZ42" s="18">
        <f t="shared" si="40"/>
        <v>81.5</v>
      </c>
      <c r="EA42" s="18">
        <f t="shared" si="18"/>
        <v>83.5</v>
      </c>
      <c r="EB42" s="17">
        <f t="shared" si="41"/>
        <v>83.5</v>
      </c>
      <c r="EC42" s="18">
        <f t="shared" si="42"/>
        <v>83.916666666666671</v>
      </c>
      <c r="ED42" s="18">
        <f t="shared" si="43"/>
        <v>95</v>
      </c>
      <c r="EE42" s="18">
        <f t="shared" si="44"/>
        <v>95</v>
      </c>
      <c r="EF42" s="17">
        <f t="shared" si="45"/>
        <v>90.566666666666677</v>
      </c>
      <c r="EG42" s="18">
        <f t="shared" si="46"/>
        <v>84.333333333333329</v>
      </c>
      <c r="EH42" s="18">
        <f t="shared" si="47"/>
        <v>95</v>
      </c>
      <c r="EI42" s="18">
        <f t="shared" si="48"/>
        <v>88</v>
      </c>
      <c r="EJ42" s="17">
        <f t="shared" si="49"/>
        <v>88.633333333333326</v>
      </c>
      <c r="EK42" s="18">
        <f t="shared" si="50"/>
        <v>94</v>
      </c>
      <c r="EL42" s="18">
        <f t="shared" si="51"/>
        <v>87.333333333333329</v>
      </c>
      <c r="EM42" s="18">
        <f t="shared" si="52"/>
        <v>95</v>
      </c>
      <c r="EN42" s="18">
        <f t="shared" si="53"/>
        <v>85</v>
      </c>
      <c r="EO42" s="17">
        <f t="shared" si="54"/>
        <v>88.933333333333323</v>
      </c>
      <c r="EP42" s="19">
        <f t="shared" si="55"/>
        <v>88.820000000000007</v>
      </c>
      <c r="EQ42" s="19">
        <f t="shared" si="56"/>
        <v>87.58</v>
      </c>
      <c r="ER42" s="19">
        <f t="shared" si="57"/>
        <v>87.42</v>
      </c>
      <c r="ES42" s="19">
        <f t="shared" si="58"/>
        <v>84.75</v>
      </c>
      <c r="ET42" s="19">
        <f t="shared" si="59"/>
        <v>83</v>
      </c>
      <c r="EU42" s="19">
        <f t="shared" si="60"/>
        <v>83.5</v>
      </c>
      <c r="EV42" s="19">
        <f t="shared" si="61"/>
        <v>81</v>
      </c>
      <c r="EW42" s="19">
        <f t="shared" si="62"/>
        <v>88.2</v>
      </c>
      <c r="EX42" s="19">
        <f t="shared" si="63"/>
        <v>84.52000000000001</v>
      </c>
      <c r="EY42" s="19">
        <f t="shared" si="64"/>
        <v>85.2</v>
      </c>
      <c r="EZ42" s="19">
        <f t="shared" si="65"/>
        <v>80</v>
      </c>
      <c r="FA42" s="19">
        <f t="shared" si="66"/>
        <v>81.5</v>
      </c>
      <c r="FB42" s="19">
        <f t="shared" si="67"/>
        <v>83.5</v>
      </c>
      <c r="FC42" s="19">
        <f t="shared" si="68"/>
        <v>90.566666666666677</v>
      </c>
      <c r="FD42" s="19">
        <f t="shared" si="69"/>
        <v>88.633333333333326</v>
      </c>
      <c r="FE42" s="19">
        <f t="shared" si="69"/>
        <v>94</v>
      </c>
      <c r="FF42" s="19">
        <f t="shared" si="70"/>
        <v>88.933333333333323</v>
      </c>
      <c r="FG42" s="19">
        <f t="shared" si="71"/>
        <v>85.948431372549024</v>
      </c>
    </row>
    <row r="43" spans="1:163" ht="20.100000000000001" customHeight="1">
      <c r="A43" s="11">
        <v>39</v>
      </c>
      <c r="B43" s="104" t="s">
        <v>713</v>
      </c>
      <c r="C43" s="105" t="s">
        <v>627</v>
      </c>
      <c r="D43" s="106" t="s">
        <v>675</v>
      </c>
      <c r="E43" s="128">
        <v>83</v>
      </c>
      <c r="F43" s="107">
        <v>85</v>
      </c>
      <c r="G43" s="128">
        <v>88</v>
      </c>
      <c r="H43" s="107">
        <v>87</v>
      </c>
      <c r="I43" s="120">
        <v>88</v>
      </c>
      <c r="J43" s="120">
        <v>88</v>
      </c>
      <c r="K43" s="121">
        <v>83</v>
      </c>
      <c r="L43" s="121">
        <v>79</v>
      </c>
      <c r="M43" s="128">
        <v>88</v>
      </c>
      <c r="N43" s="107">
        <v>82</v>
      </c>
      <c r="O43" s="114">
        <v>82</v>
      </c>
      <c r="P43" s="114">
        <v>88</v>
      </c>
      <c r="Q43" s="114">
        <v>89</v>
      </c>
      <c r="R43" s="107">
        <v>87</v>
      </c>
      <c r="S43" s="114">
        <v>84</v>
      </c>
      <c r="T43" s="107">
        <v>86</v>
      </c>
      <c r="U43" s="122">
        <v>82</v>
      </c>
      <c r="V43" s="122">
        <v>86</v>
      </c>
      <c r="W43" s="123">
        <v>83</v>
      </c>
      <c r="X43" s="123">
        <v>84</v>
      </c>
      <c r="Y43" s="114">
        <v>81</v>
      </c>
      <c r="Z43" s="107">
        <v>82</v>
      </c>
      <c r="AA43" s="114">
        <v>75</v>
      </c>
      <c r="AB43" s="114">
        <v>87</v>
      </c>
      <c r="AC43" s="114">
        <v>84</v>
      </c>
      <c r="AD43" s="114">
        <v>83</v>
      </c>
      <c r="AE43" s="107">
        <v>82</v>
      </c>
      <c r="AF43" s="107">
        <v>84</v>
      </c>
      <c r="AG43" s="124">
        <v>82</v>
      </c>
      <c r="AH43" s="124">
        <v>83</v>
      </c>
      <c r="AI43" s="121">
        <v>82</v>
      </c>
      <c r="AJ43" s="121">
        <v>83</v>
      </c>
      <c r="AK43" s="114">
        <v>83</v>
      </c>
      <c r="AL43" s="114">
        <v>86</v>
      </c>
      <c r="AM43" s="107">
        <v>80</v>
      </c>
      <c r="AN43" s="107">
        <v>85</v>
      </c>
      <c r="AO43" s="115">
        <v>82</v>
      </c>
      <c r="AP43" s="115">
        <v>84</v>
      </c>
      <c r="AQ43" s="125">
        <v>84</v>
      </c>
      <c r="AR43" s="120">
        <v>87</v>
      </c>
      <c r="AS43" s="121">
        <v>72</v>
      </c>
      <c r="AT43" s="121">
        <v>75</v>
      </c>
      <c r="AU43" s="107">
        <v>84</v>
      </c>
      <c r="AV43" s="107">
        <v>80</v>
      </c>
      <c r="AW43" s="114">
        <v>83</v>
      </c>
      <c r="AX43" s="114">
        <v>87</v>
      </c>
      <c r="AY43" s="126">
        <v>77</v>
      </c>
      <c r="AZ43" s="126">
        <v>80</v>
      </c>
      <c r="BA43" s="127">
        <v>82</v>
      </c>
      <c r="BB43" s="127">
        <v>84</v>
      </c>
      <c r="BC43" s="107">
        <v>82</v>
      </c>
      <c r="BD43" s="112">
        <v>84</v>
      </c>
      <c r="BE43" s="96">
        <v>86</v>
      </c>
      <c r="BF43" s="96">
        <v>87</v>
      </c>
      <c r="BG43" s="96">
        <v>86</v>
      </c>
      <c r="BH43" s="131">
        <v>91</v>
      </c>
      <c r="BI43" s="96">
        <v>86</v>
      </c>
      <c r="BJ43" s="96">
        <v>86</v>
      </c>
      <c r="BK43" s="96">
        <v>83</v>
      </c>
      <c r="BL43" s="131">
        <v>91</v>
      </c>
      <c r="BM43" s="96">
        <v>85</v>
      </c>
      <c r="BN43" s="96">
        <v>86</v>
      </c>
      <c r="BO43" s="96">
        <v>80</v>
      </c>
      <c r="BP43" s="131">
        <v>91</v>
      </c>
      <c r="BQ43" s="96">
        <v>86</v>
      </c>
      <c r="BR43" s="96">
        <v>87</v>
      </c>
      <c r="BS43" s="96">
        <v>84</v>
      </c>
      <c r="BT43" s="131">
        <v>91</v>
      </c>
      <c r="BU43" s="15">
        <f t="shared" si="19"/>
        <v>85.75</v>
      </c>
      <c r="BV43" s="15">
        <f t="shared" si="20"/>
        <v>86.5</v>
      </c>
      <c r="BW43" s="15">
        <f t="shared" si="21"/>
        <v>83.25</v>
      </c>
      <c r="BX43" s="15">
        <f t="shared" si="22"/>
        <v>91</v>
      </c>
      <c r="BY43" s="129">
        <v>85</v>
      </c>
      <c r="BZ43" s="121">
        <v>85</v>
      </c>
      <c r="CA43" s="121">
        <v>83</v>
      </c>
      <c r="CB43" s="107">
        <v>91</v>
      </c>
      <c r="CC43" s="107">
        <v>88</v>
      </c>
      <c r="CD43" s="107">
        <v>80</v>
      </c>
      <c r="CE43" s="114">
        <v>91</v>
      </c>
      <c r="CF43" s="114">
        <v>85</v>
      </c>
      <c r="CG43" s="129">
        <v>87</v>
      </c>
      <c r="CH43" s="39">
        <v>86</v>
      </c>
      <c r="CI43" s="39">
        <v>94</v>
      </c>
      <c r="CJ43" s="39">
        <v>80</v>
      </c>
      <c r="CK43" s="39">
        <v>90</v>
      </c>
      <c r="CL43" s="40">
        <v>84</v>
      </c>
      <c r="CM43" s="40">
        <v>84</v>
      </c>
      <c r="CN43" s="39">
        <v>85</v>
      </c>
      <c r="CO43" s="39">
        <v>90</v>
      </c>
      <c r="CP43" s="39">
        <v>72</v>
      </c>
      <c r="CQ43" s="41">
        <f t="shared" si="0"/>
        <v>86.2</v>
      </c>
      <c r="CR43" s="41">
        <f t="shared" si="1"/>
        <v>88</v>
      </c>
      <c r="CS43" s="41">
        <f t="shared" si="23"/>
        <v>86</v>
      </c>
      <c r="CT43" s="17">
        <f t="shared" si="24"/>
        <v>86.679999999999993</v>
      </c>
      <c r="CU43" s="16">
        <f t="shared" si="2"/>
        <v>82.8</v>
      </c>
      <c r="CV43" s="16">
        <f t="shared" si="3"/>
        <v>88</v>
      </c>
      <c r="CW43" s="16">
        <f t="shared" si="25"/>
        <v>94</v>
      </c>
      <c r="CX43" s="17">
        <f t="shared" si="26"/>
        <v>87.72</v>
      </c>
      <c r="CY43" s="17">
        <f t="shared" si="4"/>
        <v>85.6</v>
      </c>
      <c r="CZ43" s="17">
        <f t="shared" si="5"/>
        <v>86</v>
      </c>
      <c r="DA43" s="17">
        <f t="shared" si="27"/>
        <v>80</v>
      </c>
      <c r="DB43" s="17">
        <f t="shared" si="28"/>
        <v>84.039999999999992</v>
      </c>
      <c r="DC43" s="18">
        <f t="shared" si="6"/>
        <v>82.5</v>
      </c>
      <c r="DD43" s="18">
        <f t="shared" si="29"/>
        <v>82.5</v>
      </c>
      <c r="DE43" s="18">
        <f t="shared" si="7"/>
        <v>82.25</v>
      </c>
      <c r="DF43" s="18">
        <f t="shared" si="30"/>
        <v>82.25</v>
      </c>
      <c r="DG43" s="18">
        <f t="shared" si="8"/>
        <v>83</v>
      </c>
      <c r="DH43" s="18">
        <f t="shared" si="31"/>
        <v>83</v>
      </c>
      <c r="DI43" s="18">
        <f t="shared" si="9"/>
        <v>82.5</v>
      </c>
      <c r="DJ43" s="18">
        <f t="shared" si="32"/>
        <v>82.5</v>
      </c>
      <c r="DK43" s="18">
        <f t="shared" si="10"/>
        <v>83</v>
      </c>
      <c r="DL43" s="18">
        <f t="shared" si="11"/>
        <v>86</v>
      </c>
      <c r="DM43" s="18">
        <f t="shared" si="33"/>
        <v>90</v>
      </c>
      <c r="DN43" s="17">
        <f t="shared" si="34"/>
        <v>86</v>
      </c>
      <c r="DO43" s="18">
        <f t="shared" si="12"/>
        <v>83</v>
      </c>
      <c r="DP43" s="18">
        <f t="shared" si="13"/>
        <v>87</v>
      </c>
      <c r="DQ43" s="18">
        <f t="shared" si="35"/>
        <v>84</v>
      </c>
      <c r="DR43" s="17">
        <f t="shared" si="36"/>
        <v>84.5</v>
      </c>
      <c r="DS43" s="18">
        <f t="shared" si="14"/>
        <v>78.8</v>
      </c>
      <c r="DT43" s="18">
        <f t="shared" si="15"/>
        <v>87</v>
      </c>
      <c r="DU43" s="18">
        <f t="shared" si="37"/>
        <v>84</v>
      </c>
      <c r="DV43" s="17">
        <f t="shared" si="38"/>
        <v>82.820000000000007</v>
      </c>
      <c r="DW43" s="18">
        <f t="shared" si="16"/>
        <v>78.5</v>
      </c>
      <c r="DX43" s="18">
        <f t="shared" si="39"/>
        <v>78.5</v>
      </c>
      <c r="DY43" s="18">
        <f t="shared" si="17"/>
        <v>83</v>
      </c>
      <c r="DZ43" s="18">
        <f t="shared" si="40"/>
        <v>83</v>
      </c>
      <c r="EA43" s="18">
        <f t="shared" si="18"/>
        <v>83</v>
      </c>
      <c r="EB43" s="17">
        <f t="shared" si="41"/>
        <v>83</v>
      </c>
      <c r="EC43" s="18">
        <f t="shared" si="42"/>
        <v>85.166666666666671</v>
      </c>
      <c r="ED43" s="18">
        <f t="shared" si="43"/>
        <v>91</v>
      </c>
      <c r="EE43" s="18">
        <f t="shared" si="44"/>
        <v>72</v>
      </c>
      <c r="EF43" s="17">
        <f t="shared" si="45"/>
        <v>82.966666666666669</v>
      </c>
      <c r="EG43" s="18">
        <f t="shared" si="46"/>
        <v>84.333333333333329</v>
      </c>
      <c r="EH43" s="18">
        <f t="shared" si="47"/>
        <v>91</v>
      </c>
      <c r="EI43" s="18">
        <f t="shared" si="48"/>
        <v>90</v>
      </c>
      <c r="EJ43" s="17">
        <f t="shared" si="49"/>
        <v>88.033333333333331</v>
      </c>
      <c r="EK43" s="18">
        <f t="shared" si="50"/>
        <v>88</v>
      </c>
      <c r="EL43" s="18">
        <f t="shared" si="51"/>
        <v>85.333333333333329</v>
      </c>
      <c r="EM43" s="18">
        <f t="shared" si="52"/>
        <v>87</v>
      </c>
      <c r="EN43" s="18">
        <f t="shared" si="53"/>
        <v>85</v>
      </c>
      <c r="EO43" s="17">
        <f t="shared" si="54"/>
        <v>85.73333333333332</v>
      </c>
      <c r="EP43" s="19">
        <f t="shared" si="55"/>
        <v>86.679999999999993</v>
      </c>
      <c r="EQ43" s="19">
        <f t="shared" si="56"/>
        <v>87.72</v>
      </c>
      <c r="ER43" s="19">
        <f t="shared" si="57"/>
        <v>84.039999999999992</v>
      </c>
      <c r="ES43" s="19">
        <f t="shared" si="58"/>
        <v>82.5</v>
      </c>
      <c r="ET43" s="19">
        <f t="shared" si="59"/>
        <v>82.25</v>
      </c>
      <c r="EU43" s="19">
        <f t="shared" si="60"/>
        <v>83</v>
      </c>
      <c r="EV43" s="19">
        <f t="shared" si="61"/>
        <v>82.5</v>
      </c>
      <c r="EW43" s="19">
        <f t="shared" si="62"/>
        <v>86</v>
      </c>
      <c r="EX43" s="19">
        <f t="shared" si="63"/>
        <v>84.5</v>
      </c>
      <c r="EY43" s="19">
        <f t="shared" si="64"/>
        <v>82.820000000000007</v>
      </c>
      <c r="EZ43" s="19">
        <f t="shared" si="65"/>
        <v>78.5</v>
      </c>
      <c r="FA43" s="19">
        <f t="shared" si="66"/>
        <v>83</v>
      </c>
      <c r="FB43" s="19">
        <f t="shared" si="67"/>
        <v>83</v>
      </c>
      <c r="FC43" s="19">
        <f t="shared" si="68"/>
        <v>82.966666666666669</v>
      </c>
      <c r="FD43" s="19">
        <f t="shared" si="69"/>
        <v>88.033333333333331</v>
      </c>
      <c r="FE43" s="19">
        <f t="shared" si="69"/>
        <v>88</v>
      </c>
      <c r="FF43" s="19">
        <f t="shared" si="70"/>
        <v>85.73333333333332</v>
      </c>
      <c r="FG43" s="19">
        <f t="shared" si="71"/>
        <v>84.190784313725487</v>
      </c>
    </row>
    <row r="44" spans="1:163" ht="20.100000000000001" customHeight="1">
      <c r="A44" s="11">
        <v>40</v>
      </c>
      <c r="B44" s="104" t="s">
        <v>714</v>
      </c>
      <c r="C44" s="105" t="s">
        <v>629</v>
      </c>
      <c r="D44" s="106" t="s">
        <v>675</v>
      </c>
      <c r="E44" s="128">
        <v>80</v>
      </c>
      <c r="F44" s="107">
        <v>82</v>
      </c>
      <c r="G44" s="128">
        <v>88</v>
      </c>
      <c r="H44" s="107">
        <v>84</v>
      </c>
      <c r="I44" s="120">
        <v>84</v>
      </c>
      <c r="J44" s="120">
        <v>95</v>
      </c>
      <c r="K44" s="121">
        <v>78</v>
      </c>
      <c r="L44" s="121">
        <v>76</v>
      </c>
      <c r="M44" s="128">
        <v>75</v>
      </c>
      <c r="N44" s="107">
        <v>86</v>
      </c>
      <c r="O44" s="114">
        <v>86</v>
      </c>
      <c r="P44" s="114">
        <v>93</v>
      </c>
      <c r="Q44" s="114">
        <v>82</v>
      </c>
      <c r="R44" s="107">
        <v>84</v>
      </c>
      <c r="S44" s="114">
        <v>80</v>
      </c>
      <c r="T44" s="107">
        <v>85</v>
      </c>
      <c r="U44" s="122">
        <v>80</v>
      </c>
      <c r="V44" s="122">
        <v>89</v>
      </c>
      <c r="W44" s="123">
        <v>83</v>
      </c>
      <c r="X44" s="123">
        <v>85</v>
      </c>
      <c r="Y44" s="114">
        <v>80</v>
      </c>
      <c r="Z44" s="107">
        <v>83</v>
      </c>
      <c r="AA44" s="114">
        <v>80</v>
      </c>
      <c r="AB44" s="114">
        <v>84</v>
      </c>
      <c r="AC44" s="114">
        <v>81</v>
      </c>
      <c r="AD44" s="114">
        <v>85</v>
      </c>
      <c r="AE44" s="107">
        <v>82</v>
      </c>
      <c r="AF44" s="107">
        <v>84</v>
      </c>
      <c r="AG44" s="124">
        <v>82</v>
      </c>
      <c r="AH44" s="124">
        <v>85</v>
      </c>
      <c r="AI44" s="121">
        <v>78</v>
      </c>
      <c r="AJ44" s="121">
        <v>85</v>
      </c>
      <c r="AK44" s="114">
        <v>81</v>
      </c>
      <c r="AL44" s="114">
        <v>89</v>
      </c>
      <c r="AM44" s="107">
        <v>77</v>
      </c>
      <c r="AN44" s="107">
        <v>80</v>
      </c>
      <c r="AO44" s="115">
        <v>78</v>
      </c>
      <c r="AP44" s="115">
        <v>79</v>
      </c>
      <c r="AQ44" s="125">
        <v>83</v>
      </c>
      <c r="AR44" s="120">
        <v>95</v>
      </c>
      <c r="AS44" s="121">
        <v>72</v>
      </c>
      <c r="AT44" s="121">
        <v>74</v>
      </c>
      <c r="AU44" s="107">
        <v>79</v>
      </c>
      <c r="AV44" s="107">
        <v>77</v>
      </c>
      <c r="AW44" s="114">
        <v>78</v>
      </c>
      <c r="AX44" s="114">
        <v>95</v>
      </c>
      <c r="AY44" s="126">
        <v>77</v>
      </c>
      <c r="AZ44" s="126">
        <v>81</v>
      </c>
      <c r="BA44" s="127">
        <v>80</v>
      </c>
      <c r="BB44" s="127">
        <v>82</v>
      </c>
      <c r="BC44" s="107">
        <v>83</v>
      </c>
      <c r="BD44" s="112">
        <v>82</v>
      </c>
      <c r="BE44" s="96">
        <v>82</v>
      </c>
      <c r="BF44" s="96">
        <v>83</v>
      </c>
      <c r="BG44" s="96">
        <v>82</v>
      </c>
      <c r="BH44" s="131">
        <v>95</v>
      </c>
      <c r="BI44" s="96">
        <v>82</v>
      </c>
      <c r="BJ44" s="96">
        <v>82</v>
      </c>
      <c r="BK44" s="96">
        <v>82</v>
      </c>
      <c r="BL44" s="131">
        <v>95</v>
      </c>
      <c r="BM44" s="96">
        <v>83</v>
      </c>
      <c r="BN44" s="96">
        <v>84</v>
      </c>
      <c r="BO44" s="96">
        <v>80</v>
      </c>
      <c r="BP44" s="131">
        <v>95</v>
      </c>
      <c r="BQ44" s="96">
        <v>82</v>
      </c>
      <c r="BR44" s="96">
        <v>83</v>
      </c>
      <c r="BS44" s="96">
        <v>80</v>
      </c>
      <c r="BT44" s="131">
        <v>95</v>
      </c>
      <c r="BU44" s="15">
        <f t="shared" si="19"/>
        <v>82.25</v>
      </c>
      <c r="BV44" s="15">
        <f t="shared" si="20"/>
        <v>83</v>
      </c>
      <c r="BW44" s="15">
        <f t="shared" si="21"/>
        <v>81</v>
      </c>
      <c r="BX44" s="15">
        <f t="shared" si="22"/>
        <v>95</v>
      </c>
      <c r="BY44" s="129">
        <v>83</v>
      </c>
      <c r="BZ44" s="121">
        <v>84</v>
      </c>
      <c r="CA44" s="121">
        <v>82</v>
      </c>
      <c r="CB44" s="107">
        <v>95</v>
      </c>
      <c r="CC44" s="107">
        <v>93</v>
      </c>
      <c r="CD44" s="107">
        <v>74</v>
      </c>
      <c r="CE44" s="114">
        <v>89</v>
      </c>
      <c r="CF44" s="114">
        <v>75</v>
      </c>
      <c r="CG44" s="129">
        <v>95</v>
      </c>
      <c r="CH44" s="39">
        <v>86</v>
      </c>
      <c r="CI44" s="39">
        <v>82</v>
      </c>
      <c r="CJ44" s="39">
        <v>80</v>
      </c>
      <c r="CK44" s="39">
        <v>93</v>
      </c>
      <c r="CL44" s="40">
        <v>82</v>
      </c>
      <c r="CM44" s="40">
        <v>83</v>
      </c>
      <c r="CN44" s="39">
        <v>83</v>
      </c>
      <c r="CO44" s="39">
        <v>87</v>
      </c>
      <c r="CP44" s="39">
        <v>82</v>
      </c>
      <c r="CQ44" s="41">
        <f t="shared" si="0"/>
        <v>83.6</v>
      </c>
      <c r="CR44" s="41">
        <f t="shared" si="1"/>
        <v>95</v>
      </c>
      <c r="CS44" s="41">
        <f t="shared" si="23"/>
        <v>86</v>
      </c>
      <c r="CT44" s="17">
        <f t="shared" si="24"/>
        <v>87.74</v>
      </c>
      <c r="CU44" s="16">
        <f t="shared" si="2"/>
        <v>80.2</v>
      </c>
      <c r="CV44" s="16">
        <f t="shared" si="3"/>
        <v>93</v>
      </c>
      <c r="CW44" s="16">
        <f t="shared" si="25"/>
        <v>82</v>
      </c>
      <c r="CX44" s="17">
        <f t="shared" si="26"/>
        <v>84.58</v>
      </c>
      <c r="CY44" s="17">
        <f t="shared" si="4"/>
        <v>82.2</v>
      </c>
      <c r="CZ44" s="17">
        <f t="shared" si="5"/>
        <v>89</v>
      </c>
      <c r="DA44" s="17">
        <f t="shared" si="27"/>
        <v>80</v>
      </c>
      <c r="DB44" s="17">
        <f t="shared" si="28"/>
        <v>83.58</v>
      </c>
      <c r="DC44" s="18">
        <f t="shared" si="6"/>
        <v>82.75</v>
      </c>
      <c r="DD44" s="18">
        <f t="shared" si="29"/>
        <v>82.75</v>
      </c>
      <c r="DE44" s="18">
        <f t="shared" si="7"/>
        <v>82.5</v>
      </c>
      <c r="DF44" s="18">
        <f t="shared" si="30"/>
        <v>82.5</v>
      </c>
      <c r="DG44" s="18">
        <f t="shared" si="8"/>
        <v>83</v>
      </c>
      <c r="DH44" s="18">
        <f t="shared" si="31"/>
        <v>83</v>
      </c>
      <c r="DI44" s="18">
        <f t="shared" si="9"/>
        <v>82.5</v>
      </c>
      <c r="DJ44" s="18">
        <f t="shared" si="32"/>
        <v>82.5</v>
      </c>
      <c r="DK44" s="18">
        <f t="shared" si="10"/>
        <v>81</v>
      </c>
      <c r="DL44" s="18">
        <f t="shared" si="11"/>
        <v>89</v>
      </c>
      <c r="DM44" s="18">
        <f t="shared" si="33"/>
        <v>93</v>
      </c>
      <c r="DN44" s="17">
        <f t="shared" si="34"/>
        <v>87</v>
      </c>
      <c r="DO44" s="18">
        <f t="shared" si="12"/>
        <v>79.400000000000006</v>
      </c>
      <c r="DP44" s="18">
        <f t="shared" si="13"/>
        <v>95</v>
      </c>
      <c r="DQ44" s="18">
        <f t="shared" si="35"/>
        <v>82</v>
      </c>
      <c r="DR44" s="17">
        <f t="shared" si="36"/>
        <v>84.86</v>
      </c>
      <c r="DS44" s="18">
        <f t="shared" si="14"/>
        <v>76</v>
      </c>
      <c r="DT44" s="18">
        <f t="shared" si="15"/>
        <v>95</v>
      </c>
      <c r="DU44" s="18">
        <f t="shared" si="37"/>
        <v>83</v>
      </c>
      <c r="DV44" s="17">
        <f t="shared" si="38"/>
        <v>83.8</v>
      </c>
      <c r="DW44" s="18">
        <f t="shared" si="16"/>
        <v>79</v>
      </c>
      <c r="DX44" s="18">
        <f t="shared" si="39"/>
        <v>79</v>
      </c>
      <c r="DY44" s="18">
        <f t="shared" si="17"/>
        <v>81</v>
      </c>
      <c r="DZ44" s="18">
        <f t="shared" si="40"/>
        <v>81</v>
      </c>
      <c r="EA44" s="18">
        <f t="shared" si="18"/>
        <v>82.5</v>
      </c>
      <c r="EB44" s="17">
        <f t="shared" si="41"/>
        <v>82.5</v>
      </c>
      <c r="EC44" s="18">
        <f t="shared" si="42"/>
        <v>82.083333333333329</v>
      </c>
      <c r="ED44" s="18">
        <f t="shared" si="43"/>
        <v>95</v>
      </c>
      <c r="EE44" s="18">
        <f t="shared" si="44"/>
        <v>82</v>
      </c>
      <c r="EF44" s="17">
        <f t="shared" si="45"/>
        <v>85.933333333333323</v>
      </c>
      <c r="EG44" s="18">
        <f t="shared" si="46"/>
        <v>83</v>
      </c>
      <c r="EH44" s="18">
        <f t="shared" si="47"/>
        <v>95</v>
      </c>
      <c r="EI44" s="18">
        <f t="shared" si="48"/>
        <v>87</v>
      </c>
      <c r="EJ44" s="17">
        <f t="shared" si="49"/>
        <v>87.8</v>
      </c>
      <c r="EK44" s="18">
        <f t="shared" si="50"/>
        <v>93</v>
      </c>
      <c r="EL44" s="18">
        <f t="shared" si="51"/>
        <v>79.333333333333329</v>
      </c>
      <c r="EM44" s="18">
        <f t="shared" si="52"/>
        <v>95</v>
      </c>
      <c r="EN44" s="18">
        <f t="shared" si="53"/>
        <v>83</v>
      </c>
      <c r="EO44" s="17">
        <f t="shared" si="54"/>
        <v>85.133333333333326</v>
      </c>
      <c r="EP44" s="19">
        <f t="shared" si="55"/>
        <v>87.74</v>
      </c>
      <c r="EQ44" s="19">
        <f t="shared" si="56"/>
        <v>84.58</v>
      </c>
      <c r="ER44" s="19">
        <f t="shared" si="57"/>
        <v>83.58</v>
      </c>
      <c r="ES44" s="19">
        <f t="shared" si="58"/>
        <v>82.75</v>
      </c>
      <c r="ET44" s="19">
        <f t="shared" si="59"/>
        <v>82.5</v>
      </c>
      <c r="EU44" s="19">
        <f t="shared" si="60"/>
        <v>83</v>
      </c>
      <c r="EV44" s="19">
        <f t="shared" si="61"/>
        <v>82.5</v>
      </c>
      <c r="EW44" s="19">
        <f t="shared" si="62"/>
        <v>87</v>
      </c>
      <c r="EX44" s="19">
        <f t="shared" si="63"/>
        <v>84.86</v>
      </c>
      <c r="EY44" s="19">
        <f t="shared" si="64"/>
        <v>83.8</v>
      </c>
      <c r="EZ44" s="19">
        <f t="shared" si="65"/>
        <v>79</v>
      </c>
      <c r="FA44" s="19">
        <f t="shared" si="66"/>
        <v>81</v>
      </c>
      <c r="FB44" s="19">
        <f t="shared" si="67"/>
        <v>82.5</v>
      </c>
      <c r="FC44" s="19">
        <f t="shared" si="68"/>
        <v>85.933333333333323</v>
      </c>
      <c r="FD44" s="19">
        <f t="shared" si="69"/>
        <v>87.8</v>
      </c>
      <c r="FE44" s="19">
        <f t="shared" si="69"/>
        <v>93</v>
      </c>
      <c r="FF44" s="19">
        <f t="shared" si="70"/>
        <v>85.133333333333326</v>
      </c>
      <c r="FG44" s="19">
        <f t="shared" si="71"/>
        <v>84.51039215686275</v>
      </c>
    </row>
  </sheetData>
  <protectedRanges>
    <protectedRange sqref="K5:N10" name="Range1"/>
    <protectedRange sqref="O5:P10" name="Range1_51"/>
    <protectedRange sqref="I5:J10" name="Range1_61"/>
    <protectedRange sqref="K11:N14" name="Range1_1"/>
    <protectedRange sqref="O11:P14" name="Range1_51_1"/>
    <protectedRange sqref="I11:J14" name="Range1_61_1"/>
    <protectedRange sqref="K15:N28" name="Range1_3"/>
    <protectedRange sqref="O15:P28" name="Range1_51_3"/>
    <protectedRange sqref="I15:J28" name="Range1_61_3"/>
    <protectedRange sqref="K29:N37 K39:N39" name="Range1_4"/>
    <protectedRange sqref="O29:P37 O39:P39" name="Range1_51_4"/>
    <protectedRange sqref="I29:J37 I39:J39" name="Range1_61_4"/>
    <protectedRange sqref="O38:P38" name="Range1_63"/>
    <protectedRange sqref="I38:J38" name="Range1_83"/>
    <protectedRange sqref="K38:N38" name="Range1_98"/>
    <protectedRange sqref="W5:Z9" name="Range1_5"/>
    <protectedRange sqref="AA5:AB9" name="Range1_52"/>
    <protectedRange sqref="U5:V9" name="Range1_73"/>
    <protectedRange sqref="W10:Z10" name="Range1_6"/>
    <protectedRange sqref="AA10:AB10" name="Range1_52_1"/>
    <protectedRange sqref="U10:V10" name="Range1_73_1"/>
    <protectedRange sqref="W11:Z14" name="Range1_7"/>
    <protectedRange sqref="AA11:AB14" name="Range1_52_2"/>
    <protectedRange sqref="U11:V14" name="Range1_73_2"/>
    <protectedRange sqref="W15:Z28" name="Range1_8"/>
    <protectedRange sqref="AA15:AB28" name="Range1_52_3"/>
    <protectedRange sqref="U15:V28" name="Range1_73_3"/>
    <protectedRange sqref="W29:Z37 W39:Z39" name="Range1_9"/>
    <protectedRange sqref="AA29:AB37 AA39:AB39" name="Range1_52_4"/>
    <protectedRange sqref="U29:V37 U39:V39" name="Range1_73_4"/>
    <protectedRange sqref="AA38:AB38" name="Range1_64"/>
    <protectedRange sqref="U38:V38" name="Range1_84"/>
    <protectedRange sqref="W38:Z38" name="Range1_99"/>
    <protectedRange sqref="AS6:AV9 AI5:AJ9" name="Range1_10"/>
    <protectedRange sqref="AK5:AL9" name="Range1_53"/>
    <protectedRange sqref="AW5:AX9" name="Range1_54"/>
    <protectedRange sqref="AG5:AH9" name="Range1_74"/>
    <protectedRange sqref="AQ5:AR5 AQ9:AR9" name="Range1_75"/>
    <protectedRange sqref="AS5:AV5 AS10:AV10 AI10:AJ10" name="Range1_11"/>
    <protectedRange sqref="AK10:AL10" name="Range1_53_1"/>
    <protectedRange sqref="AW10:AX10" name="Range1_54_1"/>
    <protectedRange sqref="AG10:AH10" name="Range1_74_1"/>
    <protectedRange sqref="AQ10:AR10" name="Range1_75_1"/>
    <protectedRange sqref="AS11:AV14 AI11:AJ14" name="Range1_12"/>
    <protectedRange sqref="AK11:AL14" name="Range1_53_2"/>
    <protectedRange sqref="AW11:AX14" name="Range1_54_2"/>
    <protectedRange sqref="AG11:AH14" name="Range1_74_2"/>
    <protectedRange sqref="AQ13:AR14" name="Range1_75_2"/>
    <protectedRange sqref="AS15:AV28 AI15:AJ28" name="Range1_13"/>
    <protectedRange sqref="AK15:AL28" name="Range1_53_3"/>
    <protectedRange sqref="AW15:AX28" name="Range1_54_3"/>
    <protectedRange sqref="AG15:AH28" name="Range1_74_3"/>
    <protectedRange sqref="AQ11:AR12 AQ15:AR28 AQ30:AR30 AQ33:AR33 AQ6:AR8" name="Range1_75_3"/>
    <protectedRange sqref="AI29:AJ37 AS39:AV39 AS29:AV37 AI39:AJ39" name="Range1_14"/>
    <protectedRange sqref="AK29:AL37 AK39:AL39" name="Range1_53_4"/>
    <protectedRange sqref="AW29:AX37 AW39:AX39" name="Range1_54_4"/>
    <protectedRange sqref="AK38:AL38" name="Range1_65"/>
    <protectedRange sqref="AW38:AX38" name="Range1_66"/>
    <protectedRange sqref="AG29:AH37 AG39:AH39" name="Range1_74_4"/>
    <protectedRange sqref="AQ29:AR29 AQ31:AR32 AQ34:AR37 AQ39:AR39" name="Range1_75_4"/>
    <protectedRange sqref="AG38:AH38" name="Range1_85"/>
    <protectedRange sqref="AQ38:AR38" name="Range1_86"/>
    <protectedRange sqref="K40:N44" name="Range1_19"/>
    <protectedRange sqref="O40:P44" name="Range1_51_2"/>
    <protectedRange sqref="I40:J44" name="Range1_61_2"/>
    <protectedRange sqref="W40:Z44" name="Range1_5_1"/>
    <protectedRange sqref="AA40:AB44" name="Range1_52_5"/>
    <protectedRange sqref="U40:V44" name="Range1_73_5"/>
    <protectedRange sqref="AS41:AV44 AI40:AJ44" name="Range1_10_1"/>
    <protectedRange sqref="AK40:AL44" name="Range1_53_5"/>
    <protectedRange sqref="AW40:AX44" name="Range1_54_5"/>
    <protectedRange sqref="AG40:AH44" name="Range1_74_5"/>
    <protectedRange sqref="AQ40:AR40 AQ44:AR44" name="Range1_75_5"/>
    <protectedRange sqref="AS40:AV40" name="Range1_11_1"/>
    <protectedRange sqref="AQ41:AR43" name="Range1_75_3_1"/>
    <protectedRange sqref="BY8:CF8" name="Range1_2"/>
    <protectedRange sqref="BY5:CF7 BY9:CF9" name="Range1_55"/>
    <protectedRange sqref="BY10:CF10" name="Range1_55_1"/>
    <protectedRange sqref="BY11:CF14" name="Range1_55_2"/>
    <protectedRange sqref="BY15:CF28" name="Range1_55_3"/>
    <protectedRange sqref="BY29:CF37 BY39:CF39" name="Range1_55_4"/>
    <protectedRange sqref="BY38:CF38" name="Range1_67"/>
    <protectedRange sqref="BY43:CF43" name="Range1_2_1"/>
    <protectedRange sqref="BY40:CF42 BY44:CF44" name="Range1_55_5"/>
  </protectedRanges>
  <mergeCells count="173">
    <mergeCell ref="CW3:CW4"/>
    <mergeCell ref="CX3:CX4"/>
    <mergeCell ref="BM2:BP2"/>
    <mergeCell ref="BM3:BM4"/>
    <mergeCell ref="BN3:BN4"/>
    <mergeCell ref="BO3:BO4"/>
    <mergeCell ref="BP3:BP4"/>
    <mergeCell ref="CQ3:CQ4"/>
    <mergeCell ref="CR3:CR4"/>
    <mergeCell ref="CS3:CS4"/>
    <mergeCell ref="CT3:CT4"/>
    <mergeCell ref="CU3:CU4"/>
    <mergeCell ref="CV3:CV4"/>
    <mergeCell ref="CK3:CK4"/>
    <mergeCell ref="CL3:CL4"/>
    <mergeCell ref="CM3:CM4"/>
    <mergeCell ref="CN3:CN4"/>
    <mergeCell ref="CO3:CO4"/>
    <mergeCell ref="CP3:CP4"/>
    <mergeCell ref="CE3:CE4"/>
    <mergeCell ref="CF3:CF4"/>
    <mergeCell ref="CG3:CG4"/>
    <mergeCell ref="CH3:CH4"/>
    <mergeCell ref="CI3:CI4"/>
    <mergeCell ref="CJ3:CJ4"/>
    <mergeCell ref="BY3:BY4"/>
    <mergeCell ref="BZ3:BZ4"/>
    <mergeCell ref="CA3:CA4"/>
    <mergeCell ref="CB3:CB4"/>
    <mergeCell ref="CC3:CC4"/>
    <mergeCell ref="CD3:CD4"/>
    <mergeCell ref="BK3:BK4"/>
    <mergeCell ref="BL3:BL4"/>
    <mergeCell ref="BQ3:BQ4"/>
    <mergeCell ref="BR3:BR4"/>
    <mergeCell ref="BS3:BS4"/>
    <mergeCell ref="BT3:BT4"/>
    <mergeCell ref="BE3:BE4"/>
    <mergeCell ref="BF3:BF4"/>
    <mergeCell ref="BG3:BG4"/>
    <mergeCell ref="BH3:BH4"/>
    <mergeCell ref="BI3:BI4"/>
    <mergeCell ref="BJ3:BJ4"/>
    <mergeCell ref="AY3:AY4"/>
    <mergeCell ref="AZ3:AZ4"/>
    <mergeCell ref="BA3:BA4"/>
    <mergeCell ref="BB3:BB4"/>
    <mergeCell ref="BC3:BC4"/>
    <mergeCell ref="BD3:BD4"/>
    <mergeCell ref="AU3:AU4"/>
    <mergeCell ref="AV3:AV4"/>
    <mergeCell ref="AW3:AW4"/>
    <mergeCell ref="AX3:AX4"/>
    <mergeCell ref="AM3:AM4"/>
    <mergeCell ref="AN3:AN4"/>
    <mergeCell ref="AO3:AO4"/>
    <mergeCell ref="AP3:AP4"/>
    <mergeCell ref="AQ3:AQ4"/>
    <mergeCell ref="AR3:AR4"/>
    <mergeCell ref="AL3:AL4"/>
    <mergeCell ref="AA3:AA4"/>
    <mergeCell ref="AB3:AB4"/>
    <mergeCell ref="AC3:AC4"/>
    <mergeCell ref="AD3:AD4"/>
    <mergeCell ref="AE3:AE4"/>
    <mergeCell ref="AF3:AF4"/>
    <mergeCell ref="AS3:AS4"/>
    <mergeCell ref="AT3:AT4"/>
    <mergeCell ref="Q3:Q4"/>
    <mergeCell ref="R3:R4"/>
    <mergeCell ref="S3:S4"/>
    <mergeCell ref="T3:T4"/>
    <mergeCell ref="AG3:AG4"/>
    <mergeCell ref="AH3:AH4"/>
    <mergeCell ref="AI3:AI4"/>
    <mergeCell ref="AJ3:AJ4"/>
    <mergeCell ref="AK3:AK4"/>
    <mergeCell ref="FD2:FD4"/>
    <mergeCell ref="FE2:FE4"/>
    <mergeCell ref="FF2:FF4"/>
    <mergeCell ref="FG2:FG4"/>
    <mergeCell ref="E3:E4"/>
    <mergeCell ref="F3:F4"/>
    <mergeCell ref="G3:G4"/>
    <mergeCell ref="H3:H4"/>
    <mergeCell ref="I3:I4"/>
    <mergeCell ref="J3:J4"/>
    <mergeCell ref="EX2:EX4"/>
    <mergeCell ref="EY2:EY4"/>
    <mergeCell ref="EZ2:EZ4"/>
    <mergeCell ref="FA2:FA4"/>
    <mergeCell ref="FB2:FB4"/>
    <mergeCell ref="FC2:FC4"/>
    <mergeCell ref="ER2:ER4"/>
    <mergeCell ref="ES2:ES4"/>
    <mergeCell ref="ET2:ET4"/>
    <mergeCell ref="EU2:EU4"/>
    <mergeCell ref="EV2:EV4"/>
    <mergeCell ref="EW2:EW4"/>
    <mergeCell ref="BQ2:BT2"/>
    <mergeCell ref="BU2:BX2"/>
    <mergeCell ref="BY2:CB2"/>
    <mergeCell ref="CD2:CG2"/>
    <mergeCell ref="EP2:EP4"/>
    <mergeCell ref="EQ2:EQ4"/>
    <mergeCell ref="BU3:BU4"/>
    <mergeCell ref="BV3:BV4"/>
    <mergeCell ref="BW3:BW4"/>
    <mergeCell ref="BX3:BX4"/>
    <mergeCell ref="AS2:AX2"/>
    <mergeCell ref="AY2:AZ2"/>
    <mergeCell ref="BA2:BB2"/>
    <mergeCell ref="BC2:BD2"/>
    <mergeCell ref="BE2:BH2"/>
    <mergeCell ref="BI2:BL2"/>
    <mergeCell ref="CU1:CX2"/>
    <mergeCell ref="CY1:DB2"/>
    <mergeCell ref="DC1:DD2"/>
    <mergeCell ref="DE1:DF2"/>
    <mergeCell ref="AS1:AV1"/>
    <mergeCell ref="AW1:BB1"/>
    <mergeCell ref="BC1:BD1"/>
    <mergeCell ref="BE1:BH1"/>
    <mergeCell ref="BI1:BL1"/>
    <mergeCell ref="BQ1:BT1"/>
    <mergeCell ref="EP1:FF1"/>
    <mergeCell ref="E2:J2"/>
    <mergeCell ref="K2:P2"/>
    <mergeCell ref="Q2:V2"/>
    <mergeCell ref="W2:Z2"/>
    <mergeCell ref="AA2:AD2"/>
    <mergeCell ref="AE2:AF2"/>
    <mergeCell ref="AG2:AJ2"/>
    <mergeCell ref="AK2:AL2"/>
    <mergeCell ref="AM2:AR2"/>
    <mergeCell ref="DY1:DZ2"/>
    <mergeCell ref="EA1:EB2"/>
    <mergeCell ref="EC1:EF2"/>
    <mergeCell ref="EG1:EJ2"/>
    <mergeCell ref="EK1:EK2"/>
    <mergeCell ref="EL1:EO2"/>
    <mergeCell ref="DG1:DH2"/>
    <mergeCell ref="DI1:DJ2"/>
    <mergeCell ref="DK1:DN2"/>
    <mergeCell ref="DO1:DR2"/>
    <mergeCell ref="DS1:DV2"/>
    <mergeCell ref="DW1:DX2"/>
    <mergeCell ref="CH1:CP2"/>
    <mergeCell ref="CQ1:CT2"/>
    <mergeCell ref="Q1:Z1"/>
    <mergeCell ref="AA1:AD1"/>
    <mergeCell ref="AE1:AF1"/>
    <mergeCell ref="AG1:AJ1"/>
    <mergeCell ref="AK1:AL1"/>
    <mergeCell ref="AM1:AR1"/>
    <mergeCell ref="A1:A4"/>
    <mergeCell ref="B1:B4"/>
    <mergeCell ref="C1:C4"/>
    <mergeCell ref="D1:D4"/>
    <mergeCell ref="E1:I1"/>
    <mergeCell ref="K1:P1"/>
    <mergeCell ref="K3:K4"/>
    <mergeCell ref="L3:L4"/>
    <mergeCell ref="M3:M4"/>
    <mergeCell ref="N3:N4"/>
    <mergeCell ref="U3:U4"/>
    <mergeCell ref="V3:V4"/>
    <mergeCell ref="W3:W4"/>
    <mergeCell ref="X3:X4"/>
    <mergeCell ref="Y3:Y4"/>
    <mergeCell ref="Z3:Z4"/>
    <mergeCell ref="O3:O4"/>
    <mergeCell ref="P3:P4"/>
  </mergeCells>
  <dataValidations count="1">
    <dataValidation type="decimal" allowBlank="1" showErrorMessage="1" errorTitle="Peringatan" error="0 - 100" sqref="I5:P14 I15:J34 O15:P34 K15:N17 AS29:AV30 AI29:AJ30 AQ5:AX28 AQ33:AR33 AQ30:AR30 AQ38:AX38 I38:J38 O38:P38 K25:N39 I40:P44 AQ40:AX44 AG40:AL44 AG38:AL38 AG5:AL28 BY38:CF38 BY40:CF44 BY5:CF28" xr:uid="{D13DEC35-4E83-4724-B13C-9F9E492ED347}">
      <formula1>0</formula1>
      <formula2>100</formula2>
    </dataValidation>
  </dataValidations>
  <pageMargins left="0.70866141732283472" right="0.70866141732283472" top="0.74803149606299213" bottom="0.74803149606299213" header="0.31496062992125984" footer="0.31496062992125984"/>
  <pageSetup paperSize="9" scale="54" orientation="landscape"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12F46-0E0B-4CA9-B1F7-B1E9BEA47BE7}">
  <sheetPr>
    <tabColor rgb="FFFF0066"/>
  </sheetPr>
  <dimension ref="A1:AJ387"/>
  <sheetViews>
    <sheetView tabSelected="1" topLeftCell="A213" zoomScale="70" zoomScaleNormal="70" workbookViewId="0">
      <selection activeCell="N381" sqref="N381"/>
    </sheetView>
  </sheetViews>
  <sheetFormatPr defaultColWidth="9" defaultRowHeight="14.4"/>
  <cols>
    <col min="1" max="1" width="4.109375" style="42" customWidth="1"/>
    <col min="2" max="2" width="12.6640625" style="42" customWidth="1"/>
    <col min="3" max="3" width="20.6640625" style="42" customWidth="1"/>
    <col min="4" max="4" width="13.6640625" style="42" customWidth="1"/>
    <col min="5" max="5" width="13.33203125" style="42" customWidth="1"/>
    <col min="6" max="6" width="13" style="42" customWidth="1"/>
    <col min="7" max="7" width="12" style="42" customWidth="1"/>
    <col min="8" max="8" width="11.88671875" style="42" customWidth="1"/>
    <col min="9" max="9" width="10" style="42" customWidth="1"/>
    <col min="10" max="10" width="13.109375" style="42" customWidth="1"/>
    <col min="11" max="15" width="10.6640625" style="42" customWidth="1"/>
    <col min="16" max="16" width="9.109375" style="42" customWidth="1"/>
    <col min="17" max="17" width="10.6640625" style="42" customWidth="1"/>
    <col min="18" max="18" width="11.88671875" style="42" customWidth="1"/>
    <col min="19" max="19" width="11.44140625" style="42" customWidth="1"/>
    <col min="20" max="20" width="12.109375" style="42" customWidth="1"/>
    <col min="21" max="21" width="16.44140625" style="42" customWidth="1"/>
    <col min="22" max="22" width="8" style="42" customWidth="1"/>
    <col min="23" max="16384" width="9" style="42"/>
  </cols>
  <sheetData>
    <row r="1" spans="1:36" ht="24.75" customHeight="1">
      <c r="A1" s="245" t="s">
        <v>272</v>
      </c>
      <c r="B1" s="245"/>
      <c r="C1" s="245"/>
      <c r="D1" s="245"/>
      <c r="E1" s="245"/>
      <c r="F1" s="245"/>
      <c r="G1" s="245"/>
      <c r="H1" s="245"/>
      <c r="I1" s="245"/>
      <c r="J1" s="245"/>
      <c r="K1" s="245"/>
      <c r="L1" s="245"/>
      <c r="M1" s="245"/>
      <c r="N1" s="245"/>
      <c r="O1" s="245"/>
      <c r="P1" s="245"/>
      <c r="Q1" s="245"/>
      <c r="R1" s="245"/>
      <c r="S1" s="245"/>
      <c r="T1" s="245"/>
      <c r="U1" s="245"/>
      <c r="V1" s="245"/>
    </row>
    <row r="2" spans="1:36" ht="24.75" customHeight="1">
      <c r="A2" s="246" t="s">
        <v>273</v>
      </c>
      <c r="B2" s="246"/>
      <c r="C2" s="246"/>
      <c r="D2" s="246"/>
      <c r="E2" s="246"/>
      <c r="F2" s="246"/>
      <c r="G2" s="246"/>
      <c r="H2" s="246"/>
      <c r="I2" s="246"/>
      <c r="J2" s="246"/>
      <c r="K2" s="246"/>
      <c r="L2" s="246"/>
      <c r="M2" s="246"/>
      <c r="N2" s="246"/>
      <c r="O2" s="246"/>
      <c r="P2" s="246"/>
      <c r="Q2" s="246"/>
      <c r="R2" s="246"/>
      <c r="S2" s="246"/>
      <c r="T2" s="246"/>
      <c r="U2" s="246"/>
      <c r="V2" s="246"/>
    </row>
    <row r="3" spans="1:36" ht="10.5" customHeight="1">
      <c r="C3" s="43"/>
      <c r="D3" s="43"/>
      <c r="E3" s="43"/>
      <c r="F3" s="43"/>
      <c r="G3" s="43"/>
      <c r="H3" s="43"/>
      <c r="I3" s="43"/>
      <c r="J3" s="43"/>
      <c r="K3" s="43"/>
      <c r="L3" s="43"/>
      <c r="M3" s="43"/>
      <c r="N3" s="43"/>
      <c r="O3" s="43"/>
      <c r="P3" s="43"/>
      <c r="Q3" s="43"/>
      <c r="R3" s="43"/>
      <c r="S3" s="43"/>
      <c r="T3" s="43"/>
      <c r="U3" s="43"/>
      <c r="V3" s="43"/>
    </row>
    <row r="4" spans="1:36" ht="21.75" customHeight="1">
      <c r="A4" s="81" t="s">
        <v>274</v>
      </c>
      <c r="B4" s="81"/>
      <c r="C4" s="81"/>
      <c r="D4" s="81" t="s">
        <v>307</v>
      </c>
      <c r="E4" s="81"/>
      <c r="F4" s="81"/>
      <c r="G4" s="82"/>
      <c r="H4" s="82"/>
      <c r="I4" s="82"/>
      <c r="J4" s="82"/>
      <c r="K4" s="82"/>
      <c r="L4" s="82"/>
      <c r="M4" s="45"/>
      <c r="N4" s="45"/>
      <c r="O4" s="45"/>
      <c r="P4" s="45"/>
      <c r="Q4" s="45"/>
      <c r="R4" s="45"/>
      <c r="S4" s="45"/>
      <c r="T4" s="45"/>
      <c r="U4" s="45"/>
      <c r="V4" s="46"/>
    </row>
    <row r="5" spans="1:36" ht="18.75" customHeight="1">
      <c r="A5" s="83" t="s">
        <v>275</v>
      </c>
      <c r="B5" s="83"/>
      <c r="C5" s="83"/>
      <c r="D5" s="81" t="s">
        <v>308</v>
      </c>
      <c r="E5" s="81"/>
      <c r="F5" s="81"/>
      <c r="G5" s="81"/>
      <c r="H5" s="81"/>
      <c r="I5" s="81"/>
      <c r="J5" s="81"/>
      <c r="K5" s="81"/>
      <c r="L5" s="81"/>
      <c r="M5" s="44"/>
      <c r="N5" s="44"/>
      <c r="O5" s="44"/>
      <c r="P5" s="44"/>
      <c r="Q5" s="44"/>
      <c r="R5" s="44"/>
      <c r="S5" s="44"/>
      <c r="T5" s="44"/>
      <c r="U5" s="44"/>
      <c r="V5" s="46"/>
    </row>
    <row r="6" spans="1:36">
      <c r="A6" s="47"/>
      <c r="B6" s="47"/>
      <c r="C6" s="47"/>
      <c r="D6" s="47"/>
      <c r="E6" s="48"/>
      <c r="F6" s="47"/>
      <c r="G6" s="47"/>
      <c r="H6" s="47"/>
      <c r="I6" s="47"/>
      <c r="J6" s="47"/>
      <c r="K6" s="47"/>
      <c r="L6" s="47"/>
      <c r="M6" s="47"/>
      <c r="N6" s="47"/>
      <c r="O6" s="47"/>
      <c r="P6" s="47"/>
      <c r="Q6" s="47"/>
      <c r="R6" s="47"/>
      <c r="S6" s="47"/>
      <c r="T6" s="47"/>
      <c r="U6" s="47"/>
    </row>
    <row r="7" spans="1:36" ht="15" thickBot="1">
      <c r="A7" s="47"/>
      <c r="B7" s="47"/>
      <c r="C7" s="47"/>
      <c r="D7" s="44"/>
      <c r="E7" s="47"/>
      <c r="F7" s="47"/>
      <c r="G7" s="47"/>
      <c r="H7" s="47"/>
      <c r="I7" s="47"/>
      <c r="J7" s="47"/>
      <c r="K7" s="47"/>
      <c r="L7" s="47"/>
      <c r="M7" s="47"/>
      <c r="N7" s="47"/>
      <c r="O7" s="47"/>
      <c r="P7" s="47"/>
      <c r="Q7" s="47"/>
      <c r="R7" s="47"/>
      <c r="S7" s="47"/>
      <c r="T7" s="47"/>
      <c r="U7" s="47"/>
    </row>
    <row r="8" spans="1:36" ht="18.75" customHeight="1" thickBot="1">
      <c r="A8" s="247" t="s">
        <v>276</v>
      </c>
      <c r="B8" s="250" t="s">
        <v>1</v>
      </c>
      <c r="C8" s="250" t="s">
        <v>277</v>
      </c>
      <c r="D8" s="49"/>
      <c r="E8" s="253" t="s">
        <v>268</v>
      </c>
      <c r="F8" s="254"/>
      <c r="G8" s="254"/>
      <c r="H8" s="254"/>
      <c r="I8" s="254"/>
      <c r="J8" s="255"/>
      <c r="K8" s="256" t="s">
        <v>269</v>
      </c>
      <c r="L8" s="255"/>
      <c r="M8" s="256" t="s">
        <v>270</v>
      </c>
      <c r="N8" s="254"/>
      <c r="O8" s="254"/>
      <c r="P8" s="254"/>
      <c r="Q8" s="254"/>
      <c r="R8" s="254"/>
      <c r="S8" s="254"/>
      <c r="T8" s="254"/>
      <c r="U8" s="255"/>
      <c r="V8" s="257" t="s">
        <v>278</v>
      </c>
    </row>
    <row r="9" spans="1:36" ht="18" customHeight="1">
      <c r="A9" s="248"/>
      <c r="B9" s="251"/>
      <c r="C9" s="251"/>
      <c r="D9" s="260" t="s">
        <v>279</v>
      </c>
      <c r="E9" s="266" t="s">
        <v>280</v>
      </c>
      <c r="F9" s="266" t="s">
        <v>281</v>
      </c>
      <c r="G9" s="266" t="s">
        <v>282</v>
      </c>
      <c r="H9" s="266" t="s">
        <v>283</v>
      </c>
      <c r="I9" s="266" t="s">
        <v>284</v>
      </c>
      <c r="J9" s="266" t="s">
        <v>285</v>
      </c>
      <c r="K9" s="265" t="s">
        <v>286</v>
      </c>
      <c r="L9" s="265" t="s">
        <v>309</v>
      </c>
      <c r="M9" s="262" t="s">
        <v>287</v>
      </c>
      <c r="N9" s="262" t="s">
        <v>288</v>
      </c>
      <c r="O9" s="262" t="s">
        <v>289</v>
      </c>
      <c r="P9" s="265" t="s">
        <v>271</v>
      </c>
      <c r="Q9" s="265" t="s">
        <v>290</v>
      </c>
      <c r="R9" s="265" t="s">
        <v>291</v>
      </c>
      <c r="S9" s="265" t="s">
        <v>292</v>
      </c>
      <c r="T9" s="260" t="s">
        <v>293</v>
      </c>
      <c r="U9" s="260" t="s">
        <v>310</v>
      </c>
      <c r="V9" s="258"/>
      <c r="Z9" s="50"/>
      <c r="AA9" s="50"/>
      <c r="AB9" s="50"/>
      <c r="AC9" s="50"/>
      <c r="AD9" s="50"/>
      <c r="AE9" s="50"/>
      <c r="AF9" s="50"/>
      <c r="AG9" s="50"/>
      <c r="AH9" s="50"/>
      <c r="AI9" s="50"/>
      <c r="AJ9" s="50"/>
    </row>
    <row r="10" spans="1:36" ht="18" customHeight="1">
      <c r="A10" s="248"/>
      <c r="B10" s="251"/>
      <c r="C10" s="251"/>
      <c r="D10" s="260"/>
      <c r="E10" s="266"/>
      <c r="F10" s="266"/>
      <c r="G10" s="266"/>
      <c r="H10" s="266"/>
      <c r="I10" s="266"/>
      <c r="J10" s="266"/>
      <c r="K10" s="260"/>
      <c r="L10" s="260"/>
      <c r="M10" s="263"/>
      <c r="N10" s="263"/>
      <c r="O10" s="263"/>
      <c r="P10" s="260"/>
      <c r="Q10" s="260"/>
      <c r="R10" s="260"/>
      <c r="S10" s="260"/>
      <c r="T10" s="260"/>
      <c r="U10" s="260"/>
      <c r="V10" s="258"/>
      <c r="Z10" s="50"/>
      <c r="AA10" s="50"/>
      <c r="AB10" s="50">
        <v>49</v>
      </c>
      <c r="AC10" s="50"/>
      <c r="AD10" s="50"/>
      <c r="AE10" s="50"/>
      <c r="AF10" s="50"/>
      <c r="AG10" s="50"/>
      <c r="AH10" s="50"/>
      <c r="AI10" s="50"/>
      <c r="AJ10" s="50"/>
    </row>
    <row r="11" spans="1:36" ht="39.75" customHeight="1" thickBot="1">
      <c r="A11" s="249"/>
      <c r="B11" s="252"/>
      <c r="C11" s="252"/>
      <c r="D11" s="261"/>
      <c r="E11" s="267"/>
      <c r="F11" s="267"/>
      <c r="G11" s="267"/>
      <c r="H11" s="267"/>
      <c r="I11" s="267"/>
      <c r="J11" s="267"/>
      <c r="K11" s="261"/>
      <c r="L11" s="261"/>
      <c r="M11" s="264"/>
      <c r="N11" s="264"/>
      <c r="O11" s="264"/>
      <c r="P11" s="261"/>
      <c r="Q11" s="261"/>
      <c r="R11" s="261"/>
      <c r="S11" s="261"/>
      <c r="T11" s="261"/>
      <c r="U11" s="261"/>
      <c r="V11" s="259"/>
      <c r="W11" s="87"/>
      <c r="X11" s="87"/>
      <c r="Y11" s="87"/>
      <c r="Z11" s="51"/>
      <c r="AA11" s="51"/>
      <c r="AB11" s="51">
        <v>12</v>
      </c>
      <c r="AC11" s="51"/>
      <c r="AD11" s="51"/>
      <c r="AE11" s="51"/>
      <c r="AF11" s="51"/>
      <c r="AG11" s="51"/>
      <c r="AH11" s="51"/>
      <c r="AI11" s="51"/>
      <c r="AJ11" s="51"/>
    </row>
    <row r="12" spans="1:36" ht="18.75" customHeight="1" thickBot="1">
      <c r="A12" s="268">
        <v>1</v>
      </c>
      <c r="B12" s="276" t="s">
        <v>550</v>
      </c>
      <c r="C12" s="277" t="s">
        <v>551</v>
      </c>
      <c r="D12" s="52" t="s">
        <v>294</v>
      </c>
      <c r="E12" s="53">
        <f>ak!$E$5</f>
        <v>86</v>
      </c>
      <c r="F12" s="53">
        <f>ak!$K$5</f>
        <v>78</v>
      </c>
      <c r="G12" s="53">
        <f>ak!$Q$5</f>
        <v>93</v>
      </c>
      <c r="H12" s="53">
        <f>ak!$W$5</f>
        <v>83</v>
      </c>
      <c r="I12" s="53">
        <f>ak!$AA$5</f>
        <v>78</v>
      </c>
      <c r="J12" s="53">
        <f>ak!$AE$5</f>
        <v>83</v>
      </c>
      <c r="K12" s="54">
        <f>ak!$AG$5</f>
        <v>83</v>
      </c>
      <c r="L12" s="55"/>
      <c r="M12" s="53">
        <f>ak!$AM$5</f>
        <v>73</v>
      </c>
      <c r="N12" s="53">
        <f>ak!$AS$5</f>
        <v>77</v>
      </c>
      <c r="O12" s="53">
        <f>ak!$AY$5</f>
        <v>77</v>
      </c>
      <c r="P12" s="54">
        <f>ak!$BA$5</f>
        <v>77</v>
      </c>
      <c r="Q12" s="54">
        <f>ak!$BC$5</f>
        <v>82</v>
      </c>
      <c r="R12" s="55"/>
      <c r="S12" s="55"/>
      <c r="T12" s="55"/>
      <c r="U12" s="55"/>
      <c r="V12" s="56"/>
      <c r="W12" s="88"/>
      <c r="X12" s="278">
        <v>5</v>
      </c>
      <c r="Y12" s="88"/>
      <c r="Z12" s="57"/>
      <c r="AA12" s="57"/>
      <c r="AB12" s="57">
        <v>44</v>
      </c>
      <c r="AC12" s="57"/>
      <c r="AD12" s="57"/>
      <c r="AE12" s="57"/>
      <c r="AF12" s="57"/>
      <c r="AG12" s="57"/>
      <c r="AH12" s="57"/>
      <c r="AI12" s="57"/>
      <c r="AJ12" s="57"/>
    </row>
    <row r="13" spans="1:36" ht="18.75" customHeight="1" thickBot="1">
      <c r="A13" s="268"/>
      <c r="B13" s="271"/>
      <c r="C13" s="274"/>
      <c r="D13" s="52" t="s">
        <v>295</v>
      </c>
      <c r="E13" s="53">
        <f>ak!$F$5</f>
        <v>90</v>
      </c>
      <c r="F13" s="53">
        <f>ak!$L$5</f>
        <v>86</v>
      </c>
      <c r="G13" s="53">
        <f>ak!$R$5</f>
        <v>87</v>
      </c>
      <c r="H13" s="53">
        <f>ak!$X$5</f>
        <v>83</v>
      </c>
      <c r="I13" s="53">
        <f>ak!$AB$5</f>
        <v>80</v>
      </c>
      <c r="J13" s="53">
        <f>ak!$AF$5</f>
        <v>83</v>
      </c>
      <c r="K13" s="54">
        <f>ak!$AH$5</f>
        <v>83</v>
      </c>
      <c r="L13" s="55"/>
      <c r="M13" s="53">
        <f>ak!$AN$5</f>
        <v>77</v>
      </c>
      <c r="N13" s="53">
        <f>ak!$AT$5</f>
        <v>80</v>
      </c>
      <c r="O13" s="53">
        <f>ak!$AZ$5</f>
        <v>82</v>
      </c>
      <c r="P13" s="54">
        <f>ak!$BB$5</f>
        <v>86</v>
      </c>
      <c r="Q13" s="54">
        <f>ak!$BD$5</f>
        <v>84</v>
      </c>
      <c r="R13" s="55"/>
      <c r="S13" s="55"/>
      <c r="T13" s="55"/>
      <c r="U13" s="55"/>
      <c r="V13" s="58"/>
      <c r="W13" s="88"/>
      <c r="X13" s="278">
        <v>5</v>
      </c>
      <c r="Y13" s="88"/>
      <c r="Z13" s="57"/>
      <c r="AA13" s="57"/>
      <c r="AB13" s="57">
        <v>34</v>
      </c>
      <c r="AC13" s="57"/>
      <c r="AD13" s="57"/>
      <c r="AE13" s="57"/>
      <c r="AF13" s="57"/>
      <c r="AG13" s="57"/>
      <c r="AH13" s="57"/>
      <c r="AI13" s="57"/>
      <c r="AJ13" s="57"/>
    </row>
    <row r="14" spans="1:36" ht="18.75" customHeight="1" thickBot="1">
      <c r="A14" s="268"/>
      <c r="B14" s="271"/>
      <c r="C14" s="274"/>
      <c r="D14" s="52" t="s">
        <v>296</v>
      </c>
      <c r="E14" s="53">
        <f>ak!$G$5</f>
        <v>88</v>
      </c>
      <c r="F14" s="53">
        <f>ak!$M$5</f>
        <v>75</v>
      </c>
      <c r="G14" s="53">
        <f>ak!$S$5</f>
        <v>92</v>
      </c>
      <c r="H14" s="53">
        <f>ak!$Y$5</f>
        <v>81</v>
      </c>
      <c r="I14" s="53">
        <f>ak!$AC$5</f>
        <v>85</v>
      </c>
      <c r="J14" s="59"/>
      <c r="K14" s="54">
        <f>ak!$AI$5</f>
        <v>78</v>
      </c>
      <c r="L14" s="55"/>
      <c r="M14" s="53">
        <f>ak!$AO$5</f>
        <v>85</v>
      </c>
      <c r="N14" s="53">
        <f>ak!$AU$5</f>
        <v>81</v>
      </c>
      <c r="O14" s="59"/>
      <c r="P14" s="55"/>
      <c r="Q14" s="55"/>
      <c r="R14" s="54">
        <f>ak!$BU$5</f>
        <v>85.75</v>
      </c>
      <c r="S14" s="54">
        <f>ak!$BY$5</f>
        <v>84</v>
      </c>
      <c r="T14" s="55"/>
      <c r="U14" s="54">
        <f>ak!$CD$5</f>
        <v>87</v>
      </c>
      <c r="V14" s="58"/>
      <c r="W14" s="89"/>
      <c r="X14" s="278">
        <v>5</v>
      </c>
      <c r="Y14" s="89"/>
      <c r="Z14" s="60"/>
      <c r="AA14" s="60"/>
      <c r="AB14" s="60">
        <v>33</v>
      </c>
      <c r="AC14" s="60"/>
      <c r="AD14" s="61"/>
      <c r="AE14" s="60"/>
      <c r="AF14" s="60"/>
      <c r="AG14" s="60"/>
      <c r="AH14" s="60"/>
      <c r="AI14" s="60"/>
      <c r="AJ14" s="60"/>
    </row>
    <row r="15" spans="1:36" ht="18.75" customHeight="1" thickBot="1">
      <c r="A15" s="268"/>
      <c r="B15" s="271"/>
      <c r="C15" s="274"/>
      <c r="D15" s="62" t="s">
        <v>297</v>
      </c>
      <c r="E15" s="53">
        <f>ak!$H$5</f>
        <v>88</v>
      </c>
      <c r="F15" s="53">
        <f>ak!$N$5</f>
        <v>90</v>
      </c>
      <c r="G15" s="53">
        <f>ak!$T$5</f>
        <v>94</v>
      </c>
      <c r="H15" s="53">
        <f>ak!$Z$5</f>
        <v>84</v>
      </c>
      <c r="I15" s="53">
        <f>ak!$AD$5</f>
        <v>86</v>
      </c>
      <c r="J15" s="59"/>
      <c r="K15" s="54">
        <f>ak!$AJ$5</f>
        <v>86</v>
      </c>
      <c r="L15" s="55"/>
      <c r="M15" s="53">
        <f>ak!$AP$5</f>
        <v>83</v>
      </c>
      <c r="N15" s="53">
        <f>ak!$AV$5</f>
        <v>81</v>
      </c>
      <c r="O15" s="59"/>
      <c r="P15" s="55"/>
      <c r="Q15" s="55"/>
      <c r="R15" s="54">
        <f>ak!$BV$5</f>
        <v>86.25</v>
      </c>
      <c r="S15" s="54">
        <f>ak!$BZ$5</f>
        <v>85</v>
      </c>
      <c r="T15" s="63"/>
      <c r="U15" s="54">
        <f>ak!$CE$5</f>
        <v>95</v>
      </c>
      <c r="V15" s="58"/>
      <c r="W15" s="90"/>
      <c r="X15" s="278">
        <v>5</v>
      </c>
      <c r="Y15" s="90"/>
      <c r="Z15" s="64"/>
      <c r="AA15" s="64"/>
      <c r="AB15" s="64">
        <v>42</v>
      </c>
      <c r="AC15" s="64"/>
      <c r="AD15" s="64"/>
      <c r="AE15" s="64"/>
      <c r="AF15" s="64"/>
      <c r="AG15" s="64"/>
      <c r="AH15" s="64"/>
      <c r="AI15" s="64"/>
      <c r="AJ15" s="64"/>
    </row>
    <row r="16" spans="1:36" ht="18.75" customHeight="1">
      <c r="A16" s="268"/>
      <c r="B16" s="271"/>
      <c r="C16" s="274"/>
      <c r="D16" s="62" t="s">
        <v>298</v>
      </c>
      <c r="E16" s="53">
        <f>ak!$I$5</f>
        <v>91</v>
      </c>
      <c r="F16" s="53">
        <f>ak!$O$5</f>
        <v>92</v>
      </c>
      <c r="G16" s="53">
        <f>ak!$U$5</f>
        <v>86</v>
      </c>
      <c r="H16" s="65"/>
      <c r="I16" s="65"/>
      <c r="J16" s="59"/>
      <c r="K16" s="59"/>
      <c r="L16" s="53">
        <f>ak!$AK$5</f>
        <v>85</v>
      </c>
      <c r="M16" s="53">
        <f>ak!$AQ$5</f>
        <v>83</v>
      </c>
      <c r="N16" s="53">
        <f>ak!$AW$5</f>
        <v>86</v>
      </c>
      <c r="O16" s="59"/>
      <c r="P16" s="55"/>
      <c r="Q16" s="55"/>
      <c r="R16" s="54">
        <f>ak!$BW$5</f>
        <v>84.5</v>
      </c>
      <c r="S16" s="54">
        <f>ak!$CA$5</f>
        <v>84</v>
      </c>
      <c r="T16" s="54"/>
      <c r="U16" s="54">
        <f>ak!$CF$5</f>
        <v>90</v>
      </c>
      <c r="V16" s="58"/>
      <c r="W16" s="90"/>
      <c r="X16" s="278">
        <v>5</v>
      </c>
      <c r="Y16" s="90"/>
      <c r="Z16" s="64"/>
      <c r="AA16" s="64"/>
      <c r="AB16" s="64">
        <v>43</v>
      </c>
      <c r="AC16" s="64"/>
      <c r="AD16" s="64"/>
      <c r="AE16" s="64"/>
      <c r="AF16" s="64"/>
      <c r="AG16" s="64"/>
      <c r="AH16" s="64"/>
      <c r="AI16" s="64"/>
      <c r="AJ16" s="64"/>
    </row>
    <row r="17" spans="1:36" ht="18.75" customHeight="1">
      <c r="A17" s="268"/>
      <c r="B17" s="271"/>
      <c r="C17" s="274"/>
      <c r="D17" s="66" t="s">
        <v>299</v>
      </c>
      <c r="E17" s="67">
        <f>AVERAGE(E12:E16)</f>
        <v>88.6</v>
      </c>
      <c r="F17" s="67">
        <f>AVERAGE(F12:F16)</f>
        <v>84.2</v>
      </c>
      <c r="G17" s="67">
        <f>AVERAGE(G12:G16)</f>
        <v>90.4</v>
      </c>
      <c r="H17" s="68"/>
      <c r="I17" s="68"/>
      <c r="J17" s="69"/>
      <c r="K17" s="69"/>
      <c r="L17" s="67">
        <f>AVERAGE(L12:L16)</f>
        <v>85</v>
      </c>
      <c r="M17" s="67">
        <f>AVERAGE(M12:M16)</f>
        <v>80.2</v>
      </c>
      <c r="N17" s="67">
        <f>AVERAGE(N12:N16)</f>
        <v>81</v>
      </c>
      <c r="O17" s="69"/>
      <c r="P17" s="63"/>
      <c r="Q17" s="63"/>
      <c r="R17" s="84">
        <f>AVERAGE(R14:R16)</f>
        <v>85.5</v>
      </c>
      <c r="S17" s="84">
        <f>AVERAGE(S14:S16)</f>
        <v>84.333333333333329</v>
      </c>
      <c r="T17" s="63"/>
      <c r="U17" s="84">
        <f>AVERAGE(U12:U16)</f>
        <v>90.666666666666671</v>
      </c>
      <c r="V17" s="58"/>
      <c r="W17" s="90"/>
      <c r="X17" s="278">
        <v>5</v>
      </c>
      <c r="Y17" s="90"/>
      <c r="Z17" s="64"/>
      <c r="AA17" s="64"/>
      <c r="AB17" s="64">
        <v>29</v>
      </c>
      <c r="AC17" s="64"/>
      <c r="AD17" s="64"/>
      <c r="AE17" s="64"/>
      <c r="AF17" s="64"/>
      <c r="AG17" s="64"/>
      <c r="AH17" s="64"/>
      <c r="AI17" s="64"/>
      <c r="AJ17" s="64"/>
    </row>
    <row r="18" spans="1:36" ht="18.75" customHeight="1">
      <c r="A18" s="268"/>
      <c r="B18" s="271"/>
      <c r="C18" s="274"/>
      <c r="D18" s="70" t="s">
        <v>300</v>
      </c>
      <c r="E18" s="71">
        <f>ak!$J$5</f>
        <v>89</v>
      </c>
      <c r="F18" s="71">
        <f>ak!$P$5</f>
        <v>89</v>
      </c>
      <c r="G18" s="71">
        <f>ak!$V$5</f>
        <v>86</v>
      </c>
      <c r="H18" s="72"/>
      <c r="I18" s="72"/>
      <c r="J18" s="73"/>
      <c r="K18" s="73"/>
      <c r="L18" s="71">
        <f>ak!$AL$5</f>
        <v>86</v>
      </c>
      <c r="M18" s="71">
        <f>ak!$AR$5</f>
        <v>90</v>
      </c>
      <c r="N18" s="71">
        <f>ak!$AX$5</f>
        <v>90</v>
      </c>
      <c r="O18" s="73"/>
      <c r="P18" s="74"/>
      <c r="Q18" s="74"/>
      <c r="R18" s="85">
        <f>ak!$BX$5</f>
        <v>90</v>
      </c>
      <c r="S18" s="85">
        <f>ak!$BX$5</f>
        <v>90</v>
      </c>
      <c r="T18" s="85">
        <f>ak!$CC$5</f>
        <v>89</v>
      </c>
      <c r="U18" s="75">
        <f>ak!$CG$5</f>
        <v>90</v>
      </c>
      <c r="V18" s="58"/>
      <c r="W18" s="90"/>
      <c r="X18" s="278">
        <v>5</v>
      </c>
      <c r="Y18" s="90"/>
      <c r="Z18" s="64"/>
      <c r="AA18" s="64"/>
      <c r="AB18" s="64">
        <v>58</v>
      </c>
      <c r="AC18" s="64"/>
      <c r="AD18" s="64"/>
      <c r="AE18" s="64"/>
      <c r="AF18" s="64"/>
      <c r="AG18" s="64"/>
      <c r="AH18" s="64"/>
      <c r="AI18" s="64"/>
      <c r="AJ18" s="64"/>
    </row>
    <row r="19" spans="1:36" ht="18.75" customHeight="1">
      <c r="A19" s="268"/>
      <c r="B19" s="271"/>
      <c r="C19" s="274"/>
      <c r="D19" s="76" t="s">
        <v>301</v>
      </c>
      <c r="E19" s="77">
        <f>ak!$CH$5</f>
        <v>89</v>
      </c>
      <c r="F19" s="77">
        <f>ak!$CI$5</f>
        <v>95</v>
      </c>
      <c r="G19" s="77">
        <f>ak!$CJ$5</f>
        <v>88</v>
      </c>
      <c r="H19" s="72"/>
      <c r="I19" s="72"/>
      <c r="J19" s="73"/>
      <c r="K19" s="73"/>
      <c r="L19" s="77">
        <f>ak!$CK$5</f>
        <v>75</v>
      </c>
      <c r="M19" s="77">
        <f>ak!$CL$5</f>
        <v>83</v>
      </c>
      <c r="N19" s="77">
        <f>ak!$CM$5</f>
        <v>85</v>
      </c>
      <c r="O19" s="73"/>
      <c r="P19" s="74"/>
      <c r="Q19" s="74"/>
      <c r="R19" s="86">
        <f>ak!$CP$5</f>
        <v>77</v>
      </c>
      <c r="S19" s="86">
        <f>ak!$CO$5</f>
        <v>89</v>
      </c>
      <c r="T19" s="74"/>
      <c r="U19" s="86">
        <f>ak!$CN$5</f>
        <v>84</v>
      </c>
      <c r="V19" s="58"/>
      <c r="W19" s="90"/>
      <c r="X19" s="278">
        <v>5</v>
      </c>
      <c r="Y19" s="90"/>
      <c r="Z19" s="64"/>
      <c r="AA19" s="64"/>
      <c r="AB19" s="64">
        <v>34</v>
      </c>
      <c r="AC19" s="64"/>
      <c r="AD19" s="64"/>
      <c r="AE19" s="64"/>
      <c r="AF19" s="64"/>
      <c r="AG19" s="64"/>
      <c r="AH19" s="64"/>
      <c r="AI19" s="64"/>
      <c r="AJ19" s="64"/>
    </row>
    <row r="20" spans="1:36" ht="18.75" customHeight="1" thickBot="1">
      <c r="A20" s="269"/>
      <c r="B20" s="272"/>
      <c r="C20" s="275"/>
      <c r="D20" s="78" t="s">
        <v>302</v>
      </c>
      <c r="E20" s="79">
        <f>(E17*4+E18*3+E19*3)/10</f>
        <v>88.84</v>
      </c>
      <c r="F20" s="79">
        <f t="shared" ref="F20:U20" si="0">(F17*4+F18*3+F19*3)/10</f>
        <v>88.88</v>
      </c>
      <c r="G20" s="79">
        <f t="shared" si="0"/>
        <v>88.36</v>
      </c>
      <c r="H20" s="79">
        <f>AVERAGE(H12:H15)</f>
        <v>82.75</v>
      </c>
      <c r="I20" s="79">
        <f>AVERAGE(I12:I15)</f>
        <v>82.25</v>
      </c>
      <c r="J20" s="79">
        <f>AVERAGE(J12:J13)</f>
        <v>83</v>
      </c>
      <c r="K20" s="79">
        <f>AVERAGE(K12:K15)</f>
        <v>82.5</v>
      </c>
      <c r="L20" s="79">
        <f>(L17*4+L18*3+L19*3)/10</f>
        <v>82.3</v>
      </c>
      <c r="M20" s="79">
        <f>(M17*4+M18*3+M19*3)/10</f>
        <v>83.97999999999999</v>
      </c>
      <c r="N20" s="79">
        <f>(N17*4+N18*3+N19*3)/10</f>
        <v>84.9</v>
      </c>
      <c r="O20" s="79">
        <f>AVERAGE(O12:O13)</f>
        <v>79.5</v>
      </c>
      <c r="P20" s="79">
        <f>AVERAGE(P12:P13)</f>
        <v>81.5</v>
      </c>
      <c r="Q20" s="79">
        <f>AVERAGE(Q12:Q13)</f>
        <v>83</v>
      </c>
      <c r="R20" s="79">
        <f>(R17*4+R18*3+R19*3)/10</f>
        <v>84.3</v>
      </c>
      <c r="S20" s="79">
        <f>(S17*4+S18*3+S19*3)/10</f>
        <v>87.433333333333323</v>
      </c>
      <c r="T20" s="79">
        <f>T18</f>
        <v>89</v>
      </c>
      <c r="U20" s="79">
        <f t="shared" si="0"/>
        <v>88.466666666666669</v>
      </c>
      <c r="V20" s="80">
        <f>AVERAGE(E20:U20)</f>
        <v>84.762352941176459</v>
      </c>
      <c r="W20" s="90"/>
      <c r="X20" s="278">
        <v>5</v>
      </c>
      <c r="Y20" s="90"/>
      <c r="Z20" s="64"/>
      <c r="AA20" s="64"/>
      <c r="AB20" s="64">
        <v>32</v>
      </c>
      <c r="AC20" s="64"/>
      <c r="AD20" s="64"/>
      <c r="AE20" s="64"/>
      <c r="AF20" s="64"/>
      <c r="AG20" s="64"/>
      <c r="AH20" s="64"/>
      <c r="AI20" s="64"/>
      <c r="AJ20" s="64"/>
    </row>
    <row r="21" spans="1:36" ht="18.75" customHeight="1" thickTop="1" thickBot="1">
      <c r="A21" s="268">
        <v>2</v>
      </c>
      <c r="B21" s="270" t="s">
        <v>552</v>
      </c>
      <c r="C21" s="273" t="s">
        <v>553</v>
      </c>
      <c r="D21" s="52" t="s">
        <v>294</v>
      </c>
      <c r="E21" s="53">
        <f>ak!$E$6</f>
        <v>84</v>
      </c>
      <c r="F21" s="53">
        <f>ak!$K$6</f>
        <v>83</v>
      </c>
      <c r="G21" s="53">
        <f>ak!$Q$6</f>
        <v>91</v>
      </c>
      <c r="H21" s="53">
        <f>ak!$W$6</f>
        <v>83</v>
      </c>
      <c r="I21" s="53">
        <f>ak!$AA$6</f>
        <v>81</v>
      </c>
      <c r="J21" s="53">
        <f>ak!$AE$6</f>
        <v>83</v>
      </c>
      <c r="K21" s="54">
        <f>ak!$AG$6</f>
        <v>83</v>
      </c>
      <c r="L21" s="55"/>
      <c r="M21" s="53">
        <f>ak!$AM$6</f>
        <v>78</v>
      </c>
      <c r="N21" s="53">
        <f>ak!$AS$6</f>
        <v>79</v>
      </c>
      <c r="O21" s="53">
        <f>ak!$AY$6</f>
        <v>77</v>
      </c>
      <c r="P21" s="54">
        <f>ak!$BA$6</f>
        <v>81</v>
      </c>
      <c r="Q21" s="54">
        <f>ak!$BC$6</f>
        <v>82</v>
      </c>
      <c r="R21" s="55"/>
      <c r="S21" s="55"/>
      <c r="T21" s="55"/>
      <c r="U21" s="55"/>
      <c r="V21" s="56"/>
      <c r="W21" s="90"/>
      <c r="X21" s="278">
        <v>6</v>
      </c>
      <c r="Y21" s="90"/>
      <c r="Z21" s="64"/>
      <c r="AA21" s="64"/>
      <c r="AB21" s="64">
        <v>14</v>
      </c>
      <c r="AC21" s="64"/>
      <c r="AD21" s="64"/>
      <c r="AE21" s="64"/>
      <c r="AF21" s="64"/>
      <c r="AG21" s="64"/>
      <c r="AH21" s="64"/>
      <c r="AI21" s="64"/>
      <c r="AJ21" s="64"/>
    </row>
    <row r="22" spans="1:36" ht="18.75" customHeight="1" thickBot="1">
      <c r="A22" s="268">
        <v>2</v>
      </c>
      <c r="B22" s="271"/>
      <c r="C22" s="274"/>
      <c r="D22" s="52" t="s">
        <v>295</v>
      </c>
      <c r="E22" s="53">
        <f>ak!$F$6</f>
        <v>83</v>
      </c>
      <c r="F22" s="53">
        <f>ak!$L$6</f>
        <v>84</v>
      </c>
      <c r="G22" s="53">
        <f>ak!$R$6</f>
        <v>87</v>
      </c>
      <c r="H22" s="53">
        <f>ak!$X$6</f>
        <v>84</v>
      </c>
      <c r="I22" s="53">
        <f>ak!$AB$6</f>
        <v>80</v>
      </c>
      <c r="J22" s="53">
        <f>ak!$AF$6</f>
        <v>84</v>
      </c>
      <c r="K22" s="54">
        <f>ak!$AH$6</f>
        <v>85</v>
      </c>
      <c r="L22" s="55"/>
      <c r="M22" s="53">
        <f>ak!$AN$6</f>
        <v>81</v>
      </c>
      <c r="N22" s="53">
        <f>ak!$AT$6</f>
        <v>81</v>
      </c>
      <c r="O22" s="53">
        <f>ak!$AZ$6</f>
        <v>81</v>
      </c>
      <c r="P22" s="54">
        <f>ak!$BB$6</f>
        <v>85</v>
      </c>
      <c r="Q22" s="54">
        <f>ak!$BD$6</f>
        <v>84</v>
      </c>
      <c r="R22" s="55"/>
      <c r="S22" s="55"/>
      <c r="T22" s="55"/>
      <c r="U22" s="55"/>
      <c r="V22" s="58"/>
      <c r="W22" s="90"/>
      <c r="X22" s="278">
        <v>6</v>
      </c>
      <c r="Y22" s="90"/>
      <c r="Z22" s="64"/>
      <c r="AA22" s="64"/>
      <c r="AB22" s="64"/>
      <c r="AC22" s="64"/>
      <c r="AD22" s="64"/>
      <c r="AE22" s="64"/>
      <c r="AF22" s="64"/>
      <c r="AG22" s="64"/>
      <c r="AH22" s="64"/>
      <c r="AI22" s="64"/>
      <c r="AJ22" s="64"/>
    </row>
    <row r="23" spans="1:36" ht="18.75" customHeight="1" thickBot="1">
      <c r="A23" s="268">
        <v>2</v>
      </c>
      <c r="B23" s="271"/>
      <c r="C23" s="274"/>
      <c r="D23" s="52" t="s">
        <v>296</v>
      </c>
      <c r="E23" s="53">
        <f>ak!$G$6</f>
        <v>87</v>
      </c>
      <c r="F23" s="53">
        <f>ak!$M$6</f>
        <v>88</v>
      </c>
      <c r="G23" s="53">
        <f>ak!$S$6</f>
        <v>82</v>
      </c>
      <c r="H23" s="53">
        <f>ak!$Y$6</f>
        <v>82</v>
      </c>
      <c r="I23" s="53">
        <f>ak!$AC$6</f>
        <v>83</v>
      </c>
      <c r="J23" s="59"/>
      <c r="K23" s="54">
        <f>ak!$AI$6</f>
        <v>72</v>
      </c>
      <c r="L23" s="55"/>
      <c r="M23" s="53">
        <f>ak!$AO$6</f>
        <v>73</v>
      </c>
      <c r="N23" s="53">
        <f>ak!$AU$6</f>
        <v>79</v>
      </c>
      <c r="O23" s="59"/>
      <c r="P23" s="55"/>
      <c r="Q23" s="55"/>
      <c r="R23" s="54">
        <f>ak!$BU$6</f>
        <v>84.25</v>
      </c>
      <c r="S23" s="54">
        <f>ak!$BY$6</f>
        <v>84</v>
      </c>
      <c r="T23" s="55"/>
      <c r="U23" s="54">
        <f>ak!$CD$6</f>
        <v>80</v>
      </c>
      <c r="V23" s="58"/>
      <c r="W23" s="90"/>
      <c r="X23" s="278">
        <v>6</v>
      </c>
      <c r="Y23" s="90"/>
      <c r="Z23" s="64"/>
      <c r="AA23" s="64"/>
      <c r="AB23" s="64"/>
      <c r="AC23" s="64"/>
      <c r="AD23" s="64"/>
      <c r="AE23" s="64"/>
      <c r="AF23" s="64"/>
      <c r="AG23" s="64"/>
      <c r="AH23" s="64"/>
      <c r="AI23" s="64"/>
      <c r="AJ23" s="64"/>
    </row>
    <row r="24" spans="1:36" ht="18.75" customHeight="1" thickBot="1">
      <c r="A24" s="268">
        <v>2</v>
      </c>
      <c r="B24" s="271"/>
      <c r="C24" s="274"/>
      <c r="D24" s="62" t="s">
        <v>297</v>
      </c>
      <c r="E24" s="53">
        <f>ak!$H$6</f>
        <v>82</v>
      </c>
      <c r="F24" s="53">
        <f>ak!$N$6</f>
        <v>88</v>
      </c>
      <c r="G24" s="53">
        <f>ak!$T$6</f>
        <v>82</v>
      </c>
      <c r="H24" s="53">
        <f>ak!$Z$6</f>
        <v>80</v>
      </c>
      <c r="I24" s="53">
        <f>ak!$AD$6</f>
        <v>83</v>
      </c>
      <c r="J24" s="59"/>
      <c r="K24" s="54">
        <f>ak!$AJ$6</f>
        <v>83</v>
      </c>
      <c r="L24" s="55"/>
      <c r="M24" s="53">
        <f>ak!$AP$6</f>
        <v>74</v>
      </c>
      <c r="N24" s="53">
        <f>ak!$AV$6</f>
        <v>79</v>
      </c>
      <c r="O24" s="59"/>
      <c r="P24" s="55"/>
      <c r="Q24" s="55"/>
      <c r="R24" s="54">
        <f>ak!$BV$6</f>
        <v>84.25</v>
      </c>
      <c r="S24" s="54">
        <f>ak!$BZ$6</f>
        <v>84</v>
      </c>
      <c r="T24" s="63"/>
      <c r="U24" s="54">
        <f>ak!$CE$6</f>
        <v>82</v>
      </c>
      <c r="V24" s="58"/>
      <c r="W24" s="90"/>
      <c r="X24" s="278">
        <v>6</v>
      </c>
      <c r="Y24" s="90"/>
      <c r="Z24" s="64"/>
      <c r="AA24" s="64"/>
      <c r="AB24" s="64"/>
      <c r="AC24" s="64"/>
      <c r="AD24" s="64"/>
      <c r="AE24" s="64"/>
      <c r="AF24" s="64"/>
      <c r="AG24" s="64"/>
      <c r="AH24" s="64"/>
      <c r="AI24" s="64"/>
      <c r="AJ24" s="64"/>
    </row>
    <row r="25" spans="1:36" ht="18.75" customHeight="1">
      <c r="A25" s="268">
        <v>2</v>
      </c>
      <c r="B25" s="271"/>
      <c r="C25" s="274"/>
      <c r="D25" s="62" t="s">
        <v>298</v>
      </c>
      <c r="E25" s="53">
        <f>ak!$I$6</f>
        <v>90</v>
      </c>
      <c r="F25" s="53">
        <f>ak!$O$6</f>
        <v>88</v>
      </c>
      <c r="G25" s="53">
        <f>ak!$U$6</f>
        <v>80</v>
      </c>
      <c r="H25" s="65"/>
      <c r="I25" s="65"/>
      <c r="J25" s="59"/>
      <c r="K25" s="59"/>
      <c r="L25" s="53">
        <f>ak!$AK$6</f>
        <v>80</v>
      </c>
      <c r="M25" s="53">
        <f>ak!$AQ$6</f>
        <v>77</v>
      </c>
      <c r="N25" s="53">
        <f>ak!$AW$6</f>
        <v>86</v>
      </c>
      <c r="O25" s="59"/>
      <c r="P25" s="55"/>
      <c r="Q25" s="55"/>
      <c r="R25" s="54">
        <f>ak!$BW$6</f>
        <v>84</v>
      </c>
      <c r="S25" s="54">
        <f>ak!$CA$6</f>
        <v>83</v>
      </c>
      <c r="T25" s="54"/>
      <c r="U25" s="54">
        <f>ak!$CF$6</f>
        <v>86</v>
      </c>
      <c r="V25" s="58"/>
      <c r="W25" s="90"/>
      <c r="X25" s="278">
        <v>6</v>
      </c>
      <c r="Y25" s="90"/>
      <c r="Z25" s="64"/>
      <c r="AA25" s="64"/>
      <c r="AB25" s="64"/>
      <c r="AC25" s="64"/>
      <c r="AD25" s="64"/>
      <c r="AE25" s="64"/>
      <c r="AF25" s="64"/>
      <c r="AG25" s="64"/>
      <c r="AH25" s="64"/>
      <c r="AI25" s="64"/>
      <c r="AJ25" s="64"/>
    </row>
    <row r="26" spans="1:36" ht="18.75" customHeight="1">
      <c r="A26" s="268">
        <v>2</v>
      </c>
      <c r="B26" s="271"/>
      <c r="C26" s="274"/>
      <c r="D26" s="66" t="s">
        <v>299</v>
      </c>
      <c r="E26" s="67">
        <f>AVERAGE(E21:E25)</f>
        <v>85.2</v>
      </c>
      <c r="F26" s="67">
        <f>AVERAGE(F21:F25)</f>
        <v>86.2</v>
      </c>
      <c r="G26" s="67">
        <f>AVERAGE(G21:G25)</f>
        <v>84.4</v>
      </c>
      <c r="H26" s="68"/>
      <c r="I26" s="68"/>
      <c r="J26" s="69"/>
      <c r="K26" s="69"/>
      <c r="L26" s="67">
        <f>AVERAGE(L21:L25)</f>
        <v>80</v>
      </c>
      <c r="M26" s="67">
        <f>AVERAGE(M21:M25)</f>
        <v>76.599999999999994</v>
      </c>
      <c r="N26" s="67">
        <f>AVERAGE(N21:N25)</f>
        <v>80.8</v>
      </c>
      <c r="O26" s="69"/>
      <c r="P26" s="63"/>
      <c r="Q26" s="63"/>
      <c r="R26" s="84">
        <f>AVERAGE(R23:R25)</f>
        <v>84.166666666666671</v>
      </c>
      <c r="S26" s="84">
        <f>AVERAGE(S23:S25)</f>
        <v>83.666666666666671</v>
      </c>
      <c r="T26" s="63"/>
      <c r="U26" s="84">
        <f>AVERAGE(U21:U25)</f>
        <v>82.666666666666671</v>
      </c>
      <c r="V26" s="58"/>
      <c r="W26" s="90"/>
      <c r="X26" s="278">
        <v>6</v>
      </c>
      <c r="Y26" s="90"/>
      <c r="Z26" s="64"/>
      <c r="AA26" s="64"/>
      <c r="AB26" s="64"/>
      <c r="AC26" s="64"/>
      <c r="AD26" s="64"/>
      <c r="AE26" s="64"/>
      <c r="AF26" s="64"/>
      <c r="AG26" s="64"/>
      <c r="AH26" s="64"/>
      <c r="AI26" s="64"/>
      <c r="AJ26" s="64"/>
    </row>
    <row r="27" spans="1:36" ht="18.75" customHeight="1">
      <c r="A27" s="268">
        <v>2</v>
      </c>
      <c r="B27" s="271"/>
      <c r="C27" s="274"/>
      <c r="D27" s="70" t="s">
        <v>300</v>
      </c>
      <c r="E27" s="71">
        <f>ak!$J$6</f>
        <v>95</v>
      </c>
      <c r="F27" s="71">
        <f>ak!$P$6</f>
        <v>95</v>
      </c>
      <c r="G27" s="71">
        <f>ak!$V$6</f>
        <v>89</v>
      </c>
      <c r="H27" s="72"/>
      <c r="I27" s="72"/>
      <c r="J27" s="73"/>
      <c r="K27" s="73"/>
      <c r="L27" s="71">
        <f>ak!$AL$6</f>
        <v>89</v>
      </c>
      <c r="M27" s="71">
        <f>ak!$AR$6</f>
        <v>95</v>
      </c>
      <c r="N27" s="71">
        <f>ak!$AX$6</f>
        <v>95</v>
      </c>
      <c r="O27" s="73"/>
      <c r="P27" s="74"/>
      <c r="Q27" s="74"/>
      <c r="R27" s="85">
        <f>ak!$BX$6</f>
        <v>95</v>
      </c>
      <c r="S27" s="85">
        <f>ak!$BX$6</f>
        <v>95</v>
      </c>
      <c r="T27" s="85">
        <f>ak!$CC$6</f>
        <v>94</v>
      </c>
      <c r="U27" s="75">
        <f>ak!$CG$6</f>
        <v>95</v>
      </c>
      <c r="V27" s="58"/>
      <c r="W27" s="90"/>
      <c r="X27" s="278">
        <v>6</v>
      </c>
      <c r="Y27" s="90"/>
      <c r="Z27" s="64"/>
      <c r="AA27" s="64"/>
      <c r="AB27" s="64"/>
      <c r="AC27" s="64"/>
      <c r="AD27" s="64"/>
      <c r="AE27" s="64"/>
      <c r="AF27" s="64"/>
      <c r="AG27" s="64"/>
      <c r="AH27" s="64"/>
      <c r="AI27" s="64"/>
      <c r="AJ27" s="64"/>
    </row>
    <row r="28" spans="1:36" ht="18.75" customHeight="1">
      <c r="A28" s="268">
        <v>2</v>
      </c>
      <c r="B28" s="271"/>
      <c r="C28" s="274"/>
      <c r="D28" s="76" t="s">
        <v>301</v>
      </c>
      <c r="E28" s="77">
        <f>ak!$CH$6</f>
        <v>87</v>
      </c>
      <c r="F28" s="77">
        <f>ak!$CI$6</f>
        <v>90</v>
      </c>
      <c r="G28" s="77">
        <f>ak!$CJ$6</f>
        <v>80</v>
      </c>
      <c r="H28" s="72"/>
      <c r="I28" s="72"/>
      <c r="J28" s="73"/>
      <c r="K28" s="73"/>
      <c r="L28" s="77">
        <f>ak!$CK$6</f>
        <v>82</v>
      </c>
      <c r="M28" s="77">
        <f>ak!$CL$6</f>
        <v>77</v>
      </c>
      <c r="N28" s="77">
        <f>ak!$CM$6</f>
        <v>85</v>
      </c>
      <c r="O28" s="73"/>
      <c r="P28" s="74"/>
      <c r="Q28" s="74"/>
      <c r="R28" s="86">
        <f>ak!$CP$6</f>
        <v>70</v>
      </c>
      <c r="S28" s="86">
        <f>ak!$CO$6</f>
        <v>85</v>
      </c>
      <c r="T28" s="74"/>
      <c r="U28" s="86">
        <f>ak!$CN$6</f>
        <v>81</v>
      </c>
      <c r="V28" s="58"/>
      <c r="W28" s="90"/>
      <c r="X28" s="278">
        <v>6</v>
      </c>
      <c r="Y28" s="90"/>
      <c r="Z28" s="64"/>
      <c r="AA28" s="64"/>
      <c r="AB28" s="64"/>
      <c r="AC28" s="64"/>
      <c r="AD28" s="64"/>
      <c r="AE28" s="64"/>
      <c r="AF28" s="64"/>
      <c r="AG28" s="64"/>
      <c r="AH28" s="64"/>
      <c r="AI28" s="64"/>
      <c r="AJ28" s="64"/>
    </row>
    <row r="29" spans="1:36" ht="18.75" customHeight="1" thickBot="1">
      <c r="A29" s="269">
        <v>2</v>
      </c>
      <c r="B29" s="272"/>
      <c r="C29" s="275"/>
      <c r="D29" s="78" t="s">
        <v>302</v>
      </c>
      <c r="E29" s="79">
        <f>(E26*4+E27*3+E28*3)/10</f>
        <v>88.679999999999993</v>
      </c>
      <c r="F29" s="79">
        <f t="shared" ref="F29:G29" si="1">(F26*4+F27*3+F28*3)/10</f>
        <v>89.97999999999999</v>
      </c>
      <c r="G29" s="79">
        <f t="shared" si="1"/>
        <v>84.460000000000008</v>
      </c>
      <c r="H29" s="79">
        <f>AVERAGE(H21:H24)</f>
        <v>82.25</v>
      </c>
      <c r="I29" s="79">
        <f>AVERAGE(I21:I24)</f>
        <v>81.75</v>
      </c>
      <c r="J29" s="79">
        <f>AVERAGE(J21:J22)</f>
        <v>83.5</v>
      </c>
      <c r="K29" s="79">
        <f>AVERAGE(K21:K24)</f>
        <v>80.75</v>
      </c>
      <c r="L29" s="79">
        <f>(L26*4+L27*3+L28*3)/10</f>
        <v>83.3</v>
      </c>
      <c r="M29" s="79">
        <f>(M26*4+M27*3+M28*3)/10</f>
        <v>82.24</v>
      </c>
      <c r="N29" s="79">
        <f>(N26*4+N27*3+N28*3)/10</f>
        <v>86.320000000000007</v>
      </c>
      <c r="O29" s="79">
        <f>AVERAGE(O21:O22)</f>
        <v>79</v>
      </c>
      <c r="P29" s="79">
        <f>AVERAGE(P21:P22)</f>
        <v>83</v>
      </c>
      <c r="Q29" s="79">
        <f>AVERAGE(Q21:Q22)</f>
        <v>83</v>
      </c>
      <c r="R29" s="79">
        <f>(R26*4+R27*3+R28*3)/10</f>
        <v>83.166666666666671</v>
      </c>
      <c r="S29" s="79">
        <f>(S26*4+S27*3+S28*3)/10</f>
        <v>87.466666666666669</v>
      </c>
      <c r="T29" s="79">
        <f>T27</f>
        <v>94</v>
      </c>
      <c r="U29" s="79">
        <f t="shared" ref="U29" si="2">(U26*4+U27*3+U28*3)/10</f>
        <v>85.866666666666674</v>
      </c>
      <c r="V29" s="80">
        <f>AVERAGE(E29:U29)</f>
        <v>84.63117647058823</v>
      </c>
      <c r="W29" s="90"/>
      <c r="X29" s="278">
        <v>6</v>
      </c>
      <c r="Y29" s="90"/>
      <c r="Z29" s="64"/>
      <c r="AA29" s="64"/>
      <c r="AB29" s="64"/>
      <c r="AC29" s="64"/>
      <c r="AD29" s="64"/>
      <c r="AE29" s="64"/>
      <c r="AF29" s="64"/>
      <c r="AG29" s="64"/>
      <c r="AH29" s="64"/>
      <c r="AI29" s="64"/>
      <c r="AJ29" s="64"/>
    </row>
    <row r="30" spans="1:36" ht="18.75" customHeight="1" thickTop="1" thickBot="1">
      <c r="A30" s="268">
        <v>3</v>
      </c>
      <c r="B30" s="270" t="s">
        <v>554</v>
      </c>
      <c r="C30" s="273" t="s">
        <v>555</v>
      </c>
      <c r="D30" s="52" t="s">
        <v>294</v>
      </c>
      <c r="E30" s="53">
        <f>ak!$E$7</f>
        <v>80</v>
      </c>
      <c r="F30" s="53">
        <f>ak!$K$7</f>
        <v>82</v>
      </c>
      <c r="G30" s="53">
        <f>ak!$Q$7</f>
        <v>88</v>
      </c>
      <c r="H30" s="53">
        <f>ak!$W$7</f>
        <v>84</v>
      </c>
      <c r="I30" s="53">
        <f>ak!$AA$7</f>
        <v>77</v>
      </c>
      <c r="J30" s="53">
        <f>ak!$AE$7</f>
        <v>82</v>
      </c>
      <c r="K30" s="54">
        <f>ak!$AG$7</f>
        <v>82</v>
      </c>
      <c r="L30" s="55"/>
      <c r="M30" s="53">
        <f>ak!$AM$7</f>
        <v>78</v>
      </c>
      <c r="N30" s="53">
        <f>ak!$AS$7</f>
        <v>79</v>
      </c>
      <c r="O30" s="53">
        <f>ak!$AY$7</f>
        <v>78</v>
      </c>
      <c r="P30" s="54">
        <f>ak!$BA$7</f>
        <v>77</v>
      </c>
      <c r="Q30" s="54">
        <f>ak!$BC$7</f>
        <v>82</v>
      </c>
      <c r="R30" s="55"/>
      <c r="S30" s="55"/>
      <c r="T30" s="55"/>
      <c r="U30" s="55"/>
      <c r="V30" s="56"/>
      <c r="W30" s="90"/>
      <c r="X30" s="278">
        <v>7</v>
      </c>
      <c r="Y30" s="90"/>
      <c r="Z30" s="64"/>
      <c r="AA30" s="64"/>
      <c r="AB30" s="64"/>
      <c r="AC30" s="64"/>
      <c r="AD30" s="64"/>
      <c r="AE30" s="64"/>
      <c r="AF30" s="64"/>
      <c r="AG30" s="64"/>
      <c r="AH30" s="64"/>
      <c r="AI30" s="64"/>
      <c r="AJ30" s="64"/>
    </row>
    <row r="31" spans="1:36" ht="18.75" customHeight="1" thickBot="1">
      <c r="A31" s="268">
        <v>3</v>
      </c>
      <c r="B31" s="271"/>
      <c r="C31" s="274"/>
      <c r="D31" s="52" t="s">
        <v>295</v>
      </c>
      <c r="E31" s="53">
        <f>ak!$F$7</f>
        <v>81</v>
      </c>
      <c r="F31" s="53">
        <f>ak!$L$7</f>
        <v>82</v>
      </c>
      <c r="G31" s="53">
        <f>ak!$R$7</f>
        <v>89</v>
      </c>
      <c r="H31" s="53">
        <f>ak!$X$7</f>
        <v>84</v>
      </c>
      <c r="I31" s="53">
        <f>ak!$AB$7</f>
        <v>80</v>
      </c>
      <c r="J31" s="53">
        <f>ak!$AF$7</f>
        <v>81</v>
      </c>
      <c r="K31" s="54">
        <f>ak!$AH$7</f>
        <v>83</v>
      </c>
      <c r="L31" s="55"/>
      <c r="M31" s="53">
        <f>ak!$AN$7</f>
        <v>79</v>
      </c>
      <c r="N31" s="53">
        <f>ak!$AT$7</f>
        <v>79</v>
      </c>
      <c r="O31" s="53">
        <f>ak!$AZ$7</f>
        <v>80</v>
      </c>
      <c r="P31" s="54">
        <f>ak!$BB$7</f>
        <v>80</v>
      </c>
      <c r="Q31" s="54">
        <f>ak!$BD$7</f>
        <v>83</v>
      </c>
      <c r="R31" s="55"/>
      <c r="S31" s="55"/>
      <c r="T31" s="55"/>
      <c r="U31" s="55"/>
      <c r="V31" s="58"/>
      <c r="W31" s="90"/>
      <c r="X31" s="278">
        <v>7</v>
      </c>
      <c r="Y31" s="90"/>
      <c r="Z31" s="64"/>
      <c r="AA31" s="64"/>
      <c r="AB31" s="64"/>
      <c r="AC31" s="64"/>
      <c r="AD31" s="64"/>
      <c r="AE31" s="64"/>
      <c r="AF31" s="64"/>
      <c r="AG31" s="64"/>
      <c r="AH31" s="64"/>
      <c r="AI31" s="64"/>
      <c r="AJ31" s="64"/>
    </row>
    <row r="32" spans="1:36" ht="18.75" customHeight="1" thickBot="1">
      <c r="A32" s="268">
        <v>3</v>
      </c>
      <c r="B32" s="271"/>
      <c r="C32" s="274"/>
      <c r="D32" s="52" t="s">
        <v>296</v>
      </c>
      <c r="E32" s="53">
        <f>ak!$G$7</f>
        <v>87</v>
      </c>
      <c r="F32" s="53">
        <f>ak!$M$7</f>
        <v>73</v>
      </c>
      <c r="G32" s="53">
        <f>ak!$S$7</f>
        <v>80</v>
      </c>
      <c r="H32" s="53">
        <f>ak!$Y$7</f>
        <v>81</v>
      </c>
      <c r="I32" s="53">
        <f>ak!$AC$7</f>
        <v>81</v>
      </c>
      <c r="J32" s="59"/>
      <c r="K32" s="54">
        <f>ak!$AI$7</f>
        <v>74</v>
      </c>
      <c r="L32" s="55"/>
      <c r="M32" s="53">
        <f>ak!$AO$7</f>
        <v>73</v>
      </c>
      <c r="N32" s="53">
        <f>ak!$AU$7</f>
        <v>76</v>
      </c>
      <c r="O32" s="59"/>
      <c r="P32" s="55"/>
      <c r="Q32" s="55"/>
      <c r="R32" s="54">
        <f>ak!$BU$7</f>
        <v>82.25</v>
      </c>
      <c r="S32" s="54">
        <f>ak!$BY$7</f>
        <v>83</v>
      </c>
      <c r="T32" s="55"/>
      <c r="U32" s="54">
        <f>ak!$CD$7</f>
        <v>72</v>
      </c>
      <c r="V32" s="58"/>
      <c r="W32" s="90"/>
      <c r="X32" s="278">
        <v>7</v>
      </c>
      <c r="Y32" s="90"/>
      <c r="Z32" s="64"/>
      <c r="AA32" s="64"/>
      <c r="AB32" s="64"/>
      <c r="AC32" s="64"/>
      <c r="AD32" s="64"/>
      <c r="AE32" s="64"/>
      <c r="AF32" s="64"/>
      <c r="AG32" s="64"/>
      <c r="AH32" s="64"/>
      <c r="AI32" s="64"/>
      <c r="AJ32" s="64"/>
    </row>
    <row r="33" spans="1:36" ht="18.75" customHeight="1" thickBot="1">
      <c r="A33" s="268">
        <v>3</v>
      </c>
      <c r="B33" s="271"/>
      <c r="C33" s="274"/>
      <c r="D33" s="62" t="s">
        <v>297</v>
      </c>
      <c r="E33" s="53">
        <f>ak!$H$7</f>
        <v>82</v>
      </c>
      <c r="F33" s="53">
        <f>ak!$N$7</f>
        <v>80</v>
      </c>
      <c r="G33" s="53">
        <f>ak!$T$7</f>
        <v>81</v>
      </c>
      <c r="H33" s="53">
        <f>ak!$Z$7</f>
        <v>85</v>
      </c>
      <c r="I33" s="53">
        <f>ak!$AD$7</f>
        <v>82</v>
      </c>
      <c r="J33" s="59"/>
      <c r="K33" s="54">
        <f>ak!$AJ$7</f>
        <v>82</v>
      </c>
      <c r="L33" s="55"/>
      <c r="M33" s="53">
        <f>ak!$AP$7</f>
        <v>74</v>
      </c>
      <c r="N33" s="53">
        <f>ak!$AV$7</f>
        <v>77</v>
      </c>
      <c r="O33" s="59"/>
      <c r="P33" s="55"/>
      <c r="Q33" s="55"/>
      <c r="R33" s="54">
        <f>ak!$BV$7</f>
        <v>82.75</v>
      </c>
      <c r="S33" s="54">
        <f>ak!$BZ$7</f>
        <v>84</v>
      </c>
      <c r="T33" s="63"/>
      <c r="U33" s="54">
        <f>ak!$CE$7</f>
        <v>86</v>
      </c>
      <c r="V33" s="58"/>
      <c r="W33" s="90"/>
      <c r="X33" s="278">
        <v>7</v>
      </c>
      <c r="Y33" s="90"/>
      <c r="Z33" s="64"/>
      <c r="AA33" s="64"/>
      <c r="AB33" s="64"/>
      <c r="AC33" s="64"/>
      <c r="AD33" s="64"/>
      <c r="AE33" s="64"/>
      <c r="AF33" s="64"/>
      <c r="AG33" s="64"/>
      <c r="AH33" s="64"/>
      <c r="AI33" s="64"/>
      <c r="AJ33" s="64"/>
    </row>
    <row r="34" spans="1:36" ht="18.75" customHeight="1">
      <c r="A34" s="268">
        <v>3</v>
      </c>
      <c r="B34" s="271"/>
      <c r="C34" s="274"/>
      <c r="D34" s="62" t="s">
        <v>298</v>
      </c>
      <c r="E34" s="53">
        <f>ak!$I$7</f>
        <v>83</v>
      </c>
      <c r="F34" s="53">
        <f>ak!$O$7</f>
        <v>80</v>
      </c>
      <c r="G34" s="53">
        <f>ak!$U$7</f>
        <v>72</v>
      </c>
      <c r="H34" s="65"/>
      <c r="I34" s="65"/>
      <c r="J34" s="59"/>
      <c r="K34" s="59"/>
      <c r="L34" s="53">
        <f>ak!$AK$7</f>
        <v>80</v>
      </c>
      <c r="M34" s="53">
        <f>ak!$AQ$7</f>
        <v>77</v>
      </c>
      <c r="N34" s="53">
        <f>ak!$AW$7</f>
        <v>75</v>
      </c>
      <c r="O34" s="59"/>
      <c r="P34" s="55"/>
      <c r="Q34" s="55"/>
      <c r="R34" s="54">
        <f>ak!$BW$7</f>
        <v>80.25</v>
      </c>
      <c r="S34" s="54">
        <f>ak!$CA$7</f>
        <v>80</v>
      </c>
      <c r="T34" s="54"/>
      <c r="U34" s="54">
        <f>ak!$CF$7</f>
        <v>87</v>
      </c>
      <c r="V34" s="58"/>
      <c r="W34" s="90"/>
      <c r="X34" s="278">
        <v>7</v>
      </c>
      <c r="Y34" s="90"/>
      <c r="Z34" s="64"/>
      <c r="AA34" s="64"/>
      <c r="AB34" s="64"/>
      <c r="AC34" s="64"/>
      <c r="AD34" s="64"/>
      <c r="AE34" s="64"/>
      <c r="AF34" s="64"/>
      <c r="AG34" s="64"/>
      <c r="AH34" s="64"/>
      <c r="AI34" s="64"/>
      <c r="AJ34" s="64"/>
    </row>
    <row r="35" spans="1:36" ht="18.75" customHeight="1">
      <c r="A35" s="268">
        <v>3</v>
      </c>
      <c r="B35" s="271"/>
      <c r="C35" s="274"/>
      <c r="D35" s="66" t="s">
        <v>299</v>
      </c>
      <c r="E35" s="67">
        <f t="shared" ref="E35:G35" si="3">AVERAGE(E30:E34)</f>
        <v>82.6</v>
      </c>
      <c r="F35" s="67">
        <f t="shared" si="3"/>
        <v>79.400000000000006</v>
      </c>
      <c r="G35" s="67">
        <f t="shared" si="3"/>
        <v>82</v>
      </c>
      <c r="H35" s="68"/>
      <c r="I35" s="68"/>
      <c r="J35" s="69"/>
      <c r="K35" s="69"/>
      <c r="L35" s="67">
        <f t="shared" ref="L35:N35" si="4">AVERAGE(L30:L34)</f>
        <v>80</v>
      </c>
      <c r="M35" s="67">
        <f t="shared" si="4"/>
        <v>76.2</v>
      </c>
      <c r="N35" s="67">
        <f t="shared" si="4"/>
        <v>77.2</v>
      </c>
      <c r="O35" s="69"/>
      <c r="P35" s="63"/>
      <c r="Q35" s="63"/>
      <c r="R35" s="84">
        <f t="shared" ref="R35:S35" si="5">AVERAGE(R32:R34)</f>
        <v>81.75</v>
      </c>
      <c r="S35" s="84">
        <f t="shared" si="5"/>
        <v>82.333333333333329</v>
      </c>
      <c r="T35" s="63"/>
      <c r="U35" s="84">
        <f t="shared" ref="U35" si="6">AVERAGE(U30:U34)</f>
        <v>81.666666666666671</v>
      </c>
      <c r="V35" s="58"/>
      <c r="W35" s="90"/>
      <c r="X35" s="278">
        <v>7</v>
      </c>
      <c r="Y35" s="90"/>
      <c r="Z35" s="64"/>
      <c r="AA35" s="64"/>
      <c r="AB35" s="64"/>
      <c r="AC35" s="64"/>
      <c r="AD35" s="64"/>
      <c r="AE35" s="64"/>
      <c r="AF35" s="64"/>
      <c r="AG35" s="64"/>
      <c r="AH35" s="64"/>
      <c r="AI35" s="64"/>
      <c r="AJ35" s="64"/>
    </row>
    <row r="36" spans="1:36" ht="18.75" customHeight="1">
      <c r="A36" s="268">
        <v>3</v>
      </c>
      <c r="B36" s="271"/>
      <c r="C36" s="274"/>
      <c r="D36" s="70" t="s">
        <v>300</v>
      </c>
      <c r="E36" s="71">
        <f>ak!$J$7</f>
        <v>80</v>
      </c>
      <c r="F36" s="71">
        <f>ak!$P$7</f>
        <v>80</v>
      </c>
      <c r="G36" s="71">
        <f>ak!$V$7</f>
        <v>82</v>
      </c>
      <c r="H36" s="72"/>
      <c r="I36" s="72"/>
      <c r="J36" s="73"/>
      <c r="K36" s="73"/>
      <c r="L36" s="71">
        <f>ak!$AL$7</f>
        <v>82</v>
      </c>
      <c r="M36" s="71">
        <f>ak!$AR$7</f>
        <v>80</v>
      </c>
      <c r="N36" s="71">
        <f>ak!$AX$7</f>
        <v>80</v>
      </c>
      <c r="O36" s="73"/>
      <c r="P36" s="74"/>
      <c r="Q36" s="74"/>
      <c r="R36" s="85">
        <f>ak!$BX$7</f>
        <v>80</v>
      </c>
      <c r="S36" s="85">
        <f>ak!$BX$7</f>
        <v>80</v>
      </c>
      <c r="T36" s="85">
        <f>ak!$CC$7</f>
        <v>80</v>
      </c>
      <c r="U36" s="75">
        <f>ak!$CG$7</f>
        <v>80</v>
      </c>
      <c r="V36" s="58"/>
      <c r="X36" s="278">
        <v>7</v>
      </c>
      <c r="Z36" s="50"/>
      <c r="AA36" s="50"/>
      <c r="AB36" s="50"/>
      <c r="AC36" s="50"/>
      <c r="AD36" s="50"/>
      <c r="AE36" s="50"/>
      <c r="AF36" s="50"/>
      <c r="AG36" s="50"/>
      <c r="AH36" s="50"/>
      <c r="AI36" s="50"/>
      <c r="AJ36" s="50"/>
    </row>
    <row r="37" spans="1:36" ht="18.75" customHeight="1">
      <c r="A37" s="268">
        <v>3</v>
      </c>
      <c r="B37" s="271"/>
      <c r="C37" s="274"/>
      <c r="D37" s="76" t="s">
        <v>301</v>
      </c>
      <c r="E37" s="77">
        <f>ak!$CH$7</f>
        <v>82</v>
      </c>
      <c r="F37" s="77">
        <f>ak!$CI$7</f>
        <v>85</v>
      </c>
      <c r="G37" s="77">
        <f>ak!$CJ$7</f>
        <v>80</v>
      </c>
      <c r="H37" s="72"/>
      <c r="I37" s="72"/>
      <c r="J37" s="73"/>
      <c r="K37" s="73"/>
      <c r="L37" s="77">
        <f>ak!$CK$7</f>
        <v>80</v>
      </c>
      <c r="M37" s="77">
        <f>ak!$CL$7</f>
        <v>77</v>
      </c>
      <c r="N37" s="77">
        <f>ak!$CM$7</f>
        <v>84</v>
      </c>
      <c r="O37" s="73"/>
      <c r="P37" s="74"/>
      <c r="Q37" s="74"/>
      <c r="R37" s="86">
        <f>ak!$CP$7</f>
        <v>70</v>
      </c>
      <c r="S37" s="86">
        <f>ak!$CO$7</f>
        <v>85</v>
      </c>
      <c r="T37" s="74"/>
      <c r="U37" s="86">
        <f>ak!$CN$7</f>
        <v>80</v>
      </c>
      <c r="V37" s="58"/>
      <c r="X37" s="278">
        <v>7</v>
      </c>
      <c r="Z37" s="50"/>
      <c r="AA37" s="50"/>
      <c r="AB37" s="50"/>
      <c r="AC37" s="50"/>
      <c r="AD37" s="50"/>
      <c r="AE37" s="50"/>
      <c r="AF37" s="50"/>
      <c r="AG37" s="50"/>
      <c r="AH37" s="50"/>
      <c r="AI37" s="50"/>
      <c r="AJ37" s="50"/>
    </row>
    <row r="38" spans="1:36" ht="18.75" customHeight="1" thickBot="1">
      <c r="A38" s="269">
        <v>3</v>
      </c>
      <c r="B38" s="272"/>
      <c r="C38" s="275"/>
      <c r="D38" s="78" t="s">
        <v>302</v>
      </c>
      <c r="E38" s="79">
        <f t="shared" ref="E38:G38" si="7">(E35*4+E36*3+E37*3)/10</f>
        <v>81.64</v>
      </c>
      <c r="F38" s="79">
        <f t="shared" si="7"/>
        <v>81.260000000000005</v>
      </c>
      <c r="G38" s="79">
        <f t="shared" si="7"/>
        <v>81.400000000000006</v>
      </c>
      <c r="H38" s="79">
        <f t="shared" ref="H38:I38" si="8">AVERAGE(H30:H33)</f>
        <v>83.5</v>
      </c>
      <c r="I38" s="79">
        <f t="shared" si="8"/>
        <v>80</v>
      </c>
      <c r="J38" s="79">
        <f t="shared" ref="J38" si="9">AVERAGE(J30:J31)</f>
        <v>81.5</v>
      </c>
      <c r="K38" s="79">
        <f t="shared" ref="K38" si="10">AVERAGE(K30:K33)</f>
        <v>80.25</v>
      </c>
      <c r="L38" s="79">
        <f t="shared" ref="L38:N38" si="11">(L35*4+L36*3+L37*3)/10</f>
        <v>80.599999999999994</v>
      </c>
      <c r="M38" s="79">
        <f t="shared" si="11"/>
        <v>77.58</v>
      </c>
      <c r="N38" s="79">
        <f t="shared" si="11"/>
        <v>80.08</v>
      </c>
      <c r="O38" s="79">
        <f t="shared" ref="O38:Q38" si="12">AVERAGE(O30:O31)</f>
        <v>79</v>
      </c>
      <c r="P38" s="79">
        <f t="shared" si="12"/>
        <v>78.5</v>
      </c>
      <c r="Q38" s="79">
        <f t="shared" si="12"/>
        <v>82.5</v>
      </c>
      <c r="R38" s="79">
        <f t="shared" ref="R38:S38" si="13">(R35*4+R36*3+R37*3)/10</f>
        <v>77.7</v>
      </c>
      <c r="S38" s="79">
        <f t="shared" si="13"/>
        <v>82.433333333333323</v>
      </c>
      <c r="T38" s="79">
        <f t="shared" ref="T38" si="14">T36</f>
        <v>80</v>
      </c>
      <c r="U38" s="79">
        <f t="shared" ref="U38" si="15">(U35*4+U36*3+U37*3)/10</f>
        <v>80.666666666666671</v>
      </c>
      <c r="V38" s="80">
        <f>AVERAGE(E38:U38)</f>
        <v>80.506470588235302</v>
      </c>
      <c r="X38" s="278">
        <v>7</v>
      </c>
      <c r="Z38" s="50"/>
      <c r="AA38" s="50"/>
      <c r="AB38" s="50"/>
      <c r="AC38" s="50"/>
      <c r="AD38" s="50"/>
      <c r="AE38" s="50"/>
      <c r="AF38" s="50"/>
      <c r="AG38" s="50"/>
      <c r="AH38" s="50"/>
      <c r="AI38" s="50"/>
      <c r="AJ38" s="50"/>
    </row>
    <row r="39" spans="1:36" ht="18.75" customHeight="1" thickTop="1" thickBot="1">
      <c r="A39" s="268">
        <v>4</v>
      </c>
      <c r="B39" s="270" t="s">
        <v>556</v>
      </c>
      <c r="C39" s="273" t="s">
        <v>557</v>
      </c>
      <c r="D39" s="52" t="s">
        <v>294</v>
      </c>
      <c r="E39" s="53">
        <f>ak!$E$8</f>
        <v>80</v>
      </c>
      <c r="F39" s="53">
        <f>ak!$K$8</f>
        <v>80</v>
      </c>
      <c r="G39" s="53">
        <f>ak!$Q$8</f>
        <v>88</v>
      </c>
      <c r="H39" s="53">
        <f>ak!$W$8</f>
        <v>83</v>
      </c>
      <c r="I39" s="53">
        <f>ak!$AA$8</f>
        <v>76</v>
      </c>
      <c r="J39" s="53">
        <f>ak!$AE$8</f>
        <v>84</v>
      </c>
      <c r="K39" s="54">
        <f>ak!$AG$8</f>
        <v>84</v>
      </c>
      <c r="L39" s="55"/>
      <c r="M39" s="53">
        <f>ak!$AM$8</f>
        <v>73</v>
      </c>
      <c r="N39" s="53">
        <f>ak!$AS$8</f>
        <v>71</v>
      </c>
      <c r="O39" s="53">
        <f>ak!$AY$8</f>
        <v>77</v>
      </c>
      <c r="P39" s="54">
        <f>ak!$BA$8</f>
        <v>80</v>
      </c>
      <c r="Q39" s="54">
        <f>ak!$BC$8</f>
        <v>82</v>
      </c>
      <c r="R39" s="55"/>
      <c r="S39" s="55"/>
      <c r="T39" s="55"/>
      <c r="U39" s="55"/>
      <c r="V39" s="56"/>
      <c r="X39" s="278">
        <v>8</v>
      </c>
      <c r="Z39" s="50"/>
      <c r="AA39" s="50"/>
      <c r="AB39" s="50"/>
      <c r="AC39" s="50"/>
      <c r="AD39" s="50"/>
      <c r="AE39" s="50"/>
      <c r="AF39" s="50"/>
      <c r="AG39" s="50"/>
      <c r="AH39" s="50"/>
      <c r="AI39" s="50"/>
      <c r="AJ39" s="50"/>
    </row>
    <row r="40" spans="1:36" ht="18.75" customHeight="1" thickBot="1">
      <c r="A40" s="268">
        <v>4</v>
      </c>
      <c r="B40" s="271"/>
      <c r="C40" s="274"/>
      <c r="D40" s="52" t="s">
        <v>295</v>
      </c>
      <c r="E40" s="53">
        <f>ak!$F$8</f>
        <v>80</v>
      </c>
      <c r="F40" s="53">
        <f>ak!$L$8</f>
        <v>78</v>
      </c>
      <c r="G40" s="53">
        <f>ak!$R$8</f>
        <v>87</v>
      </c>
      <c r="H40" s="53">
        <f>ak!$X$8</f>
        <v>84</v>
      </c>
      <c r="I40" s="53">
        <f>ak!$AB$8</f>
        <v>80</v>
      </c>
      <c r="J40" s="53">
        <f>ak!$AF$8</f>
        <v>83</v>
      </c>
      <c r="K40" s="54">
        <f>ak!$AH$8</f>
        <v>82</v>
      </c>
      <c r="L40" s="55"/>
      <c r="M40" s="53">
        <f>ak!$AN$8</f>
        <v>77</v>
      </c>
      <c r="N40" s="53">
        <f>ak!$AT$8</f>
        <v>78</v>
      </c>
      <c r="O40" s="53">
        <f>ak!$AZ$8</f>
        <v>82</v>
      </c>
      <c r="P40" s="54">
        <f>ak!$BB$8</f>
        <v>80</v>
      </c>
      <c r="Q40" s="54">
        <f>ak!$BD$8</f>
        <v>82</v>
      </c>
      <c r="R40" s="55"/>
      <c r="S40" s="55"/>
      <c r="T40" s="55"/>
      <c r="U40" s="55"/>
      <c r="V40" s="58"/>
      <c r="X40" s="278">
        <v>8</v>
      </c>
      <c r="Z40" s="50"/>
      <c r="AA40" s="50"/>
      <c r="AB40" s="50"/>
      <c r="AC40" s="50"/>
      <c r="AD40" s="50"/>
      <c r="AE40" s="50"/>
      <c r="AF40" s="50"/>
      <c r="AG40" s="50"/>
      <c r="AH40" s="50"/>
      <c r="AI40" s="50"/>
      <c r="AJ40" s="50"/>
    </row>
    <row r="41" spans="1:36" ht="18.75" customHeight="1" thickBot="1">
      <c r="A41" s="268">
        <v>4</v>
      </c>
      <c r="B41" s="271"/>
      <c r="C41" s="274"/>
      <c r="D41" s="52" t="s">
        <v>296</v>
      </c>
      <c r="E41" s="53">
        <f>ak!$G$8</f>
        <v>87</v>
      </c>
      <c r="F41" s="53">
        <f>ak!$M$8</f>
        <v>78</v>
      </c>
      <c r="G41" s="53">
        <f>ak!$S$8</f>
        <v>78</v>
      </c>
      <c r="H41" s="53">
        <f>ak!$Y$8</f>
        <v>76</v>
      </c>
      <c r="I41" s="53">
        <f>ak!$AC$8</f>
        <v>80</v>
      </c>
      <c r="J41" s="59"/>
      <c r="K41" s="54">
        <f>ak!$AI$8</f>
        <v>71</v>
      </c>
      <c r="L41" s="55"/>
      <c r="M41" s="53">
        <f>ak!$AO$8</f>
        <v>74</v>
      </c>
      <c r="N41" s="53">
        <f>ak!$AU$8</f>
        <v>73</v>
      </c>
      <c r="O41" s="59"/>
      <c r="P41" s="55"/>
      <c r="Q41" s="55"/>
      <c r="R41" s="54">
        <f>ak!$BU$8</f>
        <v>80.5</v>
      </c>
      <c r="S41" s="54">
        <f>ak!$BY$8</f>
        <v>82</v>
      </c>
      <c r="T41" s="55"/>
      <c r="U41" s="54">
        <f>ak!$CD$8</f>
        <v>81</v>
      </c>
      <c r="V41" s="58"/>
      <c r="X41" s="278">
        <v>8</v>
      </c>
      <c r="Z41" s="50"/>
      <c r="AA41" s="50"/>
      <c r="AB41" s="50"/>
      <c r="AC41" s="50"/>
      <c r="AD41" s="50"/>
      <c r="AE41" s="50"/>
      <c r="AF41" s="50"/>
      <c r="AG41" s="50"/>
      <c r="AH41" s="50"/>
      <c r="AI41" s="50"/>
      <c r="AJ41" s="50"/>
    </row>
    <row r="42" spans="1:36" ht="18.75" customHeight="1" thickBot="1">
      <c r="A42" s="268">
        <v>4</v>
      </c>
      <c r="B42" s="271"/>
      <c r="C42" s="274"/>
      <c r="D42" s="62" t="s">
        <v>297</v>
      </c>
      <c r="E42" s="53">
        <f>ak!$H$8</f>
        <v>83</v>
      </c>
      <c r="F42" s="53">
        <f>ak!$N$8</f>
        <v>80</v>
      </c>
      <c r="G42" s="53">
        <f>ak!$T$8</f>
        <v>81</v>
      </c>
      <c r="H42" s="53">
        <f>ak!$Z$8</f>
        <v>84</v>
      </c>
      <c r="I42" s="53">
        <f>ak!$AD$8</f>
        <v>82</v>
      </c>
      <c r="J42" s="59"/>
      <c r="K42" s="54">
        <f>ak!$AJ$8</f>
        <v>82</v>
      </c>
      <c r="L42" s="55"/>
      <c r="M42" s="53">
        <f>ak!$AP$8</f>
        <v>75</v>
      </c>
      <c r="N42" s="53">
        <f>ak!$AV$8</f>
        <v>78</v>
      </c>
      <c r="O42" s="59"/>
      <c r="P42" s="55"/>
      <c r="Q42" s="55"/>
      <c r="R42" s="54">
        <f>ak!$BV$8</f>
        <v>82</v>
      </c>
      <c r="S42" s="54">
        <f>ak!$BZ$8</f>
        <v>84</v>
      </c>
      <c r="T42" s="63"/>
      <c r="U42" s="54">
        <f>ak!$CE$8</f>
        <v>86</v>
      </c>
      <c r="V42" s="58"/>
      <c r="X42" s="278">
        <v>8</v>
      </c>
      <c r="Z42" s="50"/>
      <c r="AA42" s="50"/>
      <c r="AB42" s="50"/>
      <c r="AC42" s="50"/>
      <c r="AD42" s="50"/>
      <c r="AE42" s="50"/>
      <c r="AF42" s="50"/>
      <c r="AG42" s="50"/>
      <c r="AH42" s="50"/>
      <c r="AI42" s="50"/>
      <c r="AJ42" s="50"/>
    </row>
    <row r="43" spans="1:36" ht="18.75" customHeight="1">
      <c r="A43" s="268">
        <v>4</v>
      </c>
      <c r="B43" s="271"/>
      <c r="C43" s="274"/>
      <c r="D43" s="62" t="s">
        <v>298</v>
      </c>
      <c r="E43" s="53">
        <f>ak!$I$8</f>
        <v>86</v>
      </c>
      <c r="F43" s="53">
        <f>ak!$O$8</f>
        <v>81</v>
      </c>
      <c r="G43" s="53">
        <f>ak!$U$8</f>
        <v>86</v>
      </c>
      <c r="H43" s="65"/>
      <c r="I43" s="65"/>
      <c r="J43" s="59"/>
      <c r="K43" s="59"/>
      <c r="L43" s="53">
        <f>ak!$AK$8</f>
        <v>80</v>
      </c>
      <c r="M43" s="53">
        <f>ak!$AQ$8</f>
        <v>79</v>
      </c>
      <c r="N43" s="53">
        <f>ak!$AW$8</f>
        <v>88</v>
      </c>
      <c r="O43" s="59"/>
      <c r="P43" s="55"/>
      <c r="Q43" s="55"/>
      <c r="R43" s="54">
        <f>ak!$BW$8</f>
        <v>84.25</v>
      </c>
      <c r="S43" s="54">
        <f>ak!$CA$8</f>
        <v>83</v>
      </c>
      <c r="T43" s="54"/>
      <c r="U43" s="54">
        <f>ak!$CF$8</f>
        <v>85</v>
      </c>
      <c r="V43" s="58"/>
      <c r="X43" s="278">
        <v>8</v>
      </c>
      <c r="Z43" s="50"/>
      <c r="AA43" s="50"/>
      <c r="AB43" s="50"/>
      <c r="AC43" s="50"/>
      <c r="AD43" s="50"/>
      <c r="AE43" s="50"/>
      <c r="AF43" s="50"/>
      <c r="AG43" s="50"/>
      <c r="AH43" s="50"/>
      <c r="AI43" s="50"/>
      <c r="AJ43" s="50"/>
    </row>
    <row r="44" spans="1:36" ht="18.75" customHeight="1">
      <c r="A44" s="268">
        <v>4</v>
      </c>
      <c r="B44" s="271"/>
      <c r="C44" s="274"/>
      <c r="D44" s="66" t="s">
        <v>299</v>
      </c>
      <c r="E44" s="67">
        <f t="shared" ref="E44:G44" si="16">AVERAGE(E39:E43)</f>
        <v>83.2</v>
      </c>
      <c r="F44" s="67">
        <f t="shared" si="16"/>
        <v>79.400000000000006</v>
      </c>
      <c r="G44" s="67">
        <f t="shared" si="16"/>
        <v>84</v>
      </c>
      <c r="H44" s="68"/>
      <c r="I44" s="68"/>
      <c r="J44" s="69"/>
      <c r="K44" s="69"/>
      <c r="L44" s="67">
        <f t="shared" ref="L44:N44" si="17">AVERAGE(L39:L43)</f>
        <v>80</v>
      </c>
      <c r="M44" s="67">
        <f t="shared" si="17"/>
        <v>75.599999999999994</v>
      </c>
      <c r="N44" s="67">
        <f t="shared" si="17"/>
        <v>77.599999999999994</v>
      </c>
      <c r="O44" s="69"/>
      <c r="P44" s="63"/>
      <c r="Q44" s="63"/>
      <c r="R44" s="84">
        <f t="shared" ref="R44:S44" si="18">AVERAGE(R41:R43)</f>
        <v>82.25</v>
      </c>
      <c r="S44" s="84">
        <f t="shared" si="18"/>
        <v>83</v>
      </c>
      <c r="T44" s="63"/>
      <c r="U44" s="84">
        <f t="shared" ref="U44" si="19">AVERAGE(U39:U43)</f>
        <v>84</v>
      </c>
      <c r="V44" s="58"/>
      <c r="X44" s="278">
        <v>8</v>
      </c>
      <c r="Z44" s="50"/>
      <c r="AA44" s="50"/>
      <c r="AB44" s="50"/>
      <c r="AC44" s="50"/>
      <c r="AD44" s="50"/>
      <c r="AE44" s="50"/>
      <c r="AF44" s="50"/>
      <c r="AG44" s="50"/>
      <c r="AH44" s="50"/>
      <c r="AI44" s="50"/>
      <c r="AJ44" s="50"/>
    </row>
    <row r="45" spans="1:36" ht="18.75" customHeight="1">
      <c r="A45" s="268">
        <v>4</v>
      </c>
      <c r="B45" s="271"/>
      <c r="C45" s="274"/>
      <c r="D45" s="70" t="s">
        <v>300</v>
      </c>
      <c r="E45" s="71">
        <f>ak!$J$8</f>
        <v>94</v>
      </c>
      <c r="F45" s="71">
        <f>ak!$P$8</f>
        <v>93</v>
      </c>
      <c r="G45" s="71">
        <f>ak!$V$8</f>
        <v>90</v>
      </c>
      <c r="H45" s="72"/>
      <c r="I45" s="72"/>
      <c r="J45" s="73"/>
      <c r="K45" s="73"/>
      <c r="L45" s="71">
        <f>ak!$AL$8</f>
        <v>90</v>
      </c>
      <c r="M45" s="71">
        <f>ak!$AR$8</f>
        <v>91</v>
      </c>
      <c r="N45" s="71">
        <f>ak!$AX$8</f>
        <v>91</v>
      </c>
      <c r="O45" s="73"/>
      <c r="P45" s="74"/>
      <c r="Q45" s="74"/>
      <c r="R45" s="85">
        <f>ak!$BX$8</f>
        <v>93</v>
      </c>
      <c r="S45" s="85">
        <f>ak!$BX$8</f>
        <v>93</v>
      </c>
      <c r="T45" s="85">
        <f>ak!$CC$8</f>
        <v>92</v>
      </c>
      <c r="U45" s="75">
        <f>ak!$CG$8</f>
        <v>91</v>
      </c>
      <c r="V45" s="58"/>
      <c r="X45" s="278">
        <v>8</v>
      </c>
      <c r="Z45" s="50"/>
      <c r="AA45" s="50"/>
      <c r="AB45" s="50"/>
      <c r="AC45" s="50"/>
      <c r="AD45" s="50"/>
      <c r="AE45" s="50"/>
      <c r="AF45" s="50"/>
      <c r="AG45" s="50"/>
      <c r="AH45" s="50"/>
      <c r="AI45" s="50"/>
      <c r="AJ45" s="50"/>
    </row>
    <row r="46" spans="1:36" ht="18.75" customHeight="1">
      <c r="A46" s="268">
        <v>4</v>
      </c>
      <c r="B46" s="271"/>
      <c r="C46" s="274"/>
      <c r="D46" s="76" t="s">
        <v>301</v>
      </c>
      <c r="E46" s="77">
        <f>ak!$CH$8</f>
        <v>84</v>
      </c>
      <c r="F46" s="77">
        <f>ak!$CI$8</f>
        <v>86</v>
      </c>
      <c r="G46" s="77">
        <f>ak!$CJ$8</f>
        <v>80</v>
      </c>
      <c r="H46" s="72"/>
      <c r="I46" s="72"/>
      <c r="J46" s="73"/>
      <c r="K46" s="73"/>
      <c r="L46" s="77">
        <f>ak!$CK$8</f>
        <v>87</v>
      </c>
      <c r="M46" s="77">
        <f>ak!$CL$8</f>
        <v>80</v>
      </c>
      <c r="N46" s="77">
        <f>ak!$CM$8</f>
        <v>88</v>
      </c>
      <c r="O46" s="73"/>
      <c r="P46" s="74"/>
      <c r="Q46" s="74"/>
      <c r="R46" s="86">
        <f>ak!$CP$8</f>
        <v>70</v>
      </c>
      <c r="S46" s="86">
        <f>ak!$CO$8</f>
        <v>86</v>
      </c>
      <c r="T46" s="74"/>
      <c r="U46" s="86">
        <f>ak!$CN$8</f>
        <v>82</v>
      </c>
      <c r="V46" s="58"/>
      <c r="X46" s="278">
        <v>8</v>
      </c>
      <c r="Z46" s="50"/>
      <c r="AA46" s="50"/>
      <c r="AB46" s="50"/>
      <c r="AC46" s="50"/>
      <c r="AD46" s="50"/>
      <c r="AE46" s="50"/>
      <c r="AF46" s="50"/>
      <c r="AG46" s="50"/>
      <c r="AH46" s="50"/>
      <c r="AI46" s="50"/>
      <c r="AJ46" s="50"/>
    </row>
    <row r="47" spans="1:36" ht="18.75" customHeight="1" thickBot="1">
      <c r="A47" s="269">
        <v>4</v>
      </c>
      <c r="B47" s="272"/>
      <c r="C47" s="275"/>
      <c r="D47" s="78" t="s">
        <v>302</v>
      </c>
      <c r="E47" s="79">
        <f t="shared" ref="E47:G47" si="20">(E44*4+E45*3+E46*3)/10</f>
        <v>86.679999999999993</v>
      </c>
      <c r="F47" s="79">
        <f t="shared" si="20"/>
        <v>85.460000000000008</v>
      </c>
      <c r="G47" s="79">
        <f t="shared" si="20"/>
        <v>84.6</v>
      </c>
      <c r="H47" s="79">
        <f t="shared" ref="H47:I47" si="21">AVERAGE(H39:H42)</f>
        <v>81.75</v>
      </c>
      <c r="I47" s="79">
        <f t="shared" si="21"/>
        <v>79.5</v>
      </c>
      <c r="J47" s="79">
        <f t="shared" ref="J47" si="22">AVERAGE(J39:J40)</f>
        <v>83.5</v>
      </c>
      <c r="K47" s="79">
        <f t="shared" ref="K47" si="23">AVERAGE(K39:K42)</f>
        <v>79.75</v>
      </c>
      <c r="L47" s="79">
        <f t="shared" ref="L47:N47" si="24">(L44*4+L45*3+L46*3)/10</f>
        <v>85.1</v>
      </c>
      <c r="M47" s="79">
        <f t="shared" si="24"/>
        <v>81.539999999999992</v>
      </c>
      <c r="N47" s="79">
        <f t="shared" si="24"/>
        <v>84.74</v>
      </c>
      <c r="O47" s="79">
        <f t="shared" ref="O47:Q47" si="25">AVERAGE(O39:O40)</f>
        <v>79.5</v>
      </c>
      <c r="P47" s="79">
        <f t="shared" si="25"/>
        <v>80</v>
      </c>
      <c r="Q47" s="79">
        <f t="shared" si="25"/>
        <v>82</v>
      </c>
      <c r="R47" s="79">
        <f t="shared" ref="R47:S47" si="26">(R44*4+R45*3+R46*3)/10</f>
        <v>81.8</v>
      </c>
      <c r="S47" s="79">
        <f t="shared" si="26"/>
        <v>86.9</v>
      </c>
      <c r="T47" s="79">
        <f t="shared" ref="T47" si="27">T45</f>
        <v>92</v>
      </c>
      <c r="U47" s="79">
        <f t="shared" ref="U47" si="28">(U44*4+U45*3+U46*3)/10</f>
        <v>85.5</v>
      </c>
      <c r="V47" s="80">
        <f>AVERAGE(E47:U47)</f>
        <v>83.548235294117646</v>
      </c>
      <c r="X47" s="278">
        <v>8</v>
      </c>
      <c r="Z47" s="50"/>
      <c r="AA47" s="50"/>
      <c r="AB47" s="50"/>
      <c r="AC47" s="50"/>
      <c r="AD47" s="50"/>
      <c r="AE47" s="50"/>
      <c r="AF47" s="50"/>
      <c r="AG47" s="50"/>
      <c r="AH47" s="50"/>
      <c r="AI47" s="50"/>
      <c r="AJ47" s="50"/>
    </row>
    <row r="48" spans="1:36" ht="18.75" customHeight="1" thickTop="1" thickBot="1">
      <c r="A48" s="268">
        <v>5</v>
      </c>
      <c r="B48" s="270" t="s">
        <v>558</v>
      </c>
      <c r="C48" s="273" t="s">
        <v>559</v>
      </c>
      <c r="D48" s="52" t="s">
        <v>294</v>
      </c>
      <c r="E48" s="53">
        <f>ak!$E$9</f>
        <v>87</v>
      </c>
      <c r="F48" s="53">
        <f>ak!$K$9</f>
        <v>82</v>
      </c>
      <c r="G48" s="53">
        <f>ak!$Q$9</f>
        <v>92</v>
      </c>
      <c r="H48" s="53">
        <f>ak!$W$9</f>
        <v>83</v>
      </c>
      <c r="I48" s="53">
        <f>ak!$AA$9</f>
        <v>82</v>
      </c>
      <c r="J48" s="53">
        <f>ak!$AE$9</f>
        <v>83</v>
      </c>
      <c r="K48" s="54">
        <f>ak!$AG$9</f>
        <v>83</v>
      </c>
      <c r="L48" s="55"/>
      <c r="M48" s="53">
        <f>ak!$AM$9</f>
        <v>76</v>
      </c>
      <c r="N48" s="53">
        <f>ak!$AS$9</f>
        <v>82</v>
      </c>
      <c r="O48" s="53">
        <f>ak!$AY$9</f>
        <v>80</v>
      </c>
      <c r="P48" s="54">
        <f>ak!$BA$9</f>
        <v>80</v>
      </c>
      <c r="Q48" s="54">
        <f>ak!$BC$9</f>
        <v>82</v>
      </c>
      <c r="R48" s="55"/>
      <c r="S48" s="55"/>
      <c r="T48" s="55"/>
      <c r="U48" s="55"/>
      <c r="V48" s="56"/>
      <c r="X48" s="288">
        <v>9</v>
      </c>
      <c r="Z48" s="50"/>
      <c r="AA48" s="50"/>
      <c r="AB48" s="50"/>
      <c r="AC48" s="50"/>
      <c r="AD48" s="50"/>
      <c r="AE48" s="50"/>
      <c r="AF48" s="50"/>
      <c r="AG48" s="50"/>
      <c r="AH48" s="50"/>
      <c r="AI48" s="50"/>
      <c r="AJ48" s="50"/>
    </row>
    <row r="49" spans="1:36" ht="18.75" customHeight="1" thickBot="1">
      <c r="A49" s="268">
        <v>5</v>
      </c>
      <c r="B49" s="271"/>
      <c r="C49" s="274"/>
      <c r="D49" s="52" t="s">
        <v>295</v>
      </c>
      <c r="E49" s="53">
        <f>ak!$F$9</f>
        <v>90</v>
      </c>
      <c r="F49" s="53">
        <f>ak!$L$9</f>
        <v>79</v>
      </c>
      <c r="G49" s="53">
        <f>ak!$R$9</f>
        <v>86</v>
      </c>
      <c r="H49" s="53">
        <f>ak!$X$9</f>
        <v>83</v>
      </c>
      <c r="I49" s="53">
        <f>ak!$AB$9</f>
        <v>88</v>
      </c>
      <c r="J49" s="53">
        <f>ak!$AF$9</f>
        <v>80</v>
      </c>
      <c r="K49" s="54">
        <f>ak!$AH$9</f>
        <v>82</v>
      </c>
      <c r="L49" s="55"/>
      <c r="M49" s="53">
        <f>ak!$AN$9</f>
        <v>78</v>
      </c>
      <c r="N49" s="53">
        <f>ak!$AT$9</f>
        <v>80</v>
      </c>
      <c r="O49" s="53">
        <f>ak!$AZ$9</f>
        <v>81</v>
      </c>
      <c r="P49" s="54">
        <f>ak!$BB$9</f>
        <v>80</v>
      </c>
      <c r="Q49" s="54">
        <f>ak!$BD$9</f>
        <v>84</v>
      </c>
      <c r="R49" s="55"/>
      <c r="S49" s="55"/>
      <c r="T49" s="55"/>
      <c r="U49" s="55"/>
      <c r="V49" s="58"/>
      <c r="X49" s="288">
        <v>9</v>
      </c>
      <c r="Z49" s="50"/>
      <c r="AA49" s="50"/>
      <c r="AB49" s="50"/>
      <c r="AC49" s="50"/>
      <c r="AD49" s="50"/>
      <c r="AE49" s="50"/>
      <c r="AF49" s="50"/>
      <c r="AG49" s="50"/>
      <c r="AH49" s="50"/>
      <c r="AI49" s="50"/>
      <c r="AJ49" s="50"/>
    </row>
    <row r="50" spans="1:36" ht="18.75" customHeight="1" thickBot="1">
      <c r="A50" s="268">
        <v>5</v>
      </c>
      <c r="B50" s="271"/>
      <c r="C50" s="274"/>
      <c r="D50" s="52" t="s">
        <v>296</v>
      </c>
      <c r="E50" s="53">
        <f>ak!$G$9</f>
        <v>88</v>
      </c>
      <c r="F50" s="53">
        <f>ak!$M$9</f>
        <v>83</v>
      </c>
      <c r="G50" s="53">
        <f>ak!$S$9</f>
        <v>88</v>
      </c>
      <c r="H50" s="53">
        <f>ak!$Y$9</f>
        <v>81</v>
      </c>
      <c r="I50" s="53">
        <f>ak!$AC$9</f>
        <v>81</v>
      </c>
      <c r="J50" s="59"/>
      <c r="K50" s="54">
        <f>ak!$AI$9</f>
        <v>79</v>
      </c>
      <c r="L50" s="55"/>
      <c r="M50" s="53">
        <f>ak!$AO$9</f>
        <v>75</v>
      </c>
      <c r="N50" s="53">
        <f>ak!$AU$9</f>
        <v>72</v>
      </c>
      <c r="O50" s="59"/>
      <c r="P50" s="55"/>
      <c r="Q50" s="55"/>
      <c r="R50" s="54">
        <f>ak!$BU$9</f>
        <v>81.75</v>
      </c>
      <c r="S50" s="54">
        <f>ak!$BY$9</f>
        <v>84</v>
      </c>
      <c r="T50" s="55"/>
      <c r="U50" s="54">
        <f>ak!$CD$9</f>
        <v>73</v>
      </c>
      <c r="V50" s="58"/>
      <c r="X50" s="288">
        <v>9</v>
      </c>
      <c r="Z50" s="50"/>
      <c r="AA50" s="50"/>
      <c r="AB50" s="50"/>
      <c r="AC50" s="50"/>
      <c r="AD50" s="50"/>
      <c r="AE50" s="50"/>
      <c r="AF50" s="50"/>
      <c r="AG50" s="50"/>
      <c r="AH50" s="50"/>
      <c r="AI50" s="50"/>
      <c r="AJ50" s="50"/>
    </row>
    <row r="51" spans="1:36" ht="18.75" customHeight="1" thickBot="1">
      <c r="A51" s="268">
        <v>5</v>
      </c>
      <c r="B51" s="271"/>
      <c r="C51" s="274"/>
      <c r="D51" s="62" t="s">
        <v>297</v>
      </c>
      <c r="E51" s="53">
        <f>ak!$H$9</f>
        <v>83</v>
      </c>
      <c r="F51" s="53">
        <f>ak!$N$9</f>
        <v>85</v>
      </c>
      <c r="G51" s="53">
        <f>ak!$T$9</f>
        <v>89</v>
      </c>
      <c r="H51" s="53">
        <f>ak!$Z$9</f>
        <v>85</v>
      </c>
      <c r="I51" s="53">
        <f>ak!$AD$9</f>
        <v>83</v>
      </c>
      <c r="J51" s="59"/>
      <c r="K51" s="54">
        <f>ak!$AJ$9</f>
        <v>83</v>
      </c>
      <c r="L51" s="55"/>
      <c r="M51" s="53">
        <f>ak!$AP$9</f>
        <v>76</v>
      </c>
      <c r="N51" s="53">
        <f>ak!$AV$9</f>
        <v>77</v>
      </c>
      <c r="O51" s="59"/>
      <c r="P51" s="55"/>
      <c r="Q51" s="55"/>
      <c r="R51" s="54">
        <f>ak!$BV$9</f>
        <v>82.5</v>
      </c>
      <c r="S51" s="54">
        <f>ak!$BZ$9</f>
        <v>84</v>
      </c>
      <c r="T51" s="63"/>
      <c r="U51" s="54">
        <f>ak!$CE$9</f>
        <v>87</v>
      </c>
      <c r="V51" s="58"/>
      <c r="X51" s="288">
        <v>9</v>
      </c>
      <c r="Z51" s="50"/>
      <c r="AA51" s="50"/>
      <c r="AB51" s="50"/>
      <c r="AC51" s="50"/>
      <c r="AD51" s="50"/>
      <c r="AE51" s="50"/>
      <c r="AF51" s="50"/>
      <c r="AG51" s="50"/>
      <c r="AH51" s="50"/>
      <c r="AI51" s="50"/>
      <c r="AJ51" s="50"/>
    </row>
    <row r="52" spans="1:36" ht="18.75" customHeight="1">
      <c r="A52" s="268">
        <v>5</v>
      </c>
      <c r="B52" s="271"/>
      <c r="C52" s="274"/>
      <c r="D52" s="62" t="s">
        <v>298</v>
      </c>
      <c r="E52" s="53">
        <f>ak!$I$9</f>
        <v>84</v>
      </c>
      <c r="F52" s="53">
        <f>ak!$O$9</f>
        <v>85</v>
      </c>
      <c r="G52" s="53">
        <f>ak!$U$9</f>
        <v>81</v>
      </c>
      <c r="H52" s="65"/>
      <c r="I52" s="65"/>
      <c r="J52" s="59"/>
      <c r="K52" s="59"/>
      <c r="L52" s="53">
        <f>ak!$AK$9</f>
        <v>80</v>
      </c>
      <c r="M52" s="53">
        <f>ak!$AQ$9</f>
        <v>80</v>
      </c>
      <c r="N52" s="53">
        <f>ak!$AW$9</f>
        <v>78</v>
      </c>
      <c r="O52" s="59"/>
      <c r="P52" s="55"/>
      <c r="Q52" s="55"/>
      <c r="R52" s="54">
        <f>ak!$BW$9</f>
        <v>81</v>
      </c>
      <c r="S52" s="54">
        <f>ak!$CA$9</f>
        <v>83</v>
      </c>
      <c r="T52" s="54"/>
      <c r="U52" s="54">
        <f>ak!$CF$9</f>
        <v>77</v>
      </c>
      <c r="V52" s="58"/>
      <c r="W52" s="90"/>
      <c r="X52" s="288">
        <v>9</v>
      </c>
      <c r="Y52" s="90"/>
      <c r="Z52" s="64"/>
      <c r="AA52" s="64"/>
      <c r="AB52" s="64"/>
      <c r="AC52" s="64"/>
      <c r="AD52" s="64"/>
      <c r="AE52" s="64"/>
      <c r="AF52" s="64"/>
      <c r="AG52" s="64"/>
      <c r="AH52" s="64"/>
      <c r="AI52" s="64"/>
      <c r="AJ52" s="64"/>
    </row>
    <row r="53" spans="1:36" ht="18.75" customHeight="1">
      <c r="A53" s="268">
        <v>5</v>
      </c>
      <c r="B53" s="271"/>
      <c r="C53" s="274"/>
      <c r="D53" s="66" t="s">
        <v>299</v>
      </c>
      <c r="E53" s="67">
        <f t="shared" ref="E53:G53" si="29">AVERAGE(E48:E52)</f>
        <v>86.4</v>
      </c>
      <c r="F53" s="67">
        <f t="shared" si="29"/>
        <v>82.8</v>
      </c>
      <c r="G53" s="67">
        <f t="shared" si="29"/>
        <v>87.2</v>
      </c>
      <c r="H53" s="68"/>
      <c r="I53" s="68"/>
      <c r="J53" s="69"/>
      <c r="K53" s="69"/>
      <c r="L53" s="67">
        <f t="shared" ref="L53:N53" si="30">AVERAGE(L48:L52)</f>
        <v>80</v>
      </c>
      <c r="M53" s="67">
        <f t="shared" si="30"/>
        <v>77</v>
      </c>
      <c r="N53" s="67">
        <f t="shared" si="30"/>
        <v>77.8</v>
      </c>
      <c r="O53" s="69"/>
      <c r="P53" s="63"/>
      <c r="Q53" s="63"/>
      <c r="R53" s="84">
        <f t="shared" ref="R53:S53" si="31">AVERAGE(R50:R52)</f>
        <v>81.75</v>
      </c>
      <c r="S53" s="84">
        <f t="shared" si="31"/>
        <v>83.666666666666671</v>
      </c>
      <c r="T53" s="63"/>
      <c r="U53" s="84">
        <f t="shared" ref="U53" si="32">AVERAGE(U48:U52)</f>
        <v>79</v>
      </c>
      <c r="V53" s="58"/>
      <c r="X53" s="288">
        <v>9</v>
      </c>
      <c r="Z53" s="50"/>
      <c r="AA53" s="50"/>
      <c r="AB53" s="50"/>
      <c r="AC53" s="50"/>
      <c r="AD53" s="50"/>
      <c r="AE53" s="50"/>
      <c r="AF53" s="50"/>
      <c r="AG53" s="50"/>
      <c r="AH53" s="50"/>
      <c r="AI53" s="50"/>
      <c r="AJ53" s="50"/>
    </row>
    <row r="54" spans="1:36" ht="18.75" customHeight="1">
      <c r="A54" s="268">
        <v>5</v>
      </c>
      <c r="B54" s="271"/>
      <c r="C54" s="274"/>
      <c r="D54" s="70" t="s">
        <v>300</v>
      </c>
      <c r="E54" s="71">
        <f>ak!$J$9</f>
        <v>80</v>
      </c>
      <c r="F54" s="71">
        <f>ak!$P$9</f>
        <v>85</v>
      </c>
      <c r="G54" s="71">
        <f>ak!$V$9</f>
        <v>84</v>
      </c>
      <c r="H54" s="72"/>
      <c r="I54" s="72"/>
      <c r="J54" s="73"/>
      <c r="K54" s="73"/>
      <c r="L54" s="71">
        <f>ak!$AL$9</f>
        <v>84</v>
      </c>
      <c r="M54" s="71">
        <f>ak!$AR$9</f>
        <v>90</v>
      </c>
      <c r="N54" s="71">
        <f>ak!$AX$9</f>
        <v>90</v>
      </c>
      <c r="O54" s="73"/>
      <c r="P54" s="74"/>
      <c r="Q54" s="74"/>
      <c r="R54" s="85">
        <f>ak!$BX$9</f>
        <v>91</v>
      </c>
      <c r="S54" s="85">
        <f>ak!$BX$9</f>
        <v>91</v>
      </c>
      <c r="T54" s="85">
        <f>ak!$CC$9</f>
        <v>86</v>
      </c>
      <c r="U54" s="75">
        <f>ak!$CG$9</f>
        <v>90</v>
      </c>
      <c r="V54" s="58"/>
      <c r="X54" s="288">
        <v>9</v>
      </c>
      <c r="Z54" s="50"/>
      <c r="AA54" s="50"/>
      <c r="AB54" s="50"/>
      <c r="AC54" s="50"/>
      <c r="AD54" s="50"/>
      <c r="AE54" s="50"/>
      <c r="AF54" s="50"/>
      <c r="AG54" s="50"/>
      <c r="AH54" s="50"/>
      <c r="AI54" s="50"/>
      <c r="AJ54" s="50"/>
    </row>
    <row r="55" spans="1:36" ht="18.75" customHeight="1">
      <c r="A55" s="268">
        <v>5</v>
      </c>
      <c r="B55" s="271"/>
      <c r="C55" s="274"/>
      <c r="D55" s="76" t="s">
        <v>301</v>
      </c>
      <c r="E55" s="77">
        <f>ak!$CH$9</f>
        <v>86</v>
      </c>
      <c r="F55" s="77">
        <f>ak!$CI$9</f>
        <v>93</v>
      </c>
      <c r="G55" s="77">
        <f>ak!$CJ$9</f>
        <v>86</v>
      </c>
      <c r="H55" s="72"/>
      <c r="I55" s="72"/>
      <c r="J55" s="73"/>
      <c r="K55" s="73"/>
      <c r="L55" s="77">
        <f>ak!$CK$9</f>
        <v>94</v>
      </c>
      <c r="M55" s="77">
        <f>ak!$CL$9</f>
        <v>79</v>
      </c>
      <c r="N55" s="77">
        <f>ak!$CM$9</f>
        <v>83</v>
      </c>
      <c r="O55" s="73"/>
      <c r="P55" s="74"/>
      <c r="Q55" s="74"/>
      <c r="R55" s="86">
        <f>ak!$CP$9</f>
        <v>77</v>
      </c>
      <c r="S55" s="86">
        <f>ak!$CO$9</f>
        <v>86</v>
      </c>
      <c r="T55" s="74"/>
      <c r="U55" s="86">
        <f>ak!$CN$9</f>
        <v>83</v>
      </c>
      <c r="V55" s="58"/>
      <c r="X55" s="288">
        <v>9</v>
      </c>
      <c r="Z55" s="50"/>
      <c r="AA55" s="50"/>
      <c r="AB55" s="50"/>
      <c r="AC55" s="50"/>
      <c r="AD55" s="50"/>
      <c r="AE55" s="50"/>
      <c r="AF55" s="50"/>
      <c r="AG55" s="50"/>
      <c r="AH55" s="50"/>
      <c r="AI55" s="50"/>
      <c r="AJ55" s="50"/>
    </row>
    <row r="56" spans="1:36" ht="17.25" customHeight="1" thickBot="1">
      <c r="A56" s="269">
        <v>5</v>
      </c>
      <c r="B56" s="272"/>
      <c r="C56" s="275"/>
      <c r="D56" s="78" t="s">
        <v>302</v>
      </c>
      <c r="E56" s="79">
        <f t="shared" ref="E56:G56" si="33">(E53*4+E54*3+E55*3)/10</f>
        <v>84.36</v>
      </c>
      <c r="F56" s="79">
        <f t="shared" si="33"/>
        <v>86.52000000000001</v>
      </c>
      <c r="G56" s="79">
        <f t="shared" si="33"/>
        <v>85.88</v>
      </c>
      <c r="H56" s="79">
        <f t="shared" ref="H56:I56" si="34">AVERAGE(H48:H51)</f>
        <v>83</v>
      </c>
      <c r="I56" s="79">
        <f t="shared" si="34"/>
        <v>83.5</v>
      </c>
      <c r="J56" s="79">
        <f t="shared" ref="J56" si="35">AVERAGE(J48:J49)</f>
        <v>81.5</v>
      </c>
      <c r="K56" s="79">
        <f t="shared" ref="K56" si="36">AVERAGE(K48:K51)</f>
        <v>81.75</v>
      </c>
      <c r="L56" s="79">
        <f t="shared" ref="L56:N56" si="37">(L53*4+L54*3+L55*3)/10</f>
        <v>85.4</v>
      </c>
      <c r="M56" s="79">
        <f t="shared" si="37"/>
        <v>81.5</v>
      </c>
      <c r="N56" s="79">
        <f t="shared" si="37"/>
        <v>83.02000000000001</v>
      </c>
      <c r="O56" s="79">
        <f t="shared" ref="O56:Q56" si="38">AVERAGE(O48:O49)</f>
        <v>80.5</v>
      </c>
      <c r="P56" s="79">
        <f t="shared" si="38"/>
        <v>80</v>
      </c>
      <c r="Q56" s="79">
        <f t="shared" si="38"/>
        <v>83</v>
      </c>
      <c r="R56" s="79">
        <f t="shared" ref="R56:S56" si="39">(R53*4+R54*3+R55*3)/10</f>
        <v>83.1</v>
      </c>
      <c r="S56" s="79">
        <f t="shared" si="39"/>
        <v>86.566666666666677</v>
      </c>
      <c r="T56" s="79">
        <f t="shared" ref="T56" si="40">T54</f>
        <v>86</v>
      </c>
      <c r="U56" s="79">
        <f t="shared" ref="U56" si="41">(U53*4+U54*3+U55*3)/10</f>
        <v>83.5</v>
      </c>
      <c r="V56" s="80">
        <f>AVERAGE(E56:U56)</f>
        <v>83.476274509803901</v>
      </c>
      <c r="X56" s="288">
        <v>9</v>
      </c>
      <c r="Z56" s="50"/>
      <c r="AA56" s="50"/>
      <c r="AB56" s="50"/>
      <c r="AC56" s="50"/>
      <c r="AD56" s="50"/>
      <c r="AE56" s="50"/>
      <c r="AF56" s="50"/>
      <c r="AG56" s="50"/>
      <c r="AH56" s="50"/>
      <c r="AI56" s="50"/>
      <c r="AJ56" s="50"/>
    </row>
    <row r="57" spans="1:36" ht="18" customHeight="1" thickTop="1" thickBot="1">
      <c r="A57" s="268">
        <v>6</v>
      </c>
      <c r="B57" s="270" t="s">
        <v>560</v>
      </c>
      <c r="C57" s="273" t="s">
        <v>561</v>
      </c>
      <c r="D57" s="52" t="s">
        <v>294</v>
      </c>
      <c r="E57" s="53">
        <f>ak!$E$10</f>
        <v>80</v>
      </c>
      <c r="F57" s="53">
        <f>ak!$K$10</f>
        <v>81</v>
      </c>
      <c r="G57" s="53">
        <f>ak!$Q$10</f>
        <v>91</v>
      </c>
      <c r="H57" s="53">
        <f>ak!$W$10</f>
        <v>83</v>
      </c>
      <c r="I57" s="53">
        <f>ak!$AA$10</f>
        <v>76</v>
      </c>
      <c r="J57" s="53">
        <f>ak!$AE$10</f>
        <v>84</v>
      </c>
      <c r="K57" s="54">
        <f>ak!$AG$10</f>
        <v>84</v>
      </c>
      <c r="L57" s="55"/>
      <c r="M57" s="53">
        <f>ak!$AM$10</f>
        <v>73</v>
      </c>
      <c r="N57" s="53">
        <f>ak!$AS$10</f>
        <v>77</v>
      </c>
      <c r="O57" s="53">
        <f>ak!$AY$10</f>
        <v>78</v>
      </c>
      <c r="P57" s="54">
        <f>ak!$BA$10</f>
        <v>77</v>
      </c>
      <c r="Q57" s="54">
        <f>ak!$BC$10</f>
        <v>81</v>
      </c>
      <c r="R57" s="55"/>
      <c r="S57" s="55"/>
      <c r="T57" s="55"/>
      <c r="U57" s="55"/>
      <c r="V57" s="56"/>
      <c r="X57" s="278">
        <v>10</v>
      </c>
    </row>
    <row r="58" spans="1:36" ht="15" thickBot="1">
      <c r="A58" s="268">
        <v>6</v>
      </c>
      <c r="B58" s="271"/>
      <c r="C58" s="274"/>
      <c r="D58" s="52" t="s">
        <v>295</v>
      </c>
      <c r="E58" s="53">
        <f>ak!$F$10</f>
        <v>91</v>
      </c>
      <c r="F58" s="53">
        <f>ak!$L$10</f>
        <v>86</v>
      </c>
      <c r="G58" s="53">
        <f>ak!$R$10</f>
        <v>83</v>
      </c>
      <c r="H58" s="53">
        <f>ak!$X$10</f>
        <v>84</v>
      </c>
      <c r="I58" s="53">
        <f>ak!$AB$10</f>
        <v>79</v>
      </c>
      <c r="J58" s="53">
        <f>ak!$AF$10</f>
        <v>83</v>
      </c>
      <c r="K58" s="54">
        <f>ak!$AH$10</f>
        <v>83</v>
      </c>
      <c r="L58" s="55"/>
      <c r="M58" s="53">
        <f>ak!$AN$10</f>
        <v>74</v>
      </c>
      <c r="N58" s="53">
        <f>ak!$AT$10</f>
        <v>78</v>
      </c>
      <c r="O58" s="53">
        <f>ak!$AZ$10</f>
        <v>80</v>
      </c>
      <c r="P58" s="54">
        <f>ak!$BB$10</f>
        <v>81</v>
      </c>
      <c r="Q58" s="54">
        <f>ak!$BD$10</f>
        <v>84</v>
      </c>
      <c r="R58" s="55"/>
      <c r="S58" s="55"/>
      <c r="T58" s="55"/>
      <c r="U58" s="55"/>
      <c r="V58" s="58"/>
      <c r="X58" s="278">
        <v>10</v>
      </c>
    </row>
    <row r="59" spans="1:36" ht="15" thickBot="1">
      <c r="A59" s="268">
        <v>6</v>
      </c>
      <c r="B59" s="271"/>
      <c r="C59" s="274"/>
      <c r="D59" s="52" t="s">
        <v>296</v>
      </c>
      <c r="E59" s="53">
        <f>ak!$G$10</f>
        <v>88</v>
      </c>
      <c r="F59" s="53">
        <f>ak!$M$10</f>
        <v>90</v>
      </c>
      <c r="G59" s="53">
        <f>ak!$S$10</f>
        <v>87</v>
      </c>
      <c r="H59" s="53">
        <f>ak!$Y$10</f>
        <v>82</v>
      </c>
      <c r="I59" s="53">
        <f>ak!$AC$10</f>
        <v>83</v>
      </c>
      <c r="J59" s="59"/>
      <c r="K59" s="54">
        <f>ak!$AI$10</f>
        <v>72</v>
      </c>
      <c r="L59" s="55"/>
      <c r="M59" s="53">
        <f>ak!$AO$10</f>
        <v>74</v>
      </c>
      <c r="N59" s="53">
        <f>ak!$AU$10</f>
        <v>73</v>
      </c>
      <c r="O59" s="59"/>
      <c r="P59" s="55"/>
      <c r="Q59" s="55"/>
      <c r="R59" s="54">
        <f>ak!$BU$10</f>
        <v>82.25</v>
      </c>
      <c r="S59" s="54">
        <f>ak!$BY$10</f>
        <v>83</v>
      </c>
      <c r="T59" s="55"/>
      <c r="U59" s="54">
        <f>ak!$CD$10</f>
        <v>75</v>
      </c>
      <c r="V59" s="58"/>
      <c r="X59" s="278">
        <v>10</v>
      </c>
    </row>
    <row r="60" spans="1:36" ht="15" thickBot="1">
      <c r="A60" s="268">
        <v>6</v>
      </c>
      <c r="B60" s="271"/>
      <c r="C60" s="274"/>
      <c r="D60" s="62" t="s">
        <v>297</v>
      </c>
      <c r="E60" s="53">
        <f>ak!$H$10</f>
        <v>82</v>
      </c>
      <c r="F60" s="53">
        <f>ak!$N$10</f>
        <v>90</v>
      </c>
      <c r="G60" s="53">
        <f>ak!$T$10</f>
        <v>88</v>
      </c>
      <c r="H60" s="53">
        <f>ak!$Z$10</f>
        <v>80</v>
      </c>
      <c r="I60" s="53">
        <f>ak!$AD$10</f>
        <v>82</v>
      </c>
      <c r="J60" s="59"/>
      <c r="K60" s="54">
        <f>ak!$AJ$10</f>
        <v>82</v>
      </c>
      <c r="L60" s="55"/>
      <c r="M60" s="53">
        <f>ak!$AP$10</f>
        <v>75</v>
      </c>
      <c r="N60" s="53">
        <f>ak!$AV$10</f>
        <v>78</v>
      </c>
      <c r="O60" s="59"/>
      <c r="P60" s="55"/>
      <c r="Q60" s="55"/>
      <c r="R60" s="54">
        <f>ak!$BV$10</f>
        <v>82.75</v>
      </c>
      <c r="S60" s="54">
        <f>ak!$BZ$10</f>
        <v>83</v>
      </c>
      <c r="T60" s="63"/>
      <c r="U60" s="54">
        <f>ak!$CE$10</f>
        <v>83</v>
      </c>
      <c r="V60" s="58"/>
      <c r="X60" s="278">
        <v>10</v>
      </c>
    </row>
    <row r="61" spans="1:36">
      <c r="A61" s="268">
        <v>6</v>
      </c>
      <c r="B61" s="271"/>
      <c r="C61" s="274"/>
      <c r="D61" s="62" t="s">
        <v>298</v>
      </c>
      <c r="E61" s="53">
        <f>ak!$I$10</f>
        <v>92</v>
      </c>
      <c r="F61" s="53">
        <f>ak!$O$10</f>
        <v>91</v>
      </c>
      <c r="G61" s="53">
        <f>ak!$U$10</f>
        <v>87</v>
      </c>
      <c r="H61" s="65"/>
      <c r="I61" s="65"/>
      <c r="J61" s="59"/>
      <c r="K61" s="59"/>
      <c r="L61" s="53">
        <f>ak!$AK$10</f>
        <v>80</v>
      </c>
      <c r="M61" s="53">
        <f>ak!$AQ$10</f>
        <v>80</v>
      </c>
      <c r="N61" s="53">
        <f>ak!$AW$10</f>
        <v>85</v>
      </c>
      <c r="O61" s="59"/>
      <c r="P61" s="55"/>
      <c r="Q61" s="55"/>
      <c r="R61" s="54">
        <f>ak!$BW$10</f>
        <v>84</v>
      </c>
      <c r="S61" s="54">
        <f>ak!$CA$10</f>
        <v>84</v>
      </c>
      <c r="T61" s="54"/>
      <c r="U61" s="54">
        <f>ak!$CF$10</f>
        <v>78</v>
      </c>
      <c r="V61" s="58"/>
      <c r="X61" s="278">
        <v>10</v>
      </c>
    </row>
    <row r="62" spans="1:36">
      <c r="A62" s="268">
        <v>6</v>
      </c>
      <c r="B62" s="271"/>
      <c r="C62" s="274"/>
      <c r="D62" s="66" t="s">
        <v>299</v>
      </c>
      <c r="E62" s="67">
        <f t="shared" ref="E62:G62" si="42">AVERAGE(E57:E61)</f>
        <v>86.6</v>
      </c>
      <c r="F62" s="67">
        <f t="shared" si="42"/>
        <v>87.6</v>
      </c>
      <c r="G62" s="67">
        <f t="shared" si="42"/>
        <v>87.2</v>
      </c>
      <c r="H62" s="68"/>
      <c r="I62" s="68"/>
      <c r="J62" s="69"/>
      <c r="K62" s="69"/>
      <c r="L62" s="67">
        <f t="shared" ref="L62:N62" si="43">AVERAGE(L57:L61)</f>
        <v>80</v>
      </c>
      <c r="M62" s="67">
        <f t="shared" si="43"/>
        <v>75.2</v>
      </c>
      <c r="N62" s="67">
        <f t="shared" si="43"/>
        <v>78.2</v>
      </c>
      <c r="O62" s="69"/>
      <c r="P62" s="63"/>
      <c r="Q62" s="63"/>
      <c r="R62" s="84">
        <f t="shared" ref="R62:S62" si="44">AVERAGE(R59:R61)</f>
        <v>83</v>
      </c>
      <c r="S62" s="84">
        <f t="shared" si="44"/>
        <v>83.333333333333329</v>
      </c>
      <c r="T62" s="63"/>
      <c r="U62" s="84">
        <f t="shared" ref="U62" si="45">AVERAGE(U57:U61)</f>
        <v>78.666666666666671</v>
      </c>
      <c r="V62" s="58"/>
      <c r="X62" s="278">
        <v>10</v>
      </c>
    </row>
    <row r="63" spans="1:36">
      <c r="A63" s="268">
        <v>6</v>
      </c>
      <c r="B63" s="271"/>
      <c r="C63" s="274"/>
      <c r="D63" s="70" t="s">
        <v>300</v>
      </c>
      <c r="E63" s="71">
        <f>ak!$J$10</f>
        <v>85</v>
      </c>
      <c r="F63" s="71">
        <f>ak!$P$10</f>
        <v>85</v>
      </c>
      <c r="G63" s="71">
        <f>ak!$V$10</f>
        <v>83</v>
      </c>
      <c r="H63" s="72"/>
      <c r="I63" s="72"/>
      <c r="J63" s="73"/>
      <c r="K63" s="73"/>
      <c r="L63" s="71">
        <f>ak!$AL$10</f>
        <v>83</v>
      </c>
      <c r="M63" s="71">
        <f>ak!$AR$10</f>
        <v>85</v>
      </c>
      <c r="N63" s="71">
        <f>ak!$AX$10</f>
        <v>85</v>
      </c>
      <c r="O63" s="73"/>
      <c r="P63" s="74"/>
      <c r="Q63" s="74"/>
      <c r="R63" s="85">
        <f>ak!$BX$10</f>
        <v>85</v>
      </c>
      <c r="S63" s="85">
        <f>ak!$BX$10</f>
        <v>85</v>
      </c>
      <c r="T63" s="85">
        <f>ak!$CC$10</f>
        <v>85</v>
      </c>
      <c r="U63" s="75">
        <f>ak!$CG$10</f>
        <v>85</v>
      </c>
      <c r="V63" s="58"/>
      <c r="X63" s="278">
        <v>10</v>
      </c>
    </row>
    <row r="64" spans="1:36">
      <c r="A64" s="268">
        <v>6</v>
      </c>
      <c r="B64" s="271"/>
      <c r="C64" s="274"/>
      <c r="D64" s="76" t="s">
        <v>301</v>
      </c>
      <c r="E64" s="77">
        <f>ak!$CH$10</f>
        <v>85</v>
      </c>
      <c r="F64" s="77">
        <f>ak!$CI$10</f>
        <v>90</v>
      </c>
      <c r="G64" s="77">
        <f>ak!$CJ$10</f>
        <v>85</v>
      </c>
      <c r="H64" s="72"/>
      <c r="I64" s="72"/>
      <c r="J64" s="73"/>
      <c r="K64" s="73"/>
      <c r="L64" s="77">
        <f>ak!$CK$10</f>
        <v>94</v>
      </c>
      <c r="M64" s="77">
        <f>ak!$CL$10</f>
        <v>79</v>
      </c>
      <c r="N64" s="77">
        <f>ak!$CM$10</f>
        <v>85</v>
      </c>
      <c r="O64" s="73"/>
      <c r="P64" s="74"/>
      <c r="Q64" s="74"/>
      <c r="R64" s="86">
        <f>ak!$CP$10</f>
        <v>92</v>
      </c>
      <c r="S64" s="86">
        <f>ak!$CO$10</f>
        <v>89</v>
      </c>
      <c r="T64" s="74"/>
      <c r="U64" s="86">
        <f>ak!$CN$10</f>
        <v>82</v>
      </c>
      <c r="V64" s="58"/>
      <c r="X64" s="278">
        <v>10</v>
      </c>
    </row>
    <row r="65" spans="1:24" ht="15" thickBot="1">
      <c r="A65" s="269">
        <v>6</v>
      </c>
      <c r="B65" s="272"/>
      <c r="C65" s="275"/>
      <c r="D65" s="78" t="s">
        <v>302</v>
      </c>
      <c r="E65" s="79">
        <f t="shared" ref="E65:G65" si="46">(E62*4+E63*3+E64*3)/10</f>
        <v>85.64</v>
      </c>
      <c r="F65" s="79">
        <f t="shared" si="46"/>
        <v>87.539999999999992</v>
      </c>
      <c r="G65" s="79">
        <f t="shared" si="46"/>
        <v>85.28</v>
      </c>
      <c r="H65" s="79">
        <f t="shared" ref="H65:I65" si="47">AVERAGE(H57:H60)</f>
        <v>82.25</v>
      </c>
      <c r="I65" s="79">
        <f t="shared" si="47"/>
        <v>80</v>
      </c>
      <c r="J65" s="79">
        <f t="shared" ref="J65" si="48">AVERAGE(J57:J58)</f>
        <v>83.5</v>
      </c>
      <c r="K65" s="79">
        <f t="shared" ref="K65" si="49">AVERAGE(K57:K60)</f>
        <v>80.25</v>
      </c>
      <c r="L65" s="79">
        <f t="shared" ref="L65:N65" si="50">(L62*4+L63*3+L64*3)/10</f>
        <v>85.1</v>
      </c>
      <c r="M65" s="79">
        <f t="shared" si="50"/>
        <v>79.28</v>
      </c>
      <c r="N65" s="79">
        <f t="shared" si="50"/>
        <v>82.28</v>
      </c>
      <c r="O65" s="79">
        <f t="shared" ref="O65:Q65" si="51">AVERAGE(O57:O58)</f>
        <v>79</v>
      </c>
      <c r="P65" s="79">
        <f t="shared" si="51"/>
        <v>79</v>
      </c>
      <c r="Q65" s="79">
        <f t="shared" si="51"/>
        <v>82.5</v>
      </c>
      <c r="R65" s="79">
        <f t="shared" ref="R65:S65" si="52">(R62*4+R63*3+R64*3)/10</f>
        <v>86.3</v>
      </c>
      <c r="S65" s="79">
        <f t="shared" si="52"/>
        <v>85.533333333333331</v>
      </c>
      <c r="T65" s="79">
        <f t="shared" ref="T65" si="53">T63</f>
        <v>85</v>
      </c>
      <c r="U65" s="79">
        <f t="shared" ref="U65" si="54">(U62*4+U63*3+U64*3)/10</f>
        <v>81.566666666666677</v>
      </c>
      <c r="V65" s="80">
        <f>AVERAGE(E65:U65)</f>
        <v>82.942352941176452</v>
      </c>
      <c r="X65" s="278">
        <v>10</v>
      </c>
    </row>
    <row r="66" spans="1:24" ht="15.6" thickTop="1" thickBot="1">
      <c r="A66" s="268">
        <v>7</v>
      </c>
      <c r="B66" s="270" t="s">
        <v>562</v>
      </c>
      <c r="C66" s="273" t="s">
        <v>563</v>
      </c>
      <c r="D66" s="52" t="s">
        <v>294</v>
      </c>
      <c r="E66" s="53">
        <f>ak!$E$11</f>
        <v>87</v>
      </c>
      <c r="F66" s="53">
        <f>ak!$K$11</f>
        <v>87</v>
      </c>
      <c r="G66" s="53">
        <f>ak!$Q$11</f>
        <v>84</v>
      </c>
      <c r="H66" s="53">
        <f>ak!$W$11</f>
        <v>84</v>
      </c>
      <c r="I66" s="53">
        <f>ak!$AA$11</f>
        <v>82</v>
      </c>
      <c r="J66" s="53">
        <f>ak!$AE$11</f>
        <v>83</v>
      </c>
      <c r="K66" s="54">
        <f>ak!$AG$11</f>
        <v>83</v>
      </c>
      <c r="L66" s="55"/>
      <c r="M66" s="53">
        <f>ak!$AM$11</f>
        <v>82</v>
      </c>
      <c r="N66" s="53">
        <f>ak!$AS$11</f>
        <v>73</v>
      </c>
      <c r="O66" s="53">
        <f>ak!$AY$11</f>
        <v>80</v>
      </c>
      <c r="P66" s="54">
        <f>ak!$BA$11</f>
        <v>86</v>
      </c>
      <c r="Q66" s="54">
        <f>ak!$BC$11</f>
        <v>82</v>
      </c>
      <c r="R66" s="55"/>
      <c r="S66" s="55"/>
      <c r="T66" s="55"/>
      <c r="U66" s="55"/>
      <c r="V66" s="56"/>
      <c r="X66" s="278">
        <v>11</v>
      </c>
    </row>
    <row r="67" spans="1:24" ht="15" thickBot="1">
      <c r="A67" s="268">
        <v>7</v>
      </c>
      <c r="B67" s="271"/>
      <c r="C67" s="274"/>
      <c r="D67" s="52" t="s">
        <v>295</v>
      </c>
      <c r="E67" s="53">
        <f>ak!$F$11</f>
        <v>92</v>
      </c>
      <c r="F67" s="53">
        <f>ak!$L$11</f>
        <v>86</v>
      </c>
      <c r="G67" s="53">
        <f>ak!$R$11</f>
        <v>91</v>
      </c>
      <c r="H67" s="53">
        <f>ak!$X$11</f>
        <v>85</v>
      </c>
      <c r="I67" s="53">
        <f>ak!$AB$11</f>
        <v>84</v>
      </c>
      <c r="J67" s="53">
        <f>ak!$AF$11</f>
        <v>84</v>
      </c>
      <c r="K67" s="54">
        <f>ak!$AH$11</f>
        <v>84</v>
      </c>
      <c r="L67" s="55"/>
      <c r="M67" s="53">
        <f>ak!$AN$11</f>
        <v>88</v>
      </c>
      <c r="N67" s="53">
        <f>ak!$AT$11</f>
        <v>86</v>
      </c>
      <c r="O67" s="53">
        <f>ak!$AZ$11</f>
        <v>80</v>
      </c>
      <c r="P67" s="54">
        <f>ak!$BB$11</f>
        <v>84</v>
      </c>
      <c r="Q67" s="54">
        <f>ak!$BD$11</f>
        <v>85</v>
      </c>
      <c r="R67" s="55"/>
      <c r="S67" s="55"/>
      <c r="T67" s="55"/>
      <c r="U67" s="55"/>
      <c r="V67" s="58"/>
      <c r="X67" s="278">
        <v>11</v>
      </c>
    </row>
    <row r="68" spans="1:24" ht="15" thickBot="1">
      <c r="A68" s="268">
        <v>7</v>
      </c>
      <c r="B68" s="271"/>
      <c r="C68" s="274"/>
      <c r="D68" s="52" t="s">
        <v>296</v>
      </c>
      <c r="E68" s="53">
        <f>ak!$G$11</f>
        <v>90</v>
      </c>
      <c r="F68" s="53">
        <f>ak!$M$11</f>
        <v>95</v>
      </c>
      <c r="G68" s="53">
        <f>ak!$S$11</f>
        <v>82</v>
      </c>
      <c r="H68" s="53">
        <f>ak!$Y$11</f>
        <v>82</v>
      </c>
      <c r="I68" s="53">
        <f>ak!$AC$11</f>
        <v>84</v>
      </c>
      <c r="J68" s="59"/>
      <c r="K68" s="54">
        <f>ak!$AI$11</f>
        <v>77</v>
      </c>
      <c r="L68" s="55"/>
      <c r="M68" s="53">
        <f>ak!$AO$11</f>
        <v>91</v>
      </c>
      <c r="N68" s="53">
        <f>ak!$AU$11</f>
        <v>74</v>
      </c>
      <c r="O68" s="59"/>
      <c r="P68" s="55"/>
      <c r="Q68" s="55"/>
      <c r="R68" s="54">
        <f>ak!$BU$11</f>
        <v>85.5</v>
      </c>
      <c r="S68" s="54">
        <f>ak!$BY$11</f>
        <v>86</v>
      </c>
      <c r="T68" s="55"/>
      <c r="U68" s="54">
        <f>ak!$CD$11</f>
        <v>83</v>
      </c>
      <c r="V68" s="58"/>
      <c r="X68" s="278">
        <v>11</v>
      </c>
    </row>
    <row r="69" spans="1:24" ht="15" thickBot="1">
      <c r="A69" s="268">
        <v>7</v>
      </c>
      <c r="B69" s="271"/>
      <c r="C69" s="274"/>
      <c r="D69" s="62" t="s">
        <v>297</v>
      </c>
      <c r="E69" s="53">
        <f>ak!$H$11</f>
        <v>85</v>
      </c>
      <c r="F69" s="53">
        <f>ak!$N$11</f>
        <v>95</v>
      </c>
      <c r="G69" s="53">
        <f>ak!$T$11</f>
        <v>85</v>
      </c>
      <c r="H69" s="53">
        <f>ak!$Z$11</f>
        <v>80</v>
      </c>
      <c r="I69" s="53">
        <f>ak!$AD$11</f>
        <v>86</v>
      </c>
      <c r="J69" s="59"/>
      <c r="K69" s="54">
        <f>ak!$AJ$11</f>
        <v>86</v>
      </c>
      <c r="L69" s="55"/>
      <c r="M69" s="53">
        <f>ak!$AP$11</f>
        <v>91</v>
      </c>
      <c r="N69" s="53">
        <f>ak!$AV$11</f>
        <v>79</v>
      </c>
      <c r="O69" s="59"/>
      <c r="P69" s="55"/>
      <c r="Q69" s="55"/>
      <c r="R69" s="54">
        <f>ak!$BV$11</f>
        <v>85.25</v>
      </c>
      <c r="S69" s="54">
        <f>ak!$BZ$11</f>
        <v>84</v>
      </c>
      <c r="T69" s="63"/>
      <c r="U69" s="54">
        <f>ak!$CE$11</f>
        <v>86</v>
      </c>
      <c r="V69" s="58"/>
      <c r="X69" s="278">
        <v>11</v>
      </c>
    </row>
    <row r="70" spans="1:24">
      <c r="A70" s="268">
        <v>7</v>
      </c>
      <c r="B70" s="271"/>
      <c r="C70" s="274"/>
      <c r="D70" s="62" t="s">
        <v>298</v>
      </c>
      <c r="E70" s="53">
        <f>ak!$I$11</f>
        <v>91</v>
      </c>
      <c r="F70" s="53">
        <f>ak!$O$11</f>
        <v>95</v>
      </c>
      <c r="G70" s="53">
        <f>ak!$U$11</f>
        <v>84</v>
      </c>
      <c r="H70" s="65"/>
      <c r="I70" s="65"/>
      <c r="J70" s="59"/>
      <c r="K70" s="59"/>
      <c r="L70" s="53">
        <f>ak!$AK$11</f>
        <v>85</v>
      </c>
      <c r="M70" s="53">
        <f>ak!$AQ$11</f>
        <v>94</v>
      </c>
      <c r="N70" s="53">
        <f>ak!$AW$11</f>
        <v>88</v>
      </c>
      <c r="O70" s="59"/>
      <c r="P70" s="55"/>
      <c r="Q70" s="55"/>
      <c r="R70" s="54">
        <f>ak!$BW$11</f>
        <v>86.5</v>
      </c>
      <c r="S70" s="54">
        <f>ak!$CA$11</f>
        <v>85</v>
      </c>
      <c r="T70" s="54"/>
      <c r="U70" s="54">
        <f>ak!$CF$11</f>
        <v>79</v>
      </c>
      <c r="V70" s="58"/>
      <c r="X70" s="278">
        <v>11</v>
      </c>
    </row>
    <row r="71" spans="1:24">
      <c r="A71" s="268">
        <v>7</v>
      </c>
      <c r="B71" s="271"/>
      <c r="C71" s="274"/>
      <c r="D71" s="66" t="s">
        <v>299</v>
      </c>
      <c r="E71" s="67">
        <f t="shared" ref="E71:G71" si="55">AVERAGE(E66:E70)</f>
        <v>89</v>
      </c>
      <c r="F71" s="67">
        <f t="shared" si="55"/>
        <v>91.6</v>
      </c>
      <c r="G71" s="67">
        <f t="shared" si="55"/>
        <v>85.2</v>
      </c>
      <c r="H71" s="68"/>
      <c r="I71" s="68"/>
      <c r="J71" s="69"/>
      <c r="K71" s="69"/>
      <c r="L71" s="67">
        <f t="shared" ref="L71:N71" si="56">AVERAGE(L66:L70)</f>
        <v>85</v>
      </c>
      <c r="M71" s="67">
        <f t="shared" si="56"/>
        <v>89.2</v>
      </c>
      <c r="N71" s="67">
        <f t="shared" si="56"/>
        <v>80</v>
      </c>
      <c r="O71" s="69"/>
      <c r="P71" s="63"/>
      <c r="Q71" s="63"/>
      <c r="R71" s="84">
        <f t="shared" ref="R71:S71" si="57">AVERAGE(R68:R70)</f>
        <v>85.75</v>
      </c>
      <c r="S71" s="84">
        <f t="shared" si="57"/>
        <v>85</v>
      </c>
      <c r="T71" s="63"/>
      <c r="U71" s="84">
        <f t="shared" ref="U71" si="58">AVERAGE(U66:U70)</f>
        <v>82.666666666666671</v>
      </c>
      <c r="V71" s="58"/>
      <c r="X71" s="278">
        <v>11</v>
      </c>
    </row>
    <row r="72" spans="1:24">
      <c r="A72" s="268">
        <v>7</v>
      </c>
      <c r="B72" s="271"/>
      <c r="C72" s="274"/>
      <c r="D72" s="70" t="s">
        <v>300</v>
      </c>
      <c r="E72" s="71">
        <f>ak!$J$11</f>
        <v>86</v>
      </c>
      <c r="F72" s="71">
        <f>ak!$P$11</f>
        <v>85</v>
      </c>
      <c r="G72" s="71">
        <f>ak!$V$11</f>
        <v>83</v>
      </c>
      <c r="H72" s="72"/>
      <c r="I72" s="72"/>
      <c r="J72" s="73"/>
      <c r="K72" s="73"/>
      <c r="L72" s="71">
        <f>ak!$AL$11</f>
        <v>83</v>
      </c>
      <c r="M72" s="71">
        <f>ak!$AR$11</f>
        <v>85</v>
      </c>
      <c r="N72" s="71">
        <f>ak!$AX$11</f>
        <v>85</v>
      </c>
      <c r="O72" s="73"/>
      <c r="P72" s="74"/>
      <c r="Q72" s="74"/>
      <c r="R72" s="85">
        <f>ak!$BX$11</f>
        <v>85</v>
      </c>
      <c r="S72" s="85">
        <f>ak!$BX$11</f>
        <v>85</v>
      </c>
      <c r="T72" s="85">
        <f>ak!$CC$11</f>
        <v>85</v>
      </c>
      <c r="U72" s="75">
        <f>ak!$CG$11</f>
        <v>85</v>
      </c>
      <c r="V72" s="58"/>
      <c r="X72" s="278">
        <v>11</v>
      </c>
    </row>
    <row r="73" spans="1:24">
      <c r="A73" s="268">
        <v>7</v>
      </c>
      <c r="B73" s="271"/>
      <c r="C73" s="274"/>
      <c r="D73" s="76" t="s">
        <v>301</v>
      </c>
      <c r="E73" s="77">
        <f>ak!$CH$11</f>
        <v>87</v>
      </c>
      <c r="F73" s="77">
        <f>ak!$CI$11</f>
        <v>95</v>
      </c>
      <c r="G73" s="77">
        <f>ak!$CJ$11</f>
        <v>88</v>
      </c>
      <c r="H73" s="72"/>
      <c r="I73" s="72"/>
      <c r="J73" s="73"/>
      <c r="K73" s="73"/>
      <c r="L73" s="77">
        <f>ak!$CK$11</f>
        <v>92</v>
      </c>
      <c r="M73" s="77">
        <f>ak!$CL$11</f>
        <v>94</v>
      </c>
      <c r="N73" s="77">
        <f>ak!$CM$11</f>
        <v>88</v>
      </c>
      <c r="O73" s="73"/>
      <c r="P73" s="74"/>
      <c r="Q73" s="74"/>
      <c r="R73" s="86">
        <f>ak!$CP$11</f>
        <v>87</v>
      </c>
      <c r="S73" s="86">
        <f>ak!$CO$11</f>
        <v>89</v>
      </c>
      <c r="T73" s="74"/>
      <c r="U73" s="86">
        <f>ak!$CN$11</f>
        <v>87</v>
      </c>
      <c r="V73" s="58"/>
      <c r="X73" s="278">
        <v>11</v>
      </c>
    </row>
    <row r="74" spans="1:24" ht="15" thickBot="1">
      <c r="A74" s="269">
        <v>7</v>
      </c>
      <c r="B74" s="272"/>
      <c r="C74" s="275"/>
      <c r="D74" s="78" t="s">
        <v>302</v>
      </c>
      <c r="E74" s="79">
        <f t="shared" ref="E74:G74" si="59">(E71*4+E72*3+E73*3)/10</f>
        <v>87.5</v>
      </c>
      <c r="F74" s="79">
        <f t="shared" si="59"/>
        <v>90.64</v>
      </c>
      <c r="G74" s="79">
        <f t="shared" si="59"/>
        <v>85.38</v>
      </c>
      <c r="H74" s="79">
        <f t="shared" ref="H74:I74" si="60">AVERAGE(H66:H69)</f>
        <v>82.75</v>
      </c>
      <c r="I74" s="79">
        <f t="shared" si="60"/>
        <v>84</v>
      </c>
      <c r="J74" s="79">
        <f t="shared" ref="J74" si="61">AVERAGE(J66:J67)</f>
        <v>83.5</v>
      </c>
      <c r="K74" s="79">
        <f t="shared" ref="K74" si="62">AVERAGE(K66:K69)</f>
        <v>82.5</v>
      </c>
      <c r="L74" s="79">
        <f t="shared" ref="L74:N74" si="63">(L71*4+L72*3+L73*3)/10</f>
        <v>86.5</v>
      </c>
      <c r="M74" s="79">
        <f t="shared" si="63"/>
        <v>89.38</v>
      </c>
      <c r="N74" s="79">
        <f t="shared" si="63"/>
        <v>83.9</v>
      </c>
      <c r="O74" s="79">
        <f t="shared" ref="O74:Q74" si="64">AVERAGE(O66:O67)</f>
        <v>80</v>
      </c>
      <c r="P74" s="79">
        <f t="shared" si="64"/>
        <v>85</v>
      </c>
      <c r="Q74" s="79">
        <f t="shared" si="64"/>
        <v>83.5</v>
      </c>
      <c r="R74" s="79">
        <f t="shared" ref="R74:S74" si="65">(R71*4+R72*3+R73*3)/10</f>
        <v>85.9</v>
      </c>
      <c r="S74" s="79">
        <f t="shared" si="65"/>
        <v>86.2</v>
      </c>
      <c r="T74" s="79">
        <f t="shared" ref="T74" si="66">T72</f>
        <v>85</v>
      </c>
      <c r="U74" s="79">
        <f t="shared" ref="U74" si="67">(U71*4+U72*3+U73*3)/10</f>
        <v>84.666666666666671</v>
      </c>
      <c r="V74" s="80">
        <f>AVERAGE(E74:U74)</f>
        <v>85.077450980392172</v>
      </c>
      <c r="X74" s="278">
        <v>11</v>
      </c>
    </row>
    <row r="75" spans="1:24" ht="15.6" thickTop="1" thickBot="1">
      <c r="A75" s="268">
        <v>8</v>
      </c>
      <c r="B75" s="270" t="s">
        <v>564</v>
      </c>
      <c r="C75" s="273" t="s">
        <v>565</v>
      </c>
      <c r="D75" s="52" t="s">
        <v>294</v>
      </c>
      <c r="E75" s="53">
        <f>ak!$E$12</f>
        <v>80</v>
      </c>
      <c r="F75" s="53">
        <f>ak!$K$12</f>
        <v>80</v>
      </c>
      <c r="G75" s="53">
        <f>ak!$Q$12</f>
        <v>94</v>
      </c>
      <c r="H75" s="53">
        <f>ak!$W$12</f>
        <v>84</v>
      </c>
      <c r="I75" s="53">
        <f>ak!$AA$12</f>
        <v>79</v>
      </c>
      <c r="J75" s="53">
        <f>ak!$AE$12</f>
        <v>90</v>
      </c>
      <c r="K75" s="54">
        <f>ak!$AG$12</f>
        <v>84</v>
      </c>
      <c r="L75" s="55"/>
      <c r="M75" s="53">
        <f>ak!$AM$12</f>
        <v>73</v>
      </c>
      <c r="N75" s="53">
        <f>ak!$AS$12</f>
        <v>74</v>
      </c>
      <c r="O75" s="53">
        <f>ak!$AY$12</f>
        <v>77</v>
      </c>
      <c r="P75" s="54">
        <f>ak!$BA$12</f>
        <v>81</v>
      </c>
      <c r="Q75" s="54">
        <f>ak!$BC$12</f>
        <v>82</v>
      </c>
      <c r="R75" s="55"/>
      <c r="S75" s="55"/>
      <c r="T75" s="55"/>
      <c r="U75" s="55"/>
      <c r="V75" s="56"/>
      <c r="X75" s="278">
        <v>12</v>
      </c>
    </row>
    <row r="76" spans="1:24" ht="15" thickBot="1">
      <c r="A76" s="268">
        <v>8</v>
      </c>
      <c r="B76" s="271"/>
      <c r="C76" s="274"/>
      <c r="D76" s="52" t="s">
        <v>295</v>
      </c>
      <c r="E76" s="53">
        <f>ak!$F$12</f>
        <v>80</v>
      </c>
      <c r="F76" s="53">
        <f>ak!$L$12</f>
        <v>84</v>
      </c>
      <c r="G76" s="53">
        <f>ak!$R$12</f>
        <v>84</v>
      </c>
      <c r="H76" s="53">
        <f>ak!$X$12</f>
        <v>85</v>
      </c>
      <c r="I76" s="53">
        <f>ak!$AB$12</f>
        <v>87</v>
      </c>
      <c r="J76" s="53">
        <f>ak!$AF$12</f>
        <v>85</v>
      </c>
      <c r="K76" s="54">
        <f>ak!$AH$12</f>
        <v>82</v>
      </c>
      <c r="L76" s="55"/>
      <c r="M76" s="53">
        <f>ak!$AN$12</f>
        <v>78</v>
      </c>
      <c r="N76" s="53">
        <f>ak!$AT$12</f>
        <v>80</v>
      </c>
      <c r="O76" s="53">
        <f>ak!$AZ$12</f>
        <v>83</v>
      </c>
      <c r="P76" s="54">
        <f>ak!$BB$12</f>
        <v>80</v>
      </c>
      <c r="Q76" s="54">
        <f>ak!$BD$12</f>
        <v>84</v>
      </c>
      <c r="R76" s="55"/>
      <c r="S76" s="55"/>
      <c r="T76" s="55"/>
      <c r="U76" s="55"/>
      <c r="V76" s="58"/>
      <c r="X76" s="278">
        <v>12</v>
      </c>
    </row>
    <row r="77" spans="1:24" ht="15" thickBot="1">
      <c r="A77" s="268">
        <v>8</v>
      </c>
      <c r="B77" s="271"/>
      <c r="C77" s="274"/>
      <c r="D77" s="52" t="s">
        <v>296</v>
      </c>
      <c r="E77" s="53">
        <f>ak!$G$12</f>
        <v>88</v>
      </c>
      <c r="F77" s="53">
        <f>ak!$M$12</f>
        <v>90</v>
      </c>
      <c r="G77" s="53">
        <f>ak!$S$12</f>
        <v>83</v>
      </c>
      <c r="H77" s="53">
        <f>ak!$Y$12</f>
        <v>81</v>
      </c>
      <c r="I77" s="53">
        <f>ak!$AC$12</f>
        <v>82</v>
      </c>
      <c r="J77" s="59"/>
      <c r="K77" s="54">
        <f>ak!$AI$12</f>
        <v>75</v>
      </c>
      <c r="L77" s="55"/>
      <c r="M77" s="53">
        <f>ak!$AO$12</f>
        <v>73</v>
      </c>
      <c r="N77" s="53">
        <f>ak!$AU$12</f>
        <v>77</v>
      </c>
      <c r="O77" s="59"/>
      <c r="P77" s="55"/>
      <c r="Q77" s="55"/>
      <c r="R77" s="54">
        <f>ak!$BU$12</f>
        <v>83.5</v>
      </c>
      <c r="S77" s="54">
        <f>ak!$BY$12</f>
        <v>84</v>
      </c>
      <c r="T77" s="55"/>
      <c r="U77" s="54">
        <f>ak!$CD$12</f>
        <v>71</v>
      </c>
      <c r="V77" s="58"/>
      <c r="X77" s="278">
        <v>12</v>
      </c>
    </row>
    <row r="78" spans="1:24" ht="15" thickBot="1">
      <c r="A78" s="268">
        <v>8</v>
      </c>
      <c r="B78" s="271"/>
      <c r="C78" s="274"/>
      <c r="D78" s="62" t="s">
        <v>297</v>
      </c>
      <c r="E78" s="53">
        <f>ak!$H$12</f>
        <v>82</v>
      </c>
      <c r="F78" s="53">
        <f>ak!$N$12</f>
        <v>90</v>
      </c>
      <c r="G78" s="53">
        <f>ak!$T$12</f>
        <v>84</v>
      </c>
      <c r="H78" s="53">
        <f>ak!$Z$12</f>
        <v>80</v>
      </c>
      <c r="I78" s="53">
        <f>ak!$AD$12</f>
        <v>84</v>
      </c>
      <c r="J78" s="59"/>
      <c r="K78" s="54">
        <f>ak!$AJ$12</f>
        <v>84</v>
      </c>
      <c r="L78" s="55"/>
      <c r="M78" s="53">
        <f>ak!$AP$12</f>
        <v>74</v>
      </c>
      <c r="N78" s="53">
        <f>ak!$AV$12</f>
        <v>77</v>
      </c>
      <c r="O78" s="59"/>
      <c r="P78" s="55"/>
      <c r="Q78" s="55"/>
      <c r="R78" s="54">
        <f>ak!$BV$12</f>
        <v>83.75</v>
      </c>
      <c r="S78" s="54">
        <f>ak!$BZ$12</f>
        <v>84</v>
      </c>
      <c r="T78" s="63"/>
      <c r="U78" s="54">
        <f>ak!$CE$12</f>
        <v>90</v>
      </c>
      <c r="V78" s="58"/>
      <c r="X78" s="278">
        <v>12</v>
      </c>
    </row>
    <row r="79" spans="1:24">
      <c r="A79" s="268">
        <v>8</v>
      </c>
      <c r="B79" s="271"/>
      <c r="C79" s="274"/>
      <c r="D79" s="62" t="s">
        <v>298</v>
      </c>
      <c r="E79" s="53">
        <f>ak!$I$12</f>
        <v>92</v>
      </c>
      <c r="F79" s="53">
        <f>ak!$O$12</f>
        <v>91</v>
      </c>
      <c r="G79" s="53">
        <f>ak!$U$12</f>
        <v>80</v>
      </c>
      <c r="H79" s="65"/>
      <c r="I79" s="65"/>
      <c r="J79" s="59"/>
      <c r="K79" s="59"/>
      <c r="L79" s="53">
        <f>ak!$AK$12</f>
        <v>80</v>
      </c>
      <c r="M79" s="53">
        <f>ak!$AQ$12</f>
        <v>80</v>
      </c>
      <c r="N79" s="53">
        <f>ak!$AW$12</f>
        <v>81</v>
      </c>
      <c r="O79" s="59"/>
      <c r="P79" s="55"/>
      <c r="Q79" s="55"/>
      <c r="R79" s="54">
        <f>ak!$BW$12</f>
        <v>84.75</v>
      </c>
      <c r="S79" s="54">
        <f>ak!$CA$12</f>
        <v>85</v>
      </c>
      <c r="T79" s="54"/>
      <c r="U79" s="54">
        <f>ak!$CF$12</f>
        <v>78</v>
      </c>
      <c r="V79" s="58"/>
      <c r="X79" s="278">
        <v>12</v>
      </c>
    </row>
    <row r="80" spans="1:24">
      <c r="A80" s="268">
        <v>8</v>
      </c>
      <c r="B80" s="271"/>
      <c r="C80" s="274"/>
      <c r="D80" s="66" t="s">
        <v>299</v>
      </c>
      <c r="E80" s="67">
        <f t="shared" ref="E80:G80" si="68">AVERAGE(E75:E79)</f>
        <v>84.4</v>
      </c>
      <c r="F80" s="67">
        <f t="shared" si="68"/>
        <v>87</v>
      </c>
      <c r="G80" s="67">
        <f t="shared" si="68"/>
        <v>85</v>
      </c>
      <c r="H80" s="68"/>
      <c r="I80" s="68"/>
      <c r="J80" s="69"/>
      <c r="K80" s="69"/>
      <c r="L80" s="67">
        <f t="shared" ref="L80:N80" si="69">AVERAGE(L75:L79)</f>
        <v>80</v>
      </c>
      <c r="M80" s="67">
        <f t="shared" si="69"/>
        <v>75.599999999999994</v>
      </c>
      <c r="N80" s="67">
        <f t="shared" si="69"/>
        <v>77.8</v>
      </c>
      <c r="O80" s="69"/>
      <c r="P80" s="63"/>
      <c r="Q80" s="63"/>
      <c r="R80" s="84">
        <f t="shared" ref="R80:S80" si="70">AVERAGE(R77:R79)</f>
        <v>84</v>
      </c>
      <c r="S80" s="84">
        <f t="shared" si="70"/>
        <v>84.333333333333329</v>
      </c>
      <c r="T80" s="63"/>
      <c r="U80" s="84">
        <f t="shared" ref="U80" si="71">AVERAGE(U75:U79)</f>
        <v>79.666666666666671</v>
      </c>
      <c r="V80" s="58"/>
      <c r="X80" s="278">
        <v>12</v>
      </c>
    </row>
    <row r="81" spans="1:24">
      <c r="A81" s="268">
        <v>8</v>
      </c>
      <c r="B81" s="271"/>
      <c r="C81" s="274"/>
      <c r="D81" s="70" t="s">
        <v>300</v>
      </c>
      <c r="E81" s="71">
        <f>ak!$J$12</f>
        <v>90</v>
      </c>
      <c r="F81" s="71">
        <f>ak!$P$12</f>
        <v>89</v>
      </c>
      <c r="G81" s="71">
        <f>ak!$V$12</f>
        <v>88</v>
      </c>
      <c r="H81" s="72"/>
      <c r="I81" s="72"/>
      <c r="J81" s="73"/>
      <c r="K81" s="73"/>
      <c r="L81" s="71">
        <f>ak!$AL$12</f>
        <v>88</v>
      </c>
      <c r="M81" s="71">
        <f>ak!$AR$12</f>
        <v>89</v>
      </c>
      <c r="N81" s="71">
        <f>ak!$AX$12</f>
        <v>89</v>
      </c>
      <c r="O81" s="73"/>
      <c r="P81" s="74"/>
      <c r="Q81" s="74"/>
      <c r="R81" s="85">
        <f>ak!$BX$12</f>
        <v>89</v>
      </c>
      <c r="S81" s="85">
        <f>ak!$BX$12</f>
        <v>89</v>
      </c>
      <c r="T81" s="85">
        <f>ak!$CC$12</f>
        <v>89</v>
      </c>
      <c r="U81" s="75">
        <f>ak!$CG$12</f>
        <v>89</v>
      </c>
      <c r="V81" s="58"/>
      <c r="X81" s="278">
        <v>12</v>
      </c>
    </row>
    <row r="82" spans="1:24">
      <c r="A82" s="268">
        <v>8</v>
      </c>
      <c r="B82" s="271"/>
      <c r="C82" s="274"/>
      <c r="D82" s="76" t="s">
        <v>301</v>
      </c>
      <c r="E82" s="77">
        <f>ak!$CH$12</f>
        <v>87</v>
      </c>
      <c r="F82" s="77">
        <f>ak!$CI$12</f>
        <v>95</v>
      </c>
      <c r="G82" s="77">
        <f>ak!$CJ$12</f>
        <v>82</v>
      </c>
      <c r="H82" s="72"/>
      <c r="I82" s="72"/>
      <c r="J82" s="73"/>
      <c r="K82" s="73"/>
      <c r="L82" s="77">
        <f>ak!$CK$12</f>
        <v>80</v>
      </c>
      <c r="M82" s="77">
        <f>ak!$CL$12</f>
        <v>80</v>
      </c>
      <c r="N82" s="77">
        <f>ak!$CM$12</f>
        <v>87</v>
      </c>
      <c r="O82" s="73"/>
      <c r="P82" s="74"/>
      <c r="Q82" s="74"/>
      <c r="R82" s="86">
        <f>ak!$CP$12</f>
        <v>70</v>
      </c>
      <c r="S82" s="86">
        <f>ak!$CO$12</f>
        <v>85</v>
      </c>
      <c r="T82" s="74"/>
      <c r="U82" s="86">
        <f>ak!$CN$12</f>
        <v>86</v>
      </c>
      <c r="V82" s="58"/>
      <c r="X82" s="278">
        <v>12</v>
      </c>
    </row>
    <row r="83" spans="1:24" ht="15" thickBot="1">
      <c r="A83" s="269">
        <v>8</v>
      </c>
      <c r="B83" s="272"/>
      <c r="C83" s="275"/>
      <c r="D83" s="78" t="s">
        <v>302</v>
      </c>
      <c r="E83" s="79">
        <f t="shared" ref="E83:G83" si="72">(E80*4+E81*3+E82*3)/10</f>
        <v>86.86</v>
      </c>
      <c r="F83" s="79">
        <f t="shared" si="72"/>
        <v>90</v>
      </c>
      <c r="G83" s="79">
        <f t="shared" si="72"/>
        <v>85</v>
      </c>
      <c r="H83" s="79">
        <f t="shared" ref="H83:I83" si="73">AVERAGE(H75:H78)</f>
        <v>82.5</v>
      </c>
      <c r="I83" s="79">
        <f t="shared" si="73"/>
        <v>83</v>
      </c>
      <c r="J83" s="79">
        <f t="shared" ref="J83" si="74">AVERAGE(J75:J76)</f>
        <v>87.5</v>
      </c>
      <c r="K83" s="79">
        <f t="shared" ref="K83" si="75">AVERAGE(K75:K78)</f>
        <v>81.25</v>
      </c>
      <c r="L83" s="79">
        <f t="shared" ref="L83:N83" si="76">(L80*4+L81*3+L82*3)/10</f>
        <v>82.4</v>
      </c>
      <c r="M83" s="79">
        <f t="shared" si="76"/>
        <v>80.94</v>
      </c>
      <c r="N83" s="79">
        <f t="shared" si="76"/>
        <v>83.92</v>
      </c>
      <c r="O83" s="79">
        <f t="shared" ref="O83:Q83" si="77">AVERAGE(O75:O76)</f>
        <v>80</v>
      </c>
      <c r="P83" s="79">
        <f t="shared" si="77"/>
        <v>80.5</v>
      </c>
      <c r="Q83" s="79">
        <f t="shared" si="77"/>
        <v>83</v>
      </c>
      <c r="R83" s="79">
        <f t="shared" ref="R83:S83" si="78">(R80*4+R81*3+R82*3)/10</f>
        <v>81.3</v>
      </c>
      <c r="S83" s="79">
        <f t="shared" si="78"/>
        <v>85.933333333333323</v>
      </c>
      <c r="T83" s="79">
        <f t="shared" ref="T83" si="79">T81</f>
        <v>89</v>
      </c>
      <c r="U83" s="79">
        <f t="shared" ref="U83" si="80">(U80*4+U81*3+U82*3)/10</f>
        <v>84.366666666666674</v>
      </c>
      <c r="V83" s="80">
        <f>AVERAGE(E83:U83)</f>
        <v>83.96882352941175</v>
      </c>
      <c r="X83" s="278">
        <v>12</v>
      </c>
    </row>
    <row r="84" spans="1:24" ht="15.6" thickTop="1" thickBot="1">
      <c r="A84" s="268">
        <v>9</v>
      </c>
      <c r="B84" s="270" t="s">
        <v>566</v>
      </c>
      <c r="C84" s="273" t="s">
        <v>567</v>
      </c>
      <c r="D84" s="52" t="s">
        <v>294</v>
      </c>
      <c r="E84" s="53">
        <f>ak!$E$13</f>
        <v>80</v>
      </c>
      <c r="F84" s="53">
        <f>ak!$K$13</f>
        <v>81</v>
      </c>
      <c r="G84" s="53">
        <f>ak!$Q$13</f>
        <v>78</v>
      </c>
      <c r="H84" s="53">
        <f>ak!$W$13</f>
        <v>84</v>
      </c>
      <c r="I84" s="53">
        <f>ak!$AA$13</f>
        <v>76</v>
      </c>
      <c r="J84" s="53">
        <f>ak!$AE$13</f>
        <v>83</v>
      </c>
      <c r="K84" s="54">
        <f>ak!$AG$13</f>
        <v>83</v>
      </c>
      <c r="L84" s="55"/>
      <c r="M84" s="53">
        <f>ak!$AM$13</f>
        <v>73</v>
      </c>
      <c r="N84" s="53">
        <f>ak!$AS$13</f>
        <v>71</v>
      </c>
      <c r="O84" s="53">
        <f>ak!$AY$13</f>
        <v>80</v>
      </c>
      <c r="P84" s="54">
        <f>ak!$BA$13</f>
        <v>77</v>
      </c>
      <c r="Q84" s="54">
        <f>ak!$BC$13</f>
        <v>82</v>
      </c>
      <c r="R84" s="55"/>
      <c r="S84" s="55"/>
      <c r="T84" s="55"/>
      <c r="U84" s="55"/>
      <c r="V84" s="56"/>
      <c r="X84" s="278">
        <v>13</v>
      </c>
    </row>
    <row r="85" spans="1:24" ht="15" thickBot="1">
      <c r="A85" s="268">
        <v>9</v>
      </c>
      <c r="B85" s="271"/>
      <c r="C85" s="274"/>
      <c r="D85" s="52" t="s">
        <v>295</v>
      </c>
      <c r="E85" s="53">
        <f>ak!$F$13</f>
        <v>80</v>
      </c>
      <c r="F85" s="53">
        <f>ak!$L$13</f>
        <v>84</v>
      </c>
      <c r="G85" s="53">
        <f>ak!$R$13</f>
        <v>81</v>
      </c>
      <c r="H85" s="53">
        <f>ak!$X$13</f>
        <v>86</v>
      </c>
      <c r="I85" s="53">
        <f>ak!$AB$13</f>
        <v>86</v>
      </c>
      <c r="J85" s="53">
        <f>ak!$AF$13</f>
        <v>83</v>
      </c>
      <c r="K85" s="54">
        <f>ak!$AH$13</f>
        <v>83</v>
      </c>
      <c r="L85" s="55"/>
      <c r="M85" s="53">
        <f>ak!$AN$13</f>
        <v>75</v>
      </c>
      <c r="N85" s="53">
        <f>ak!$AT$13</f>
        <v>74</v>
      </c>
      <c r="O85" s="53">
        <f>ak!$AZ$13</f>
        <v>79</v>
      </c>
      <c r="P85" s="54">
        <f>ak!$BB$13</f>
        <v>80</v>
      </c>
      <c r="Q85" s="54">
        <f>ak!$BD$13</f>
        <v>82</v>
      </c>
      <c r="R85" s="55"/>
      <c r="S85" s="55"/>
      <c r="T85" s="55"/>
      <c r="U85" s="55"/>
      <c r="V85" s="58"/>
      <c r="X85" s="278">
        <v>13</v>
      </c>
    </row>
    <row r="86" spans="1:24" ht="15" thickBot="1">
      <c r="A86" s="268">
        <v>9</v>
      </c>
      <c r="B86" s="271"/>
      <c r="C86" s="274"/>
      <c r="D86" s="52" t="s">
        <v>296</v>
      </c>
      <c r="E86" s="53">
        <f>ak!$G$13</f>
        <v>85</v>
      </c>
      <c r="F86" s="53">
        <f>ak!$M$13</f>
        <v>86</v>
      </c>
      <c r="G86" s="53">
        <f>ak!$S$13</f>
        <v>86</v>
      </c>
      <c r="H86" s="53">
        <f>ak!$Y$13</f>
        <v>83</v>
      </c>
      <c r="I86" s="53">
        <f>ak!$AC$13</f>
        <v>81</v>
      </c>
      <c r="J86" s="59"/>
      <c r="K86" s="54">
        <f>ak!$AI$13</f>
        <v>71</v>
      </c>
      <c r="L86" s="55"/>
      <c r="M86" s="53">
        <f>ak!$AO$13</f>
        <v>73</v>
      </c>
      <c r="N86" s="53">
        <f>ak!$AU$13</f>
        <v>72</v>
      </c>
      <c r="O86" s="59"/>
      <c r="P86" s="55"/>
      <c r="Q86" s="55"/>
      <c r="R86" s="54">
        <f>ak!$BU$13</f>
        <v>81</v>
      </c>
      <c r="S86" s="54">
        <f>ak!$BY$13</f>
        <v>84</v>
      </c>
      <c r="T86" s="55"/>
      <c r="U86" s="54">
        <f>ak!$CD$13</f>
        <v>82</v>
      </c>
      <c r="V86" s="58"/>
      <c r="X86" s="278">
        <v>13</v>
      </c>
    </row>
    <row r="87" spans="1:24" ht="15" thickBot="1">
      <c r="A87" s="268">
        <v>9</v>
      </c>
      <c r="B87" s="271"/>
      <c r="C87" s="274"/>
      <c r="D87" s="62" t="s">
        <v>297</v>
      </c>
      <c r="E87" s="53">
        <f>ak!$H$13</f>
        <v>84</v>
      </c>
      <c r="F87" s="53">
        <f>ak!$N$13</f>
        <v>84</v>
      </c>
      <c r="G87" s="53">
        <f>ak!$T$13</f>
        <v>86</v>
      </c>
      <c r="H87" s="53">
        <f>ak!$Z$13</f>
        <v>86</v>
      </c>
      <c r="I87" s="53">
        <f>ak!$AD$13</f>
        <v>82</v>
      </c>
      <c r="J87" s="59"/>
      <c r="K87" s="54">
        <f>ak!$AJ$13</f>
        <v>82</v>
      </c>
      <c r="L87" s="55"/>
      <c r="M87" s="53">
        <f>ak!$AP$13</f>
        <v>74</v>
      </c>
      <c r="N87" s="53">
        <f>ak!$AV$13</f>
        <v>77</v>
      </c>
      <c r="O87" s="59"/>
      <c r="P87" s="55"/>
      <c r="Q87" s="55"/>
      <c r="R87" s="54">
        <f>ak!$BV$13</f>
        <v>82.25</v>
      </c>
      <c r="S87" s="54">
        <f>ak!$BZ$13</f>
        <v>86</v>
      </c>
      <c r="T87" s="63"/>
      <c r="U87" s="54">
        <f>ak!$CE$13</f>
        <v>84</v>
      </c>
      <c r="V87" s="58"/>
      <c r="X87" s="278">
        <v>13</v>
      </c>
    </row>
    <row r="88" spans="1:24">
      <c r="A88" s="268">
        <v>9</v>
      </c>
      <c r="B88" s="271"/>
      <c r="C88" s="274"/>
      <c r="D88" s="62" t="s">
        <v>298</v>
      </c>
      <c r="E88" s="53">
        <f>ak!$I$13</f>
        <v>89</v>
      </c>
      <c r="F88" s="53">
        <f>ak!$O$13</f>
        <v>84</v>
      </c>
      <c r="G88" s="53">
        <f>ak!$U$13</f>
        <v>80</v>
      </c>
      <c r="H88" s="65"/>
      <c r="I88" s="65"/>
      <c r="J88" s="59"/>
      <c r="K88" s="59"/>
      <c r="L88" s="53">
        <f>ak!$AK$13</f>
        <v>80</v>
      </c>
      <c r="M88" s="53">
        <f>ak!$AQ$13</f>
        <v>80</v>
      </c>
      <c r="N88" s="53">
        <f>ak!$AW$13</f>
        <v>75</v>
      </c>
      <c r="O88" s="59"/>
      <c r="P88" s="55"/>
      <c r="Q88" s="55"/>
      <c r="R88" s="54">
        <f>ak!$BW$13</f>
        <v>82.75</v>
      </c>
      <c r="S88" s="54">
        <f>ak!$CA$13</f>
        <v>81</v>
      </c>
      <c r="T88" s="54"/>
      <c r="U88" s="54">
        <f>ak!$CF$13</f>
        <v>74</v>
      </c>
      <c r="V88" s="58"/>
      <c r="X88" s="278">
        <v>13</v>
      </c>
    </row>
    <row r="89" spans="1:24">
      <c r="A89" s="268">
        <v>9</v>
      </c>
      <c r="B89" s="271"/>
      <c r="C89" s="274"/>
      <c r="D89" s="66" t="s">
        <v>299</v>
      </c>
      <c r="E89" s="67">
        <f t="shared" ref="E89:G89" si="81">AVERAGE(E84:E88)</f>
        <v>83.6</v>
      </c>
      <c r="F89" s="67">
        <f t="shared" si="81"/>
        <v>83.8</v>
      </c>
      <c r="G89" s="67">
        <f t="shared" si="81"/>
        <v>82.2</v>
      </c>
      <c r="H89" s="68"/>
      <c r="I89" s="68"/>
      <c r="J89" s="69"/>
      <c r="K89" s="69"/>
      <c r="L89" s="67">
        <f t="shared" ref="L89:N89" si="82">AVERAGE(L84:L88)</f>
        <v>80</v>
      </c>
      <c r="M89" s="67">
        <f t="shared" si="82"/>
        <v>75</v>
      </c>
      <c r="N89" s="67">
        <f t="shared" si="82"/>
        <v>73.8</v>
      </c>
      <c r="O89" s="69"/>
      <c r="P89" s="63"/>
      <c r="Q89" s="63"/>
      <c r="R89" s="84">
        <f t="shared" ref="R89:S89" si="83">AVERAGE(R86:R88)</f>
        <v>82</v>
      </c>
      <c r="S89" s="84">
        <f t="shared" si="83"/>
        <v>83.666666666666671</v>
      </c>
      <c r="T89" s="63"/>
      <c r="U89" s="84">
        <f t="shared" ref="U89" si="84">AVERAGE(U84:U88)</f>
        <v>80</v>
      </c>
      <c r="V89" s="58"/>
      <c r="X89" s="278">
        <v>13</v>
      </c>
    </row>
    <row r="90" spans="1:24">
      <c r="A90" s="268">
        <v>9</v>
      </c>
      <c r="B90" s="271"/>
      <c r="C90" s="274"/>
      <c r="D90" s="70" t="s">
        <v>300</v>
      </c>
      <c r="E90" s="71">
        <f>ak!$J$13</f>
        <v>86</v>
      </c>
      <c r="F90" s="71">
        <f>ak!$P$13</f>
        <v>85</v>
      </c>
      <c r="G90" s="71">
        <f>ak!$V$13</f>
        <v>83</v>
      </c>
      <c r="H90" s="72"/>
      <c r="I90" s="72"/>
      <c r="J90" s="73"/>
      <c r="K90" s="73"/>
      <c r="L90" s="71">
        <f>ak!$AL$13</f>
        <v>83</v>
      </c>
      <c r="M90" s="71">
        <f>ak!$AR$13</f>
        <v>83</v>
      </c>
      <c r="N90" s="71">
        <f>ak!$AX$13</f>
        <v>83</v>
      </c>
      <c r="O90" s="73"/>
      <c r="P90" s="74"/>
      <c r="Q90" s="74"/>
      <c r="R90" s="85">
        <f>ak!$BX$13</f>
        <v>87</v>
      </c>
      <c r="S90" s="85">
        <f>ak!$BX$13</f>
        <v>87</v>
      </c>
      <c r="T90" s="85">
        <f>ak!$CC$13</f>
        <v>85</v>
      </c>
      <c r="U90" s="75">
        <f>ak!$CG$13</f>
        <v>83</v>
      </c>
      <c r="V90" s="58"/>
      <c r="X90" s="278">
        <v>13</v>
      </c>
    </row>
    <row r="91" spans="1:24">
      <c r="A91" s="268">
        <v>9</v>
      </c>
      <c r="B91" s="271"/>
      <c r="C91" s="274"/>
      <c r="D91" s="76" t="s">
        <v>301</v>
      </c>
      <c r="E91" s="77">
        <f>ak!$CH$13</f>
        <v>85</v>
      </c>
      <c r="F91" s="77">
        <f>ak!$CI$13</f>
        <v>80</v>
      </c>
      <c r="G91" s="77">
        <f>ak!$CJ$13</f>
        <v>85</v>
      </c>
      <c r="H91" s="72"/>
      <c r="I91" s="72"/>
      <c r="J91" s="73"/>
      <c r="K91" s="73"/>
      <c r="L91" s="77">
        <f>ak!$CK$13</f>
        <v>77</v>
      </c>
      <c r="M91" s="77">
        <f>ak!$CL$13</f>
        <v>80</v>
      </c>
      <c r="N91" s="77">
        <f>ak!$CM$13</f>
        <v>83</v>
      </c>
      <c r="O91" s="73"/>
      <c r="P91" s="74"/>
      <c r="Q91" s="74"/>
      <c r="R91" s="86">
        <f>ak!$CP$13</f>
        <v>75</v>
      </c>
      <c r="S91" s="86">
        <f>ak!$CO$13</f>
        <v>85</v>
      </c>
      <c r="T91" s="74"/>
      <c r="U91" s="86">
        <f>ak!$CN$13</f>
        <v>83</v>
      </c>
      <c r="V91" s="58"/>
      <c r="X91" s="278">
        <v>13</v>
      </c>
    </row>
    <row r="92" spans="1:24" ht="15" thickBot="1">
      <c r="A92" s="269">
        <v>9</v>
      </c>
      <c r="B92" s="272"/>
      <c r="C92" s="275"/>
      <c r="D92" s="78" t="s">
        <v>302</v>
      </c>
      <c r="E92" s="79">
        <f t="shared" ref="E92:G92" si="85">(E89*4+E90*3+E91*3)/10</f>
        <v>84.74</v>
      </c>
      <c r="F92" s="79">
        <f t="shared" si="85"/>
        <v>83.02000000000001</v>
      </c>
      <c r="G92" s="79">
        <f t="shared" si="85"/>
        <v>83.28</v>
      </c>
      <c r="H92" s="79">
        <f t="shared" ref="H92:I92" si="86">AVERAGE(H84:H87)</f>
        <v>84.75</v>
      </c>
      <c r="I92" s="79">
        <f t="shared" si="86"/>
        <v>81.25</v>
      </c>
      <c r="J92" s="79">
        <f ca="1">AVERAGE(J84:J814)</f>
        <v>0</v>
      </c>
      <c r="K92" s="79">
        <f t="shared" ref="K92" si="87">AVERAGE(K84:K87)</f>
        <v>79.75</v>
      </c>
      <c r="L92" s="79">
        <f t="shared" ref="L92:N92" si="88">(L89*4+L90*3+L91*3)/10</f>
        <v>80</v>
      </c>
      <c r="M92" s="79">
        <f t="shared" si="88"/>
        <v>78.900000000000006</v>
      </c>
      <c r="N92" s="79">
        <f t="shared" si="88"/>
        <v>79.320000000000007</v>
      </c>
      <c r="O92" s="79">
        <f ca="1">AVERAGE(O84:O814)</f>
        <v>0</v>
      </c>
      <c r="P92" s="79">
        <f ca="1">AVERAGE(P84:P814)</f>
        <v>0</v>
      </c>
      <c r="Q92" s="79">
        <f ca="1">AVERAGE(Q84:Q814)</f>
        <v>0</v>
      </c>
      <c r="R92" s="79">
        <f t="shared" ref="R92:S92" si="89">(R89*4+R90*3+R91*3)/10</f>
        <v>81.400000000000006</v>
      </c>
      <c r="S92" s="79">
        <f t="shared" si="89"/>
        <v>85.066666666666677</v>
      </c>
      <c r="T92" s="79">
        <f t="shared" ref="T92" si="90">T90</f>
        <v>85</v>
      </c>
      <c r="U92" s="79">
        <f t="shared" ref="U92" si="91">(U89*4+U90*3+U91*3)/10</f>
        <v>81.8</v>
      </c>
      <c r="V92" s="80">
        <f ca="1">AVERAGE(E92:U92)</f>
        <v>81.839803921568631</v>
      </c>
      <c r="X92" s="278">
        <v>13</v>
      </c>
    </row>
    <row r="93" spans="1:24" ht="15.6" thickTop="1" thickBot="1">
      <c r="A93" s="268">
        <v>10</v>
      </c>
      <c r="B93" s="270" t="s">
        <v>568</v>
      </c>
      <c r="C93" s="273" t="s">
        <v>569</v>
      </c>
      <c r="D93" s="52" t="s">
        <v>294</v>
      </c>
      <c r="E93" s="53">
        <f>ak!$E$14</f>
        <v>80</v>
      </c>
      <c r="F93" s="53">
        <f>ak!$K$14</f>
        <v>83</v>
      </c>
      <c r="G93" s="53">
        <f>ak!$Q$14</f>
        <v>81</v>
      </c>
      <c r="H93" s="53">
        <f>ak!$W$14</f>
        <v>83</v>
      </c>
      <c r="I93" s="53">
        <f>ak!$AA$14</f>
        <v>78</v>
      </c>
      <c r="J93" s="53">
        <f>ak!$AE$14</f>
        <v>83</v>
      </c>
      <c r="K93" s="54">
        <f>ak!$AG$14</f>
        <v>83</v>
      </c>
      <c r="L93" s="55"/>
      <c r="M93" s="53">
        <f>ak!$AM$14</f>
        <v>71</v>
      </c>
      <c r="N93" s="53">
        <f>ak!$AS$14</f>
        <v>73</v>
      </c>
      <c r="O93" s="53">
        <f>ak!$AY$14</f>
        <v>77</v>
      </c>
      <c r="P93" s="54">
        <f>ak!$BA$14</f>
        <v>81</v>
      </c>
      <c r="Q93" s="54">
        <f>ak!$BC$14</f>
        <v>83</v>
      </c>
      <c r="R93" s="55"/>
      <c r="S93" s="55"/>
      <c r="T93" s="55"/>
      <c r="U93" s="55"/>
      <c r="V93" s="56"/>
      <c r="X93" s="278">
        <v>14</v>
      </c>
    </row>
    <row r="94" spans="1:24" ht="15" thickBot="1">
      <c r="A94" s="268">
        <v>10</v>
      </c>
      <c r="B94" s="271"/>
      <c r="C94" s="274"/>
      <c r="D94" s="52" t="s">
        <v>295</v>
      </c>
      <c r="E94" s="53">
        <f>ak!$F$14</f>
        <v>82</v>
      </c>
      <c r="F94" s="53">
        <f>ak!$L$14</f>
        <v>78</v>
      </c>
      <c r="G94" s="53">
        <f>ak!$R$14</f>
        <v>88</v>
      </c>
      <c r="H94" s="53">
        <f>ak!$X$14</f>
        <v>84</v>
      </c>
      <c r="I94" s="53">
        <f>ak!$AB$14</f>
        <v>83</v>
      </c>
      <c r="J94" s="53">
        <f>ak!$AF$14</f>
        <v>85</v>
      </c>
      <c r="K94" s="54">
        <f>ak!$AH$14</f>
        <v>85</v>
      </c>
      <c r="L94" s="55"/>
      <c r="M94" s="53">
        <f>ak!$AN$14</f>
        <v>72</v>
      </c>
      <c r="N94" s="53">
        <f>ak!$AT$14</f>
        <v>79</v>
      </c>
      <c r="O94" s="53">
        <f>ak!$AZ$14</f>
        <v>80</v>
      </c>
      <c r="P94" s="54">
        <f>ak!$BB$14</f>
        <v>82</v>
      </c>
      <c r="Q94" s="54">
        <f>ak!$BD$14</f>
        <v>85</v>
      </c>
      <c r="R94" s="55"/>
      <c r="S94" s="55"/>
      <c r="T94" s="55"/>
      <c r="U94" s="55"/>
      <c r="V94" s="58"/>
      <c r="X94" s="278">
        <v>14</v>
      </c>
    </row>
    <row r="95" spans="1:24" ht="15" thickBot="1">
      <c r="A95" s="268">
        <v>10</v>
      </c>
      <c r="B95" s="271"/>
      <c r="C95" s="274"/>
      <c r="D95" s="52" t="s">
        <v>296</v>
      </c>
      <c r="E95" s="53">
        <f>ak!$G$14</f>
        <v>86</v>
      </c>
      <c r="F95" s="53">
        <f>ak!$M$14</f>
        <v>79</v>
      </c>
      <c r="G95" s="53">
        <f>ak!$S$14</f>
        <v>78</v>
      </c>
      <c r="H95" s="53">
        <f>ak!$Y$14</f>
        <v>81</v>
      </c>
      <c r="I95" s="53">
        <f>ak!$AC$14</f>
        <v>81</v>
      </c>
      <c r="J95" s="59"/>
      <c r="K95" s="54">
        <f>ak!$AI$14</f>
        <v>73</v>
      </c>
      <c r="L95" s="55"/>
      <c r="M95" s="53">
        <f>ak!$AO$14</f>
        <v>75</v>
      </c>
      <c r="N95" s="53">
        <f>ak!$AU$14</f>
        <v>73</v>
      </c>
      <c r="O95" s="59"/>
      <c r="P95" s="55"/>
      <c r="Q95" s="55"/>
      <c r="R95" s="54">
        <f>ak!$BU$14</f>
        <v>83</v>
      </c>
      <c r="S95" s="54">
        <f>ak!$BY$14</f>
        <v>85</v>
      </c>
      <c r="T95" s="55"/>
      <c r="U95" s="54">
        <f>ak!$CD$14</f>
        <v>77</v>
      </c>
      <c r="V95" s="58"/>
      <c r="X95" s="278">
        <v>14</v>
      </c>
    </row>
    <row r="96" spans="1:24" ht="15" thickBot="1">
      <c r="A96" s="268">
        <v>10</v>
      </c>
      <c r="B96" s="271"/>
      <c r="C96" s="274"/>
      <c r="D96" s="62" t="s">
        <v>297</v>
      </c>
      <c r="E96" s="53">
        <f>ak!$H$14</f>
        <v>84</v>
      </c>
      <c r="F96" s="53">
        <f>ak!$N$14</f>
        <v>82</v>
      </c>
      <c r="G96" s="53">
        <f>ak!$T$14</f>
        <v>80</v>
      </c>
      <c r="H96" s="53">
        <f>ak!$Z$14</f>
        <v>85</v>
      </c>
      <c r="I96" s="53">
        <f>ak!$AD$14</f>
        <v>83</v>
      </c>
      <c r="J96" s="59"/>
      <c r="K96" s="54">
        <f>ak!$AJ$14</f>
        <v>83</v>
      </c>
      <c r="L96" s="55"/>
      <c r="M96" s="53">
        <f>ak!$AP$14</f>
        <v>76</v>
      </c>
      <c r="N96" s="53">
        <f>ak!$AV$14</f>
        <v>77</v>
      </c>
      <c r="O96" s="59"/>
      <c r="P96" s="55"/>
      <c r="Q96" s="55"/>
      <c r="R96" s="54">
        <f>ak!$BV$14</f>
        <v>83.5</v>
      </c>
      <c r="S96" s="54">
        <f>ak!$BZ$14</f>
        <v>85</v>
      </c>
      <c r="T96" s="63"/>
      <c r="U96" s="54">
        <f>ak!$CE$14</f>
        <v>85</v>
      </c>
      <c r="V96" s="58"/>
      <c r="X96" s="278">
        <v>14</v>
      </c>
    </row>
    <row r="97" spans="1:24">
      <c r="A97" s="268">
        <v>10</v>
      </c>
      <c r="B97" s="271"/>
      <c r="C97" s="274"/>
      <c r="D97" s="62" t="s">
        <v>298</v>
      </c>
      <c r="E97" s="53">
        <f>ak!$I$14</f>
        <v>83</v>
      </c>
      <c r="F97" s="53">
        <f>ak!$O$14</f>
        <v>82</v>
      </c>
      <c r="G97" s="53">
        <f>ak!$U$14</f>
        <v>80</v>
      </c>
      <c r="H97" s="65"/>
      <c r="I97" s="65"/>
      <c r="J97" s="59"/>
      <c r="K97" s="59"/>
      <c r="L97" s="53">
        <f>ak!$AK$14</f>
        <v>82</v>
      </c>
      <c r="M97" s="53">
        <f>ak!$AQ$14</f>
        <v>81</v>
      </c>
      <c r="N97" s="53">
        <f>ak!$AW$14</f>
        <v>75</v>
      </c>
      <c r="O97" s="59"/>
      <c r="P97" s="55"/>
      <c r="Q97" s="55"/>
      <c r="R97" s="54">
        <f>ak!$BW$14</f>
        <v>83</v>
      </c>
      <c r="S97" s="54">
        <f>ak!$CA$14</f>
        <v>81</v>
      </c>
      <c r="T97" s="54"/>
      <c r="U97" s="54">
        <f>ak!$CF$14</f>
        <v>74</v>
      </c>
      <c r="V97" s="58"/>
      <c r="X97" s="278">
        <v>14</v>
      </c>
    </row>
    <row r="98" spans="1:24">
      <c r="A98" s="268">
        <v>10</v>
      </c>
      <c r="B98" s="271"/>
      <c r="C98" s="274"/>
      <c r="D98" s="66" t="s">
        <v>299</v>
      </c>
      <c r="E98" s="67">
        <f t="shared" ref="E98:G98" si="92">AVERAGE(E93:E97)</f>
        <v>83</v>
      </c>
      <c r="F98" s="67">
        <f t="shared" si="92"/>
        <v>80.8</v>
      </c>
      <c r="G98" s="67">
        <f t="shared" si="92"/>
        <v>81.400000000000006</v>
      </c>
      <c r="H98" s="68"/>
      <c r="I98" s="68"/>
      <c r="J98" s="69"/>
      <c r="K98" s="69"/>
      <c r="L98" s="67">
        <f t="shared" ref="L98:N98" si="93">AVERAGE(L93:L97)</f>
        <v>82</v>
      </c>
      <c r="M98" s="67">
        <f t="shared" si="93"/>
        <v>75</v>
      </c>
      <c r="N98" s="67">
        <f t="shared" si="93"/>
        <v>75.400000000000006</v>
      </c>
      <c r="O98" s="69"/>
      <c r="P98" s="63"/>
      <c r="Q98" s="63"/>
      <c r="R98" s="84">
        <f t="shared" ref="R98:S98" si="94">AVERAGE(R95:R97)</f>
        <v>83.166666666666671</v>
      </c>
      <c r="S98" s="84">
        <f t="shared" si="94"/>
        <v>83.666666666666671</v>
      </c>
      <c r="T98" s="63"/>
      <c r="U98" s="84">
        <f t="shared" ref="U98" si="95">AVERAGE(U93:U97)</f>
        <v>78.666666666666671</v>
      </c>
      <c r="V98" s="58"/>
      <c r="X98" s="278">
        <v>14</v>
      </c>
    </row>
    <row r="99" spans="1:24">
      <c r="A99" s="268">
        <v>10</v>
      </c>
      <c r="B99" s="271"/>
      <c r="C99" s="274"/>
      <c r="D99" s="70" t="s">
        <v>300</v>
      </c>
      <c r="E99" s="71">
        <f>ak!$J$14</f>
        <v>85</v>
      </c>
      <c r="F99" s="71">
        <f>ak!$P$14</f>
        <v>90</v>
      </c>
      <c r="G99" s="71">
        <f>ak!$V$14</f>
        <v>81</v>
      </c>
      <c r="H99" s="72"/>
      <c r="I99" s="72"/>
      <c r="J99" s="73"/>
      <c r="K99" s="73"/>
      <c r="L99" s="71">
        <f>ak!$AL$14</f>
        <v>81</v>
      </c>
      <c r="M99" s="71">
        <f>ak!$AR$14</f>
        <v>80</v>
      </c>
      <c r="N99" s="71">
        <f>ak!$AX$14</f>
        <v>80</v>
      </c>
      <c r="O99" s="73"/>
      <c r="P99" s="74"/>
      <c r="Q99" s="74"/>
      <c r="R99" s="85">
        <f>ak!$BX$14</f>
        <v>85</v>
      </c>
      <c r="S99" s="85">
        <f>ak!$BX$14</f>
        <v>85</v>
      </c>
      <c r="T99" s="85">
        <f>ak!$CC$14</f>
        <v>84</v>
      </c>
      <c r="U99" s="75">
        <f>ak!$CG$14</f>
        <v>80</v>
      </c>
      <c r="V99" s="58"/>
      <c r="X99" s="278">
        <v>14</v>
      </c>
    </row>
    <row r="100" spans="1:24">
      <c r="A100" s="268">
        <v>10</v>
      </c>
      <c r="B100" s="271"/>
      <c r="C100" s="274"/>
      <c r="D100" s="76" t="s">
        <v>301</v>
      </c>
      <c r="E100" s="77">
        <f>ak!$CH$14</f>
        <v>86</v>
      </c>
      <c r="F100" s="77">
        <f>ak!$CI$14</f>
        <v>85</v>
      </c>
      <c r="G100" s="77">
        <f>ak!$CJ$14</f>
        <v>80</v>
      </c>
      <c r="H100" s="72"/>
      <c r="I100" s="72"/>
      <c r="J100" s="73"/>
      <c r="K100" s="73"/>
      <c r="L100" s="77">
        <f>ak!$CK$14</f>
        <v>77</v>
      </c>
      <c r="M100" s="77">
        <f>ak!$CL$14</f>
        <v>81</v>
      </c>
      <c r="N100" s="77">
        <f>ak!$CM$14</f>
        <v>85</v>
      </c>
      <c r="O100" s="73"/>
      <c r="P100" s="74"/>
      <c r="Q100" s="74"/>
      <c r="R100" s="86">
        <f>ak!$CP$14</f>
        <v>85</v>
      </c>
      <c r="S100" s="86">
        <f>ak!$CO$14</f>
        <v>85</v>
      </c>
      <c r="T100" s="74"/>
      <c r="U100" s="86">
        <f>ak!$CN$14</f>
        <v>82</v>
      </c>
      <c r="V100" s="58"/>
      <c r="X100" s="278">
        <v>14</v>
      </c>
    </row>
    <row r="101" spans="1:24" ht="15" thickBot="1">
      <c r="A101" s="269">
        <v>10</v>
      </c>
      <c r="B101" s="272"/>
      <c r="C101" s="275"/>
      <c r="D101" s="78" t="s">
        <v>302</v>
      </c>
      <c r="E101" s="79">
        <f t="shared" ref="E101:G101" si="96">(E98*4+E99*3+E100*3)/10</f>
        <v>84.5</v>
      </c>
      <c r="F101" s="79">
        <f t="shared" si="96"/>
        <v>84.820000000000007</v>
      </c>
      <c r="G101" s="79">
        <f t="shared" si="96"/>
        <v>80.86</v>
      </c>
      <c r="H101" s="79">
        <f t="shared" ref="H101:I101" si="97">AVERAGE(H93:H96)</f>
        <v>83.25</v>
      </c>
      <c r="I101" s="79">
        <f t="shared" si="97"/>
        <v>81.25</v>
      </c>
      <c r="J101" s="79">
        <f t="shared" ref="J101" si="98">AVERAGE(J93:J94)</f>
        <v>84</v>
      </c>
      <c r="K101" s="79">
        <f t="shared" ref="K101" si="99">AVERAGE(K93:K96)</f>
        <v>81</v>
      </c>
      <c r="L101" s="79">
        <f t="shared" ref="L101:N101" si="100">(L98*4+L99*3+L100*3)/10</f>
        <v>80.2</v>
      </c>
      <c r="M101" s="79">
        <f t="shared" si="100"/>
        <v>78.3</v>
      </c>
      <c r="N101" s="79">
        <f t="shared" si="100"/>
        <v>79.66</v>
      </c>
      <c r="O101" s="79">
        <f t="shared" ref="O101:Q101" si="101">AVERAGE(O93:O94)</f>
        <v>78.5</v>
      </c>
      <c r="P101" s="79">
        <f t="shared" si="101"/>
        <v>81.5</v>
      </c>
      <c r="Q101" s="79">
        <f t="shared" si="101"/>
        <v>84</v>
      </c>
      <c r="R101" s="79">
        <f t="shared" ref="R101:S101" si="102">(R98*4+R99*3+R100*3)/10</f>
        <v>84.26666666666668</v>
      </c>
      <c r="S101" s="79">
        <f t="shared" si="102"/>
        <v>84.466666666666669</v>
      </c>
      <c r="T101" s="79">
        <f t="shared" ref="T101" si="103">T99</f>
        <v>84</v>
      </c>
      <c r="U101" s="79">
        <f t="shared" ref="U101" si="104">(U98*4+U99*3+U100*3)/10</f>
        <v>80.066666666666677</v>
      </c>
      <c r="V101" s="80">
        <f>AVERAGE(E101:U101)</f>
        <v>82.037647058823538</v>
      </c>
      <c r="X101" s="278">
        <v>14</v>
      </c>
    </row>
    <row r="102" spans="1:24" ht="18" customHeight="1" thickTop="1" thickBot="1">
      <c r="A102" s="268">
        <v>11</v>
      </c>
      <c r="B102" s="270" t="s">
        <v>570</v>
      </c>
      <c r="C102" s="273" t="s">
        <v>571</v>
      </c>
      <c r="D102" s="52" t="s">
        <v>294</v>
      </c>
      <c r="E102" s="53">
        <f>ak!$E$15</f>
        <v>82</v>
      </c>
      <c r="F102" s="53">
        <f>ak!$K$15</f>
        <v>81</v>
      </c>
      <c r="G102" s="53">
        <f>ak!$Q$15</f>
        <v>87</v>
      </c>
      <c r="H102" s="53">
        <f>ak!$W$15</f>
        <v>83</v>
      </c>
      <c r="I102" s="53">
        <f>ak!$AA$15</f>
        <v>76</v>
      </c>
      <c r="J102" s="53">
        <f>ak!$AE$15</f>
        <v>83</v>
      </c>
      <c r="K102" s="54">
        <f>ak!$AG$15</f>
        <v>83</v>
      </c>
      <c r="L102" s="55"/>
      <c r="M102" s="53">
        <f>ak!$AM$15</f>
        <v>77</v>
      </c>
      <c r="N102" s="53">
        <f>ak!$AS$15</f>
        <v>82</v>
      </c>
      <c r="O102" s="53">
        <f>ak!$AY$15</f>
        <v>79</v>
      </c>
      <c r="P102" s="54">
        <f>ak!$BA$15</f>
        <v>78</v>
      </c>
      <c r="Q102" s="54">
        <f>ak!$BC$15</f>
        <v>83</v>
      </c>
      <c r="R102" s="55"/>
      <c r="S102" s="55"/>
      <c r="T102" s="55"/>
      <c r="U102" s="55"/>
      <c r="V102" s="56"/>
      <c r="X102" s="278">
        <v>15</v>
      </c>
    </row>
    <row r="103" spans="1:24" ht="15" thickBot="1">
      <c r="A103" s="268">
        <v>11</v>
      </c>
      <c r="B103" s="271"/>
      <c r="C103" s="274"/>
      <c r="D103" s="52" t="s">
        <v>295</v>
      </c>
      <c r="E103" s="53">
        <f>ak!$F$15</f>
        <v>84</v>
      </c>
      <c r="F103" s="53">
        <f>ak!$L$15</f>
        <v>81</v>
      </c>
      <c r="G103" s="53">
        <f>ak!$R$15</f>
        <v>87</v>
      </c>
      <c r="H103" s="53">
        <f>ak!$X$15</f>
        <v>85</v>
      </c>
      <c r="I103" s="53">
        <f>ak!$AB$15</f>
        <v>84</v>
      </c>
      <c r="J103" s="53">
        <f>ak!$AF$15</f>
        <v>85</v>
      </c>
      <c r="K103" s="54">
        <f>ak!$AH$15</f>
        <v>85</v>
      </c>
      <c r="L103" s="55"/>
      <c r="M103" s="53">
        <f>ak!$AN$15</f>
        <v>78</v>
      </c>
      <c r="N103" s="53">
        <f>ak!$AT$15</f>
        <v>80</v>
      </c>
      <c r="O103" s="53">
        <f>ak!$AZ$15</f>
        <v>83</v>
      </c>
      <c r="P103" s="54">
        <f>ak!$BB$15</f>
        <v>86</v>
      </c>
      <c r="Q103" s="54">
        <f>ak!$BD$15</f>
        <v>85</v>
      </c>
      <c r="R103" s="55"/>
      <c r="S103" s="55"/>
      <c r="T103" s="55"/>
      <c r="U103" s="55"/>
      <c r="V103" s="58"/>
      <c r="X103" s="278">
        <v>15</v>
      </c>
    </row>
    <row r="104" spans="1:24" ht="15" thickBot="1">
      <c r="A104" s="268">
        <v>11</v>
      </c>
      <c r="B104" s="271"/>
      <c r="C104" s="274"/>
      <c r="D104" s="52" t="s">
        <v>296</v>
      </c>
      <c r="E104" s="53">
        <f>ak!$G$15</f>
        <v>86</v>
      </c>
      <c r="F104" s="53">
        <f>ak!$M$15</f>
        <v>95</v>
      </c>
      <c r="G104" s="53">
        <f>ak!$S$15</f>
        <v>88</v>
      </c>
      <c r="H104" s="53">
        <f>ak!$Y$15</f>
        <v>82</v>
      </c>
      <c r="I104" s="53">
        <f>ak!$AC$15</f>
        <v>81</v>
      </c>
      <c r="J104" s="59"/>
      <c r="K104" s="54">
        <f>ak!$AI$15</f>
        <v>72</v>
      </c>
      <c r="L104" s="55"/>
      <c r="M104" s="53">
        <f>ak!$AO$15</f>
        <v>78</v>
      </c>
      <c r="N104" s="53">
        <f>ak!$AU$15</f>
        <v>78</v>
      </c>
      <c r="O104" s="59"/>
      <c r="P104" s="55"/>
      <c r="Q104" s="55"/>
      <c r="R104" s="54">
        <f>ak!$BU$15</f>
        <v>82.5</v>
      </c>
      <c r="S104" s="54">
        <f>ak!$BY$15</f>
        <v>83</v>
      </c>
      <c r="T104" s="55"/>
      <c r="U104" s="54">
        <f>ak!$CD$15</f>
        <v>82</v>
      </c>
      <c r="V104" s="58"/>
      <c r="X104" s="278">
        <v>15</v>
      </c>
    </row>
    <row r="105" spans="1:24" ht="15" thickBot="1">
      <c r="A105" s="268">
        <v>11</v>
      </c>
      <c r="B105" s="271"/>
      <c r="C105" s="274"/>
      <c r="D105" s="62" t="s">
        <v>297</v>
      </c>
      <c r="E105" s="53">
        <f>ak!$H$15</f>
        <v>84</v>
      </c>
      <c r="F105" s="53">
        <f>ak!$N$15</f>
        <v>90</v>
      </c>
      <c r="G105" s="53">
        <f>ak!$T$15</f>
        <v>90</v>
      </c>
      <c r="H105" s="53">
        <f>ak!$Z$15</f>
        <v>85</v>
      </c>
      <c r="I105" s="53">
        <f>ak!$AD$15</f>
        <v>86</v>
      </c>
      <c r="J105" s="59"/>
      <c r="K105" s="54">
        <f>ak!$AJ$15</f>
        <v>86</v>
      </c>
      <c r="L105" s="55"/>
      <c r="M105" s="53">
        <f>ak!$AP$15</f>
        <v>79</v>
      </c>
      <c r="N105" s="53">
        <f>ak!$AV$15</f>
        <v>77</v>
      </c>
      <c r="O105" s="59"/>
      <c r="P105" s="55"/>
      <c r="Q105" s="55"/>
      <c r="R105" s="54">
        <f>ak!$BV$15</f>
        <v>84</v>
      </c>
      <c r="S105" s="54">
        <f>ak!$BZ$15</f>
        <v>86</v>
      </c>
      <c r="T105" s="63"/>
      <c r="U105" s="54">
        <f>ak!$CE$15</f>
        <v>88</v>
      </c>
      <c r="V105" s="58"/>
      <c r="X105" s="278">
        <v>15</v>
      </c>
    </row>
    <row r="106" spans="1:24">
      <c r="A106" s="268">
        <v>11</v>
      </c>
      <c r="B106" s="271"/>
      <c r="C106" s="274"/>
      <c r="D106" s="62" t="s">
        <v>298</v>
      </c>
      <c r="E106" s="53">
        <f>ak!$I$15</f>
        <v>89</v>
      </c>
      <c r="F106" s="53">
        <f>ak!$O$15</f>
        <v>90</v>
      </c>
      <c r="G106" s="53">
        <f>ak!$U$15</f>
        <v>80</v>
      </c>
      <c r="H106" s="65"/>
      <c r="I106" s="65"/>
      <c r="J106" s="59"/>
      <c r="K106" s="59"/>
      <c r="L106" s="53">
        <f>ak!$AK$15</f>
        <v>84</v>
      </c>
      <c r="M106" s="53">
        <f>ak!$AQ$15</f>
        <v>82</v>
      </c>
      <c r="N106" s="53">
        <f>ak!$AW$15</f>
        <v>88</v>
      </c>
      <c r="O106" s="59"/>
      <c r="P106" s="55"/>
      <c r="Q106" s="55"/>
      <c r="R106" s="54">
        <f>ak!$BW$15</f>
        <v>83.75</v>
      </c>
      <c r="S106" s="54">
        <f>ak!$CA$15</f>
        <v>84</v>
      </c>
      <c r="T106" s="54"/>
      <c r="U106" s="54">
        <f>ak!$CF$15</f>
        <v>78</v>
      </c>
      <c r="V106" s="58"/>
      <c r="X106" s="278">
        <v>15</v>
      </c>
    </row>
    <row r="107" spans="1:24">
      <c r="A107" s="268">
        <v>11</v>
      </c>
      <c r="B107" s="271"/>
      <c r="C107" s="274"/>
      <c r="D107" s="66" t="s">
        <v>299</v>
      </c>
      <c r="E107" s="67">
        <f t="shared" ref="E107:G107" si="105">AVERAGE(E102:E106)</f>
        <v>85</v>
      </c>
      <c r="F107" s="67">
        <f t="shared" si="105"/>
        <v>87.4</v>
      </c>
      <c r="G107" s="67">
        <f t="shared" si="105"/>
        <v>86.4</v>
      </c>
      <c r="H107" s="68"/>
      <c r="I107" s="68"/>
      <c r="J107" s="69"/>
      <c r="K107" s="69"/>
      <c r="L107" s="67">
        <f t="shared" ref="L107:N107" si="106">AVERAGE(L102:L106)</f>
        <v>84</v>
      </c>
      <c r="M107" s="67">
        <f t="shared" si="106"/>
        <v>78.8</v>
      </c>
      <c r="N107" s="67">
        <f t="shared" si="106"/>
        <v>81</v>
      </c>
      <c r="O107" s="69"/>
      <c r="P107" s="63"/>
      <c r="Q107" s="63"/>
      <c r="R107" s="84">
        <f t="shared" ref="R107:S107" si="107">AVERAGE(R104:R106)</f>
        <v>83.416666666666671</v>
      </c>
      <c r="S107" s="84">
        <f t="shared" si="107"/>
        <v>84.333333333333329</v>
      </c>
      <c r="T107" s="63"/>
      <c r="U107" s="84">
        <f t="shared" ref="U107" si="108">AVERAGE(U102:U106)</f>
        <v>82.666666666666671</v>
      </c>
      <c r="V107" s="58"/>
      <c r="X107" s="278">
        <v>15</v>
      </c>
    </row>
    <row r="108" spans="1:24">
      <c r="A108" s="268">
        <v>11</v>
      </c>
      <c r="B108" s="271"/>
      <c r="C108" s="274"/>
      <c r="D108" s="70" t="s">
        <v>300</v>
      </c>
      <c r="E108" s="71">
        <f>ak!$J$15</f>
        <v>81</v>
      </c>
      <c r="F108" s="71">
        <f>ak!$P$15</f>
        <v>82</v>
      </c>
      <c r="G108" s="71">
        <f>ak!$V$15</f>
        <v>80</v>
      </c>
      <c r="H108" s="72"/>
      <c r="I108" s="72"/>
      <c r="J108" s="73"/>
      <c r="K108" s="73"/>
      <c r="L108" s="71">
        <f>ak!$AL$15</f>
        <v>80</v>
      </c>
      <c r="M108" s="71">
        <f>ak!$AR$15</f>
        <v>80</v>
      </c>
      <c r="N108" s="71">
        <f>ak!$AX$15</f>
        <v>80</v>
      </c>
      <c r="O108" s="73"/>
      <c r="P108" s="74"/>
      <c r="Q108" s="74"/>
      <c r="R108" s="85">
        <f>ak!$BX$15</f>
        <v>83</v>
      </c>
      <c r="S108" s="85">
        <f>ak!$BX$15</f>
        <v>83</v>
      </c>
      <c r="T108" s="85">
        <f>ak!$CC$15</f>
        <v>81</v>
      </c>
      <c r="U108" s="75">
        <f>ak!$CG$15</f>
        <v>80</v>
      </c>
      <c r="V108" s="58"/>
      <c r="X108" s="278">
        <v>15</v>
      </c>
    </row>
    <row r="109" spans="1:24">
      <c r="A109" s="268">
        <v>11</v>
      </c>
      <c r="B109" s="271"/>
      <c r="C109" s="274"/>
      <c r="D109" s="76" t="s">
        <v>301</v>
      </c>
      <c r="E109" s="77">
        <f>ak!$CH$15</f>
        <v>90</v>
      </c>
      <c r="F109" s="77">
        <f>ak!$CI$15</f>
        <v>86</v>
      </c>
      <c r="G109" s="77">
        <f>ak!$CJ$15</f>
        <v>81</v>
      </c>
      <c r="H109" s="72"/>
      <c r="I109" s="72"/>
      <c r="J109" s="73"/>
      <c r="K109" s="73"/>
      <c r="L109" s="77">
        <f>ak!$CK$15</f>
        <v>80</v>
      </c>
      <c r="M109" s="77">
        <f>ak!$CL$15</f>
        <v>82</v>
      </c>
      <c r="N109" s="77">
        <f>ak!$CM$15</f>
        <v>83</v>
      </c>
      <c r="O109" s="73"/>
      <c r="P109" s="74"/>
      <c r="Q109" s="74"/>
      <c r="R109" s="86">
        <f>ak!$CP$15</f>
        <v>77</v>
      </c>
      <c r="S109" s="86">
        <f>ak!$CO$15</f>
        <v>86</v>
      </c>
      <c r="T109" s="74"/>
      <c r="U109" s="86">
        <f>ak!$CN$15</f>
        <v>84</v>
      </c>
      <c r="V109" s="58"/>
      <c r="X109" s="278">
        <v>15</v>
      </c>
    </row>
    <row r="110" spans="1:24" ht="15" thickBot="1">
      <c r="A110" s="269">
        <v>11</v>
      </c>
      <c r="B110" s="272"/>
      <c r="C110" s="275"/>
      <c r="D110" s="78" t="s">
        <v>302</v>
      </c>
      <c r="E110" s="79">
        <f t="shared" ref="E110:G110" si="109">(E107*4+E108*3+E109*3)/10</f>
        <v>85.3</v>
      </c>
      <c r="F110" s="79">
        <f t="shared" si="109"/>
        <v>85.36</v>
      </c>
      <c r="G110" s="79">
        <f t="shared" si="109"/>
        <v>82.86</v>
      </c>
      <c r="H110" s="79">
        <f t="shared" ref="H110:I110" si="110">AVERAGE(H102:H105)</f>
        <v>83.75</v>
      </c>
      <c r="I110" s="79">
        <f t="shared" si="110"/>
        <v>81.75</v>
      </c>
      <c r="J110" s="79">
        <f t="shared" ref="J110" si="111">AVERAGE(J102:J103)</f>
        <v>84</v>
      </c>
      <c r="K110" s="79">
        <f t="shared" ref="K110" si="112">AVERAGE(K102:K105)</f>
        <v>81.5</v>
      </c>
      <c r="L110" s="79">
        <f t="shared" ref="L110:N110" si="113">(L107*4+L108*3+L109*3)/10</f>
        <v>81.599999999999994</v>
      </c>
      <c r="M110" s="79">
        <f t="shared" si="113"/>
        <v>80.12</v>
      </c>
      <c r="N110" s="79">
        <f t="shared" si="113"/>
        <v>81.3</v>
      </c>
      <c r="O110" s="79">
        <f t="shared" ref="O110:Q110" si="114">AVERAGE(O102:O103)</f>
        <v>81</v>
      </c>
      <c r="P110" s="79">
        <f t="shared" si="114"/>
        <v>82</v>
      </c>
      <c r="Q110" s="79">
        <f t="shared" si="114"/>
        <v>84</v>
      </c>
      <c r="R110" s="79">
        <f t="shared" ref="R110:S110" si="115">(R107*4+R108*3+R109*3)/10</f>
        <v>81.366666666666674</v>
      </c>
      <c r="S110" s="79">
        <f t="shared" si="115"/>
        <v>84.433333333333323</v>
      </c>
      <c r="T110" s="79">
        <f t="shared" ref="T110" si="116">T108</f>
        <v>81</v>
      </c>
      <c r="U110" s="79">
        <f t="shared" ref="U110" si="117">(U107*4+U108*3+U109*3)/10</f>
        <v>82.26666666666668</v>
      </c>
      <c r="V110" s="80">
        <f>AVERAGE(E110:U110)</f>
        <v>82.565098039215698</v>
      </c>
      <c r="X110" s="278">
        <v>15</v>
      </c>
    </row>
    <row r="111" spans="1:24" ht="15.6" thickTop="1" thickBot="1">
      <c r="A111" s="268">
        <v>12</v>
      </c>
      <c r="B111" s="270" t="s">
        <v>572</v>
      </c>
      <c r="C111" s="273" t="s">
        <v>573</v>
      </c>
      <c r="D111" s="52" t="s">
        <v>294</v>
      </c>
      <c r="E111" s="53">
        <f>ak!$E$16</f>
        <v>80</v>
      </c>
      <c r="F111" s="53">
        <f>ak!$K$16</f>
        <v>82</v>
      </c>
      <c r="G111" s="53">
        <f>ak!$Q$16</f>
        <v>90</v>
      </c>
      <c r="H111" s="53">
        <f>ak!$W$16</f>
        <v>83</v>
      </c>
      <c r="I111" s="53">
        <f>ak!$AA$16</f>
        <v>77</v>
      </c>
      <c r="J111" s="53">
        <f>ak!$AE$16</f>
        <v>82</v>
      </c>
      <c r="K111" s="54">
        <f>ak!$AG$16</f>
        <v>82</v>
      </c>
      <c r="L111" s="55"/>
      <c r="M111" s="53">
        <f>ak!$AM$16</f>
        <v>71</v>
      </c>
      <c r="N111" s="53">
        <f>ak!$AS$16</f>
        <v>73</v>
      </c>
      <c r="O111" s="53">
        <f>ak!$AY$16</f>
        <v>77</v>
      </c>
      <c r="P111" s="54">
        <f>ak!$BA$16</f>
        <v>77</v>
      </c>
      <c r="Q111" s="54">
        <f>ak!$BC$16</f>
        <v>83</v>
      </c>
      <c r="R111" s="55"/>
      <c r="S111" s="55"/>
      <c r="T111" s="55"/>
      <c r="U111" s="55"/>
      <c r="V111" s="56"/>
      <c r="X111" s="278">
        <v>16</v>
      </c>
    </row>
    <row r="112" spans="1:24" ht="15" thickBot="1">
      <c r="A112" s="268">
        <v>12</v>
      </c>
      <c r="B112" s="271"/>
      <c r="C112" s="274"/>
      <c r="D112" s="52" t="s">
        <v>295</v>
      </c>
      <c r="E112" s="53">
        <f>ak!$F$16</f>
        <v>85</v>
      </c>
      <c r="F112" s="53">
        <f>ak!$L$16</f>
        <v>87</v>
      </c>
      <c r="G112" s="53">
        <f>ak!$R$16</f>
        <v>88</v>
      </c>
      <c r="H112" s="53">
        <f>ak!$X$16</f>
        <v>84</v>
      </c>
      <c r="I112" s="53">
        <f>ak!$AB$16</f>
        <v>86</v>
      </c>
      <c r="J112" s="53">
        <f>ak!$AF$16</f>
        <v>84</v>
      </c>
      <c r="K112" s="54">
        <f>ak!$AH$16</f>
        <v>85</v>
      </c>
      <c r="L112" s="55"/>
      <c r="M112" s="53">
        <f>ak!$AN$16</f>
        <v>73</v>
      </c>
      <c r="N112" s="53">
        <f>ak!$AT$16</f>
        <v>81</v>
      </c>
      <c r="O112" s="53">
        <f>ak!$AZ$16</f>
        <v>82</v>
      </c>
      <c r="P112" s="54">
        <f>ak!$BB$16</f>
        <v>80</v>
      </c>
      <c r="Q112" s="54">
        <f>ak!$BD$16</f>
        <v>84</v>
      </c>
      <c r="R112" s="55"/>
      <c r="S112" s="55"/>
      <c r="T112" s="55"/>
      <c r="U112" s="55"/>
      <c r="V112" s="58"/>
      <c r="X112" s="278">
        <v>16</v>
      </c>
    </row>
    <row r="113" spans="1:24" ht="15" thickBot="1">
      <c r="A113" s="268">
        <v>12</v>
      </c>
      <c r="B113" s="271"/>
      <c r="C113" s="274"/>
      <c r="D113" s="52" t="s">
        <v>296</v>
      </c>
      <c r="E113" s="53">
        <f>ak!$G$16</f>
        <v>85</v>
      </c>
      <c r="F113" s="53">
        <f>ak!$M$16</f>
        <v>82</v>
      </c>
      <c r="G113" s="53">
        <f>ak!$S$16</f>
        <v>80</v>
      </c>
      <c r="H113" s="53">
        <f>ak!$Y$16</f>
        <v>78</v>
      </c>
      <c r="I113" s="53">
        <f>ak!$AC$16</f>
        <v>80</v>
      </c>
      <c r="J113" s="59"/>
      <c r="K113" s="54">
        <f>ak!$AI$16</f>
        <v>70</v>
      </c>
      <c r="L113" s="55"/>
      <c r="M113" s="53">
        <f>ak!$AO$16</f>
        <v>74</v>
      </c>
      <c r="N113" s="53">
        <f>ak!$AU$16</f>
        <v>75</v>
      </c>
      <c r="O113" s="59"/>
      <c r="P113" s="55"/>
      <c r="Q113" s="55"/>
      <c r="R113" s="54">
        <f>ak!$BU$16</f>
        <v>80.5</v>
      </c>
      <c r="S113" s="54">
        <f>ak!$BY$16</f>
        <v>82</v>
      </c>
      <c r="T113" s="55"/>
      <c r="U113" s="54">
        <f>ak!$CD$16</f>
        <v>75</v>
      </c>
      <c r="V113" s="58"/>
      <c r="X113" s="278">
        <v>16</v>
      </c>
    </row>
    <row r="114" spans="1:24" ht="15" thickBot="1">
      <c r="A114" s="268">
        <v>12</v>
      </c>
      <c r="B114" s="271"/>
      <c r="C114" s="274"/>
      <c r="D114" s="62" t="s">
        <v>297</v>
      </c>
      <c r="E114" s="53">
        <f>ak!$H$16</f>
        <v>85</v>
      </c>
      <c r="F114" s="53">
        <f>ak!$N$16</f>
        <v>77</v>
      </c>
      <c r="G114" s="53">
        <f>ak!$T$16</f>
        <v>81</v>
      </c>
      <c r="H114" s="53">
        <f>ak!$Z$16</f>
        <v>85</v>
      </c>
      <c r="I114" s="53">
        <f>ak!$AD$16</f>
        <v>81</v>
      </c>
      <c r="J114" s="59"/>
      <c r="K114" s="54">
        <f>ak!$AJ$16</f>
        <v>81</v>
      </c>
      <c r="L114" s="55"/>
      <c r="M114" s="53">
        <f>ak!$AP$16</f>
        <v>75</v>
      </c>
      <c r="N114" s="53">
        <f>ak!$AV$16</f>
        <v>78</v>
      </c>
      <c r="O114" s="59"/>
      <c r="P114" s="55"/>
      <c r="Q114" s="55"/>
      <c r="R114" s="54">
        <f>ak!$BV$16</f>
        <v>82.5</v>
      </c>
      <c r="S114" s="54">
        <f>ak!$BZ$16</f>
        <v>84</v>
      </c>
      <c r="T114" s="63"/>
      <c r="U114" s="54">
        <f>ak!$CE$16</f>
        <v>82</v>
      </c>
      <c r="V114" s="58"/>
      <c r="X114" s="278">
        <v>16</v>
      </c>
    </row>
    <row r="115" spans="1:24">
      <c r="A115" s="268">
        <v>12</v>
      </c>
      <c r="B115" s="271"/>
      <c r="C115" s="274"/>
      <c r="D115" s="62" t="s">
        <v>298</v>
      </c>
      <c r="E115" s="53">
        <f>ak!$I$16</f>
        <v>89</v>
      </c>
      <c r="F115" s="53">
        <f>ak!$O$16</f>
        <v>80</v>
      </c>
      <c r="G115" s="53">
        <f>ak!$U$16</f>
        <v>83</v>
      </c>
      <c r="H115" s="65"/>
      <c r="I115" s="65"/>
      <c r="J115" s="59"/>
      <c r="K115" s="59"/>
      <c r="L115" s="53">
        <f>ak!$AK$16</f>
        <v>82</v>
      </c>
      <c r="M115" s="53">
        <f>ak!$AQ$16</f>
        <v>80</v>
      </c>
      <c r="N115" s="53">
        <f>ak!$AW$16</f>
        <v>75</v>
      </c>
      <c r="O115" s="59"/>
      <c r="P115" s="55"/>
      <c r="Q115" s="55"/>
      <c r="R115" s="54">
        <f>ak!$BW$16</f>
        <v>84.5</v>
      </c>
      <c r="S115" s="54">
        <f>ak!$CA$16</f>
        <v>84</v>
      </c>
      <c r="T115" s="54"/>
      <c r="U115" s="54">
        <f>ak!$CF$16</f>
        <v>92</v>
      </c>
      <c r="V115" s="58"/>
      <c r="X115" s="278">
        <v>16</v>
      </c>
    </row>
    <row r="116" spans="1:24">
      <c r="A116" s="268">
        <v>12</v>
      </c>
      <c r="B116" s="271"/>
      <c r="C116" s="274"/>
      <c r="D116" s="66" t="s">
        <v>299</v>
      </c>
      <c r="E116" s="67">
        <f t="shared" ref="E116:G116" si="118">AVERAGE(E111:E115)</f>
        <v>84.8</v>
      </c>
      <c r="F116" s="67">
        <f t="shared" si="118"/>
        <v>81.599999999999994</v>
      </c>
      <c r="G116" s="67">
        <f t="shared" si="118"/>
        <v>84.4</v>
      </c>
      <c r="H116" s="68"/>
      <c r="I116" s="68"/>
      <c r="J116" s="69"/>
      <c r="K116" s="69"/>
      <c r="L116" s="67">
        <f t="shared" ref="L116:N116" si="119">AVERAGE(L111:L115)</f>
        <v>82</v>
      </c>
      <c r="M116" s="67">
        <f t="shared" si="119"/>
        <v>74.599999999999994</v>
      </c>
      <c r="N116" s="67">
        <f t="shared" si="119"/>
        <v>76.400000000000006</v>
      </c>
      <c r="O116" s="69"/>
      <c r="P116" s="63"/>
      <c r="Q116" s="63"/>
      <c r="R116" s="84">
        <f t="shared" ref="R116:S116" si="120">AVERAGE(R113:R115)</f>
        <v>82.5</v>
      </c>
      <c r="S116" s="84">
        <f t="shared" si="120"/>
        <v>83.333333333333329</v>
      </c>
      <c r="T116" s="63"/>
      <c r="U116" s="84">
        <f t="shared" ref="U116" si="121">AVERAGE(U111:U115)</f>
        <v>83</v>
      </c>
      <c r="V116" s="58"/>
      <c r="X116" s="278">
        <v>16</v>
      </c>
    </row>
    <row r="117" spans="1:24">
      <c r="A117" s="268">
        <v>12</v>
      </c>
      <c r="B117" s="271"/>
      <c r="C117" s="274"/>
      <c r="D117" s="70" t="s">
        <v>300</v>
      </c>
      <c r="E117" s="71">
        <f>ak!$J$16</f>
        <v>94</v>
      </c>
      <c r="F117" s="71">
        <f>ak!$P$16</f>
        <v>94</v>
      </c>
      <c r="G117" s="71">
        <f>ak!$V$16</f>
        <v>90</v>
      </c>
      <c r="H117" s="72"/>
      <c r="I117" s="72"/>
      <c r="J117" s="73"/>
      <c r="K117" s="73"/>
      <c r="L117" s="71">
        <f>ak!$AL$16</f>
        <v>90</v>
      </c>
      <c r="M117" s="71">
        <f>ak!$AR$16</f>
        <v>93</v>
      </c>
      <c r="N117" s="71">
        <f>ak!$AX$16</f>
        <v>93</v>
      </c>
      <c r="O117" s="73"/>
      <c r="P117" s="74"/>
      <c r="Q117" s="74"/>
      <c r="R117" s="85">
        <f>ak!$BX$16</f>
        <v>95</v>
      </c>
      <c r="S117" s="85">
        <f>ak!$BX$16</f>
        <v>95</v>
      </c>
      <c r="T117" s="85">
        <f>ak!$CC$16</f>
        <v>93</v>
      </c>
      <c r="U117" s="75">
        <f>ak!$CG$16</f>
        <v>93</v>
      </c>
      <c r="V117" s="58"/>
      <c r="X117" s="278">
        <v>16</v>
      </c>
    </row>
    <row r="118" spans="1:24">
      <c r="A118" s="268">
        <v>12</v>
      </c>
      <c r="B118" s="271"/>
      <c r="C118" s="274"/>
      <c r="D118" s="76" t="s">
        <v>301</v>
      </c>
      <c r="E118" s="77">
        <f>ak!$CH$16</f>
        <v>90</v>
      </c>
      <c r="F118" s="77">
        <f>ak!$CI$16</f>
        <v>85</v>
      </c>
      <c r="G118" s="77">
        <f>ak!$CJ$16</f>
        <v>82</v>
      </c>
      <c r="H118" s="72"/>
      <c r="I118" s="72"/>
      <c r="J118" s="73"/>
      <c r="K118" s="73"/>
      <c r="L118" s="77">
        <f>ak!$CK$16</f>
        <v>82</v>
      </c>
      <c r="M118" s="77">
        <f>ak!$CL$16</f>
        <v>80</v>
      </c>
      <c r="N118" s="77">
        <f>ak!$CM$16</f>
        <v>85</v>
      </c>
      <c r="O118" s="73"/>
      <c r="P118" s="74"/>
      <c r="Q118" s="74"/>
      <c r="R118" s="86">
        <f>ak!$CP$16</f>
        <v>70</v>
      </c>
      <c r="S118" s="86">
        <f>ak!$CO$16</f>
        <v>85</v>
      </c>
      <c r="T118" s="74"/>
      <c r="U118" s="86">
        <f>ak!$CN$16</f>
        <v>82</v>
      </c>
      <c r="V118" s="58"/>
      <c r="X118" s="278">
        <v>16</v>
      </c>
    </row>
    <row r="119" spans="1:24" ht="15" thickBot="1">
      <c r="A119" s="269">
        <v>12</v>
      </c>
      <c r="B119" s="272"/>
      <c r="C119" s="275"/>
      <c r="D119" s="78" t="s">
        <v>302</v>
      </c>
      <c r="E119" s="79">
        <f t="shared" ref="E119:G119" si="122">(E116*4+E117*3+E118*3)/10</f>
        <v>89.12</v>
      </c>
      <c r="F119" s="79">
        <f t="shared" si="122"/>
        <v>86.34</v>
      </c>
      <c r="G119" s="79">
        <f t="shared" si="122"/>
        <v>85.36</v>
      </c>
      <c r="H119" s="79">
        <f t="shared" ref="H119:I119" si="123">AVERAGE(H111:H114)</f>
        <v>82.5</v>
      </c>
      <c r="I119" s="79">
        <f t="shared" si="123"/>
        <v>81</v>
      </c>
      <c r="J119" s="79">
        <f t="shared" ref="J119" si="124">AVERAGE(J111:J112)</f>
        <v>83</v>
      </c>
      <c r="K119" s="79">
        <f t="shared" ref="K119" si="125">AVERAGE(K111:K114)</f>
        <v>79.5</v>
      </c>
      <c r="L119" s="79">
        <f t="shared" ref="L119:N119" si="126">(L116*4+L117*3+L118*3)/10</f>
        <v>84.4</v>
      </c>
      <c r="M119" s="79">
        <f t="shared" si="126"/>
        <v>81.739999999999995</v>
      </c>
      <c r="N119" s="79">
        <f t="shared" si="126"/>
        <v>83.960000000000008</v>
      </c>
      <c r="O119" s="79">
        <f t="shared" ref="O119:Q119" si="127">AVERAGE(O111:O112)</f>
        <v>79.5</v>
      </c>
      <c r="P119" s="79">
        <f t="shared" si="127"/>
        <v>78.5</v>
      </c>
      <c r="Q119" s="79">
        <f t="shared" si="127"/>
        <v>83.5</v>
      </c>
      <c r="R119" s="79">
        <f t="shared" ref="R119:S119" si="128">(R116*4+R117*3+R118*3)/10</f>
        <v>82.5</v>
      </c>
      <c r="S119" s="79">
        <f t="shared" si="128"/>
        <v>87.333333333333329</v>
      </c>
      <c r="T119" s="79">
        <f t="shared" ref="T119" si="129">T117</f>
        <v>93</v>
      </c>
      <c r="U119" s="79">
        <f t="shared" ref="U119" si="130">(U116*4+U117*3+U118*3)/10</f>
        <v>85.7</v>
      </c>
      <c r="V119" s="80">
        <f>AVERAGE(E119:U119)</f>
        <v>83.938431372549019</v>
      </c>
      <c r="X119" s="278">
        <v>16</v>
      </c>
    </row>
    <row r="120" spans="1:24" ht="15.6" thickTop="1" thickBot="1">
      <c r="A120" s="268">
        <v>13</v>
      </c>
      <c r="B120" s="270" t="s">
        <v>574</v>
      </c>
      <c r="C120" s="273" t="s">
        <v>575</v>
      </c>
      <c r="D120" s="52" t="s">
        <v>294</v>
      </c>
      <c r="E120" s="53">
        <f>ak!$E$17</f>
        <v>83</v>
      </c>
      <c r="F120" s="53">
        <f>ak!$K$17</f>
        <v>80</v>
      </c>
      <c r="G120" s="53">
        <f>ak!$Q$17</f>
        <v>82</v>
      </c>
      <c r="H120" s="53">
        <f>ak!$W$17</f>
        <v>82</v>
      </c>
      <c r="I120" s="53">
        <f>ak!$AA$17</f>
        <v>75</v>
      </c>
      <c r="J120" s="53">
        <f>ak!$AE$17</f>
        <v>90</v>
      </c>
      <c r="K120" s="54">
        <f>ak!$AG$17</f>
        <v>84</v>
      </c>
      <c r="L120" s="55"/>
      <c r="M120" s="53">
        <f>ak!$AM$17</f>
        <v>84</v>
      </c>
      <c r="N120" s="53">
        <f>ak!$AS$17</f>
        <v>71</v>
      </c>
      <c r="O120" s="53">
        <f>ak!$AY$17</f>
        <v>79</v>
      </c>
      <c r="P120" s="54">
        <f>ak!$BA$17</f>
        <v>77</v>
      </c>
      <c r="Q120" s="54">
        <f>ak!$BC$17</f>
        <v>82</v>
      </c>
      <c r="R120" s="55"/>
      <c r="S120" s="55"/>
      <c r="T120" s="55"/>
      <c r="U120" s="55"/>
      <c r="V120" s="56"/>
      <c r="X120" s="278">
        <v>17</v>
      </c>
    </row>
    <row r="121" spans="1:24" ht="15" thickBot="1">
      <c r="A121" s="268">
        <v>13</v>
      </c>
      <c r="B121" s="271"/>
      <c r="C121" s="274"/>
      <c r="D121" s="52" t="s">
        <v>295</v>
      </c>
      <c r="E121" s="53">
        <f>ak!$F$17</f>
        <v>92</v>
      </c>
      <c r="F121" s="53">
        <f>ak!$L$17</f>
        <v>80</v>
      </c>
      <c r="G121" s="53">
        <f>ak!$R$17</f>
        <v>81</v>
      </c>
      <c r="H121" s="53">
        <f>ak!$X$17</f>
        <v>84</v>
      </c>
      <c r="I121" s="53">
        <f>ak!$AB$17</f>
        <v>86</v>
      </c>
      <c r="J121" s="53">
        <f>ak!$AF$17</f>
        <v>84</v>
      </c>
      <c r="K121" s="54">
        <f>ak!$AH$17</f>
        <v>85</v>
      </c>
      <c r="L121" s="55"/>
      <c r="M121" s="53">
        <f>ak!$AN$17</f>
        <v>85</v>
      </c>
      <c r="N121" s="53">
        <f>ak!$AT$17</f>
        <v>79</v>
      </c>
      <c r="O121" s="53">
        <f>ak!$AZ$17</f>
        <v>79</v>
      </c>
      <c r="P121" s="54">
        <f>ak!$BB$17</f>
        <v>83</v>
      </c>
      <c r="Q121" s="54">
        <f>ak!$BD$17</f>
        <v>85</v>
      </c>
      <c r="R121" s="55"/>
      <c r="S121" s="55"/>
      <c r="T121" s="55"/>
      <c r="U121" s="55"/>
      <c r="V121" s="58"/>
      <c r="X121" s="278">
        <v>17</v>
      </c>
    </row>
    <row r="122" spans="1:24" ht="15" thickBot="1">
      <c r="A122" s="268">
        <v>13</v>
      </c>
      <c r="B122" s="271"/>
      <c r="C122" s="274"/>
      <c r="D122" s="52" t="s">
        <v>296</v>
      </c>
      <c r="E122" s="53">
        <f>ak!$G$17</f>
        <v>86</v>
      </c>
      <c r="F122" s="53">
        <f>ak!$M$17</f>
        <v>82</v>
      </c>
      <c r="G122" s="53">
        <f>ak!$S$17</f>
        <v>82</v>
      </c>
      <c r="H122" s="53">
        <f>ak!$Y$17</f>
        <v>81</v>
      </c>
      <c r="I122" s="53">
        <f>ak!$AC$17</f>
        <v>82</v>
      </c>
      <c r="J122" s="59"/>
      <c r="K122" s="54">
        <f>ak!$AI$17</f>
        <v>72</v>
      </c>
      <c r="L122" s="55"/>
      <c r="M122" s="53">
        <f>ak!$AO$17</f>
        <v>92</v>
      </c>
      <c r="N122" s="53">
        <f>ak!$AU$17</f>
        <v>74</v>
      </c>
      <c r="O122" s="59"/>
      <c r="P122" s="55"/>
      <c r="Q122" s="55"/>
      <c r="R122" s="54">
        <f>ak!$BU$17</f>
        <v>85.25</v>
      </c>
      <c r="S122" s="54">
        <f>ak!$BY$17</f>
        <v>84</v>
      </c>
      <c r="T122" s="55"/>
      <c r="U122" s="54">
        <f>ak!$CD$17</f>
        <v>75</v>
      </c>
      <c r="V122" s="58"/>
      <c r="X122" s="278">
        <v>17</v>
      </c>
    </row>
    <row r="123" spans="1:24" ht="15" thickBot="1">
      <c r="A123" s="268">
        <v>13</v>
      </c>
      <c r="B123" s="271"/>
      <c r="C123" s="274"/>
      <c r="D123" s="62" t="s">
        <v>297</v>
      </c>
      <c r="E123" s="53">
        <f>ak!$H$17</f>
        <v>82</v>
      </c>
      <c r="F123" s="53">
        <f>ak!$N$17</f>
        <v>87</v>
      </c>
      <c r="G123" s="53">
        <f>ak!$T$17</f>
        <v>83</v>
      </c>
      <c r="H123" s="53">
        <f>ak!$Z$17</f>
        <v>80</v>
      </c>
      <c r="I123" s="53">
        <f>ak!$AD$17</f>
        <v>84</v>
      </c>
      <c r="J123" s="59"/>
      <c r="K123" s="54">
        <f>ak!$AJ$17</f>
        <v>84</v>
      </c>
      <c r="L123" s="55"/>
      <c r="M123" s="53">
        <f>ak!$AP$17</f>
        <v>90</v>
      </c>
      <c r="N123" s="53">
        <f>ak!$AV$17</f>
        <v>79</v>
      </c>
      <c r="O123" s="59"/>
      <c r="P123" s="55"/>
      <c r="Q123" s="55"/>
      <c r="R123" s="54">
        <f>ak!$BV$17</f>
        <v>85.5</v>
      </c>
      <c r="S123" s="54">
        <f>ak!$BZ$17</f>
        <v>85</v>
      </c>
      <c r="T123" s="63"/>
      <c r="U123" s="54">
        <f>ak!$CE$17</f>
        <v>89</v>
      </c>
      <c r="V123" s="58"/>
      <c r="X123" s="278">
        <v>17</v>
      </c>
    </row>
    <row r="124" spans="1:24">
      <c r="A124" s="268">
        <v>13</v>
      </c>
      <c r="B124" s="271"/>
      <c r="C124" s="274"/>
      <c r="D124" s="62" t="s">
        <v>298</v>
      </c>
      <c r="E124" s="53">
        <f>ak!$I$17</f>
        <v>92</v>
      </c>
      <c r="F124" s="53">
        <f>ak!$O$17</f>
        <v>88</v>
      </c>
      <c r="G124" s="53">
        <f>ak!$U$17</f>
        <v>81</v>
      </c>
      <c r="H124" s="65"/>
      <c r="I124" s="65"/>
      <c r="J124" s="59"/>
      <c r="K124" s="59"/>
      <c r="L124" s="53">
        <f>ak!$AK$17</f>
        <v>88</v>
      </c>
      <c r="M124" s="53">
        <f>ak!$AQ$17</f>
        <v>92</v>
      </c>
      <c r="N124" s="53">
        <f>ak!$AW$17</f>
        <v>75</v>
      </c>
      <c r="O124" s="59"/>
      <c r="P124" s="55"/>
      <c r="Q124" s="55"/>
      <c r="R124" s="54">
        <f>ak!$BW$17</f>
        <v>84.75</v>
      </c>
      <c r="S124" s="54">
        <f>ak!$CA$17</f>
        <v>84</v>
      </c>
      <c r="T124" s="54"/>
      <c r="U124" s="54">
        <f>ak!$CF$17</f>
        <v>82</v>
      </c>
      <c r="V124" s="58"/>
      <c r="X124" s="278">
        <v>17</v>
      </c>
    </row>
    <row r="125" spans="1:24">
      <c r="A125" s="268">
        <v>13</v>
      </c>
      <c r="B125" s="271"/>
      <c r="C125" s="274"/>
      <c r="D125" s="66" t="s">
        <v>299</v>
      </c>
      <c r="E125" s="67">
        <f t="shared" ref="E125:G125" si="131">AVERAGE(E120:E124)</f>
        <v>87</v>
      </c>
      <c r="F125" s="67">
        <f t="shared" si="131"/>
        <v>83.4</v>
      </c>
      <c r="G125" s="67">
        <f t="shared" si="131"/>
        <v>81.8</v>
      </c>
      <c r="H125" s="68"/>
      <c r="I125" s="68"/>
      <c r="J125" s="69"/>
      <c r="K125" s="69"/>
      <c r="L125" s="67">
        <f t="shared" ref="L125:N125" si="132">AVERAGE(L120:L124)</f>
        <v>88</v>
      </c>
      <c r="M125" s="67">
        <f t="shared" si="132"/>
        <v>88.6</v>
      </c>
      <c r="N125" s="67">
        <f t="shared" si="132"/>
        <v>75.599999999999994</v>
      </c>
      <c r="O125" s="69"/>
      <c r="P125" s="63"/>
      <c r="Q125" s="63"/>
      <c r="R125" s="84">
        <f t="shared" ref="R125:S125" si="133">AVERAGE(R122:R124)</f>
        <v>85.166666666666671</v>
      </c>
      <c r="S125" s="84">
        <f t="shared" si="133"/>
        <v>84.333333333333329</v>
      </c>
      <c r="T125" s="63"/>
      <c r="U125" s="84">
        <f t="shared" ref="U125" si="134">AVERAGE(U120:U124)</f>
        <v>82</v>
      </c>
      <c r="V125" s="58"/>
      <c r="X125" s="278">
        <v>17</v>
      </c>
    </row>
    <row r="126" spans="1:24">
      <c r="A126" s="268">
        <v>13</v>
      </c>
      <c r="B126" s="271"/>
      <c r="C126" s="274"/>
      <c r="D126" s="70" t="s">
        <v>300</v>
      </c>
      <c r="E126" s="71">
        <f>ak!$J$17</f>
        <v>95</v>
      </c>
      <c r="F126" s="71">
        <f>ak!$P$17</f>
        <v>94</v>
      </c>
      <c r="G126" s="71">
        <f>ak!$V$17</f>
        <v>89</v>
      </c>
      <c r="H126" s="72"/>
      <c r="I126" s="72"/>
      <c r="J126" s="73"/>
      <c r="K126" s="73"/>
      <c r="L126" s="71">
        <f>ak!$AL$17</f>
        <v>89</v>
      </c>
      <c r="M126" s="71">
        <f>ak!$AR$17</f>
        <v>95</v>
      </c>
      <c r="N126" s="71">
        <f>ak!$AX$17</f>
        <v>95</v>
      </c>
      <c r="O126" s="73"/>
      <c r="P126" s="74"/>
      <c r="Q126" s="74"/>
      <c r="R126" s="85">
        <f>ak!$BX$17</f>
        <v>95</v>
      </c>
      <c r="S126" s="85">
        <f>ak!$BX$17</f>
        <v>95</v>
      </c>
      <c r="T126" s="85">
        <f>ak!$CC$17</f>
        <v>94</v>
      </c>
      <c r="U126" s="75">
        <f>ak!$CG$17</f>
        <v>95</v>
      </c>
      <c r="V126" s="58"/>
      <c r="X126" s="278">
        <v>17</v>
      </c>
    </row>
    <row r="127" spans="1:24">
      <c r="A127" s="268">
        <v>13</v>
      </c>
      <c r="B127" s="271"/>
      <c r="C127" s="274"/>
      <c r="D127" s="76" t="s">
        <v>301</v>
      </c>
      <c r="E127" s="77">
        <f>ak!$CH$17</f>
        <v>88</v>
      </c>
      <c r="F127" s="77">
        <f>ak!$CI$17</f>
        <v>85</v>
      </c>
      <c r="G127" s="77">
        <f>ak!$CJ$17</f>
        <v>80</v>
      </c>
      <c r="H127" s="72"/>
      <c r="I127" s="72"/>
      <c r="J127" s="73"/>
      <c r="K127" s="73"/>
      <c r="L127" s="77">
        <f>ak!$CK$17</f>
        <v>85</v>
      </c>
      <c r="M127" s="77">
        <f>ak!$CL$17</f>
        <v>92</v>
      </c>
      <c r="N127" s="77">
        <f>ak!$CM$17</f>
        <v>83</v>
      </c>
      <c r="O127" s="73"/>
      <c r="P127" s="74"/>
      <c r="Q127" s="74"/>
      <c r="R127" s="86">
        <f>ak!$CP$17</f>
        <v>70</v>
      </c>
      <c r="S127" s="86">
        <f>ak!$CO$17</f>
        <v>89</v>
      </c>
      <c r="T127" s="74"/>
      <c r="U127" s="86">
        <f>ak!$CN$17</f>
        <v>85</v>
      </c>
      <c r="V127" s="58"/>
      <c r="X127" s="278">
        <v>17</v>
      </c>
    </row>
    <row r="128" spans="1:24" ht="15" thickBot="1">
      <c r="A128" s="269">
        <v>13</v>
      </c>
      <c r="B128" s="272"/>
      <c r="C128" s="275"/>
      <c r="D128" s="78" t="s">
        <v>302</v>
      </c>
      <c r="E128" s="79">
        <f t="shared" ref="E128:G128" si="135">(E125*4+E126*3+E127*3)/10</f>
        <v>89.7</v>
      </c>
      <c r="F128" s="79">
        <f t="shared" si="135"/>
        <v>87.06</v>
      </c>
      <c r="G128" s="79">
        <f t="shared" si="135"/>
        <v>83.42</v>
      </c>
      <c r="H128" s="79">
        <f t="shared" ref="H128:I128" si="136">AVERAGE(H120:H123)</f>
        <v>81.75</v>
      </c>
      <c r="I128" s="79">
        <f t="shared" si="136"/>
        <v>81.75</v>
      </c>
      <c r="J128" s="79">
        <f t="shared" ref="J128" si="137">AVERAGE(J120:J121)</f>
        <v>87</v>
      </c>
      <c r="K128" s="79">
        <f t="shared" ref="K128" si="138">AVERAGE(K120:K123)</f>
        <v>81.25</v>
      </c>
      <c r="L128" s="79">
        <f t="shared" ref="L128:N128" si="139">(L125*4+L126*3+L127*3)/10</f>
        <v>87.4</v>
      </c>
      <c r="M128" s="79">
        <f t="shared" si="139"/>
        <v>91.539999999999992</v>
      </c>
      <c r="N128" s="79">
        <f t="shared" si="139"/>
        <v>83.64</v>
      </c>
      <c r="O128" s="79">
        <f t="shared" ref="O128:Q128" si="140">AVERAGE(O120:O121)</f>
        <v>79</v>
      </c>
      <c r="P128" s="79">
        <f t="shared" si="140"/>
        <v>80</v>
      </c>
      <c r="Q128" s="79">
        <f t="shared" si="140"/>
        <v>83.5</v>
      </c>
      <c r="R128" s="79">
        <f t="shared" ref="R128:S128" si="141">(R125*4+R126*3+R127*3)/10</f>
        <v>83.566666666666677</v>
      </c>
      <c r="S128" s="79">
        <f t="shared" si="141"/>
        <v>88.933333333333323</v>
      </c>
      <c r="T128" s="79">
        <f t="shared" ref="T128" si="142">T126</f>
        <v>94</v>
      </c>
      <c r="U128" s="79">
        <f t="shared" ref="U128" si="143">(U125*4+U126*3+U127*3)/10</f>
        <v>86.8</v>
      </c>
      <c r="V128" s="80">
        <f>AVERAGE(E128:U128)</f>
        <v>85.312352941176471</v>
      </c>
      <c r="X128" s="278">
        <v>17</v>
      </c>
    </row>
    <row r="129" spans="1:24" ht="15.6" thickTop="1" thickBot="1">
      <c r="A129" s="268">
        <v>14</v>
      </c>
      <c r="B129" s="270" t="s">
        <v>576</v>
      </c>
      <c r="C129" s="273" t="s">
        <v>577</v>
      </c>
      <c r="D129" s="52" t="s">
        <v>294</v>
      </c>
      <c r="E129" s="53">
        <f>ak!$E$18</f>
        <v>84</v>
      </c>
      <c r="F129" s="53">
        <f>ak!$K$18</f>
        <v>84</v>
      </c>
      <c r="G129" s="53">
        <f>ak!$Q$18</f>
        <v>80</v>
      </c>
      <c r="H129" s="53">
        <f>ak!$W$18</f>
        <v>84</v>
      </c>
      <c r="I129" s="53">
        <f>ak!$AA$18</f>
        <v>76</v>
      </c>
      <c r="J129" s="53">
        <f>ak!$AE$18</f>
        <v>82</v>
      </c>
      <c r="K129" s="54">
        <f>ak!$AG$18</f>
        <v>82</v>
      </c>
      <c r="L129" s="55"/>
      <c r="M129" s="53">
        <f>ak!$AM$18</f>
        <v>71</v>
      </c>
      <c r="N129" s="53">
        <f>ak!$AS$18</f>
        <v>74</v>
      </c>
      <c r="O129" s="53">
        <f>ak!$AY$18</f>
        <v>77</v>
      </c>
      <c r="P129" s="54">
        <f>ak!$BA$18</f>
        <v>82</v>
      </c>
      <c r="Q129" s="54">
        <f>ak!$BC$18</f>
        <v>82</v>
      </c>
      <c r="R129" s="55"/>
      <c r="S129" s="55"/>
      <c r="T129" s="55"/>
      <c r="U129" s="55"/>
      <c r="V129" s="56"/>
      <c r="X129" s="278">
        <v>18</v>
      </c>
    </row>
    <row r="130" spans="1:24" ht="15" thickBot="1">
      <c r="A130" s="268">
        <v>14</v>
      </c>
      <c r="B130" s="271"/>
      <c r="C130" s="274"/>
      <c r="D130" s="52" t="s">
        <v>295</v>
      </c>
      <c r="E130" s="53">
        <f>ak!$F$18</f>
        <v>80</v>
      </c>
      <c r="F130" s="53">
        <f>ak!$L$18</f>
        <v>78</v>
      </c>
      <c r="G130" s="53">
        <f>ak!$R$18</f>
        <v>81</v>
      </c>
      <c r="H130" s="53">
        <f>ak!$X$18</f>
        <v>84</v>
      </c>
      <c r="I130" s="53">
        <f>ak!$AB$18</f>
        <v>84</v>
      </c>
      <c r="J130" s="53">
        <f>ak!$AF$18</f>
        <v>84</v>
      </c>
      <c r="K130" s="54">
        <f>ak!$AH$18</f>
        <v>83</v>
      </c>
      <c r="L130" s="55"/>
      <c r="M130" s="53">
        <f>ak!$AN$18</f>
        <v>77</v>
      </c>
      <c r="N130" s="53">
        <f>ak!$AT$18</f>
        <v>79</v>
      </c>
      <c r="O130" s="53">
        <f>ak!$AZ$18</f>
        <v>80</v>
      </c>
      <c r="P130" s="54">
        <f>ak!$BB$18</f>
        <v>83</v>
      </c>
      <c r="Q130" s="54">
        <f>ak!$BD$18</f>
        <v>83</v>
      </c>
      <c r="R130" s="55"/>
      <c r="S130" s="55"/>
      <c r="T130" s="55"/>
      <c r="U130" s="55"/>
      <c r="V130" s="58"/>
      <c r="X130" s="278">
        <v>18</v>
      </c>
    </row>
    <row r="131" spans="1:24" ht="15" thickBot="1">
      <c r="A131" s="268">
        <v>14</v>
      </c>
      <c r="B131" s="271"/>
      <c r="C131" s="274"/>
      <c r="D131" s="52" t="s">
        <v>296</v>
      </c>
      <c r="E131" s="53">
        <f>ak!$G$18</f>
        <v>86</v>
      </c>
      <c r="F131" s="53">
        <f>ak!$M$18</f>
        <v>80</v>
      </c>
      <c r="G131" s="53">
        <f>ak!$S$18</f>
        <v>82</v>
      </c>
      <c r="H131" s="53">
        <f>ak!$Y$18</f>
        <v>81</v>
      </c>
      <c r="I131" s="53">
        <f>ak!$AC$18</f>
        <v>82</v>
      </c>
      <c r="J131" s="59"/>
      <c r="K131" s="54">
        <f>ak!$AI$18</f>
        <v>73</v>
      </c>
      <c r="L131" s="55"/>
      <c r="M131" s="53">
        <f>ak!$AO$18</f>
        <v>73</v>
      </c>
      <c r="N131" s="53">
        <f>ak!$AU$18</f>
        <v>71</v>
      </c>
      <c r="O131" s="59"/>
      <c r="P131" s="55"/>
      <c r="Q131" s="55"/>
      <c r="R131" s="54">
        <f>ak!$BU$18</f>
        <v>83.25</v>
      </c>
      <c r="S131" s="54">
        <f>ak!$BY$18</f>
        <v>85</v>
      </c>
      <c r="T131" s="55"/>
      <c r="U131" s="54">
        <f>ak!$CD$18</f>
        <v>75</v>
      </c>
      <c r="V131" s="58"/>
      <c r="X131" s="278">
        <v>18</v>
      </c>
    </row>
    <row r="132" spans="1:24" ht="15" thickBot="1">
      <c r="A132" s="268">
        <v>14</v>
      </c>
      <c r="B132" s="271"/>
      <c r="C132" s="274"/>
      <c r="D132" s="62" t="s">
        <v>297</v>
      </c>
      <c r="E132" s="53">
        <f>ak!$H$18</f>
        <v>82</v>
      </c>
      <c r="F132" s="53">
        <f>ak!$N$18</f>
        <v>87</v>
      </c>
      <c r="G132" s="53">
        <f>ak!$T$18</f>
        <v>84</v>
      </c>
      <c r="H132" s="53">
        <f>ak!$Z$18</f>
        <v>80</v>
      </c>
      <c r="I132" s="53">
        <f>ak!$AD$18</f>
        <v>81</v>
      </c>
      <c r="J132" s="59"/>
      <c r="K132" s="54">
        <f>ak!$AJ$18</f>
        <v>81</v>
      </c>
      <c r="L132" s="55"/>
      <c r="M132" s="53">
        <f>ak!$AP$18</f>
        <v>74</v>
      </c>
      <c r="N132" s="53">
        <f>ak!$AV$18</f>
        <v>77</v>
      </c>
      <c r="O132" s="59"/>
      <c r="P132" s="55"/>
      <c r="Q132" s="55"/>
      <c r="R132" s="54">
        <f>ak!$BV$18</f>
        <v>83.25</v>
      </c>
      <c r="S132" s="54">
        <f>ak!$BZ$18</f>
        <v>84</v>
      </c>
      <c r="T132" s="63"/>
      <c r="U132" s="54">
        <f>ak!$CE$18</f>
        <v>84</v>
      </c>
      <c r="V132" s="58"/>
      <c r="X132" s="278">
        <v>18</v>
      </c>
    </row>
    <row r="133" spans="1:24">
      <c r="A133" s="268">
        <v>14</v>
      </c>
      <c r="B133" s="271"/>
      <c r="C133" s="274"/>
      <c r="D133" s="62" t="s">
        <v>298</v>
      </c>
      <c r="E133" s="53">
        <f>ak!$I$18</f>
        <v>91</v>
      </c>
      <c r="F133" s="53">
        <f>ak!$O$18</f>
        <v>88</v>
      </c>
      <c r="G133" s="53">
        <f>ak!$U$18</f>
        <v>82</v>
      </c>
      <c r="H133" s="65"/>
      <c r="I133" s="65"/>
      <c r="J133" s="59"/>
      <c r="K133" s="59"/>
      <c r="L133" s="53">
        <f>ak!$AK$18</f>
        <v>80</v>
      </c>
      <c r="M133" s="53">
        <f>ak!$AQ$18</f>
        <v>79</v>
      </c>
      <c r="N133" s="53">
        <f>ak!$AW$18</f>
        <v>75</v>
      </c>
      <c r="O133" s="59"/>
      <c r="P133" s="55"/>
      <c r="Q133" s="55"/>
      <c r="R133" s="54">
        <f>ak!$BW$18</f>
        <v>83.5</v>
      </c>
      <c r="S133" s="54">
        <f>ak!$CA$18</f>
        <v>84</v>
      </c>
      <c r="T133" s="54"/>
      <c r="U133" s="54">
        <f>ak!$CF$18</f>
        <v>78</v>
      </c>
      <c r="V133" s="58"/>
      <c r="X133" s="278">
        <v>18</v>
      </c>
    </row>
    <row r="134" spans="1:24">
      <c r="A134" s="268">
        <v>14</v>
      </c>
      <c r="B134" s="271"/>
      <c r="C134" s="274"/>
      <c r="D134" s="66" t="s">
        <v>299</v>
      </c>
      <c r="E134" s="67">
        <f t="shared" ref="E134:G134" si="144">AVERAGE(E129:E133)</f>
        <v>84.6</v>
      </c>
      <c r="F134" s="67">
        <f t="shared" si="144"/>
        <v>83.4</v>
      </c>
      <c r="G134" s="67">
        <f t="shared" si="144"/>
        <v>81.8</v>
      </c>
      <c r="H134" s="68"/>
      <c r="I134" s="68"/>
      <c r="J134" s="69"/>
      <c r="K134" s="69"/>
      <c r="L134" s="67">
        <f t="shared" ref="L134:N134" si="145">AVERAGE(L129:L133)</f>
        <v>80</v>
      </c>
      <c r="M134" s="67">
        <f t="shared" si="145"/>
        <v>74.8</v>
      </c>
      <c r="N134" s="67">
        <f t="shared" si="145"/>
        <v>75.2</v>
      </c>
      <c r="O134" s="69"/>
      <c r="P134" s="63"/>
      <c r="Q134" s="63"/>
      <c r="R134" s="84">
        <f t="shared" ref="R134:S134" si="146">AVERAGE(R131:R133)</f>
        <v>83.333333333333329</v>
      </c>
      <c r="S134" s="84">
        <f t="shared" si="146"/>
        <v>84.333333333333329</v>
      </c>
      <c r="T134" s="63"/>
      <c r="U134" s="84">
        <f t="shared" ref="U134" si="147">AVERAGE(U129:U133)</f>
        <v>79</v>
      </c>
      <c r="V134" s="58"/>
      <c r="X134" s="278">
        <v>18</v>
      </c>
    </row>
    <row r="135" spans="1:24">
      <c r="A135" s="268">
        <v>14</v>
      </c>
      <c r="B135" s="271"/>
      <c r="C135" s="274"/>
      <c r="D135" s="70" t="s">
        <v>300</v>
      </c>
      <c r="E135" s="71">
        <f>ak!$J$18</f>
        <v>90</v>
      </c>
      <c r="F135" s="71">
        <f>ak!$P$18</f>
        <v>89</v>
      </c>
      <c r="G135" s="71">
        <f>ak!$V$18</f>
        <v>88</v>
      </c>
      <c r="H135" s="72"/>
      <c r="I135" s="72"/>
      <c r="J135" s="73"/>
      <c r="K135" s="73"/>
      <c r="L135" s="71">
        <f>ak!$AL$18</f>
        <v>88</v>
      </c>
      <c r="M135" s="71">
        <f>ak!$AR$18</f>
        <v>89</v>
      </c>
      <c r="N135" s="71">
        <f>ak!$AX$18</f>
        <v>89</v>
      </c>
      <c r="O135" s="73"/>
      <c r="P135" s="74"/>
      <c r="Q135" s="74"/>
      <c r="R135" s="85">
        <f>ak!$BX$18</f>
        <v>89</v>
      </c>
      <c r="S135" s="85">
        <f>ak!$BX$18</f>
        <v>89</v>
      </c>
      <c r="T135" s="85">
        <f>ak!$CC$18</f>
        <v>89</v>
      </c>
      <c r="U135" s="75">
        <f>ak!$CG$18</f>
        <v>89</v>
      </c>
      <c r="V135" s="58"/>
      <c r="X135" s="278">
        <v>18</v>
      </c>
    </row>
    <row r="136" spans="1:24">
      <c r="A136" s="268">
        <v>14</v>
      </c>
      <c r="B136" s="271"/>
      <c r="C136" s="274"/>
      <c r="D136" s="76" t="s">
        <v>301</v>
      </c>
      <c r="E136" s="77">
        <f>ak!$CH$18</f>
        <v>88</v>
      </c>
      <c r="F136" s="77">
        <f>ak!$CI$18</f>
        <v>94</v>
      </c>
      <c r="G136" s="77">
        <f>ak!$CJ$18</f>
        <v>80</v>
      </c>
      <c r="H136" s="72"/>
      <c r="I136" s="72"/>
      <c r="J136" s="73"/>
      <c r="K136" s="73"/>
      <c r="L136" s="77">
        <f>ak!$CK$18</f>
        <v>82</v>
      </c>
      <c r="M136" s="77">
        <f>ak!$CL$18</f>
        <v>79</v>
      </c>
      <c r="N136" s="77">
        <f>ak!$CM$18</f>
        <v>88</v>
      </c>
      <c r="O136" s="73"/>
      <c r="P136" s="74"/>
      <c r="Q136" s="74"/>
      <c r="R136" s="86">
        <f>ak!$CP$18</f>
        <v>70</v>
      </c>
      <c r="S136" s="86">
        <f>ak!$CO$18</f>
        <v>87</v>
      </c>
      <c r="T136" s="74"/>
      <c r="U136" s="86">
        <f>ak!$CN$18</f>
        <v>85</v>
      </c>
      <c r="V136" s="58"/>
      <c r="X136" s="278">
        <v>18</v>
      </c>
    </row>
    <row r="137" spans="1:24" ht="15" thickBot="1">
      <c r="A137" s="269">
        <v>14</v>
      </c>
      <c r="B137" s="272"/>
      <c r="C137" s="275"/>
      <c r="D137" s="78" t="s">
        <v>302</v>
      </c>
      <c r="E137" s="79">
        <f t="shared" ref="E137:G137" si="148">(E134*4+E135*3+E136*3)/10</f>
        <v>87.24</v>
      </c>
      <c r="F137" s="79">
        <f t="shared" si="148"/>
        <v>88.26</v>
      </c>
      <c r="G137" s="79">
        <f t="shared" si="148"/>
        <v>83.12</v>
      </c>
      <c r="H137" s="79">
        <f t="shared" ref="H137:I137" si="149">AVERAGE(H129:H132)</f>
        <v>82.25</v>
      </c>
      <c r="I137" s="79">
        <f t="shared" si="149"/>
        <v>80.75</v>
      </c>
      <c r="J137" s="79">
        <f t="shared" ref="J137" si="150">AVERAGE(J129:J130)</f>
        <v>83</v>
      </c>
      <c r="K137" s="79">
        <f t="shared" ref="K137" si="151">AVERAGE(K129:K132)</f>
        <v>79.75</v>
      </c>
      <c r="L137" s="79">
        <f t="shared" ref="L137:N137" si="152">(L134*4+L135*3+L136*3)/10</f>
        <v>83</v>
      </c>
      <c r="M137" s="79">
        <f t="shared" si="152"/>
        <v>80.320000000000007</v>
      </c>
      <c r="N137" s="79">
        <f t="shared" si="152"/>
        <v>83.179999999999993</v>
      </c>
      <c r="O137" s="79">
        <f t="shared" ref="O137:Q137" si="153">AVERAGE(O129:O130)</f>
        <v>78.5</v>
      </c>
      <c r="P137" s="79">
        <f t="shared" si="153"/>
        <v>82.5</v>
      </c>
      <c r="Q137" s="79">
        <f t="shared" si="153"/>
        <v>82.5</v>
      </c>
      <c r="R137" s="79">
        <f t="shared" ref="R137:S137" si="154">(R134*4+R135*3+R136*3)/10</f>
        <v>81.033333333333331</v>
      </c>
      <c r="S137" s="79">
        <f t="shared" si="154"/>
        <v>86.533333333333331</v>
      </c>
      <c r="T137" s="79">
        <f t="shared" ref="T137" si="155">T135</f>
        <v>89</v>
      </c>
      <c r="U137" s="79">
        <f t="shared" ref="U137" si="156">(U134*4+U135*3+U136*3)/10</f>
        <v>83.8</v>
      </c>
      <c r="V137" s="80">
        <f>AVERAGE(E137:U137)</f>
        <v>83.219803921568612</v>
      </c>
      <c r="X137" s="278">
        <v>18</v>
      </c>
    </row>
    <row r="138" spans="1:24" ht="15.6" thickTop="1" thickBot="1">
      <c r="A138" s="268">
        <v>15</v>
      </c>
      <c r="B138" s="270" t="s">
        <v>578</v>
      </c>
      <c r="C138" s="273" t="s">
        <v>579</v>
      </c>
      <c r="D138" s="52" t="s">
        <v>294</v>
      </c>
      <c r="E138" s="53">
        <f>ak!$E$19</f>
        <v>95</v>
      </c>
      <c r="F138" s="53">
        <f>ak!$K$19</f>
        <v>81</v>
      </c>
      <c r="G138" s="53">
        <f>ak!$Q$19</f>
        <v>96</v>
      </c>
      <c r="H138" s="53">
        <f>ak!$W$19</f>
        <v>83</v>
      </c>
      <c r="I138" s="53">
        <f>ak!$AA$19</f>
        <v>86</v>
      </c>
      <c r="J138" s="53">
        <f>ak!$AE$19</f>
        <v>85</v>
      </c>
      <c r="K138" s="54">
        <f>ak!$AG$19</f>
        <v>85</v>
      </c>
      <c r="L138" s="55"/>
      <c r="M138" s="53">
        <f>ak!$AM$19</f>
        <v>93</v>
      </c>
      <c r="N138" s="53">
        <f>ak!$AS$19</f>
        <v>94</v>
      </c>
      <c r="O138" s="53">
        <f>ak!$AY$19</f>
        <v>77</v>
      </c>
      <c r="P138" s="54">
        <f>ak!$BA$19</f>
        <v>88</v>
      </c>
      <c r="Q138" s="54">
        <f>ak!$BC$19</f>
        <v>87</v>
      </c>
      <c r="R138" s="55"/>
      <c r="S138" s="55"/>
      <c r="T138" s="55"/>
      <c r="U138" s="55"/>
      <c r="V138" s="56"/>
      <c r="X138" s="278">
        <v>19</v>
      </c>
    </row>
    <row r="139" spans="1:24" ht="15" thickBot="1">
      <c r="A139" s="268">
        <v>15</v>
      </c>
      <c r="B139" s="271"/>
      <c r="C139" s="274"/>
      <c r="D139" s="52" t="s">
        <v>295</v>
      </c>
      <c r="E139" s="53">
        <f>ak!$F$19</f>
        <v>95</v>
      </c>
      <c r="F139" s="53">
        <f>ak!$L$19</f>
        <v>97</v>
      </c>
      <c r="G139" s="53">
        <f>ak!$R$19</f>
        <v>93</v>
      </c>
      <c r="H139" s="53">
        <f>ak!$X$19</f>
        <v>84</v>
      </c>
      <c r="I139" s="53">
        <f>ak!$AB$19</f>
        <v>85</v>
      </c>
      <c r="J139" s="53">
        <f>ak!$AF$19</f>
        <v>85</v>
      </c>
      <c r="K139" s="54">
        <f>ak!$AH$19</f>
        <v>88</v>
      </c>
      <c r="L139" s="55"/>
      <c r="M139" s="53">
        <f>ak!$AN$19</f>
        <v>95</v>
      </c>
      <c r="N139" s="53">
        <f>ak!$AT$19</f>
        <v>94</v>
      </c>
      <c r="O139" s="53">
        <f>ak!$AZ$19</f>
        <v>80</v>
      </c>
      <c r="P139" s="54">
        <f>ak!$BB$19</f>
        <v>96</v>
      </c>
      <c r="Q139" s="54">
        <f>ak!$BD$19</f>
        <v>87</v>
      </c>
      <c r="R139" s="55"/>
      <c r="S139" s="55"/>
      <c r="T139" s="55"/>
      <c r="U139" s="55"/>
      <c r="V139" s="58"/>
      <c r="X139" s="278">
        <v>19</v>
      </c>
    </row>
    <row r="140" spans="1:24" ht="15" thickBot="1">
      <c r="A140" s="268">
        <v>15</v>
      </c>
      <c r="B140" s="271"/>
      <c r="C140" s="274"/>
      <c r="D140" s="52" t="s">
        <v>296</v>
      </c>
      <c r="E140" s="53">
        <f>ak!$G$19</f>
        <v>86</v>
      </c>
      <c r="F140" s="53">
        <f>ak!$M$19</f>
        <v>85</v>
      </c>
      <c r="G140" s="53">
        <f>ak!$S$19</f>
        <v>93</v>
      </c>
      <c r="H140" s="53">
        <f>ak!$Y$19</f>
        <v>75</v>
      </c>
      <c r="I140" s="53">
        <f>ak!$AC$19</f>
        <v>80</v>
      </c>
      <c r="J140" s="59"/>
      <c r="K140" s="54">
        <f>ak!$AI$19</f>
        <v>82</v>
      </c>
      <c r="L140" s="55"/>
      <c r="M140" s="53">
        <f>ak!$AO$19</f>
        <v>94</v>
      </c>
      <c r="N140" s="53">
        <f>ak!$AU$19</f>
        <v>85</v>
      </c>
      <c r="O140" s="59"/>
      <c r="P140" s="55"/>
      <c r="Q140" s="55"/>
      <c r="R140" s="54">
        <f>ak!$BU$19</f>
        <v>82.5</v>
      </c>
      <c r="S140" s="54">
        <f>ak!$BY$19</f>
        <v>82</v>
      </c>
      <c r="T140" s="55"/>
      <c r="U140" s="54">
        <f>ak!$CD$19</f>
        <v>76</v>
      </c>
      <c r="V140" s="58"/>
      <c r="X140" s="278">
        <v>19</v>
      </c>
    </row>
    <row r="141" spans="1:24" ht="15" thickBot="1">
      <c r="A141" s="268">
        <v>15</v>
      </c>
      <c r="B141" s="271"/>
      <c r="C141" s="274"/>
      <c r="D141" s="62" t="s">
        <v>297</v>
      </c>
      <c r="E141" s="53">
        <f>ak!$H$19</f>
        <v>88</v>
      </c>
      <c r="F141" s="53">
        <f>ak!$N$19</f>
        <v>94</v>
      </c>
      <c r="G141" s="53">
        <f>ak!$T$19</f>
        <v>95</v>
      </c>
      <c r="H141" s="53">
        <f>ak!$Z$19</f>
        <v>85</v>
      </c>
      <c r="I141" s="53">
        <f>ak!$AD$19</f>
        <v>85</v>
      </c>
      <c r="J141" s="59"/>
      <c r="K141" s="54">
        <f>ak!$AJ$19</f>
        <v>85</v>
      </c>
      <c r="L141" s="55"/>
      <c r="M141" s="53">
        <f>ak!$AP$19</f>
        <v>95</v>
      </c>
      <c r="N141" s="53">
        <f>ak!$AV$19</f>
        <v>87</v>
      </c>
      <c r="O141" s="59"/>
      <c r="P141" s="55"/>
      <c r="Q141" s="55"/>
      <c r="R141" s="54">
        <f>ak!$BV$19</f>
        <v>87.75</v>
      </c>
      <c r="S141" s="54">
        <f>ak!$BZ$19</f>
        <v>86</v>
      </c>
      <c r="T141" s="63"/>
      <c r="U141" s="54">
        <f>ak!$CE$19</f>
        <v>96</v>
      </c>
      <c r="V141" s="58"/>
      <c r="X141" s="278">
        <v>19</v>
      </c>
    </row>
    <row r="142" spans="1:24">
      <c r="A142" s="268">
        <v>15</v>
      </c>
      <c r="B142" s="271"/>
      <c r="C142" s="274"/>
      <c r="D142" s="62" t="s">
        <v>298</v>
      </c>
      <c r="E142" s="53">
        <f>ak!$I$19</f>
        <v>95</v>
      </c>
      <c r="F142" s="53">
        <f>ak!$O$19</f>
        <v>95</v>
      </c>
      <c r="G142" s="53">
        <f>ak!$U$19</f>
        <v>92</v>
      </c>
      <c r="H142" s="65"/>
      <c r="I142" s="65"/>
      <c r="J142" s="59"/>
      <c r="K142" s="59"/>
      <c r="L142" s="53">
        <f>ak!$AK$19</f>
        <v>88</v>
      </c>
      <c r="M142" s="53">
        <f>ak!$AQ$19</f>
        <v>96</v>
      </c>
      <c r="N142" s="53">
        <f>ak!$AW$19</f>
        <v>88</v>
      </c>
      <c r="O142" s="59"/>
      <c r="P142" s="55"/>
      <c r="Q142" s="55"/>
      <c r="R142" s="54">
        <f>ak!$BW$19</f>
        <v>87.5</v>
      </c>
      <c r="S142" s="54">
        <f>ak!$CA$19</f>
        <v>87</v>
      </c>
      <c r="T142" s="54"/>
      <c r="U142" s="54">
        <f>ak!$CF$19</f>
        <v>99</v>
      </c>
      <c r="V142" s="58"/>
      <c r="X142" s="278">
        <v>19</v>
      </c>
    </row>
    <row r="143" spans="1:24">
      <c r="A143" s="268">
        <v>15</v>
      </c>
      <c r="B143" s="271"/>
      <c r="C143" s="274"/>
      <c r="D143" s="66" t="s">
        <v>299</v>
      </c>
      <c r="E143" s="67">
        <f t="shared" ref="E143:G143" si="157">AVERAGE(E138:E142)</f>
        <v>91.8</v>
      </c>
      <c r="F143" s="67">
        <f t="shared" si="157"/>
        <v>90.4</v>
      </c>
      <c r="G143" s="67">
        <f t="shared" si="157"/>
        <v>93.8</v>
      </c>
      <c r="H143" s="68"/>
      <c r="I143" s="68"/>
      <c r="J143" s="69"/>
      <c r="K143" s="69"/>
      <c r="L143" s="67">
        <f t="shared" ref="L143:N143" si="158">AVERAGE(L138:L142)</f>
        <v>88</v>
      </c>
      <c r="M143" s="67">
        <f t="shared" si="158"/>
        <v>94.6</v>
      </c>
      <c r="N143" s="67">
        <f t="shared" si="158"/>
        <v>89.6</v>
      </c>
      <c r="O143" s="69"/>
      <c r="P143" s="63"/>
      <c r="Q143" s="63"/>
      <c r="R143" s="84">
        <f t="shared" ref="R143:S143" si="159">AVERAGE(R140:R142)</f>
        <v>85.916666666666671</v>
      </c>
      <c r="S143" s="84">
        <f t="shared" si="159"/>
        <v>85</v>
      </c>
      <c r="T143" s="63"/>
      <c r="U143" s="84">
        <f t="shared" ref="U143" si="160">AVERAGE(U138:U142)</f>
        <v>90.333333333333329</v>
      </c>
      <c r="V143" s="58"/>
      <c r="X143" s="278">
        <v>19</v>
      </c>
    </row>
    <row r="144" spans="1:24">
      <c r="A144" s="268">
        <v>15</v>
      </c>
      <c r="B144" s="271"/>
      <c r="C144" s="274"/>
      <c r="D144" s="70" t="s">
        <v>300</v>
      </c>
      <c r="E144" s="71">
        <f>ak!$J$19</f>
        <v>93</v>
      </c>
      <c r="F144" s="71">
        <f>ak!$P$19</f>
        <v>94</v>
      </c>
      <c r="G144" s="71">
        <f>ak!$V$19</f>
        <v>91</v>
      </c>
      <c r="H144" s="72"/>
      <c r="I144" s="72"/>
      <c r="J144" s="73"/>
      <c r="K144" s="73"/>
      <c r="L144" s="71">
        <f>ak!$AL$19</f>
        <v>91</v>
      </c>
      <c r="M144" s="71">
        <f>ak!$AR$19</f>
        <v>92</v>
      </c>
      <c r="N144" s="71">
        <f>ak!$AX$19</f>
        <v>92</v>
      </c>
      <c r="O144" s="73"/>
      <c r="P144" s="74"/>
      <c r="Q144" s="74"/>
      <c r="R144" s="85">
        <f>ak!$BX$19</f>
        <v>95</v>
      </c>
      <c r="S144" s="85">
        <f>ak!$BX$19</f>
        <v>95</v>
      </c>
      <c r="T144" s="85">
        <f>ak!$CC$19</f>
        <v>93</v>
      </c>
      <c r="U144" s="75">
        <f>ak!$CG$19</f>
        <v>92</v>
      </c>
      <c r="V144" s="58"/>
      <c r="X144" s="278">
        <v>19</v>
      </c>
    </row>
    <row r="145" spans="1:24">
      <c r="A145" s="268">
        <v>15</v>
      </c>
      <c r="B145" s="271"/>
      <c r="C145" s="274"/>
      <c r="D145" s="76" t="s">
        <v>301</v>
      </c>
      <c r="E145" s="77">
        <f>ak!$CH$19</f>
        <v>92</v>
      </c>
      <c r="F145" s="77">
        <f>ak!$CI$19</f>
        <v>95</v>
      </c>
      <c r="G145" s="77">
        <f>ak!$CJ$19</f>
        <v>90</v>
      </c>
      <c r="H145" s="72"/>
      <c r="I145" s="72"/>
      <c r="J145" s="73"/>
      <c r="K145" s="73"/>
      <c r="L145" s="77">
        <f>ak!$CK$19</f>
        <v>95</v>
      </c>
      <c r="M145" s="77">
        <f>ak!$CL$19</f>
        <v>96</v>
      </c>
      <c r="N145" s="77">
        <f>ak!$CM$19</f>
        <v>83</v>
      </c>
      <c r="O145" s="73"/>
      <c r="P145" s="74"/>
      <c r="Q145" s="74"/>
      <c r="R145" s="86">
        <f>ak!$CP$19</f>
        <v>95</v>
      </c>
      <c r="S145" s="86">
        <f>ak!$CO$19</f>
        <v>94</v>
      </c>
      <c r="T145" s="74"/>
      <c r="U145" s="86">
        <f>ak!$CN$19</f>
        <v>96</v>
      </c>
      <c r="V145" s="58"/>
      <c r="X145" s="278">
        <v>19</v>
      </c>
    </row>
    <row r="146" spans="1:24" ht="15" thickBot="1">
      <c r="A146" s="269">
        <v>15</v>
      </c>
      <c r="B146" s="272"/>
      <c r="C146" s="275"/>
      <c r="D146" s="78" t="s">
        <v>302</v>
      </c>
      <c r="E146" s="79">
        <f t="shared" ref="E146:G146" si="161">(E143*4+E144*3+E145*3)/10</f>
        <v>92.22</v>
      </c>
      <c r="F146" s="79">
        <f t="shared" si="161"/>
        <v>92.86</v>
      </c>
      <c r="G146" s="79">
        <f t="shared" si="161"/>
        <v>91.820000000000007</v>
      </c>
      <c r="H146" s="79">
        <f t="shared" ref="H146:I146" si="162">AVERAGE(H138:H141)</f>
        <v>81.75</v>
      </c>
      <c r="I146" s="79">
        <f t="shared" si="162"/>
        <v>84</v>
      </c>
      <c r="J146" s="79">
        <f t="shared" ref="J146" si="163">AVERAGE(J138:J139)</f>
        <v>85</v>
      </c>
      <c r="K146" s="79">
        <f t="shared" ref="K146" si="164">AVERAGE(K138:K141)</f>
        <v>85</v>
      </c>
      <c r="L146" s="79">
        <f t="shared" ref="L146:N146" si="165">(L143*4+L144*3+L145*3)/10</f>
        <v>91</v>
      </c>
      <c r="M146" s="79">
        <f t="shared" si="165"/>
        <v>94.24</v>
      </c>
      <c r="N146" s="79">
        <f t="shared" si="165"/>
        <v>88.34</v>
      </c>
      <c r="O146" s="79">
        <f t="shared" ref="O146:Q146" si="166">AVERAGE(O138:O139)</f>
        <v>78.5</v>
      </c>
      <c r="P146" s="79">
        <f t="shared" si="166"/>
        <v>92</v>
      </c>
      <c r="Q146" s="79">
        <f t="shared" si="166"/>
        <v>87</v>
      </c>
      <c r="R146" s="79">
        <f t="shared" ref="R146:S146" si="167">(R143*4+R144*3+R145*3)/10</f>
        <v>91.366666666666674</v>
      </c>
      <c r="S146" s="79">
        <f t="shared" si="167"/>
        <v>90.7</v>
      </c>
      <c r="T146" s="79">
        <f t="shared" ref="T146" si="168">T144</f>
        <v>93</v>
      </c>
      <c r="U146" s="79">
        <f t="shared" ref="U146" si="169">(U143*4+U144*3+U145*3)/10</f>
        <v>92.533333333333331</v>
      </c>
      <c r="V146" s="80">
        <f>AVERAGE(E146:U146)</f>
        <v>88.901764705882357</v>
      </c>
      <c r="X146" s="278">
        <v>19</v>
      </c>
    </row>
    <row r="147" spans="1:24" ht="18" customHeight="1" thickTop="1" thickBot="1">
      <c r="A147" s="268">
        <v>16</v>
      </c>
      <c r="B147" s="270" t="s">
        <v>580</v>
      </c>
      <c r="C147" s="273" t="s">
        <v>581</v>
      </c>
      <c r="D147" s="52" t="s">
        <v>294</v>
      </c>
      <c r="E147" s="53">
        <f>ak!$E$20</f>
        <v>84</v>
      </c>
      <c r="F147" s="53">
        <f>ak!$K$20</f>
        <v>81</v>
      </c>
      <c r="G147" s="53">
        <f>ak!$Q$20</f>
        <v>88</v>
      </c>
      <c r="H147" s="53">
        <f>ak!$W$20</f>
        <v>82</v>
      </c>
      <c r="I147" s="53">
        <f>ak!$AA$20</f>
        <v>79</v>
      </c>
      <c r="J147" s="53">
        <f>ak!$AE$20</f>
        <v>83</v>
      </c>
      <c r="K147" s="54">
        <f>ak!$AG$20</f>
        <v>83</v>
      </c>
      <c r="L147" s="55"/>
      <c r="M147" s="53">
        <f>ak!$AM$20</f>
        <v>77</v>
      </c>
      <c r="N147" s="53">
        <f>ak!$AS$20</f>
        <v>72</v>
      </c>
      <c r="O147" s="53">
        <f>ak!$AY$20</f>
        <v>80</v>
      </c>
      <c r="P147" s="54">
        <f>ak!$BA$20</f>
        <v>78</v>
      </c>
      <c r="Q147" s="54">
        <f>ak!$BC$20</f>
        <v>83</v>
      </c>
      <c r="R147" s="55"/>
      <c r="S147" s="55"/>
      <c r="T147" s="55"/>
      <c r="U147" s="55"/>
      <c r="V147" s="56"/>
      <c r="X147" s="278">
        <v>20</v>
      </c>
    </row>
    <row r="148" spans="1:24" ht="15" thickBot="1">
      <c r="A148" s="268">
        <v>16</v>
      </c>
      <c r="B148" s="271"/>
      <c r="C148" s="274"/>
      <c r="D148" s="52" t="s">
        <v>295</v>
      </c>
      <c r="E148" s="53">
        <f>ak!$F$20</f>
        <v>80</v>
      </c>
      <c r="F148" s="53">
        <f>ak!$L$20</f>
        <v>81</v>
      </c>
      <c r="G148" s="53">
        <f>ak!$R$20</f>
        <v>85</v>
      </c>
      <c r="H148" s="53">
        <f>ak!$X$20</f>
        <v>84</v>
      </c>
      <c r="I148" s="53">
        <f>ak!$AB$20</f>
        <v>88</v>
      </c>
      <c r="J148" s="53">
        <f>ak!$AF$20</f>
        <v>85</v>
      </c>
      <c r="K148" s="54">
        <f>ak!$AH$20</f>
        <v>84</v>
      </c>
      <c r="L148" s="55"/>
      <c r="M148" s="53">
        <f>ak!$AN$20</f>
        <v>78</v>
      </c>
      <c r="N148" s="53">
        <f>ak!$AT$20</f>
        <v>81</v>
      </c>
      <c r="O148" s="53">
        <f>ak!$AZ$20</f>
        <v>80</v>
      </c>
      <c r="P148" s="54">
        <f>ak!$BB$20</f>
        <v>80</v>
      </c>
      <c r="Q148" s="54">
        <f>ak!$BD$20</f>
        <v>84</v>
      </c>
      <c r="R148" s="55"/>
      <c r="S148" s="55"/>
      <c r="T148" s="55"/>
      <c r="U148" s="55"/>
      <c r="V148" s="58"/>
      <c r="X148" s="278">
        <v>20</v>
      </c>
    </row>
    <row r="149" spans="1:24" ht="15" thickBot="1">
      <c r="A149" s="268">
        <v>16</v>
      </c>
      <c r="B149" s="271"/>
      <c r="C149" s="274"/>
      <c r="D149" s="52" t="s">
        <v>296</v>
      </c>
      <c r="E149" s="53">
        <f>ak!$G$20</f>
        <v>85</v>
      </c>
      <c r="F149" s="53">
        <f>ak!$M$20</f>
        <v>87</v>
      </c>
      <c r="G149" s="53">
        <f>ak!$S$20</f>
        <v>81</v>
      </c>
      <c r="H149" s="53">
        <f>ak!$Y$20</f>
        <v>82</v>
      </c>
      <c r="I149" s="53">
        <f>ak!$AC$20</f>
        <v>83</v>
      </c>
      <c r="J149" s="59"/>
      <c r="K149" s="54">
        <f>ak!$AI$20</f>
        <v>75</v>
      </c>
      <c r="L149" s="55"/>
      <c r="M149" s="53">
        <f>ak!$AO$20</f>
        <v>78</v>
      </c>
      <c r="N149" s="53">
        <f>ak!$AU$20</f>
        <v>79</v>
      </c>
      <c r="O149" s="59"/>
      <c r="P149" s="55"/>
      <c r="Q149" s="55"/>
      <c r="R149" s="54">
        <f>ak!$BU$20</f>
        <v>81.75</v>
      </c>
      <c r="S149" s="54">
        <f>ak!$BY$20</f>
        <v>83</v>
      </c>
      <c r="T149" s="55"/>
      <c r="U149" s="54">
        <f>ak!$CD$20</f>
        <v>80</v>
      </c>
      <c r="V149" s="58"/>
      <c r="X149" s="278">
        <v>20</v>
      </c>
    </row>
    <row r="150" spans="1:24" ht="15" thickBot="1">
      <c r="A150" s="268">
        <v>16</v>
      </c>
      <c r="B150" s="271"/>
      <c r="C150" s="274"/>
      <c r="D150" s="62" t="s">
        <v>297</v>
      </c>
      <c r="E150" s="53">
        <f>ak!$H$20</f>
        <v>82</v>
      </c>
      <c r="F150" s="53">
        <f>ak!$N$20</f>
        <v>80</v>
      </c>
      <c r="G150" s="53">
        <f>ak!$T$20</f>
        <v>82</v>
      </c>
      <c r="H150" s="53">
        <f>ak!$Z$20</f>
        <v>80</v>
      </c>
      <c r="I150" s="53">
        <f>ak!$AD$20</f>
        <v>83</v>
      </c>
      <c r="J150" s="59"/>
      <c r="K150" s="54">
        <f>ak!$AJ$20</f>
        <v>83</v>
      </c>
      <c r="L150" s="55"/>
      <c r="M150" s="53">
        <f>ak!$AP$20</f>
        <v>79</v>
      </c>
      <c r="N150" s="53">
        <f>ak!$AV$20</f>
        <v>79</v>
      </c>
      <c r="O150" s="59"/>
      <c r="P150" s="55"/>
      <c r="Q150" s="55"/>
      <c r="R150" s="54">
        <f>ak!$BV$20</f>
        <v>81.75</v>
      </c>
      <c r="S150" s="54">
        <f>ak!$BZ$20</f>
        <v>83</v>
      </c>
      <c r="T150" s="63"/>
      <c r="U150" s="54">
        <f>ak!$CE$20</f>
        <v>89</v>
      </c>
      <c r="V150" s="58"/>
      <c r="X150" s="278">
        <v>20</v>
      </c>
    </row>
    <row r="151" spans="1:24">
      <c r="A151" s="268">
        <v>16</v>
      </c>
      <c r="B151" s="271"/>
      <c r="C151" s="274"/>
      <c r="D151" s="62" t="s">
        <v>298</v>
      </c>
      <c r="E151" s="53">
        <f>ak!$I$20</f>
        <v>91</v>
      </c>
      <c r="F151" s="53">
        <f>ak!$O$20</f>
        <v>81</v>
      </c>
      <c r="G151" s="53">
        <f>ak!$U$20</f>
        <v>81</v>
      </c>
      <c r="H151" s="65"/>
      <c r="I151" s="65"/>
      <c r="J151" s="59"/>
      <c r="K151" s="59"/>
      <c r="L151" s="53">
        <f>ak!$AK$20</f>
        <v>84</v>
      </c>
      <c r="M151" s="53">
        <f>ak!$AQ$20</f>
        <v>83</v>
      </c>
      <c r="N151" s="53">
        <f>ak!$AW$20</f>
        <v>83</v>
      </c>
      <c r="O151" s="59"/>
      <c r="P151" s="55"/>
      <c r="Q151" s="55"/>
      <c r="R151" s="54">
        <f>ak!$BW$20</f>
        <v>84</v>
      </c>
      <c r="S151" s="54">
        <f>ak!$CA$20</f>
        <v>82</v>
      </c>
      <c r="T151" s="54"/>
      <c r="U151" s="54">
        <f>ak!$CF$20</f>
        <v>76</v>
      </c>
      <c r="V151" s="58"/>
      <c r="X151" s="278">
        <v>20</v>
      </c>
    </row>
    <row r="152" spans="1:24">
      <c r="A152" s="268">
        <v>16</v>
      </c>
      <c r="B152" s="271"/>
      <c r="C152" s="274"/>
      <c r="D152" s="66" t="s">
        <v>299</v>
      </c>
      <c r="E152" s="67">
        <f t="shared" ref="E152:G152" si="170">AVERAGE(E147:E151)</f>
        <v>84.4</v>
      </c>
      <c r="F152" s="67">
        <f t="shared" si="170"/>
        <v>82</v>
      </c>
      <c r="G152" s="67">
        <f t="shared" si="170"/>
        <v>83.4</v>
      </c>
      <c r="H152" s="68"/>
      <c r="I152" s="68"/>
      <c r="J152" s="69"/>
      <c r="K152" s="69"/>
      <c r="L152" s="67">
        <f t="shared" ref="L152:N152" si="171">AVERAGE(L147:L151)</f>
        <v>84</v>
      </c>
      <c r="M152" s="67">
        <f t="shared" si="171"/>
        <v>79</v>
      </c>
      <c r="N152" s="67">
        <f t="shared" si="171"/>
        <v>78.8</v>
      </c>
      <c r="O152" s="69"/>
      <c r="P152" s="63"/>
      <c r="Q152" s="63"/>
      <c r="R152" s="84">
        <f t="shared" ref="R152:S152" si="172">AVERAGE(R149:R151)</f>
        <v>82.5</v>
      </c>
      <c r="S152" s="84">
        <f t="shared" si="172"/>
        <v>82.666666666666671</v>
      </c>
      <c r="T152" s="63"/>
      <c r="U152" s="84">
        <f t="shared" ref="U152" si="173">AVERAGE(U147:U151)</f>
        <v>81.666666666666671</v>
      </c>
      <c r="V152" s="58"/>
      <c r="X152" s="278">
        <v>20</v>
      </c>
    </row>
    <row r="153" spans="1:24">
      <c r="A153" s="268">
        <v>16</v>
      </c>
      <c r="B153" s="271"/>
      <c r="C153" s="274"/>
      <c r="D153" s="70" t="s">
        <v>300</v>
      </c>
      <c r="E153" s="71">
        <f>ak!$J$20</f>
        <v>90</v>
      </c>
      <c r="F153" s="71">
        <f>ak!$P$20</f>
        <v>93</v>
      </c>
      <c r="G153" s="71">
        <f>ak!$V$20</f>
        <v>91</v>
      </c>
      <c r="H153" s="72"/>
      <c r="I153" s="72"/>
      <c r="J153" s="73"/>
      <c r="K153" s="73"/>
      <c r="L153" s="71">
        <f>ak!$AL$20</f>
        <v>91</v>
      </c>
      <c r="M153" s="71">
        <f>ak!$AR$20</f>
        <v>90</v>
      </c>
      <c r="N153" s="71">
        <f>ak!$AX$20</f>
        <v>90</v>
      </c>
      <c r="O153" s="73"/>
      <c r="P153" s="74"/>
      <c r="Q153" s="74"/>
      <c r="R153" s="85">
        <f>ak!$BX$20</f>
        <v>95</v>
      </c>
      <c r="S153" s="85">
        <f>ak!$BX$20</f>
        <v>95</v>
      </c>
      <c r="T153" s="85">
        <f>ak!$CC$20</f>
        <v>92</v>
      </c>
      <c r="U153" s="75">
        <f>ak!$CG$20</f>
        <v>90</v>
      </c>
      <c r="V153" s="58"/>
      <c r="X153" s="278">
        <v>20</v>
      </c>
    </row>
    <row r="154" spans="1:24">
      <c r="A154" s="268">
        <v>16</v>
      </c>
      <c r="B154" s="271"/>
      <c r="C154" s="274"/>
      <c r="D154" s="76" t="s">
        <v>301</v>
      </c>
      <c r="E154" s="77">
        <f>ak!$CH$20</f>
        <v>83</v>
      </c>
      <c r="F154" s="77">
        <f>ak!$CI$20</f>
        <v>95</v>
      </c>
      <c r="G154" s="77">
        <f>ak!$CJ$20</f>
        <v>86</v>
      </c>
      <c r="H154" s="72"/>
      <c r="I154" s="72"/>
      <c r="J154" s="73"/>
      <c r="K154" s="73"/>
      <c r="L154" s="77">
        <f>ak!$CK$20</f>
        <v>87</v>
      </c>
      <c r="M154" s="77">
        <f>ak!$CL$20</f>
        <v>82</v>
      </c>
      <c r="N154" s="77">
        <f>ak!$CM$20</f>
        <v>88</v>
      </c>
      <c r="O154" s="73"/>
      <c r="P154" s="74"/>
      <c r="Q154" s="74"/>
      <c r="R154" s="86">
        <f>ak!$CP$20</f>
        <v>85</v>
      </c>
      <c r="S154" s="86">
        <f>ak!$CO$20</f>
        <v>85</v>
      </c>
      <c r="T154" s="74"/>
      <c r="U154" s="86">
        <f>ak!$CN$20</f>
        <v>85</v>
      </c>
      <c r="V154" s="58"/>
      <c r="X154" s="278">
        <v>20</v>
      </c>
    </row>
    <row r="155" spans="1:24" ht="15" thickBot="1">
      <c r="A155" s="269">
        <v>16</v>
      </c>
      <c r="B155" s="272"/>
      <c r="C155" s="275"/>
      <c r="D155" s="78" t="s">
        <v>302</v>
      </c>
      <c r="E155" s="79">
        <f t="shared" ref="E155:G155" si="174">(E152*4+E153*3+E154*3)/10</f>
        <v>85.66</v>
      </c>
      <c r="F155" s="79">
        <f t="shared" si="174"/>
        <v>89.2</v>
      </c>
      <c r="G155" s="79">
        <f t="shared" si="174"/>
        <v>86.460000000000008</v>
      </c>
      <c r="H155" s="79">
        <f t="shared" ref="H155:I155" si="175">AVERAGE(H147:H150)</f>
        <v>82</v>
      </c>
      <c r="I155" s="79">
        <f t="shared" si="175"/>
        <v>83.25</v>
      </c>
      <c r="J155" s="79">
        <f t="shared" ref="J155" si="176">AVERAGE(J147:J148)</f>
        <v>84</v>
      </c>
      <c r="K155" s="79">
        <f t="shared" ref="K155" si="177">AVERAGE(K147:K150)</f>
        <v>81.25</v>
      </c>
      <c r="L155" s="79">
        <f t="shared" ref="L155:N155" si="178">(L152*4+L153*3+L154*3)/10</f>
        <v>87</v>
      </c>
      <c r="M155" s="79">
        <f t="shared" si="178"/>
        <v>83.2</v>
      </c>
      <c r="N155" s="79">
        <f t="shared" si="178"/>
        <v>84.92</v>
      </c>
      <c r="O155" s="79">
        <f t="shared" ref="O155:Q155" si="179">AVERAGE(O147:O148)</f>
        <v>80</v>
      </c>
      <c r="P155" s="79">
        <f t="shared" si="179"/>
        <v>79</v>
      </c>
      <c r="Q155" s="79">
        <f t="shared" si="179"/>
        <v>83.5</v>
      </c>
      <c r="R155" s="79">
        <f t="shared" ref="R155:S155" si="180">(R152*4+R153*3+R154*3)/10</f>
        <v>87</v>
      </c>
      <c r="S155" s="79">
        <f t="shared" si="180"/>
        <v>87.066666666666677</v>
      </c>
      <c r="T155" s="79">
        <f t="shared" ref="T155" si="181">T153</f>
        <v>92</v>
      </c>
      <c r="U155" s="79">
        <f t="shared" ref="U155" si="182">(U152*4+U153*3+U154*3)/10</f>
        <v>85.166666666666671</v>
      </c>
      <c r="V155" s="80">
        <f>AVERAGE(E155:U155)</f>
        <v>84.745490196078435</v>
      </c>
      <c r="X155" s="278">
        <v>20</v>
      </c>
    </row>
    <row r="156" spans="1:24" ht="15.6" thickTop="1" thickBot="1">
      <c r="A156" s="268">
        <v>17</v>
      </c>
      <c r="B156" s="270" t="s">
        <v>582</v>
      </c>
      <c r="C156" s="273" t="s">
        <v>583</v>
      </c>
      <c r="D156" s="52" t="s">
        <v>294</v>
      </c>
      <c r="E156" s="53">
        <f>ak!$E$21</f>
        <v>80</v>
      </c>
      <c r="F156" s="53">
        <f>ak!$K$21</f>
        <v>81</v>
      </c>
      <c r="G156" s="53">
        <f>ak!$Q$21</f>
        <v>92</v>
      </c>
      <c r="H156" s="53">
        <f>ak!$W$21</f>
        <v>84</v>
      </c>
      <c r="I156" s="53">
        <f>ak!$AA$21</f>
        <v>80</v>
      </c>
      <c r="J156" s="53">
        <f>ak!$AE$21</f>
        <v>90</v>
      </c>
      <c r="K156" s="54">
        <f>ak!$AG$21</f>
        <v>86</v>
      </c>
      <c r="L156" s="55"/>
      <c r="M156" s="53">
        <f>ak!$AM$21</f>
        <v>73</v>
      </c>
      <c r="N156" s="53">
        <f>ak!$AS$21</f>
        <v>78</v>
      </c>
      <c r="O156" s="53">
        <f>ak!$AY$21</f>
        <v>77</v>
      </c>
      <c r="P156" s="54">
        <f>ak!$BA$21</f>
        <v>83</v>
      </c>
      <c r="Q156" s="54">
        <f>ak!$BC$21</f>
        <v>83</v>
      </c>
      <c r="R156" s="55"/>
      <c r="S156" s="55"/>
      <c r="T156" s="55"/>
      <c r="U156" s="55"/>
      <c r="V156" s="56"/>
      <c r="X156" s="278">
        <v>21</v>
      </c>
    </row>
    <row r="157" spans="1:24" ht="15" thickBot="1">
      <c r="A157" s="268">
        <v>17</v>
      </c>
      <c r="B157" s="271"/>
      <c r="C157" s="274"/>
      <c r="D157" s="52" t="s">
        <v>295</v>
      </c>
      <c r="E157" s="53">
        <f>ak!$F$21</f>
        <v>85</v>
      </c>
      <c r="F157" s="53">
        <f>ak!$L$21</f>
        <v>83</v>
      </c>
      <c r="G157" s="53">
        <f>ak!$R$21</f>
        <v>85</v>
      </c>
      <c r="H157" s="53">
        <f>ak!$X$21</f>
        <v>85</v>
      </c>
      <c r="I157" s="53">
        <f>ak!$AB$21</f>
        <v>88</v>
      </c>
      <c r="J157" s="53">
        <f>ak!$AF$21</f>
        <v>86</v>
      </c>
      <c r="K157" s="54">
        <f>ak!$AH$21</f>
        <v>85</v>
      </c>
      <c r="L157" s="55"/>
      <c r="M157" s="53">
        <f>ak!$AN$21</f>
        <v>74</v>
      </c>
      <c r="N157" s="53">
        <f>ak!$AT$21</f>
        <v>83</v>
      </c>
      <c r="O157" s="53">
        <f>ak!$AZ$21</f>
        <v>83</v>
      </c>
      <c r="P157" s="54">
        <f>ak!$BB$21</f>
        <v>82</v>
      </c>
      <c r="Q157" s="54">
        <f>ak!$BD$21</f>
        <v>84</v>
      </c>
      <c r="R157" s="55"/>
      <c r="S157" s="55"/>
      <c r="T157" s="55"/>
      <c r="U157" s="55"/>
      <c r="V157" s="58"/>
      <c r="X157" s="278">
        <v>21</v>
      </c>
    </row>
    <row r="158" spans="1:24" ht="15" thickBot="1">
      <c r="A158" s="268">
        <v>17</v>
      </c>
      <c r="B158" s="271"/>
      <c r="C158" s="274"/>
      <c r="D158" s="52" t="s">
        <v>296</v>
      </c>
      <c r="E158" s="53">
        <f>ak!$G$21</f>
        <v>85</v>
      </c>
      <c r="F158" s="53">
        <f>ak!$M$21</f>
        <v>95</v>
      </c>
      <c r="G158" s="53">
        <f>ak!$S$21</f>
        <v>85</v>
      </c>
      <c r="H158" s="53">
        <f>ak!$Y$21</f>
        <v>84</v>
      </c>
      <c r="I158" s="53">
        <f>ak!$AC$21</f>
        <v>83</v>
      </c>
      <c r="J158" s="59"/>
      <c r="K158" s="54">
        <f>ak!$AI$21</f>
        <v>71</v>
      </c>
      <c r="L158" s="55"/>
      <c r="M158" s="53">
        <f>ak!$AO$21</f>
        <v>87</v>
      </c>
      <c r="N158" s="53">
        <f>ak!$AU$21</f>
        <v>77</v>
      </c>
      <c r="O158" s="59"/>
      <c r="P158" s="55"/>
      <c r="Q158" s="55"/>
      <c r="R158" s="54">
        <f>ak!$BU$21</f>
        <v>84.25</v>
      </c>
      <c r="S158" s="54">
        <f>ak!$BY$21</f>
        <v>85</v>
      </c>
      <c r="T158" s="55"/>
      <c r="U158" s="54">
        <f>ak!$CD$21</f>
        <v>77</v>
      </c>
      <c r="V158" s="58"/>
      <c r="X158" s="278">
        <v>21</v>
      </c>
    </row>
    <row r="159" spans="1:24" ht="15" thickBot="1">
      <c r="A159" s="268">
        <v>17</v>
      </c>
      <c r="B159" s="271"/>
      <c r="C159" s="274"/>
      <c r="D159" s="62" t="s">
        <v>297</v>
      </c>
      <c r="E159" s="53">
        <f>ak!$H$21</f>
        <v>85</v>
      </c>
      <c r="F159" s="53">
        <f>ak!$N$21</f>
        <v>95</v>
      </c>
      <c r="G159" s="53">
        <f>ak!$T$21</f>
        <v>86</v>
      </c>
      <c r="H159" s="53">
        <f>ak!$Z$21</f>
        <v>80</v>
      </c>
      <c r="I159" s="53">
        <f>ak!$AD$21</f>
        <v>83</v>
      </c>
      <c r="J159" s="59"/>
      <c r="K159" s="54">
        <f>ak!$AJ$21</f>
        <v>83</v>
      </c>
      <c r="L159" s="55"/>
      <c r="M159" s="53">
        <f>ak!$AP$21</f>
        <v>86</v>
      </c>
      <c r="N159" s="53">
        <f>ak!$AV$21</f>
        <v>82</v>
      </c>
      <c r="O159" s="59"/>
      <c r="P159" s="55"/>
      <c r="Q159" s="55"/>
      <c r="R159" s="54">
        <f>ak!$BV$21</f>
        <v>84.5</v>
      </c>
      <c r="S159" s="54">
        <f>ak!$BZ$21</f>
        <v>84</v>
      </c>
      <c r="T159" s="63"/>
      <c r="U159" s="54">
        <f>ak!$CE$21</f>
        <v>89</v>
      </c>
      <c r="V159" s="58"/>
      <c r="X159" s="278">
        <v>21</v>
      </c>
    </row>
    <row r="160" spans="1:24">
      <c r="A160" s="268">
        <v>17</v>
      </c>
      <c r="B160" s="271"/>
      <c r="C160" s="274"/>
      <c r="D160" s="62" t="s">
        <v>298</v>
      </c>
      <c r="E160" s="53">
        <f>ak!$I$21</f>
        <v>89</v>
      </c>
      <c r="F160" s="53">
        <f>ak!$O$21</f>
        <v>95</v>
      </c>
      <c r="G160" s="53">
        <f>ak!$U$21</f>
        <v>84</v>
      </c>
      <c r="H160" s="65"/>
      <c r="I160" s="65"/>
      <c r="J160" s="59"/>
      <c r="K160" s="59"/>
      <c r="L160" s="53">
        <f>ak!$AK$21</f>
        <v>88</v>
      </c>
      <c r="M160" s="53">
        <f>ak!$AQ$21</f>
        <v>87</v>
      </c>
      <c r="N160" s="53">
        <f>ak!$AW$21</f>
        <v>81</v>
      </c>
      <c r="O160" s="59"/>
      <c r="P160" s="55"/>
      <c r="Q160" s="55"/>
      <c r="R160" s="54">
        <f>ak!$BW$21</f>
        <v>86.25</v>
      </c>
      <c r="S160" s="54">
        <f>ak!$CA$21</f>
        <v>84</v>
      </c>
      <c r="T160" s="54"/>
      <c r="U160" s="54">
        <f>ak!$CF$21</f>
        <v>77</v>
      </c>
      <c r="V160" s="58"/>
      <c r="X160" s="278">
        <v>21</v>
      </c>
    </row>
    <row r="161" spans="1:24">
      <c r="A161" s="268">
        <v>17</v>
      </c>
      <c r="B161" s="271"/>
      <c r="C161" s="274"/>
      <c r="D161" s="66" t="s">
        <v>299</v>
      </c>
      <c r="E161" s="67">
        <f ca="1">AVERAGE(E160:E1216)</f>
        <v>0</v>
      </c>
      <c r="F161" s="67">
        <f ca="1">AVERAGE(F160:F1216)</f>
        <v>0</v>
      </c>
      <c r="G161" s="67">
        <f ca="1">AVERAGE(G160:G1216)</f>
        <v>0</v>
      </c>
      <c r="H161" s="68"/>
      <c r="I161" s="68"/>
      <c r="J161" s="69"/>
      <c r="K161" s="69"/>
      <c r="L161" s="67">
        <f ca="1">AVERAGE(L160:L1216)</f>
        <v>0</v>
      </c>
      <c r="M161" s="67">
        <f ca="1">AVERAGE(M160:M1216)</f>
        <v>0</v>
      </c>
      <c r="N161" s="67">
        <f ca="1">AVERAGE(N160:N1216)</f>
        <v>0</v>
      </c>
      <c r="O161" s="69"/>
      <c r="P161" s="63"/>
      <c r="Q161" s="63"/>
      <c r="R161" s="84">
        <f ca="1">AVERAGE(R160:R1218)</f>
        <v>0</v>
      </c>
      <c r="S161" s="84">
        <f ca="1">AVERAGE(S160:S1218)</f>
        <v>0</v>
      </c>
      <c r="T161" s="63"/>
      <c r="U161" s="84">
        <f ca="1">AVERAGE(U160:U1216)</f>
        <v>0</v>
      </c>
      <c r="V161" s="58"/>
      <c r="X161" s="278">
        <v>21</v>
      </c>
    </row>
    <row r="162" spans="1:24">
      <c r="A162" s="268">
        <v>17</v>
      </c>
      <c r="B162" s="271"/>
      <c r="C162" s="274"/>
      <c r="D162" s="70" t="s">
        <v>300</v>
      </c>
      <c r="E162" s="71">
        <f>ak!$J$21</f>
        <v>87</v>
      </c>
      <c r="F162" s="71">
        <f>ak!$P$21</f>
        <v>85</v>
      </c>
      <c r="G162" s="71">
        <f>ak!$V$21</f>
        <v>85</v>
      </c>
      <c r="H162" s="72"/>
      <c r="I162" s="72"/>
      <c r="J162" s="73"/>
      <c r="K162" s="73"/>
      <c r="L162" s="71">
        <f>ak!$AL$21</f>
        <v>85</v>
      </c>
      <c r="M162" s="71">
        <f>ak!$AR$21</f>
        <v>85</v>
      </c>
      <c r="N162" s="71">
        <f>ak!$AX$21</f>
        <v>85</v>
      </c>
      <c r="O162" s="73"/>
      <c r="P162" s="74"/>
      <c r="Q162" s="74"/>
      <c r="R162" s="85">
        <f>ak!$BX$21</f>
        <v>85</v>
      </c>
      <c r="S162" s="85">
        <f>ak!$BX$21</f>
        <v>85</v>
      </c>
      <c r="T162" s="85">
        <f>ak!$CC$21</f>
        <v>85</v>
      </c>
      <c r="U162" s="75">
        <f>ak!$CG$21</f>
        <v>85</v>
      </c>
      <c r="V162" s="58"/>
      <c r="X162" s="278">
        <v>21</v>
      </c>
    </row>
    <row r="163" spans="1:24">
      <c r="A163" s="268">
        <v>17</v>
      </c>
      <c r="B163" s="271"/>
      <c r="C163" s="274"/>
      <c r="D163" s="76" t="s">
        <v>301</v>
      </c>
      <c r="E163" s="77">
        <f>ak!$CH$5</f>
        <v>89</v>
      </c>
      <c r="F163" s="77">
        <f>ak!$CI$5</f>
        <v>95</v>
      </c>
      <c r="G163" s="77">
        <f>ak!$CJ$5</f>
        <v>88</v>
      </c>
      <c r="H163" s="72"/>
      <c r="I163" s="72"/>
      <c r="J163" s="73"/>
      <c r="K163" s="73"/>
      <c r="L163" s="77">
        <f>ak!$CK$5</f>
        <v>75</v>
      </c>
      <c r="M163" s="77">
        <f>ak!$CL$5</f>
        <v>83</v>
      </c>
      <c r="N163" s="77">
        <f>ak!$CM$5</f>
        <v>85</v>
      </c>
      <c r="O163" s="73"/>
      <c r="P163" s="74"/>
      <c r="Q163" s="74"/>
      <c r="R163" s="86">
        <f>ak!$CP$5</f>
        <v>77</v>
      </c>
      <c r="S163" s="86">
        <f>ak!$CO$5</f>
        <v>89</v>
      </c>
      <c r="T163" s="74"/>
      <c r="U163" s="86">
        <f>ak!$CN$5</f>
        <v>84</v>
      </c>
      <c r="V163" s="58"/>
      <c r="X163" s="278">
        <v>21</v>
      </c>
    </row>
    <row r="164" spans="1:24" ht="15" thickBot="1">
      <c r="A164" s="269">
        <v>17</v>
      </c>
      <c r="B164" s="272"/>
      <c r="C164" s="275"/>
      <c r="D164" s="78" t="s">
        <v>302</v>
      </c>
      <c r="E164" s="79">
        <f t="shared" ref="E164:G164" ca="1" si="183">(E161*4+E162*3+E163*3)/10</f>
        <v>87.320000000000007</v>
      </c>
      <c r="F164" s="79">
        <f t="shared" ca="1" si="183"/>
        <v>91.12</v>
      </c>
      <c r="G164" s="79">
        <f t="shared" ca="1" si="183"/>
        <v>86.76</v>
      </c>
      <c r="H164" s="79">
        <f t="shared" ref="H164:I164" si="184">AVERAGE(H156:H159)</f>
        <v>83.25</v>
      </c>
      <c r="I164" s="79">
        <f t="shared" si="184"/>
        <v>83.5</v>
      </c>
      <c r="J164" s="79">
        <f t="shared" ref="J164" si="185">AVERAGE(J156:J157)</f>
        <v>88</v>
      </c>
      <c r="K164" s="79">
        <f t="shared" ref="K164" si="186">AVERAGE(K156:K159)</f>
        <v>81.25</v>
      </c>
      <c r="L164" s="79">
        <f t="shared" ref="L164:N164" ca="1" si="187">(L161*4+L162*3+L163*3)/10</f>
        <v>83.5</v>
      </c>
      <c r="M164" s="79">
        <f t="shared" ca="1" si="187"/>
        <v>84.460000000000008</v>
      </c>
      <c r="N164" s="79">
        <f t="shared" ca="1" si="187"/>
        <v>84.58</v>
      </c>
      <c r="O164" s="79">
        <f t="shared" ref="O164:Q164" si="188">AVERAGE(O156:O157)</f>
        <v>80</v>
      </c>
      <c r="P164" s="79">
        <f t="shared" si="188"/>
        <v>82.5</v>
      </c>
      <c r="Q164" s="79">
        <f t="shared" si="188"/>
        <v>83.5</v>
      </c>
      <c r="R164" s="79">
        <f t="shared" ref="R164:S164" ca="1" si="189">(R161*4+R162*3+R163*3)/10</f>
        <v>84.1</v>
      </c>
      <c r="S164" s="79">
        <f t="shared" ca="1" si="189"/>
        <v>87.433333333333323</v>
      </c>
      <c r="T164" s="79">
        <f t="shared" ref="T164" si="190">T162</f>
        <v>85</v>
      </c>
      <c r="U164" s="79">
        <f t="shared" ref="U164" ca="1" si="191">(U161*4+U162*3+U163*3)/10</f>
        <v>84.6</v>
      </c>
      <c r="V164" s="80">
        <f ca="1">AVERAGE(E164:U164)</f>
        <v>84.99254901960785</v>
      </c>
      <c r="X164" s="278">
        <v>21</v>
      </c>
    </row>
    <row r="165" spans="1:24" ht="15.6" thickTop="1" thickBot="1">
      <c r="A165" s="268">
        <v>18</v>
      </c>
      <c r="B165" s="270" t="s">
        <v>584</v>
      </c>
      <c r="C165" s="273" t="s">
        <v>585</v>
      </c>
      <c r="D165" s="52" t="s">
        <v>294</v>
      </c>
      <c r="E165" s="53">
        <f>ak!$E$22</f>
        <v>98</v>
      </c>
      <c r="F165" s="53">
        <f>ak!$K$22</f>
        <v>87</v>
      </c>
      <c r="G165" s="53">
        <f>ak!$Q$22</f>
        <v>96</v>
      </c>
      <c r="H165" s="53">
        <f>ak!$W$22</f>
        <v>82</v>
      </c>
      <c r="I165" s="53">
        <f>ak!$AA$22</f>
        <v>88</v>
      </c>
      <c r="J165" s="53">
        <f>ak!$AE$22</f>
        <v>92</v>
      </c>
      <c r="K165" s="54">
        <f>ak!$AG$22</f>
        <v>87</v>
      </c>
      <c r="L165" s="55"/>
      <c r="M165" s="53">
        <f>ak!$AM$22</f>
        <v>86</v>
      </c>
      <c r="N165" s="53">
        <f>ak!$AS$22</f>
        <v>93</v>
      </c>
      <c r="O165" s="53">
        <f>ak!$AY$22</f>
        <v>78</v>
      </c>
      <c r="P165" s="54">
        <f>ak!$BA$22</f>
        <v>90</v>
      </c>
      <c r="Q165" s="54">
        <f>ak!$BC$22</f>
        <v>86</v>
      </c>
      <c r="R165" s="55"/>
      <c r="S165" s="55"/>
      <c r="T165" s="55"/>
      <c r="U165" s="55"/>
      <c r="V165" s="56"/>
      <c r="X165" s="278">
        <v>22</v>
      </c>
    </row>
    <row r="166" spans="1:24" ht="15" thickBot="1">
      <c r="A166" s="268">
        <v>18</v>
      </c>
      <c r="B166" s="271"/>
      <c r="C166" s="274"/>
      <c r="D166" s="52" t="s">
        <v>295</v>
      </c>
      <c r="E166" s="53">
        <f>ak!$F$22</f>
        <v>95</v>
      </c>
      <c r="F166" s="53">
        <f>ak!$L$22</f>
        <v>95</v>
      </c>
      <c r="G166" s="53">
        <f>ak!$R$22</f>
        <v>94</v>
      </c>
      <c r="H166" s="53">
        <f>ak!$X$22</f>
        <v>85</v>
      </c>
      <c r="I166" s="53">
        <f>ak!$AB$22</f>
        <v>92</v>
      </c>
      <c r="J166" s="53">
        <f>ak!$AF$22</f>
        <v>92</v>
      </c>
      <c r="K166" s="54">
        <f>ak!$AH$22</f>
        <v>86</v>
      </c>
      <c r="L166" s="55"/>
      <c r="M166" s="53">
        <f>ak!$AN$22</f>
        <v>88</v>
      </c>
      <c r="N166" s="53">
        <f>ak!$AT$22</f>
        <v>92</v>
      </c>
      <c r="O166" s="53">
        <f>ak!$AZ$22</f>
        <v>81</v>
      </c>
      <c r="P166" s="54">
        <f>ak!$BB$22</f>
        <v>92</v>
      </c>
      <c r="Q166" s="54">
        <f>ak!$BD$22</f>
        <v>86</v>
      </c>
      <c r="R166" s="55"/>
      <c r="S166" s="55"/>
      <c r="T166" s="55"/>
      <c r="U166" s="55"/>
      <c r="V166" s="58"/>
      <c r="X166" s="278">
        <v>22</v>
      </c>
    </row>
    <row r="167" spans="1:24" ht="15" thickBot="1">
      <c r="A167" s="268">
        <v>18</v>
      </c>
      <c r="B167" s="271"/>
      <c r="C167" s="274"/>
      <c r="D167" s="52" t="s">
        <v>296</v>
      </c>
      <c r="E167" s="53">
        <f>ak!$G$22</f>
        <v>85</v>
      </c>
      <c r="F167" s="53">
        <f>ak!$M$22</f>
        <v>86</v>
      </c>
      <c r="G167" s="53">
        <f>ak!$S$22</f>
        <v>91</v>
      </c>
      <c r="H167" s="53">
        <f>ak!$Y$22</f>
        <v>75</v>
      </c>
      <c r="I167" s="53">
        <f>ak!$AC$22</f>
        <v>80</v>
      </c>
      <c r="J167" s="59"/>
      <c r="K167" s="54">
        <f>ak!$AI$22</f>
        <v>84</v>
      </c>
      <c r="L167" s="55"/>
      <c r="M167" s="53">
        <f>ak!$AO$22</f>
        <v>93</v>
      </c>
      <c r="N167" s="53">
        <f>ak!$AU$22</f>
        <v>82</v>
      </c>
      <c r="O167" s="59"/>
      <c r="P167" s="55"/>
      <c r="Q167" s="55"/>
      <c r="R167" s="54">
        <f>ak!$BU$22</f>
        <v>82.5</v>
      </c>
      <c r="S167" s="54">
        <f>ak!$BY$22</f>
        <v>82</v>
      </c>
      <c r="T167" s="55"/>
      <c r="U167" s="54">
        <f>ak!$CD$22</f>
        <v>77</v>
      </c>
      <c r="V167" s="58"/>
      <c r="X167" s="278">
        <v>22</v>
      </c>
    </row>
    <row r="168" spans="1:24" ht="15" thickBot="1">
      <c r="A168" s="268">
        <v>18</v>
      </c>
      <c r="B168" s="271"/>
      <c r="C168" s="274"/>
      <c r="D168" s="62" t="s">
        <v>297</v>
      </c>
      <c r="E168" s="53">
        <f>ak!$H$22</f>
        <v>88</v>
      </c>
      <c r="F168" s="53">
        <f>ak!$N$22</f>
        <v>95</v>
      </c>
      <c r="G168" s="53">
        <f>ak!$T$22</f>
        <v>93</v>
      </c>
      <c r="H168" s="53">
        <f>ak!$Z$22</f>
        <v>85</v>
      </c>
      <c r="I168" s="53">
        <f>ak!$AD$22</f>
        <v>86</v>
      </c>
      <c r="J168" s="59"/>
      <c r="K168" s="54">
        <f>ak!$AJ$22</f>
        <v>86</v>
      </c>
      <c r="L168" s="55"/>
      <c r="M168" s="53">
        <f>ak!$AP$22</f>
        <v>93</v>
      </c>
      <c r="N168" s="53">
        <f>ak!$AV$22</f>
        <v>90</v>
      </c>
      <c r="O168" s="59"/>
      <c r="P168" s="55"/>
      <c r="Q168" s="55"/>
      <c r="R168" s="54">
        <f>ak!$BV$22</f>
        <v>86.5</v>
      </c>
      <c r="S168" s="54">
        <f>ak!$BZ$22</f>
        <v>86</v>
      </c>
      <c r="T168" s="63"/>
      <c r="U168" s="54">
        <f>ak!$CE$22</f>
        <v>91</v>
      </c>
      <c r="V168" s="58"/>
      <c r="X168" s="278">
        <v>22</v>
      </c>
    </row>
    <row r="169" spans="1:24">
      <c r="A169" s="268">
        <v>18</v>
      </c>
      <c r="B169" s="271"/>
      <c r="C169" s="274"/>
      <c r="D169" s="62" t="s">
        <v>298</v>
      </c>
      <c r="E169" s="53">
        <f>ak!$I$22</f>
        <v>95</v>
      </c>
      <c r="F169" s="53">
        <f>ak!$O$22</f>
        <v>95</v>
      </c>
      <c r="G169" s="53">
        <f>ak!$U$22</f>
        <v>93</v>
      </c>
      <c r="H169" s="65"/>
      <c r="I169" s="65"/>
      <c r="J169" s="59"/>
      <c r="K169" s="59"/>
      <c r="L169" s="53">
        <f>ak!$AK$22</f>
        <v>89</v>
      </c>
      <c r="M169" s="53">
        <f>ak!$AQ$22</f>
        <v>95</v>
      </c>
      <c r="N169" s="53">
        <f>ak!$AW$22</f>
        <v>88</v>
      </c>
      <c r="O169" s="59"/>
      <c r="P169" s="55"/>
      <c r="Q169" s="55"/>
      <c r="R169" s="54">
        <f>ak!$BW$22</f>
        <v>86.5</v>
      </c>
      <c r="S169" s="54">
        <f>ak!$CA$22</f>
        <v>86</v>
      </c>
      <c r="T169" s="54"/>
      <c r="U169" s="54">
        <f>ak!$CF$22</f>
        <v>93</v>
      </c>
      <c r="V169" s="58"/>
      <c r="X169" s="278">
        <v>22</v>
      </c>
    </row>
    <row r="170" spans="1:24">
      <c r="A170" s="268">
        <v>18</v>
      </c>
      <c r="B170" s="271"/>
      <c r="C170" s="274"/>
      <c r="D170" s="66" t="s">
        <v>299</v>
      </c>
      <c r="E170" s="67">
        <f ca="1">AVERAGE(E169:E1622)</f>
        <v>0</v>
      </c>
      <c r="F170" s="67">
        <f ca="1">AVERAGE(F169:F1622)</f>
        <v>0</v>
      </c>
      <c r="G170" s="67">
        <f ca="1">AVERAGE(G169:G1622)</f>
        <v>0</v>
      </c>
      <c r="H170" s="68"/>
      <c r="I170" s="68"/>
      <c r="J170" s="69"/>
      <c r="K170" s="69"/>
      <c r="L170" s="67">
        <f ca="1">AVERAGE(L169:L1622)</f>
        <v>0</v>
      </c>
      <c r="M170" s="67">
        <f ca="1">AVERAGE(M169:M1622)</f>
        <v>0</v>
      </c>
      <c r="N170" s="67">
        <f ca="1">AVERAGE(N169:N1622)</f>
        <v>0</v>
      </c>
      <c r="O170" s="69"/>
      <c r="P170" s="63"/>
      <c r="Q170" s="63"/>
      <c r="R170" s="84">
        <f t="shared" ref="R170:S170" si="192">AVERAGE(R167:R169)</f>
        <v>85.166666666666671</v>
      </c>
      <c r="S170" s="84">
        <f t="shared" si="192"/>
        <v>84.666666666666671</v>
      </c>
      <c r="T170" s="63"/>
      <c r="U170" s="84">
        <f ca="1">AVERAGE(U169:U1622)</f>
        <v>0</v>
      </c>
      <c r="V170" s="58"/>
      <c r="X170" s="278">
        <v>22</v>
      </c>
    </row>
    <row r="171" spans="1:24">
      <c r="A171" s="268">
        <v>18</v>
      </c>
      <c r="B171" s="271"/>
      <c r="C171" s="274"/>
      <c r="D171" s="70" t="s">
        <v>300</v>
      </c>
      <c r="E171" s="71">
        <f>ak!$J$22</f>
        <v>90</v>
      </c>
      <c r="F171" s="71">
        <f>ak!$P$22</f>
        <v>95</v>
      </c>
      <c r="G171" s="71">
        <f>ak!$V$22</f>
        <v>90</v>
      </c>
      <c r="H171" s="72"/>
      <c r="I171" s="72"/>
      <c r="J171" s="73"/>
      <c r="K171" s="73"/>
      <c r="L171" s="71">
        <f>ak!$AL$22</f>
        <v>90</v>
      </c>
      <c r="M171" s="71">
        <f>ak!$AR$22</f>
        <v>93</v>
      </c>
      <c r="N171" s="71">
        <f>ak!$AX$22</f>
        <v>93</v>
      </c>
      <c r="O171" s="73"/>
      <c r="P171" s="74"/>
      <c r="Q171" s="74"/>
      <c r="R171" s="85">
        <f>ak!$BX$22</f>
        <v>93</v>
      </c>
      <c r="S171" s="85">
        <f>ak!$BX$22</f>
        <v>93</v>
      </c>
      <c r="T171" s="85">
        <f>ak!$CC$22</f>
        <v>92</v>
      </c>
      <c r="U171" s="75">
        <f>ak!$CG$22</f>
        <v>93</v>
      </c>
      <c r="V171" s="58"/>
      <c r="X171" s="278">
        <v>22</v>
      </c>
    </row>
    <row r="172" spans="1:24">
      <c r="A172" s="268">
        <v>18</v>
      </c>
      <c r="B172" s="271"/>
      <c r="C172" s="274"/>
      <c r="D172" s="76" t="s">
        <v>301</v>
      </c>
      <c r="E172" s="77">
        <f>ak!$CH$5</f>
        <v>89</v>
      </c>
      <c r="F172" s="77">
        <f>ak!$CI$5</f>
        <v>95</v>
      </c>
      <c r="G172" s="77">
        <f>ak!$CJ$5</f>
        <v>88</v>
      </c>
      <c r="H172" s="72"/>
      <c r="I172" s="72"/>
      <c r="J172" s="73"/>
      <c r="K172" s="73"/>
      <c r="L172" s="77">
        <f>ak!$CK$5</f>
        <v>75</v>
      </c>
      <c r="M172" s="77">
        <f>ak!$CL$5</f>
        <v>83</v>
      </c>
      <c r="N172" s="77">
        <f>ak!$CM$5</f>
        <v>85</v>
      </c>
      <c r="O172" s="73"/>
      <c r="P172" s="74"/>
      <c r="Q172" s="74"/>
      <c r="R172" s="86">
        <f>ak!$CP$5</f>
        <v>77</v>
      </c>
      <c r="S172" s="86">
        <f>ak!$CO$5</f>
        <v>89</v>
      </c>
      <c r="T172" s="74"/>
      <c r="U172" s="86">
        <f>ak!$CN$5</f>
        <v>84</v>
      </c>
      <c r="V172" s="58"/>
      <c r="X172" s="278">
        <v>22</v>
      </c>
    </row>
    <row r="173" spans="1:24" ht="15" thickBot="1">
      <c r="A173" s="269">
        <v>18</v>
      </c>
      <c r="B173" s="272"/>
      <c r="C173" s="275"/>
      <c r="D173" s="78" t="s">
        <v>302</v>
      </c>
      <c r="E173" s="79">
        <f t="shared" ref="E173:G173" ca="1" si="193">(E170*4+E171*3+E172*3)/10</f>
        <v>90.28</v>
      </c>
      <c r="F173" s="79">
        <f t="shared" ca="1" si="193"/>
        <v>91.84</v>
      </c>
      <c r="G173" s="79">
        <f t="shared" ca="1" si="193"/>
        <v>89.56</v>
      </c>
      <c r="H173" s="79">
        <f t="shared" ref="H173:I173" si="194">AVERAGE(H165:H168)</f>
        <v>81.75</v>
      </c>
      <c r="I173" s="79">
        <f t="shared" si="194"/>
        <v>86.5</v>
      </c>
      <c r="J173" s="79">
        <f t="shared" ref="J173" si="195">AVERAGE(J165:J166)</f>
        <v>92</v>
      </c>
      <c r="K173" s="79">
        <f t="shared" ref="K173" si="196">AVERAGE(K165:K168)</f>
        <v>85.75</v>
      </c>
      <c r="L173" s="79">
        <f t="shared" ref="L173:N173" ca="1" si="197">(L170*4+L171*3+L172*3)/10</f>
        <v>83.9</v>
      </c>
      <c r="M173" s="79">
        <f t="shared" ca="1" si="197"/>
        <v>88.3</v>
      </c>
      <c r="N173" s="79">
        <f t="shared" ca="1" si="197"/>
        <v>88.1</v>
      </c>
      <c r="O173" s="79">
        <f t="shared" ref="O173:Q173" si="198">AVERAGE(O165:O166)</f>
        <v>79.5</v>
      </c>
      <c r="P173" s="79">
        <f t="shared" si="198"/>
        <v>91</v>
      </c>
      <c r="Q173" s="79">
        <f t="shared" si="198"/>
        <v>86</v>
      </c>
      <c r="R173" s="79">
        <f t="shared" ref="R173:S173" si="199">(R170*4+R171*3+R172*3)/10</f>
        <v>85.066666666666677</v>
      </c>
      <c r="S173" s="79">
        <f t="shared" si="199"/>
        <v>88.466666666666669</v>
      </c>
      <c r="T173" s="79">
        <f t="shared" ref="T173" si="200">T171</f>
        <v>92</v>
      </c>
      <c r="U173" s="79">
        <f t="shared" ref="U173" ca="1" si="201">(U170*4+U171*3+U172*3)/10</f>
        <v>87</v>
      </c>
      <c r="V173" s="80">
        <f ca="1">AVERAGE(E173:U173)</f>
        <v>87.189019607843136</v>
      </c>
      <c r="X173" s="278">
        <v>22</v>
      </c>
    </row>
    <row r="174" spans="1:24" ht="15.6" thickTop="1" thickBot="1">
      <c r="A174" s="268">
        <v>19</v>
      </c>
      <c r="B174" s="270" t="s">
        <v>586</v>
      </c>
      <c r="C174" s="273" t="s">
        <v>587</v>
      </c>
      <c r="D174" s="52" t="s">
        <v>294</v>
      </c>
      <c r="E174" s="53">
        <f>ak!$E$23</f>
        <v>84</v>
      </c>
      <c r="F174" s="53">
        <f>ak!$K$23</f>
        <v>83</v>
      </c>
      <c r="G174" s="53">
        <f>ak!$Q$23</f>
        <v>90</v>
      </c>
      <c r="H174" s="53">
        <f>ak!$W$23</f>
        <v>84</v>
      </c>
      <c r="I174" s="53">
        <f>ak!$AA$23</f>
        <v>75</v>
      </c>
      <c r="J174" s="53">
        <f>ak!$AE$23</f>
        <v>90</v>
      </c>
      <c r="K174" s="54">
        <f>ak!$AG$23</f>
        <v>84</v>
      </c>
      <c r="L174" s="55"/>
      <c r="M174" s="53">
        <f>ak!$AM$23</f>
        <v>75</v>
      </c>
      <c r="N174" s="53">
        <f>ak!$AS$23</f>
        <v>74</v>
      </c>
      <c r="O174" s="53">
        <f>ak!$AY$23</f>
        <v>77</v>
      </c>
      <c r="P174" s="54">
        <f>ak!$BA$23</f>
        <v>80</v>
      </c>
      <c r="Q174" s="54">
        <f>ak!$BC$23</f>
        <v>83</v>
      </c>
      <c r="R174" s="55"/>
      <c r="S174" s="55"/>
      <c r="T174" s="55"/>
      <c r="U174" s="55"/>
      <c r="V174" s="56"/>
      <c r="X174" s="278">
        <v>23</v>
      </c>
    </row>
    <row r="175" spans="1:24" ht="15" thickBot="1">
      <c r="A175" s="268">
        <v>19</v>
      </c>
      <c r="B175" s="271"/>
      <c r="C175" s="274"/>
      <c r="D175" s="52" t="s">
        <v>295</v>
      </c>
      <c r="E175" s="53">
        <f>ak!$F$23</f>
        <v>80</v>
      </c>
      <c r="F175" s="53">
        <f>ak!$L$23</f>
        <v>79</v>
      </c>
      <c r="G175" s="53">
        <f>ak!$R$23</f>
        <v>84</v>
      </c>
      <c r="H175" s="53">
        <f>ak!$X$23</f>
        <v>84</v>
      </c>
      <c r="I175" s="53">
        <f>ak!$AB$23</f>
        <v>80</v>
      </c>
      <c r="J175" s="53">
        <f>ak!$AF$23</f>
        <v>86</v>
      </c>
      <c r="K175" s="54">
        <f>ak!$AH$23</f>
        <v>82</v>
      </c>
      <c r="L175" s="55"/>
      <c r="M175" s="53">
        <f>ak!$AN$23</f>
        <v>75</v>
      </c>
      <c r="N175" s="53">
        <f>ak!$AT$23</f>
        <v>79</v>
      </c>
      <c r="O175" s="53">
        <f>ak!$AZ$23</f>
        <v>81</v>
      </c>
      <c r="P175" s="54">
        <f>ak!$BB$23</f>
        <v>81</v>
      </c>
      <c r="Q175" s="54">
        <f>ak!$BD$23</f>
        <v>83</v>
      </c>
      <c r="R175" s="55"/>
      <c r="S175" s="55"/>
      <c r="T175" s="55"/>
      <c r="U175" s="55"/>
      <c r="V175" s="58"/>
      <c r="X175" s="278">
        <v>23</v>
      </c>
    </row>
    <row r="176" spans="1:24" ht="15" thickBot="1">
      <c r="A176" s="268">
        <v>19</v>
      </c>
      <c r="B176" s="271"/>
      <c r="C176" s="274"/>
      <c r="D176" s="52" t="s">
        <v>296</v>
      </c>
      <c r="E176" s="53">
        <f>ak!$G$23</f>
        <v>90</v>
      </c>
      <c r="F176" s="53">
        <f>ak!$M$23</f>
        <v>80</v>
      </c>
      <c r="G176" s="53">
        <f>ak!$S$23</f>
        <v>78</v>
      </c>
      <c r="H176" s="53">
        <f>ak!$Y$23</f>
        <v>82</v>
      </c>
      <c r="I176" s="53">
        <f>ak!$AC$23</f>
        <v>82</v>
      </c>
      <c r="J176" s="59"/>
      <c r="K176" s="54">
        <f>ak!$AI$23</f>
        <v>71</v>
      </c>
      <c r="L176" s="55"/>
      <c r="M176" s="53">
        <f>ak!$AO$23</f>
        <v>75</v>
      </c>
      <c r="N176" s="53">
        <f>ak!$AU$23</f>
        <v>73</v>
      </c>
      <c r="O176" s="59"/>
      <c r="P176" s="55"/>
      <c r="Q176" s="55"/>
      <c r="R176" s="54">
        <f>ak!$BU$23</f>
        <v>82.75</v>
      </c>
      <c r="S176" s="54">
        <f>ak!$BY$23</f>
        <v>83</v>
      </c>
      <c r="T176" s="55"/>
      <c r="U176" s="54">
        <f>ak!$CD$23</f>
        <v>72</v>
      </c>
      <c r="V176" s="58"/>
      <c r="X176" s="278">
        <v>23</v>
      </c>
    </row>
    <row r="177" spans="1:24" ht="15" thickBot="1">
      <c r="A177" s="268">
        <v>19</v>
      </c>
      <c r="B177" s="271"/>
      <c r="C177" s="274"/>
      <c r="D177" s="62" t="s">
        <v>297</v>
      </c>
      <c r="E177" s="53">
        <f>ak!$H$23</f>
        <v>84</v>
      </c>
      <c r="F177" s="53">
        <f>ak!$N$23</f>
        <v>86</v>
      </c>
      <c r="G177" s="53">
        <f>ak!$T$23</f>
        <v>79</v>
      </c>
      <c r="H177" s="53">
        <f>ak!$Z$23</f>
        <v>80</v>
      </c>
      <c r="I177" s="53">
        <f>ak!$AD$23</f>
        <v>82</v>
      </c>
      <c r="J177" s="59"/>
      <c r="K177" s="54">
        <f>ak!$AJ$23</f>
        <v>82</v>
      </c>
      <c r="L177" s="55"/>
      <c r="M177" s="53">
        <f>ak!$AP$23</f>
        <v>75</v>
      </c>
      <c r="N177" s="53">
        <f>ak!$AV$23</f>
        <v>77</v>
      </c>
      <c r="O177" s="59"/>
      <c r="P177" s="55"/>
      <c r="Q177" s="55"/>
      <c r="R177" s="54">
        <f>ak!$BV$23</f>
        <v>83</v>
      </c>
      <c r="S177" s="54">
        <f>ak!$BZ$23</f>
        <v>83</v>
      </c>
      <c r="T177" s="63"/>
      <c r="U177" s="54">
        <f>ak!$CE$23</f>
        <v>85</v>
      </c>
      <c r="V177" s="58"/>
      <c r="X177" s="278">
        <v>23</v>
      </c>
    </row>
    <row r="178" spans="1:24">
      <c r="A178" s="268">
        <v>19</v>
      </c>
      <c r="B178" s="271"/>
      <c r="C178" s="274"/>
      <c r="D178" s="62" t="s">
        <v>298</v>
      </c>
      <c r="E178" s="53">
        <f>ak!$I$23</f>
        <v>91</v>
      </c>
      <c r="F178" s="53">
        <f>ak!$O$23</f>
        <v>87</v>
      </c>
      <c r="G178" s="53">
        <f>ak!$U$23</f>
        <v>80</v>
      </c>
      <c r="H178" s="65"/>
      <c r="I178" s="65"/>
      <c r="J178" s="59"/>
      <c r="K178" s="59"/>
      <c r="L178" s="53">
        <f>ak!$AK$23</f>
        <v>81</v>
      </c>
      <c r="M178" s="53">
        <f>ak!$AQ$23</f>
        <v>81</v>
      </c>
      <c r="N178" s="53">
        <f>ak!$AW$23</f>
        <v>83</v>
      </c>
      <c r="O178" s="59"/>
      <c r="P178" s="55"/>
      <c r="Q178" s="55"/>
      <c r="R178" s="54">
        <f>ak!$BW$23</f>
        <v>82.75</v>
      </c>
      <c r="S178" s="54">
        <f>ak!$CA$23</f>
        <v>84</v>
      </c>
      <c r="T178" s="54"/>
      <c r="U178" s="54">
        <f>ak!$CF$23</f>
        <v>77</v>
      </c>
      <c r="V178" s="58"/>
      <c r="X178" s="278">
        <v>23</v>
      </c>
    </row>
    <row r="179" spans="1:24">
      <c r="A179" s="268">
        <v>19</v>
      </c>
      <c r="B179" s="271"/>
      <c r="C179" s="274"/>
      <c r="D179" s="66" t="s">
        <v>299</v>
      </c>
      <c r="E179" s="67">
        <f t="shared" ref="E179:G179" si="202">AVERAGE(E174:E178)</f>
        <v>85.8</v>
      </c>
      <c r="F179" s="67">
        <f t="shared" si="202"/>
        <v>83</v>
      </c>
      <c r="G179" s="67">
        <f t="shared" si="202"/>
        <v>82.2</v>
      </c>
      <c r="H179" s="68"/>
      <c r="I179" s="68"/>
      <c r="J179" s="69"/>
      <c r="K179" s="69"/>
      <c r="L179" s="67">
        <f t="shared" ref="L179:N179" si="203">AVERAGE(L174:L178)</f>
        <v>81</v>
      </c>
      <c r="M179" s="67">
        <f t="shared" si="203"/>
        <v>76.2</v>
      </c>
      <c r="N179" s="67">
        <f t="shared" si="203"/>
        <v>77.2</v>
      </c>
      <c r="O179" s="69"/>
      <c r="P179" s="63"/>
      <c r="Q179" s="63"/>
      <c r="R179" s="84">
        <f t="shared" ref="R179:S179" si="204">AVERAGE(R176:R178)</f>
        <v>82.833333333333329</v>
      </c>
      <c r="S179" s="84">
        <f t="shared" si="204"/>
        <v>83.333333333333329</v>
      </c>
      <c r="T179" s="63"/>
      <c r="U179" s="84">
        <f t="shared" ref="U179" si="205">AVERAGE(U174:U178)</f>
        <v>78</v>
      </c>
      <c r="V179" s="58"/>
      <c r="X179" s="278">
        <v>23</v>
      </c>
    </row>
    <row r="180" spans="1:24">
      <c r="A180" s="268">
        <v>19</v>
      </c>
      <c r="B180" s="271"/>
      <c r="C180" s="274"/>
      <c r="D180" s="70" t="s">
        <v>300</v>
      </c>
      <c r="E180" s="71">
        <f>ak!$J$23</f>
        <v>90</v>
      </c>
      <c r="F180" s="71">
        <f>ak!$P$23</f>
        <v>90</v>
      </c>
      <c r="G180" s="71">
        <f>ak!$V$23</f>
        <v>88</v>
      </c>
      <c r="H180" s="72"/>
      <c r="I180" s="72"/>
      <c r="J180" s="73"/>
      <c r="K180" s="73"/>
      <c r="L180" s="71">
        <f>ak!$AL$23</f>
        <v>88</v>
      </c>
      <c r="M180" s="71">
        <f>ak!$AR$23</f>
        <v>90</v>
      </c>
      <c r="N180" s="71">
        <f>ak!$AX$23</f>
        <v>90</v>
      </c>
      <c r="O180" s="73"/>
      <c r="P180" s="74"/>
      <c r="Q180" s="74"/>
      <c r="R180" s="85">
        <f>ak!$BX$23</f>
        <v>90</v>
      </c>
      <c r="S180" s="85">
        <f>ak!$BX$23</f>
        <v>90</v>
      </c>
      <c r="T180" s="85">
        <f>ak!$CC$23</f>
        <v>90</v>
      </c>
      <c r="U180" s="75">
        <f>ak!$CG$23</f>
        <v>90</v>
      </c>
      <c r="V180" s="58"/>
      <c r="X180" s="278">
        <v>23</v>
      </c>
    </row>
    <row r="181" spans="1:24">
      <c r="A181" s="268">
        <v>19</v>
      </c>
      <c r="B181" s="271"/>
      <c r="C181" s="274"/>
      <c r="D181" s="76" t="s">
        <v>301</v>
      </c>
      <c r="E181" s="77">
        <f>ak!$CH$23</f>
        <v>87</v>
      </c>
      <c r="F181" s="77">
        <f>ak!$CI$23</f>
        <v>86</v>
      </c>
      <c r="G181" s="77">
        <f>ak!$CJ$23</f>
        <v>83</v>
      </c>
      <c r="H181" s="72"/>
      <c r="I181" s="72"/>
      <c r="J181" s="73"/>
      <c r="K181" s="73"/>
      <c r="L181" s="77">
        <f>ak!$CK$23</f>
        <v>94</v>
      </c>
      <c r="M181" s="77">
        <f>ak!$CL$23</f>
        <v>80</v>
      </c>
      <c r="N181" s="77">
        <f>ak!$CM$23</f>
        <v>86</v>
      </c>
      <c r="O181" s="73"/>
      <c r="P181" s="74"/>
      <c r="Q181" s="74"/>
      <c r="R181" s="86">
        <f>ak!$CP$23</f>
        <v>77</v>
      </c>
      <c r="S181" s="86">
        <f>ak!$CO$23</f>
        <v>89</v>
      </c>
      <c r="T181" s="74"/>
      <c r="U181" s="86">
        <f>ak!$CN$23</f>
        <v>85</v>
      </c>
      <c r="V181" s="58"/>
      <c r="X181" s="278">
        <v>23</v>
      </c>
    </row>
    <row r="182" spans="1:24" ht="15" thickBot="1">
      <c r="A182" s="269">
        <v>19</v>
      </c>
      <c r="B182" s="272"/>
      <c r="C182" s="275"/>
      <c r="D182" s="78" t="s">
        <v>302</v>
      </c>
      <c r="E182" s="79">
        <f t="shared" ref="E182:G182" si="206">(E179*4+E180*3+E181*3)/10</f>
        <v>87.42</v>
      </c>
      <c r="F182" s="79">
        <f t="shared" si="206"/>
        <v>86</v>
      </c>
      <c r="G182" s="79">
        <f t="shared" si="206"/>
        <v>84.179999999999993</v>
      </c>
      <c r="H182" s="79">
        <f t="shared" ref="H182:I182" si="207">AVERAGE(H174:H177)</f>
        <v>82.5</v>
      </c>
      <c r="I182" s="79">
        <f t="shared" si="207"/>
        <v>79.75</v>
      </c>
      <c r="J182" s="79">
        <f t="shared" ref="J182" si="208">AVERAGE(J174:J175)</f>
        <v>88</v>
      </c>
      <c r="K182" s="79">
        <f t="shared" ref="K182" si="209">AVERAGE(K174:K177)</f>
        <v>79.75</v>
      </c>
      <c r="L182" s="79">
        <f t="shared" ref="L182:N182" si="210">(L179*4+L180*3+L181*3)/10</f>
        <v>87</v>
      </c>
      <c r="M182" s="79">
        <f t="shared" si="210"/>
        <v>81.47999999999999</v>
      </c>
      <c r="N182" s="79">
        <f t="shared" si="210"/>
        <v>83.679999999999993</v>
      </c>
      <c r="O182" s="79">
        <f t="shared" ref="O182:Q182" si="211">AVERAGE(O174:O175)</f>
        <v>79</v>
      </c>
      <c r="P182" s="79">
        <f t="shared" si="211"/>
        <v>80.5</v>
      </c>
      <c r="Q182" s="79">
        <f t="shared" si="211"/>
        <v>83</v>
      </c>
      <c r="R182" s="79">
        <f t="shared" ref="R182:S182" si="212">(R179*4+R180*3+R181*3)/10</f>
        <v>83.23333333333332</v>
      </c>
      <c r="S182" s="79">
        <f t="shared" si="212"/>
        <v>87.033333333333331</v>
      </c>
      <c r="T182" s="79">
        <f t="shared" ref="T182" si="213">T180</f>
        <v>90</v>
      </c>
      <c r="U182" s="79">
        <f t="shared" ref="U182" si="214">(U179*4+U180*3+U181*3)/10</f>
        <v>83.7</v>
      </c>
      <c r="V182" s="80">
        <f>AVERAGE(E182:U182)</f>
        <v>83.895686274509799</v>
      </c>
      <c r="X182" s="278">
        <v>23</v>
      </c>
    </row>
    <row r="183" spans="1:24" ht="15.6" thickTop="1" thickBot="1">
      <c r="A183" s="268">
        <v>20</v>
      </c>
      <c r="B183" s="270" t="s">
        <v>588</v>
      </c>
      <c r="C183" s="273" t="s">
        <v>589</v>
      </c>
      <c r="D183" s="52" t="s">
        <v>294</v>
      </c>
      <c r="E183" s="53">
        <f>ak!$E$24</f>
        <v>85</v>
      </c>
      <c r="F183" s="53">
        <f>ak!$K$24</f>
        <v>80</v>
      </c>
      <c r="G183" s="53">
        <f>ak!$Q$24</f>
        <v>80</v>
      </c>
      <c r="H183" s="53">
        <f>ak!$W$24</f>
        <v>83</v>
      </c>
      <c r="I183" s="53">
        <f>ak!$AA$24</f>
        <v>76</v>
      </c>
      <c r="J183" s="53">
        <f>ak!$AE$24</f>
        <v>82</v>
      </c>
      <c r="K183" s="54">
        <f>ak!$AG$24</f>
        <v>82</v>
      </c>
      <c r="L183" s="55"/>
      <c r="M183" s="53">
        <f>ak!$AM$24</f>
        <v>71</v>
      </c>
      <c r="N183" s="53">
        <f>ak!$AS$24</f>
        <v>71</v>
      </c>
      <c r="O183" s="53">
        <f>ak!$AY$24</f>
        <v>77</v>
      </c>
      <c r="P183" s="54">
        <f>ak!$BA$24</f>
        <v>77</v>
      </c>
      <c r="Q183" s="54">
        <f>ak!$BC$24</f>
        <v>82</v>
      </c>
      <c r="R183" s="55"/>
      <c r="S183" s="55"/>
      <c r="T183" s="55"/>
      <c r="U183" s="55"/>
      <c r="V183" s="56"/>
      <c r="X183" s="278">
        <v>24</v>
      </c>
    </row>
    <row r="184" spans="1:24" ht="15" thickBot="1">
      <c r="A184" s="268">
        <v>20</v>
      </c>
      <c r="B184" s="271"/>
      <c r="C184" s="274"/>
      <c r="D184" s="52" t="s">
        <v>295</v>
      </c>
      <c r="E184" s="53">
        <f>ak!$F$24</f>
        <v>80</v>
      </c>
      <c r="F184" s="53">
        <f>ak!$L$24</f>
        <v>77</v>
      </c>
      <c r="G184" s="53">
        <f>ak!$R$24</f>
        <v>85</v>
      </c>
      <c r="H184" s="53">
        <f>ak!$X$24</f>
        <v>84</v>
      </c>
      <c r="I184" s="53">
        <f>ak!$AB$24</f>
        <v>80</v>
      </c>
      <c r="J184" s="53">
        <f>ak!$AF$24</f>
        <v>84</v>
      </c>
      <c r="K184" s="54">
        <f>ak!$AH$24</f>
        <v>84</v>
      </c>
      <c r="L184" s="55"/>
      <c r="M184" s="53">
        <f>ak!$AN$24</f>
        <v>74</v>
      </c>
      <c r="N184" s="53">
        <f>ak!$AT$24</f>
        <v>73</v>
      </c>
      <c r="O184" s="53">
        <f>ak!$AZ$24</f>
        <v>80</v>
      </c>
      <c r="P184" s="54">
        <f>ak!$BB$24</f>
        <v>80</v>
      </c>
      <c r="Q184" s="54">
        <f>ak!$BD$24</f>
        <v>81</v>
      </c>
      <c r="R184" s="55"/>
      <c r="S184" s="55"/>
      <c r="T184" s="55"/>
      <c r="U184" s="55"/>
      <c r="V184" s="58"/>
      <c r="X184" s="278">
        <v>24</v>
      </c>
    </row>
    <row r="185" spans="1:24" ht="15" thickBot="1">
      <c r="A185" s="268">
        <v>20</v>
      </c>
      <c r="B185" s="271"/>
      <c r="C185" s="274"/>
      <c r="D185" s="52" t="s">
        <v>296</v>
      </c>
      <c r="E185" s="53">
        <f>ak!$G$24</f>
        <v>90</v>
      </c>
      <c r="F185" s="53">
        <f>ak!$M$24</f>
        <v>70</v>
      </c>
      <c r="G185" s="53">
        <f>ak!$S$24</f>
        <v>74</v>
      </c>
      <c r="H185" s="53">
        <f>ak!$Y$24</f>
        <v>81</v>
      </c>
      <c r="I185" s="53">
        <f>ak!$AC$24</f>
        <v>81</v>
      </c>
      <c r="J185" s="59"/>
      <c r="K185" s="54">
        <f>ak!$AI$24</f>
        <v>70</v>
      </c>
      <c r="L185" s="55"/>
      <c r="M185" s="53">
        <f>ak!$AO$24</f>
        <v>71</v>
      </c>
      <c r="N185" s="53">
        <f>ak!$AU$24</f>
        <v>70</v>
      </c>
      <c r="O185" s="59"/>
      <c r="P185" s="55"/>
      <c r="Q185" s="55"/>
      <c r="R185" s="54">
        <f>ak!$BU$24</f>
        <v>81.5</v>
      </c>
      <c r="S185" s="54">
        <f>ak!$BY$24</f>
        <v>83</v>
      </c>
      <c r="T185" s="55"/>
      <c r="U185" s="54">
        <f>ak!$CD$24</f>
        <v>72</v>
      </c>
      <c r="V185" s="58"/>
      <c r="X185" s="278">
        <v>24</v>
      </c>
    </row>
    <row r="186" spans="1:24" ht="15" thickBot="1">
      <c r="A186" s="268">
        <v>20</v>
      </c>
      <c r="B186" s="271"/>
      <c r="C186" s="274"/>
      <c r="D186" s="62" t="s">
        <v>297</v>
      </c>
      <c r="E186" s="53">
        <f>ak!$H$24</f>
        <v>81</v>
      </c>
      <c r="F186" s="53">
        <f>ak!$N$24</f>
        <v>83</v>
      </c>
      <c r="G186" s="53">
        <f>ak!$T$24</f>
        <v>77</v>
      </c>
      <c r="H186" s="53">
        <f>ak!$Z$24</f>
        <v>84</v>
      </c>
      <c r="I186" s="53">
        <f>ak!$AD$24</f>
        <v>81</v>
      </c>
      <c r="J186" s="59"/>
      <c r="K186" s="54">
        <f>ak!$AJ$24</f>
        <v>81</v>
      </c>
      <c r="L186" s="55"/>
      <c r="M186" s="53">
        <f>ak!$AP$24</f>
        <v>72</v>
      </c>
      <c r="N186" s="53">
        <f>ak!$AV$24</f>
        <v>77</v>
      </c>
      <c r="O186" s="59"/>
      <c r="P186" s="55"/>
      <c r="Q186" s="55"/>
      <c r="R186" s="54">
        <f>ak!$BV$24</f>
        <v>82.5</v>
      </c>
      <c r="S186" s="54">
        <f>ak!$BZ$24</f>
        <v>83</v>
      </c>
      <c r="T186" s="63"/>
      <c r="U186" s="54">
        <f>ak!$CE$24</f>
        <v>75</v>
      </c>
      <c r="V186" s="58"/>
      <c r="X186" s="278">
        <v>24</v>
      </c>
    </row>
    <row r="187" spans="1:24">
      <c r="A187" s="268">
        <v>20</v>
      </c>
      <c r="B187" s="271"/>
      <c r="C187" s="274"/>
      <c r="D187" s="62" t="s">
        <v>298</v>
      </c>
      <c r="E187" s="53">
        <f>ak!$I$24</f>
        <v>83</v>
      </c>
      <c r="F187" s="53">
        <f>ak!$O$24</f>
        <v>83</v>
      </c>
      <c r="G187" s="53">
        <f>ak!$U$24</f>
        <v>78</v>
      </c>
      <c r="H187" s="65"/>
      <c r="I187" s="65"/>
      <c r="J187" s="59"/>
      <c r="K187" s="59"/>
      <c r="L187" s="53">
        <f>ak!$AK$24</f>
        <v>80</v>
      </c>
      <c r="M187" s="53">
        <f>ak!$AQ$24</f>
        <v>79</v>
      </c>
      <c r="N187" s="53">
        <f>ak!$AW$24</f>
        <v>73</v>
      </c>
      <c r="O187" s="59"/>
      <c r="P187" s="55"/>
      <c r="Q187" s="55"/>
      <c r="R187" s="54">
        <f>ak!$BW$24</f>
        <v>80.5</v>
      </c>
      <c r="S187" s="54">
        <f>ak!$CA$24</f>
        <v>80</v>
      </c>
      <c r="T187" s="54"/>
      <c r="U187" s="54">
        <f>ak!$CF$24</f>
        <v>80</v>
      </c>
      <c r="V187" s="58"/>
      <c r="X187" s="278">
        <v>24</v>
      </c>
    </row>
    <row r="188" spans="1:24">
      <c r="A188" s="268">
        <v>20</v>
      </c>
      <c r="B188" s="271"/>
      <c r="C188" s="274"/>
      <c r="D188" s="66" t="s">
        <v>299</v>
      </c>
      <c r="E188" s="67">
        <f t="shared" ref="E188:G188" si="215">AVERAGE(E183:E187)</f>
        <v>83.8</v>
      </c>
      <c r="F188" s="67">
        <f t="shared" si="215"/>
        <v>78.599999999999994</v>
      </c>
      <c r="G188" s="67">
        <f t="shared" si="215"/>
        <v>78.8</v>
      </c>
      <c r="H188" s="68"/>
      <c r="I188" s="68"/>
      <c r="J188" s="69"/>
      <c r="K188" s="69"/>
      <c r="L188" s="67">
        <f t="shared" ref="L188:N188" si="216">AVERAGE(L183:L187)</f>
        <v>80</v>
      </c>
      <c r="M188" s="67">
        <f t="shared" si="216"/>
        <v>73.400000000000006</v>
      </c>
      <c r="N188" s="67">
        <f t="shared" si="216"/>
        <v>72.8</v>
      </c>
      <c r="O188" s="69"/>
      <c r="P188" s="63"/>
      <c r="Q188" s="63"/>
      <c r="R188" s="84">
        <f t="shared" ref="R188:S188" si="217">AVERAGE(R185:R187)</f>
        <v>81.5</v>
      </c>
      <c r="S188" s="84">
        <f t="shared" si="217"/>
        <v>82</v>
      </c>
      <c r="T188" s="63"/>
      <c r="U188" s="84">
        <f t="shared" ref="U188" si="218">AVERAGE(U183:U187)</f>
        <v>75.666666666666671</v>
      </c>
      <c r="V188" s="58"/>
      <c r="X188" s="278">
        <v>24</v>
      </c>
    </row>
    <row r="189" spans="1:24">
      <c r="A189" s="268">
        <v>20</v>
      </c>
      <c r="B189" s="271"/>
      <c r="C189" s="274"/>
      <c r="D189" s="70" t="s">
        <v>300</v>
      </c>
      <c r="E189" s="71">
        <f>ak!$J$24</f>
        <v>90</v>
      </c>
      <c r="F189" s="71">
        <f>ak!$P$24</f>
        <v>87</v>
      </c>
      <c r="G189" s="71">
        <f>ak!$V$24</f>
        <v>85</v>
      </c>
      <c r="H189" s="72"/>
      <c r="I189" s="72"/>
      <c r="J189" s="73"/>
      <c r="K189" s="73"/>
      <c r="L189" s="71">
        <f>ak!$AL$24</f>
        <v>85</v>
      </c>
      <c r="M189" s="71">
        <f>ak!$AR$24</f>
        <v>90</v>
      </c>
      <c r="N189" s="71">
        <f>ak!$AX$24</f>
        <v>90</v>
      </c>
      <c r="O189" s="73"/>
      <c r="P189" s="74"/>
      <c r="Q189" s="74"/>
      <c r="R189" s="85">
        <f>ak!$BX$24</f>
        <v>90</v>
      </c>
      <c r="S189" s="85">
        <f>ak!$BX$24</f>
        <v>90</v>
      </c>
      <c r="T189" s="85">
        <f>ak!$CC$24</f>
        <v>88</v>
      </c>
      <c r="U189" s="75">
        <f>ak!$CG$24</f>
        <v>90</v>
      </c>
      <c r="V189" s="58"/>
      <c r="X189" s="278">
        <v>24</v>
      </c>
    </row>
    <row r="190" spans="1:24">
      <c r="A190" s="268">
        <v>20</v>
      </c>
      <c r="B190" s="271"/>
      <c r="C190" s="274"/>
      <c r="D190" s="76" t="s">
        <v>301</v>
      </c>
      <c r="E190" s="77">
        <f>ak!$CH$24</f>
        <v>83</v>
      </c>
      <c r="F190" s="77">
        <f>ak!$CI$24</f>
        <v>80</v>
      </c>
      <c r="G190" s="77">
        <f>ak!$CJ$24</f>
        <v>80</v>
      </c>
      <c r="H190" s="72"/>
      <c r="I190" s="72"/>
      <c r="J190" s="73"/>
      <c r="K190" s="73"/>
      <c r="L190" s="77">
        <f>ak!$CK$24</f>
        <v>72</v>
      </c>
      <c r="M190" s="77">
        <f>ak!$CL$24</f>
        <v>79</v>
      </c>
      <c r="N190" s="77">
        <f>ak!$CM$24</f>
        <v>88</v>
      </c>
      <c r="O190" s="73"/>
      <c r="P190" s="74"/>
      <c r="Q190" s="74"/>
      <c r="R190" s="86">
        <f>ak!$CP$24</f>
        <v>72</v>
      </c>
      <c r="S190" s="86">
        <f>ak!$CO$24</f>
        <v>85</v>
      </c>
      <c r="T190" s="74"/>
      <c r="U190" s="86">
        <f>ak!$CN$24</f>
        <v>80</v>
      </c>
      <c r="V190" s="58"/>
      <c r="X190" s="278">
        <v>24</v>
      </c>
    </row>
    <row r="191" spans="1:24" ht="15" thickBot="1">
      <c r="A191" s="269">
        <v>20</v>
      </c>
      <c r="B191" s="272"/>
      <c r="C191" s="275"/>
      <c r="D191" s="78" t="s">
        <v>302</v>
      </c>
      <c r="E191" s="79">
        <f t="shared" ref="E191:G191" si="219">(E188*4+E189*3+E190*3)/10</f>
        <v>85.42</v>
      </c>
      <c r="F191" s="79">
        <f t="shared" si="219"/>
        <v>81.539999999999992</v>
      </c>
      <c r="G191" s="79">
        <f t="shared" si="219"/>
        <v>81.02000000000001</v>
      </c>
      <c r="H191" s="79">
        <f t="shared" ref="H191:I191" si="220">AVERAGE(H183:H186)</f>
        <v>83</v>
      </c>
      <c r="I191" s="79">
        <f t="shared" si="220"/>
        <v>79.5</v>
      </c>
      <c r="J191" s="79">
        <f t="shared" ref="J191" si="221">AVERAGE(J183:J184)</f>
        <v>83</v>
      </c>
      <c r="K191" s="79">
        <f t="shared" ref="K191" si="222">AVERAGE(K183:K186)</f>
        <v>79.25</v>
      </c>
      <c r="L191" s="79">
        <f t="shared" ref="L191:N191" si="223">(L188*4+L189*3+L190*3)/10</f>
        <v>79.099999999999994</v>
      </c>
      <c r="M191" s="79">
        <f t="shared" si="223"/>
        <v>80.06</v>
      </c>
      <c r="N191" s="79">
        <f t="shared" si="223"/>
        <v>82.52000000000001</v>
      </c>
      <c r="O191" s="79">
        <f t="shared" ref="O191:Q191" si="224">AVERAGE(O183:O184)</f>
        <v>78.5</v>
      </c>
      <c r="P191" s="79">
        <f t="shared" si="224"/>
        <v>78.5</v>
      </c>
      <c r="Q191" s="79">
        <f t="shared" si="224"/>
        <v>81.5</v>
      </c>
      <c r="R191" s="79">
        <f t="shared" ref="R191:S191" si="225">(R188*4+R189*3+R190*3)/10</f>
        <v>81.2</v>
      </c>
      <c r="S191" s="79">
        <f t="shared" si="225"/>
        <v>85.3</v>
      </c>
      <c r="T191" s="79">
        <f t="shared" ref="T191" si="226">T189</f>
        <v>88</v>
      </c>
      <c r="U191" s="79">
        <f t="shared" ref="U191" si="227">(U188*4+U189*3+U190*3)/10</f>
        <v>81.26666666666668</v>
      </c>
      <c r="V191" s="80">
        <f>AVERAGE(E191:U191)</f>
        <v>81.68686274509804</v>
      </c>
      <c r="X191" s="278">
        <v>24</v>
      </c>
    </row>
    <row r="192" spans="1:24" ht="18" customHeight="1" thickTop="1" thickBot="1">
      <c r="A192" s="268">
        <v>21</v>
      </c>
      <c r="B192" s="270" t="s">
        <v>590</v>
      </c>
      <c r="C192" s="273" t="s">
        <v>591</v>
      </c>
      <c r="D192" s="52" t="s">
        <v>294</v>
      </c>
      <c r="E192" s="53">
        <f>ak!$E$25</f>
        <v>84</v>
      </c>
      <c r="F192" s="53">
        <f>ak!$K$25</f>
        <v>82</v>
      </c>
      <c r="G192" s="53">
        <f>ak!$Q$25</f>
        <v>89</v>
      </c>
      <c r="H192" s="53">
        <f>ak!$W$25</f>
        <v>83</v>
      </c>
      <c r="I192" s="53">
        <f>ak!$AA$25</f>
        <v>79</v>
      </c>
      <c r="J192" s="53">
        <f>ak!$AE$25</f>
        <v>90</v>
      </c>
      <c r="K192" s="54">
        <f>ak!$AG$25</f>
        <v>83</v>
      </c>
      <c r="L192" s="55"/>
      <c r="M192" s="53">
        <f>ak!$AM$25</f>
        <v>84</v>
      </c>
      <c r="N192" s="53">
        <f>ak!$AS$25</f>
        <v>72</v>
      </c>
      <c r="O192" s="53">
        <f>ak!$AY$25</f>
        <v>80</v>
      </c>
      <c r="P192" s="54">
        <f>ak!$BA$25</f>
        <v>82</v>
      </c>
      <c r="Q192" s="54">
        <f>ak!$BC$25</f>
        <v>83</v>
      </c>
      <c r="R192" s="55"/>
      <c r="S192" s="55"/>
      <c r="T192" s="55"/>
      <c r="U192" s="55"/>
      <c r="V192" s="56"/>
      <c r="X192" s="278">
        <v>25</v>
      </c>
    </row>
    <row r="193" spans="1:24" ht="15" thickBot="1">
      <c r="A193" s="268">
        <v>21</v>
      </c>
      <c r="B193" s="271"/>
      <c r="C193" s="274"/>
      <c r="D193" s="52" t="s">
        <v>295</v>
      </c>
      <c r="E193" s="53">
        <f>ak!$F$25</f>
        <v>92</v>
      </c>
      <c r="F193" s="53">
        <f>ak!$L$25</f>
        <v>80</v>
      </c>
      <c r="G193" s="53">
        <f>ak!$R$25</f>
        <v>84</v>
      </c>
      <c r="H193" s="53">
        <f>ak!$X$25</f>
        <v>84</v>
      </c>
      <c r="I193" s="53">
        <f>ak!$AB$25</f>
        <v>83</v>
      </c>
      <c r="J193" s="53">
        <f>ak!$AF$25</f>
        <v>87</v>
      </c>
      <c r="K193" s="54">
        <f>ak!$AH$25</f>
        <v>83</v>
      </c>
      <c r="L193" s="55"/>
      <c r="M193" s="53">
        <f>ak!$AN$25</f>
        <v>86</v>
      </c>
      <c r="N193" s="53">
        <f>ak!$AT$25</f>
        <v>82</v>
      </c>
      <c r="O193" s="53">
        <f>ak!$AZ$25</f>
        <v>81</v>
      </c>
      <c r="P193" s="54">
        <f>ak!$BB$25</f>
        <v>86</v>
      </c>
      <c r="Q193" s="54">
        <f>ak!$BD$25</f>
        <v>85</v>
      </c>
      <c r="R193" s="55"/>
      <c r="S193" s="55"/>
      <c r="T193" s="55"/>
      <c r="U193" s="55"/>
      <c r="V193" s="58"/>
      <c r="X193" s="278">
        <v>25</v>
      </c>
    </row>
    <row r="194" spans="1:24" ht="15" thickBot="1">
      <c r="A194" s="268">
        <v>21</v>
      </c>
      <c r="B194" s="271"/>
      <c r="C194" s="274"/>
      <c r="D194" s="52" t="s">
        <v>296</v>
      </c>
      <c r="E194" s="53">
        <f>ak!$G$25</f>
        <v>90</v>
      </c>
      <c r="F194" s="53">
        <f>ak!$M$25</f>
        <v>91</v>
      </c>
      <c r="G194" s="53">
        <f>ak!$S$25</f>
        <v>88</v>
      </c>
      <c r="H194" s="53">
        <f>ak!$Y$25</f>
        <v>82</v>
      </c>
      <c r="I194" s="53">
        <f>ak!$AC$25</f>
        <v>82</v>
      </c>
      <c r="J194" s="59"/>
      <c r="K194" s="54">
        <f>ak!$AI$25</f>
        <v>77</v>
      </c>
      <c r="L194" s="55"/>
      <c r="M194" s="53">
        <f>ak!$AO$25</f>
        <v>90</v>
      </c>
      <c r="N194" s="53">
        <f>ak!$AU$25</f>
        <v>76</v>
      </c>
      <c r="O194" s="59"/>
      <c r="P194" s="55"/>
      <c r="Q194" s="55"/>
      <c r="R194" s="54">
        <f>ak!$BU$25</f>
        <v>86</v>
      </c>
      <c r="S194" s="54">
        <f>ak!$BY$25</f>
        <v>86</v>
      </c>
      <c r="T194" s="55"/>
      <c r="U194" s="54">
        <f>ak!$CD$25</f>
        <v>84</v>
      </c>
      <c r="V194" s="58"/>
      <c r="X194" s="278">
        <v>25</v>
      </c>
    </row>
    <row r="195" spans="1:24" ht="15" thickBot="1">
      <c r="A195" s="268">
        <v>21</v>
      </c>
      <c r="B195" s="271"/>
      <c r="C195" s="274"/>
      <c r="D195" s="62" t="s">
        <v>297</v>
      </c>
      <c r="E195" s="53">
        <f>ak!$H$25</f>
        <v>85</v>
      </c>
      <c r="F195" s="53">
        <f>ak!$N$25</f>
        <v>91</v>
      </c>
      <c r="G195" s="53">
        <f>ak!$T$25</f>
        <v>88</v>
      </c>
      <c r="H195" s="53">
        <f>ak!$Z$25</f>
        <v>80</v>
      </c>
      <c r="I195" s="53">
        <f>ak!$AD$25</f>
        <v>84</v>
      </c>
      <c r="J195" s="59"/>
      <c r="K195" s="54">
        <f>ak!$AJ$25</f>
        <v>84</v>
      </c>
      <c r="L195" s="55"/>
      <c r="M195" s="53">
        <f>ak!$AP$25</f>
        <v>90</v>
      </c>
      <c r="N195" s="53">
        <f>ak!$AV$25</f>
        <v>79</v>
      </c>
      <c r="O195" s="59"/>
      <c r="P195" s="55"/>
      <c r="Q195" s="55"/>
      <c r="R195" s="54">
        <f>ak!$BV$25</f>
        <v>85.5</v>
      </c>
      <c r="S195" s="54">
        <f>ak!$BZ$25</f>
        <v>84</v>
      </c>
      <c r="T195" s="63"/>
      <c r="U195" s="54">
        <f>ak!$CE$25</f>
        <v>94</v>
      </c>
      <c r="V195" s="58"/>
      <c r="X195" s="278">
        <v>25</v>
      </c>
    </row>
    <row r="196" spans="1:24">
      <c r="A196" s="268">
        <v>21</v>
      </c>
      <c r="B196" s="271"/>
      <c r="C196" s="274"/>
      <c r="D196" s="62" t="s">
        <v>298</v>
      </c>
      <c r="E196" s="53">
        <f>ak!$I$25</f>
        <v>93</v>
      </c>
      <c r="F196" s="53">
        <f>ak!$O$25</f>
        <v>92</v>
      </c>
      <c r="G196" s="53">
        <f>ak!$U$25</f>
        <v>88</v>
      </c>
      <c r="H196" s="65"/>
      <c r="I196" s="65"/>
      <c r="J196" s="59"/>
      <c r="K196" s="59"/>
      <c r="L196" s="53">
        <f>ak!$AK$25</f>
        <v>89</v>
      </c>
      <c r="M196" s="53">
        <f>ak!$AQ$25</f>
        <v>86</v>
      </c>
      <c r="N196" s="53">
        <f>ak!$AW$25</f>
        <v>87</v>
      </c>
      <c r="O196" s="59"/>
      <c r="P196" s="55"/>
      <c r="Q196" s="55"/>
      <c r="R196" s="54">
        <f>ak!$BW$25</f>
        <v>85.75</v>
      </c>
      <c r="S196" s="54">
        <f>ak!$CA$25</f>
        <v>86</v>
      </c>
      <c r="T196" s="54"/>
      <c r="U196" s="54">
        <f>ak!$CF$25</f>
        <v>82</v>
      </c>
      <c r="V196" s="58"/>
      <c r="X196" s="278">
        <v>25</v>
      </c>
    </row>
    <row r="197" spans="1:24">
      <c r="A197" s="268">
        <v>21</v>
      </c>
      <c r="B197" s="271"/>
      <c r="C197" s="274"/>
      <c r="D197" s="66" t="s">
        <v>299</v>
      </c>
      <c r="E197" s="67">
        <f t="shared" ref="E197:G197" si="228">AVERAGE(E192:E196)</f>
        <v>88.8</v>
      </c>
      <c r="F197" s="67">
        <f t="shared" si="228"/>
        <v>87.2</v>
      </c>
      <c r="G197" s="67">
        <f t="shared" si="228"/>
        <v>87.4</v>
      </c>
      <c r="H197" s="68"/>
      <c r="I197" s="68"/>
      <c r="J197" s="69"/>
      <c r="K197" s="69"/>
      <c r="L197" s="67">
        <f t="shared" ref="L197:N197" si="229">AVERAGE(L192:L196)</f>
        <v>89</v>
      </c>
      <c r="M197" s="67">
        <f t="shared" si="229"/>
        <v>87.2</v>
      </c>
      <c r="N197" s="67">
        <f t="shared" si="229"/>
        <v>79.2</v>
      </c>
      <c r="O197" s="69"/>
      <c r="P197" s="63"/>
      <c r="Q197" s="63"/>
      <c r="R197" s="84">
        <f t="shared" ref="R197:S197" si="230">AVERAGE(R194:R196)</f>
        <v>85.75</v>
      </c>
      <c r="S197" s="84">
        <f t="shared" si="230"/>
        <v>85.333333333333329</v>
      </c>
      <c r="T197" s="63"/>
      <c r="U197" s="84">
        <f t="shared" ref="U197" si="231">AVERAGE(U192:U196)</f>
        <v>86.666666666666671</v>
      </c>
      <c r="V197" s="58"/>
      <c r="X197" s="278">
        <v>25</v>
      </c>
    </row>
    <row r="198" spans="1:24">
      <c r="A198" s="268">
        <v>21</v>
      </c>
      <c r="B198" s="271"/>
      <c r="C198" s="274"/>
      <c r="D198" s="70" t="s">
        <v>300</v>
      </c>
      <c r="E198" s="71">
        <f>ak!$J$25</f>
        <v>95</v>
      </c>
      <c r="F198" s="71">
        <f>ak!$P$25</f>
        <v>90</v>
      </c>
      <c r="G198" s="71">
        <f>ak!$V$25</f>
        <v>95</v>
      </c>
      <c r="H198" s="72"/>
      <c r="I198" s="72"/>
      <c r="J198" s="73"/>
      <c r="K198" s="73"/>
      <c r="L198" s="71">
        <f>ak!$AL$25</f>
        <v>95</v>
      </c>
      <c r="M198" s="71">
        <f>ak!$AR$25</f>
        <v>95</v>
      </c>
      <c r="N198" s="71">
        <f>ak!$AX$25</f>
        <v>95</v>
      </c>
      <c r="O198" s="73"/>
      <c r="P198" s="74"/>
      <c r="Q198" s="74"/>
      <c r="R198" s="85">
        <f>ak!$BX$25</f>
        <v>95</v>
      </c>
      <c r="S198" s="85">
        <f>ak!$BX$25</f>
        <v>95</v>
      </c>
      <c r="T198" s="85">
        <f>ak!$CC$25</f>
        <v>94</v>
      </c>
      <c r="U198" s="75">
        <f>ak!$CG$25</f>
        <v>95</v>
      </c>
      <c r="V198" s="58"/>
      <c r="X198" s="278">
        <v>25</v>
      </c>
    </row>
    <row r="199" spans="1:24">
      <c r="A199" s="268">
        <v>21</v>
      </c>
      <c r="B199" s="271"/>
      <c r="C199" s="274"/>
      <c r="D199" s="76" t="s">
        <v>301</v>
      </c>
      <c r="E199" s="77">
        <f>ak!$CH$25</f>
        <v>87</v>
      </c>
      <c r="F199" s="77">
        <f>ak!$CI$25</f>
        <v>94</v>
      </c>
      <c r="G199" s="77">
        <f>ak!$CJ$25</f>
        <v>90</v>
      </c>
      <c r="H199" s="72"/>
      <c r="I199" s="72"/>
      <c r="J199" s="73"/>
      <c r="K199" s="73"/>
      <c r="L199" s="77">
        <f>ak!$CK$25</f>
        <v>85</v>
      </c>
      <c r="M199" s="77">
        <f>ak!$CL$25</f>
        <v>87</v>
      </c>
      <c r="N199" s="77">
        <f>ak!$CM$25</f>
        <v>83</v>
      </c>
      <c r="O199" s="73"/>
      <c r="P199" s="74"/>
      <c r="Q199" s="74"/>
      <c r="R199" s="86">
        <f>ak!$CP$25</f>
        <v>87</v>
      </c>
      <c r="S199" s="86">
        <f>ak!$CO$25</f>
        <v>90</v>
      </c>
      <c r="T199" s="74"/>
      <c r="U199" s="86">
        <f>ak!$CN$25</f>
        <v>93</v>
      </c>
      <c r="V199" s="58"/>
      <c r="X199" s="278">
        <v>25</v>
      </c>
    </row>
    <row r="200" spans="1:24" ht="15" thickBot="1">
      <c r="A200" s="269">
        <v>21</v>
      </c>
      <c r="B200" s="272"/>
      <c r="C200" s="275"/>
      <c r="D200" s="78" t="s">
        <v>302</v>
      </c>
      <c r="E200" s="79">
        <f t="shared" ref="E200:G200" si="232">(E197*4+E198*3+E199*3)/10</f>
        <v>90.12</v>
      </c>
      <c r="F200" s="79">
        <f t="shared" si="232"/>
        <v>90.08</v>
      </c>
      <c r="G200" s="79">
        <f t="shared" si="232"/>
        <v>90.460000000000008</v>
      </c>
      <c r="H200" s="79">
        <f t="shared" ref="H200:I200" si="233">AVERAGE(H192:H195)</f>
        <v>82.25</v>
      </c>
      <c r="I200" s="79">
        <f t="shared" si="233"/>
        <v>82</v>
      </c>
      <c r="J200" s="79">
        <f t="shared" ref="J200" si="234">AVERAGE(J192:J193)</f>
        <v>88.5</v>
      </c>
      <c r="K200" s="79">
        <f t="shared" ref="K200" si="235">AVERAGE(K192:K195)</f>
        <v>81.75</v>
      </c>
      <c r="L200" s="79">
        <f t="shared" ref="L200:N200" si="236">(L197*4+L198*3+L199*3)/10</f>
        <v>89.6</v>
      </c>
      <c r="M200" s="79">
        <f t="shared" si="236"/>
        <v>89.47999999999999</v>
      </c>
      <c r="N200" s="79">
        <f t="shared" si="236"/>
        <v>85.08</v>
      </c>
      <c r="O200" s="79">
        <f t="shared" ref="O200:Q200" si="237">AVERAGE(O192:O193)</f>
        <v>80.5</v>
      </c>
      <c r="P200" s="79">
        <f t="shared" si="237"/>
        <v>84</v>
      </c>
      <c r="Q200" s="79">
        <f t="shared" si="237"/>
        <v>84</v>
      </c>
      <c r="R200" s="79">
        <f t="shared" ref="R200:S200" si="238">(R197*4+R198*3+R199*3)/10</f>
        <v>88.9</v>
      </c>
      <c r="S200" s="79">
        <f t="shared" si="238"/>
        <v>89.633333333333326</v>
      </c>
      <c r="T200" s="79">
        <f t="shared" ref="T200" si="239">T198</f>
        <v>94</v>
      </c>
      <c r="U200" s="79">
        <f t="shared" ref="U200" si="240">(U197*4+U198*3+U199*3)/10</f>
        <v>91.066666666666677</v>
      </c>
      <c r="V200" s="80">
        <f>AVERAGE(E200:U200)</f>
        <v>87.142352941176469</v>
      </c>
      <c r="X200" s="278">
        <v>25</v>
      </c>
    </row>
    <row r="201" spans="1:24" ht="15.6" thickTop="1" thickBot="1">
      <c r="A201" s="268">
        <v>22</v>
      </c>
      <c r="B201" s="270" t="s">
        <v>592</v>
      </c>
      <c r="C201" s="273" t="s">
        <v>593</v>
      </c>
      <c r="D201" s="52" t="s">
        <v>294</v>
      </c>
      <c r="E201" s="53">
        <f>ak!$E$26</f>
        <v>88</v>
      </c>
      <c r="F201" s="53">
        <f>ak!$K$26</f>
        <v>85</v>
      </c>
      <c r="G201" s="53">
        <f>ak!$Q$26</f>
        <v>85</v>
      </c>
      <c r="H201" s="53">
        <f>ak!$W$26</f>
        <v>84</v>
      </c>
      <c r="I201" s="53">
        <f>ak!$AA$26</f>
        <v>82</v>
      </c>
      <c r="J201" s="53">
        <f>ak!$AE$26</f>
        <v>83</v>
      </c>
      <c r="K201" s="54">
        <f>ak!$AG$26</f>
        <v>83</v>
      </c>
      <c r="L201" s="55"/>
      <c r="M201" s="53">
        <f>ak!$AM$26</f>
        <v>72</v>
      </c>
      <c r="N201" s="53">
        <f>ak!$AS$26</f>
        <v>73</v>
      </c>
      <c r="O201" s="53">
        <f>ak!$AY$26</f>
        <v>80</v>
      </c>
      <c r="P201" s="54">
        <f>ak!$BA$26</f>
        <v>80</v>
      </c>
      <c r="Q201" s="54">
        <f>ak!$BC$26</f>
        <v>82</v>
      </c>
      <c r="R201" s="55"/>
      <c r="S201" s="55"/>
      <c r="T201" s="55"/>
      <c r="U201" s="55"/>
      <c r="V201" s="56"/>
      <c r="X201" s="278">
        <v>26</v>
      </c>
    </row>
    <row r="202" spans="1:24" ht="15" thickBot="1">
      <c r="A202" s="268">
        <v>22</v>
      </c>
      <c r="B202" s="271"/>
      <c r="C202" s="274"/>
      <c r="D202" s="52" t="s">
        <v>295</v>
      </c>
      <c r="E202" s="53">
        <f>ak!$F$26</f>
        <v>84</v>
      </c>
      <c r="F202" s="53">
        <f>ak!$L$26</f>
        <v>85</v>
      </c>
      <c r="G202" s="53">
        <f>ak!$R$26</f>
        <v>84</v>
      </c>
      <c r="H202" s="53">
        <f>ak!$X$26</f>
        <v>83</v>
      </c>
      <c r="I202" s="53">
        <f>ak!$AB$26</f>
        <v>80</v>
      </c>
      <c r="J202" s="53">
        <f>ak!$AF$26</f>
        <v>82</v>
      </c>
      <c r="K202" s="54">
        <f>ak!$AH$26</f>
        <v>83</v>
      </c>
      <c r="L202" s="55"/>
      <c r="M202" s="53">
        <f>ak!$AN$26</f>
        <v>73</v>
      </c>
      <c r="N202" s="53">
        <f>ak!$AT$26</f>
        <v>80</v>
      </c>
      <c r="O202" s="53">
        <f>ak!$AZ$26</f>
        <v>79</v>
      </c>
      <c r="P202" s="54">
        <f>ak!$BB$26</f>
        <v>80</v>
      </c>
      <c r="Q202" s="54">
        <f>ak!$BD$26</f>
        <v>84</v>
      </c>
      <c r="R202" s="55"/>
      <c r="S202" s="55"/>
      <c r="T202" s="55"/>
      <c r="U202" s="55"/>
      <c r="V202" s="58"/>
      <c r="X202" s="278">
        <v>26</v>
      </c>
    </row>
    <row r="203" spans="1:24" ht="15" thickBot="1">
      <c r="A203" s="268">
        <v>22</v>
      </c>
      <c r="B203" s="271"/>
      <c r="C203" s="274"/>
      <c r="D203" s="52" t="s">
        <v>296</v>
      </c>
      <c r="E203" s="53">
        <f>ak!$G$26</f>
        <v>90</v>
      </c>
      <c r="F203" s="53">
        <f>ak!$M$26</f>
        <v>85</v>
      </c>
      <c r="G203" s="53">
        <f>ak!$S$26</f>
        <v>85</v>
      </c>
      <c r="H203" s="53">
        <f>ak!$Y$26</f>
        <v>82</v>
      </c>
      <c r="I203" s="53">
        <f>ak!$AC$26</f>
        <v>82</v>
      </c>
      <c r="J203" s="59"/>
      <c r="K203" s="54">
        <f>ak!$AI$26</f>
        <v>77</v>
      </c>
      <c r="L203" s="55"/>
      <c r="M203" s="53">
        <f>ak!$AO$26</f>
        <v>76</v>
      </c>
      <c r="N203" s="53">
        <f>ak!$AU$26</f>
        <v>75</v>
      </c>
      <c r="O203" s="59"/>
      <c r="P203" s="55"/>
      <c r="Q203" s="55"/>
      <c r="R203" s="54">
        <f>ak!$BU$26</f>
        <v>83.75</v>
      </c>
      <c r="S203" s="54">
        <f>ak!$BY$26</f>
        <v>84</v>
      </c>
      <c r="T203" s="55"/>
      <c r="U203" s="54">
        <f>ak!$CD$26</f>
        <v>79</v>
      </c>
      <c r="V203" s="58"/>
      <c r="X203" s="278">
        <v>26</v>
      </c>
    </row>
    <row r="204" spans="1:24" ht="15" thickBot="1">
      <c r="A204" s="268">
        <v>22</v>
      </c>
      <c r="B204" s="271"/>
      <c r="C204" s="274"/>
      <c r="D204" s="62" t="s">
        <v>297</v>
      </c>
      <c r="E204" s="53">
        <f>ak!$H$26</f>
        <v>85</v>
      </c>
      <c r="F204" s="53">
        <f>ak!$N$26</f>
        <v>83</v>
      </c>
      <c r="G204" s="53">
        <f>ak!$T$26</f>
        <v>89</v>
      </c>
      <c r="H204" s="53">
        <f>ak!$Z$26</f>
        <v>84</v>
      </c>
      <c r="I204" s="53">
        <f>ak!$AD$26</f>
        <v>86</v>
      </c>
      <c r="J204" s="59"/>
      <c r="K204" s="54">
        <f>ak!$AJ$26</f>
        <v>86</v>
      </c>
      <c r="L204" s="55"/>
      <c r="M204" s="53">
        <f>ak!$AP$26</f>
        <v>77</v>
      </c>
      <c r="N204" s="53">
        <f>ak!$AV$26</f>
        <v>77</v>
      </c>
      <c r="O204" s="59"/>
      <c r="P204" s="55"/>
      <c r="Q204" s="55"/>
      <c r="R204" s="54">
        <f>ak!$BV$26</f>
        <v>84.5</v>
      </c>
      <c r="S204" s="54">
        <f>ak!$BZ$26</f>
        <v>85</v>
      </c>
      <c r="T204" s="63"/>
      <c r="U204" s="54">
        <f>ak!$CE$26</f>
        <v>89</v>
      </c>
      <c r="V204" s="58"/>
      <c r="X204" s="278">
        <v>26</v>
      </c>
    </row>
    <row r="205" spans="1:24">
      <c r="A205" s="268">
        <v>22</v>
      </c>
      <c r="B205" s="271"/>
      <c r="C205" s="274"/>
      <c r="D205" s="62" t="s">
        <v>298</v>
      </c>
      <c r="E205" s="53">
        <f>ak!$I$26</f>
        <v>89</v>
      </c>
      <c r="F205" s="53">
        <f>ak!$O$26</f>
        <v>84</v>
      </c>
      <c r="G205" s="53">
        <f>ak!$U$26</f>
        <v>81</v>
      </c>
      <c r="H205" s="65"/>
      <c r="I205" s="65"/>
      <c r="J205" s="59"/>
      <c r="K205" s="59"/>
      <c r="L205" s="53">
        <f>ak!$AK$26</f>
        <v>83</v>
      </c>
      <c r="M205" s="53">
        <f>ak!$AQ$26</f>
        <v>84</v>
      </c>
      <c r="N205" s="53">
        <f>ak!$AW$26</f>
        <v>75</v>
      </c>
      <c r="O205" s="59"/>
      <c r="P205" s="55"/>
      <c r="Q205" s="55"/>
      <c r="R205" s="54">
        <f>ak!$BW$26</f>
        <v>84.5</v>
      </c>
      <c r="S205" s="54">
        <f>ak!$CA$26</f>
        <v>82</v>
      </c>
      <c r="T205" s="54"/>
      <c r="U205" s="54">
        <f>ak!$CF$26</f>
        <v>77</v>
      </c>
      <c r="V205" s="58"/>
      <c r="X205" s="278">
        <v>26</v>
      </c>
    </row>
    <row r="206" spans="1:24">
      <c r="A206" s="268">
        <v>22</v>
      </c>
      <c r="B206" s="271"/>
      <c r="C206" s="274"/>
      <c r="D206" s="66" t="s">
        <v>299</v>
      </c>
      <c r="E206" s="67">
        <f t="shared" ref="E206:G206" si="241">AVERAGE(E201:E205)</f>
        <v>87.2</v>
      </c>
      <c r="F206" s="67">
        <f t="shared" si="241"/>
        <v>84.4</v>
      </c>
      <c r="G206" s="67">
        <f t="shared" si="241"/>
        <v>84.8</v>
      </c>
      <c r="H206" s="68"/>
      <c r="I206" s="68"/>
      <c r="J206" s="69"/>
      <c r="K206" s="69"/>
      <c r="L206" s="67">
        <f t="shared" ref="L206:N206" si="242">AVERAGE(L201:L205)</f>
        <v>83</v>
      </c>
      <c r="M206" s="67">
        <f t="shared" si="242"/>
        <v>76.400000000000006</v>
      </c>
      <c r="N206" s="67">
        <f t="shared" si="242"/>
        <v>76</v>
      </c>
      <c r="O206" s="69"/>
      <c r="P206" s="63"/>
      <c r="Q206" s="63"/>
      <c r="R206" s="84">
        <f t="shared" ref="R206:S206" si="243">AVERAGE(R203:R205)</f>
        <v>84.25</v>
      </c>
      <c r="S206" s="84">
        <f t="shared" si="243"/>
        <v>83.666666666666671</v>
      </c>
      <c r="T206" s="63"/>
      <c r="U206" s="84">
        <f t="shared" ref="U206" si="244">AVERAGE(U201:U205)</f>
        <v>81.666666666666671</v>
      </c>
      <c r="V206" s="58"/>
      <c r="X206" s="278">
        <v>26</v>
      </c>
    </row>
    <row r="207" spans="1:24">
      <c r="A207" s="268">
        <v>22</v>
      </c>
      <c r="B207" s="271"/>
      <c r="C207" s="274"/>
      <c r="D207" s="70" t="s">
        <v>300</v>
      </c>
      <c r="E207" s="71">
        <f>ak!$J$26</f>
        <v>86</v>
      </c>
      <c r="F207" s="71">
        <f>ak!$P$26</f>
        <v>85</v>
      </c>
      <c r="G207" s="71">
        <f>ak!$V$26</f>
        <v>82</v>
      </c>
      <c r="H207" s="72"/>
      <c r="I207" s="72"/>
      <c r="J207" s="73"/>
      <c r="K207" s="73"/>
      <c r="L207" s="71">
        <f>ak!$AL$26</f>
        <v>82</v>
      </c>
      <c r="M207" s="71">
        <f>ak!$AR$26</f>
        <v>86</v>
      </c>
      <c r="N207" s="71">
        <f>ak!$AX$26</f>
        <v>86</v>
      </c>
      <c r="O207" s="73"/>
      <c r="P207" s="74"/>
      <c r="Q207" s="74"/>
      <c r="R207" s="85">
        <f>ak!$BX$26</f>
        <v>85</v>
      </c>
      <c r="S207" s="85">
        <f>ak!$BX$26</f>
        <v>85</v>
      </c>
      <c r="T207" s="85">
        <f>ak!$CC$26</f>
        <v>85</v>
      </c>
      <c r="U207" s="75">
        <f>ak!$CG$26</f>
        <v>86</v>
      </c>
      <c r="V207" s="58"/>
      <c r="X207" s="278">
        <v>26</v>
      </c>
    </row>
    <row r="208" spans="1:24">
      <c r="A208" s="268">
        <v>22</v>
      </c>
      <c r="B208" s="271"/>
      <c r="C208" s="274"/>
      <c r="D208" s="76" t="s">
        <v>301</v>
      </c>
      <c r="E208" s="77">
        <f>ak!$CH$26</f>
        <v>86</v>
      </c>
      <c r="F208" s="77">
        <f>ak!$CI$26</f>
        <v>85</v>
      </c>
      <c r="G208" s="77">
        <f>ak!$CJ$26</f>
        <v>88</v>
      </c>
      <c r="H208" s="72"/>
      <c r="I208" s="72"/>
      <c r="J208" s="73"/>
      <c r="K208" s="73"/>
      <c r="L208" s="77">
        <f>ak!$CK$26</f>
        <v>92</v>
      </c>
      <c r="M208" s="77">
        <f>ak!$CL$26</f>
        <v>84</v>
      </c>
      <c r="N208" s="77">
        <f>ak!$CM$26</f>
        <v>73</v>
      </c>
      <c r="O208" s="73"/>
      <c r="P208" s="74"/>
      <c r="Q208" s="74"/>
      <c r="R208" s="86">
        <f>ak!$CP$26</f>
        <v>92</v>
      </c>
      <c r="S208" s="86">
        <f>ak!$CO$26</f>
        <v>88</v>
      </c>
      <c r="T208" s="74"/>
      <c r="U208" s="86">
        <f>ak!$CN$26</f>
        <v>83</v>
      </c>
      <c r="V208" s="58"/>
      <c r="X208" s="278">
        <v>26</v>
      </c>
    </row>
    <row r="209" spans="1:24" ht="15" thickBot="1">
      <c r="A209" s="269">
        <v>22</v>
      </c>
      <c r="B209" s="272"/>
      <c r="C209" s="275"/>
      <c r="D209" s="78" t="s">
        <v>302</v>
      </c>
      <c r="E209" s="79">
        <f t="shared" ref="E209:G209" si="245">(E206*4+E207*3+E208*3)/10</f>
        <v>86.47999999999999</v>
      </c>
      <c r="F209" s="79">
        <f t="shared" si="245"/>
        <v>84.76</v>
      </c>
      <c r="G209" s="79">
        <f t="shared" si="245"/>
        <v>84.92</v>
      </c>
      <c r="H209" s="79">
        <f t="shared" ref="H209:I209" si="246">AVERAGE(H201:H204)</f>
        <v>83.25</v>
      </c>
      <c r="I209" s="79">
        <f t="shared" si="246"/>
        <v>82.5</v>
      </c>
      <c r="J209" s="79">
        <f t="shared" ref="J209" si="247">AVERAGE(J201:J202)</f>
        <v>82.5</v>
      </c>
      <c r="K209" s="79">
        <f t="shared" ref="K209" si="248">AVERAGE(K201:K204)</f>
        <v>82.25</v>
      </c>
      <c r="L209" s="79">
        <f t="shared" ref="L209:N209" si="249">(L206*4+L207*3+L208*3)/10</f>
        <v>85.4</v>
      </c>
      <c r="M209" s="79">
        <f t="shared" si="249"/>
        <v>81.56</v>
      </c>
      <c r="N209" s="79">
        <f t="shared" si="249"/>
        <v>78.099999999999994</v>
      </c>
      <c r="O209" s="79">
        <f t="shared" ref="O209:Q209" si="250">AVERAGE(O201:O202)</f>
        <v>79.5</v>
      </c>
      <c r="P209" s="79">
        <f t="shared" si="250"/>
        <v>80</v>
      </c>
      <c r="Q209" s="79">
        <f t="shared" si="250"/>
        <v>83</v>
      </c>
      <c r="R209" s="79">
        <f t="shared" ref="R209:S209" si="251">(R206*4+R207*3+R208*3)/10</f>
        <v>86.8</v>
      </c>
      <c r="S209" s="79">
        <f t="shared" si="251"/>
        <v>85.366666666666674</v>
      </c>
      <c r="T209" s="79">
        <f t="shared" ref="T209" si="252">T207</f>
        <v>85</v>
      </c>
      <c r="U209" s="79">
        <f t="shared" ref="U209" si="253">(U206*4+U207*3+U208*3)/10</f>
        <v>83.366666666666674</v>
      </c>
      <c r="V209" s="80">
        <f>AVERAGE(E209:U209)</f>
        <v>83.220784313725503</v>
      </c>
      <c r="X209" s="278">
        <v>26</v>
      </c>
    </row>
    <row r="210" spans="1:24" ht="15.6" thickTop="1" thickBot="1">
      <c r="A210" s="268">
        <v>23</v>
      </c>
      <c r="B210" s="270" t="s">
        <v>594</v>
      </c>
      <c r="C210" s="273" t="s">
        <v>595</v>
      </c>
      <c r="D210" s="52" t="s">
        <v>294</v>
      </c>
      <c r="E210" s="53">
        <f>ak!$E$27</f>
        <v>80</v>
      </c>
      <c r="F210" s="53">
        <f>ak!$K$27</f>
        <v>79</v>
      </c>
      <c r="G210" s="53">
        <f>ak!$Q$27</f>
        <v>80</v>
      </c>
      <c r="H210" s="53">
        <f>ak!$W$27</f>
        <v>83</v>
      </c>
      <c r="I210" s="53">
        <f>ak!$AA$27</f>
        <v>79</v>
      </c>
      <c r="J210" s="53">
        <f>ak!$AE$27</f>
        <v>82</v>
      </c>
      <c r="K210" s="54">
        <f>ak!$AG$27</f>
        <v>82</v>
      </c>
      <c r="L210" s="55"/>
      <c r="M210" s="53">
        <f>ak!$AM$27</f>
        <v>71</v>
      </c>
      <c r="N210" s="53">
        <f>ak!$AS$27</f>
        <v>71</v>
      </c>
      <c r="O210" s="53">
        <f>ak!$AY$27</f>
        <v>78</v>
      </c>
      <c r="P210" s="54">
        <f>ak!$BA$27</f>
        <v>82</v>
      </c>
      <c r="Q210" s="54">
        <f>ak!$BC$27</f>
        <v>82</v>
      </c>
      <c r="R210" s="55"/>
      <c r="S210" s="55"/>
      <c r="T210" s="55"/>
      <c r="U210" s="55"/>
      <c r="V210" s="56"/>
      <c r="X210" s="278">
        <v>27</v>
      </c>
    </row>
    <row r="211" spans="1:24" ht="15" thickBot="1">
      <c r="A211" s="268">
        <v>23</v>
      </c>
      <c r="B211" s="271"/>
      <c r="C211" s="274"/>
      <c r="D211" s="52" t="s">
        <v>295</v>
      </c>
      <c r="E211" s="53">
        <f>ak!$F$27</f>
        <v>83</v>
      </c>
      <c r="F211" s="53">
        <f>ak!$L$27</f>
        <v>77</v>
      </c>
      <c r="G211" s="53">
        <f>ak!$R$27</f>
        <v>84</v>
      </c>
      <c r="H211" s="53">
        <f>ak!$X$27</f>
        <v>83</v>
      </c>
      <c r="I211" s="53">
        <f>ak!$AB$27</f>
        <v>88</v>
      </c>
      <c r="J211" s="53">
        <f>ak!$AF$27</f>
        <v>84</v>
      </c>
      <c r="K211" s="54">
        <f>ak!$AH$27</f>
        <v>83</v>
      </c>
      <c r="L211" s="55"/>
      <c r="M211" s="53">
        <f>ak!$AN$27</f>
        <v>72</v>
      </c>
      <c r="N211" s="53">
        <f>ak!$AT$27</f>
        <v>74</v>
      </c>
      <c r="O211" s="53">
        <f>ak!$AZ$27</f>
        <v>79</v>
      </c>
      <c r="P211" s="54">
        <f>ak!$BB$27</f>
        <v>82</v>
      </c>
      <c r="Q211" s="54">
        <f>ak!$BD$27</f>
        <v>83</v>
      </c>
      <c r="R211" s="55"/>
      <c r="S211" s="55"/>
      <c r="T211" s="55"/>
      <c r="U211" s="55"/>
      <c r="V211" s="58"/>
      <c r="X211" s="278">
        <v>27</v>
      </c>
    </row>
    <row r="212" spans="1:24" ht="15" thickBot="1">
      <c r="A212" s="268">
        <v>23</v>
      </c>
      <c r="B212" s="271"/>
      <c r="C212" s="274"/>
      <c r="D212" s="52" t="s">
        <v>296</v>
      </c>
      <c r="E212" s="53">
        <f>ak!$G$27</f>
        <v>87</v>
      </c>
      <c r="F212" s="53">
        <f>ak!$M$27</f>
        <v>73</v>
      </c>
      <c r="G212" s="53">
        <f>ak!$S$27</f>
        <v>77</v>
      </c>
      <c r="H212" s="53">
        <f>ak!$Y$27</f>
        <v>75</v>
      </c>
      <c r="I212" s="53">
        <f>ak!$AC$27</f>
        <v>79</v>
      </c>
      <c r="J212" s="59"/>
      <c r="K212" s="54">
        <f>ak!$AI$27</f>
        <v>70</v>
      </c>
      <c r="L212" s="55"/>
      <c r="M212" s="53">
        <f>ak!$AO$27</f>
        <v>75</v>
      </c>
      <c r="N212" s="53">
        <f>ak!$AU$27</f>
        <v>71</v>
      </c>
      <c r="O212" s="59"/>
      <c r="P212" s="55"/>
      <c r="Q212" s="55"/>
      <c r="R212" s="54">
        <f>ak!$BU$27</f>
        <v>80</v>
      </c>
      <c r="S212" s="54">
        <f>ak!$BY$27</f>
        <v>82</v>
      </c>
      <c r="T212" s="55"/>
      <c r="U212" s="54">
        <f>ak!$CD$27</f>
        <v>71</v>
      </c>
      <c r="V212" s="58"/>
      <c r="X212" s="278">
        <v>27</v>
      </c>
    </row>
    <row r="213" spans="1:24" ht="15" thickBot="1">
      <c r="A213" s="268">
        <v>23</v>
      </c>
      <c r="B213" s="271"/>
      <c r="C213" s="274"/>
      <c r="D213" s="62" t="s">
        <v>297</v>
      </c>
      <c r="E213" s="53">
        <f>ak!$H$27</f>
        <v>81</v>
      </c>
      <c r="F213" s="53">
        <f>ak!$N$27</f>
        <v>80</v>
      </c>
      <c r="G213" s="53">
        <f>ak!$T$27</f>
        <v>80</v>
      </c>
      <c r="H213" s="53">
        <f>ak!$Z$27</f>
        <v>84</v>
      </c>
      <c r="I213" s="53">
        <f>ak!$AD$27</f>
        <v>83</v>
      </c>
      <c r="J213" s="59"/>
      <c r="K213" s="54">
        <f>ak!$AJ$27</f>
        <v>83</v>
      </c>
      <c r="L213" s="55"/>
      <c r="M213" s="53">
        <f>ak!$AP$27</f>
        <v>76</v>
      </c>
      <c r="N213" s="53">
        <f>ak!$AV$27</f>
        <v>77</v>
      </c>
      <c r="O213" s="59"/>
      <c r="P213" s="55"/>
      <c r="Q213" s="55"/>
      <c r="R213" s="54">
        <f>ak!$BV$27</f>
        <v>81.75</v>
      </c>
      <c r="S213" s="54">
        <f>ak!$BZ$27</f>
        <v>84</v>
      </c>
      <c r="T213" s="63"/>
      <c r="U213" s="54">
        <f>ak!$CE$27</f>
        <v>84</v>
      </c>
      <c r="V213" s="58"/>
      <c r="X213" s="278">
        <v>27</v>
      </c>
    </row>
    <row r="214" spans="1:24">
      <c r="A214" s="268">
        <v>23</v>
      </c>
      <c r="B214" s="271"/>
      <c r="C214" s="274"/>
      <c r="D214" s="62" t="s">
        <v>298</v>
      </c>
      <c r="E214" s="53">
        <f>ak!$I$27</f>
        <v>87</v>
      </c>
      <c r="F214" s="53">
        <f>ak!$O$27</f>
        <v>81</v>
      </c>
      <c r="G214" s="53">
        <f>ak!$U$27</f>
        <v>75</v>
      </c>
      <c r="H214" s="65"/>
      <c r="I214" s="65"/>
      <c r="J214" s="59"/>
      <c r="K214" s="59"/>
      <c r="L214" s="53">
        <f>ak!$AK$27</f>
        <v>80</v>
      </c>
      <c r="M214" s="53">
        <f>ak!$AQ$27</f>
        <v>79</v>
      </c>
      <c r="N214" s="53">
        <f>ak!$AW$27</f>
        <v>75</v>
      </c>
      <c r="O214" s="59"/>
      <c r="P214" s="55"/>
      <c r="Q214" s="55"/>
      <c r="R214" s="54">
        <f>ak!$BW$27</f>
        <v>83.5</v>
      </c>
      <c r="S214" s="54">
        <f>ak!$CA$27</f>
        <v>83</v>
      </c>
      <c r="T214" s="54"/>
      <c r="U214" s="54">
        <f>ak!$CF$27</f>
        <v>82</v>
      </c>
      <c r="V214" s="58"/>
      <c r="X214" s="278">
        <v>27</v>
      </c>
    </row>
    <row r="215" spans="1:24">
      <c r="A215" s="268">
        <v>23</v>
      </c>
      <c r="B215" s="271"/>
      <c r="C215" s="274"/>
      <c r="D215" s="66" t="s">
        <v>299</v>
      </c>
      <c r="E215" s="67">
        <f t="shared" ref="E215:G215" si="254">AVERAGE(E210:E214)</f>
        <v>83.6</v>
      </c>
      <c r="F215" s="67">
        <f t="shared" si="254"/>
        <v>78</v>
      </c>
      <c r="G215" s="67">
        <f t="shared" si="254"/>
        <v>79.2</v>
      </c>
      <c r="H215" s="68"/>
      <c r="I215" s="68"/>
      <c r="J215" s="69"/>
      <c r="K215" s="69"/>
      <c r="L215" s="67">
        <f t="shared" ref="L215:N215" si="255">AVERAGE(L210:L214)</f>
        <v>80</v>
      </c>
      <c r="M215" s="67">
        <f t="shared" si="255"/>
        <v>74.599999999999994</v>
      </c>
      <c r="N215" s="67">
        <f t="shared" si="255"/>
        <v>73.599999999999994</v>
      </c>
      <c r="O215" s="69"/>
      <c r="P215" s="63"/>
      <c r="Q215" s="63"/>
      <c r="R215" s="84">
        <f t="shared" ref="R215:S215" si="256">AVERAGE(R212:R214)</f>
        <v>81.75</v>
      </c>
      <c r="S215" s="84">
        <f t="shared" si="256"/>
        <v>83</v>
      </c>
      <c r="T215" s="63"/>
      <c r="U215" s="84">
        <f t="shared" ref="U215" si="257">AVERAGE(U210:U214)</f>
        <v>79</v>
      </c>
      <c r="V215" s="58"/>
      <c r="X215" s="278">
        <v>27</v>
      </c>
    </row>
    <row r="216" spans="1:24">
      <c r="A216" s="268">
        <v>23</v>
      </c>
      <c r="B216" s="271"/>
      <c r="C216" s="274"/>
      <c r="D216" s="70" t="s">
        <v>300</v>
      </c>
      <c r="E216" s="71">
        <f>ak!$J$27</f>
        <v>95</v>
      </c>
      <c r="F216" s="71">
        <f>ak!$P$27</f>
        <v>93</v>
      </c>
      <c r="G216" s="71">
        <f>ak!$V$27</f>
        <v>90</v>
      </c>
      <c r="H216" s="72"/>
      <c r="I216" s="72"/>
      <c r="J216" s="73"/>
      <c r="K216" s="73"/>
      <c r="L216" s="71">
        <f>ak!$AL$27</f>
        <v>90</v>
      </c>
      <c r="M216" s="71">
        <f>ak!$AR$27</f>
        <v>92</v>
      </c>
      <c r="N216" s="71">
        <f>ak!$AX$27</f>
        <v>92</v>
      </c>
      <c r="O216" s="73"/>
      <c r="P216" s="74"/>
      <c r="Q216" s="74"/>
      <c r="R216" s="85">
        <f>ak!$BX$27</f>
        <v>86</v>
      </c>
      <c r="S216" s="85">
        <f>ak!$BX$27</f>
        <v>86</v>
      </c>
      <c r="T216" s="85">
        <f>ak!$CC$27</f>
        <v>91</v>
      </c>
      <c r="U216" s="75">
        <f>ak!$CG$27</f>
        <v>92</v>
      </c>
      <c r="V216" s="58"/>
      <c r="X216" s="278">
        <v>27</v>
      </c>
    </row>
    <row r="217" spans="1:24">
      <c r="A217" s="268">
        <v>23</v>
      </c>
      <c r="B217" s="271"/>
      <c r="C217" s="274"/>
      <c r="D217" s="76" t="s">
        <v>301</v>
      </c>
      <c r="E217" s="77">
        <f>ak!$CH$27</f>
        <v>87</v>
      </c>
      <c r="F217" s="77">
        <f>ak!$CI$27</f>
        <v>80</v>
      </c>
      <c r="G217" s="77">
        <f>ak!$CJ$27</f>
        <v>80</v>
      </c>
      <c r="H217" s="72"/>
      <c r="I217" s="72"/>
      <c r="J217" s="73"/>
      <c r="K217" s="73"/>
      <c r="L217" s="77">
        <f>ak!$CK$27</f>
        <v>70</v>
      </c>
      <c r="M217" s="77">
        <f>ak!$CL$27</f>
        <v>79</v>
      </c>
      <c r="N217" s="77">
        <f>ak!$CM$27</f>
        <v>87</v>
      </c>
      <c r="O217" s="73"/>
      <c r="P217" s="74"/>
      <c r="Q217" s="74"/>
      <c r="R217" s="86">
        <f>ak!$CP$27</f>
        <v>70</v>
      </c>
      <c r="S217" s="86">
        <f>ak!$CO$27</f>
        <v>85</v>
      </c>
      <c r="T217" s="74"/>
      <c r="U217" s="86">
        <f>ak!$CN$27</f>
        <v>80</v>
      </c>
      <c r="V217" s="58"/>
      <c r="X217" s="278">
        <v>27</v>
      </c>
    </row>
    <row r="218" spans="1:24" ht="15" thickBot="1">
      <c r="A218" s="269">
        <v>23</v>
      </c>
      <c r="B218" s="272"/>
      <c r="C218" s="275"/>
      <c r="D218" s="78" t="s">
        <v>302</v>
      </c>
      <c r="E218" s="79">
        <f t="shared" ref="E218:G218" si="258">(E215*4+E216*3+E217*3)/10</f>
        <v>88.039999999999992</v>
      </c>
      <c r="F218" s="79">
        <f t="shared" si="258"/>
        <v>83.1</v>
      </c>
      <c r="G218" s="79">
        <f t="shared" si="258"/>
        <v>82.679999999999993</v>
      </c>
      <c r="H218" s="79">
        <f t="shared" ref="H218:I218" si="259">AVERAGE(H210:H213)</f>
        <v>81.25</v>
      </c>
      <c r="I218" s="79">
        <f t="shared" si="259"/>
        <v>82.25</v>
      </c>
      <c r="J218" s="79">
        <f t="shared" ref="J218" si="260">AVERAGE(J210:J211)</f>
        <v>83</v>
      </c>
      <c r="K218" s="79">
        <f t="shared" ref="K218" si="261">AVERAGE(K210:K213)</f>
        <v>79.5</v>
      </c>
      <c r="L218" s="79">
        <f t="shared" ref="L218:N218" si="262">(L215*4+L216*3+L217*3)/10</f>
        <v>80</v>
      </c>
      <c r="M218" s="79">
        <f t="shared" si="262"/>
        <v>81.14</v>
      </c>
      <c r="N218" s="79">
        <f t="shared" si="262"/>
        <v>83.14</v>
      </c>
      <c r="O218" s="79">
        <f t="shared" ref="O218:Q218" si="263">AVERAGE(O210:O211)</f>
        <v>78.5</v>
      </c>
      <c r="P218" s="79">
        <f t="shared" si="263"/>
        <v>82</v>
      </c>
      <c r="Q218" s="79">
        <f t="shared" si="263"/>
        <v>82.5</v>
      </c>
      <c r="R218" s="79">
        <f t="shared" ref="R218:S218" si="264">(R215*4+R216*3+R217*3)/10</f>
        <v>79.5</v>
      </c>
      <c r="S218" s="79">
        <f t="shared" si="264"/>
        <v>84.5</v>
      </c>
      <c r="T218" s="79">
        <f t="shared" ref="T218" si="265">T216</f>
        <v>91</v>
      </c>
      <c r="U218" s="79">
        <f t="shared" ref="U218" si="266">(U215*4+U216*3+U217*3)/10</f>
        <v>83.2</v>
      </c>
      <c r="V218" s="80">
        <f>AVERAGE(E218:U218)</f>
        <v>82.664705882352933</v>
      </c>
      <c r="X218" s="278">
        <v>27</v>
      </c>
    </row>
    <row r="219" spans="1:24" ht="15.6" thickTop="1" thickBot="1">
      <c r="A219" s="268">
        <v>24</v>
      </c>
      <c r="B219" s="270" t="s">
        <v>596</v>
      </c>
      <c r="C219" s="273" t="s">
        <v>597</v>
      </c>
      <c r="D219" s="52" t="s">
        <v>294</v>
      </c>
      <c r="E219" s="53">
        <f>ak!$E$28</f>
        <v>89</v>
      </c>
      <c r="F219" s="53">
        <f>ak!$K$28</f>
        <v>84</v>
      </c>
      <c r="G219" s="53">
        <f>ak!$Q$28</f>
        <v>99</v>
      </c>
      <c r="H219" s="53">
        <f>ak!$W$28</f>
        <v>83</v>
      </c>
      <c r="I219" s="53">
        <f>ak!$AA$28</f>
        <v>82</v>
      </c>
      <c r="J219" s="53">
        <f>ak!$AE$28</f>
        <v>90</v>
      </c>
      <c r="K219" s="54">
        <f>ak!$AG$28</f>
        <v>83</v>
      </c>
      <c r="L219" s="55"/>
      <c r="M219" s="53">
        <f>ak!$AM$28</f>
        <v>74</v>
      </c>
      <c r="N219" s="53">
        <f>ak!$AS$28</f>
        <v>84</v>
      </c>
      <c r="O219" s="53">
        <f>ak!$AY$28</f>
        <v>77</v>
      </c>
      <c r="P219" s="54">
        <f>ak!$BA$28</f>
        <v>82</v>
      </c>
      <c r="Q219" s="54">
        <f>ak!$BC$28</f>
        <v>82</v>
      </c>
      <c r="R219" s="55"/>
      <c r="S219" s="55"/>
      <c r="T219" s="55"/>
      <c r="U219" s="55"/>
      <c r="V219" s="56"/>
      <c r="X219" s="278">
        <v>28</v>
      </c>
    </row>
    <row r="220" spans="1:24" ht="15" thickBot="1">
      <c r="A220" s="268">
        <v>24</v>
      </c>
      <c r="B220" s="271"/>
      <c r="C220" s="274"/>
      <c r="D220" s="52" t="s">
        <v>295</v>
      </c>
      <c r="E220" s="53">
        <f>ak!$F$28</f>
        <v>92</v>
      </c>
      <c r="F220" s="53">
        <f>ak!$L$28</f>
        <v>88</v>
      </c>
      <c r="G220" s="53">
        <f>ak!$R$28</f>
        <v>84</v>
      </c>
      <c r="H220" s="53">
        <f>ak!$X$28</f>
        <v>84</v>
      </c>
      <c r="I220" s="53">
        <f>ak!$AB$28</f>
        <v>84</v>
      </c>
      <c r="J220" s="53">
        <f>ak!$AF$28</f>
        <v>90</v>
      </c>
      <c r="K220" s="54">
        <f>ak!$AH$28</f>
        <v>82</v>
      </c>
      <c r="L220" s="55"/>
      <c r="M220" s="53">
        <f>ak!$AN$28</f>
        <v>76</v>
      </c>
      <c r="N220" s="53">
        <f>ak!$AT$28</f>
        <v>78</v>
      </c>
      <c r="O220" s="53">
        <f>ak!$AZ$28</f>
        <v>79</v>
      </c>
      <c r="P220" s="54">
        <f>ak!$BB$28</f>
        <v>84</v>
      </c>
      <c r="Q220" s="54">
        <f>ak!$BD$28</f>
        <v>85</v>
      </c>
      <c r="R220" s="55"/>
      <c r="S220" s="55"/>
      <c r="T220" s="55"/>
      <c r="U220" s="55"/>
      <c r="V220" s="58"/>
      <c r="X220" s="278">
        <v>28</v>
      </c>
    </row>
    <row r="221" spans="1:24" ht="15" thickBot="1">
      <c r="A221" s="268">
        <v>24</v>
      </c>
      <c r="B221" s="271"/>
      <c r="C221" s="274"/>
      <c r="D221" s="52" t="s">
        <v>296</v>
      </c>
      <c r="E221" s="53">
        <f>ak!$G$28</f>
        <v>87</v>
      </c>
      <c r="F221" s="53">
        <f>ak!$M$28</f>
        <v>89</v>
      </c>
      <c r="G221" s="53">
        <f>ak!$S$28</f>
        <v>80</v>
      </c>
      <c r="H221" s="53">
        <f>ak!$Y$28</f>
        <v>81</v>
      </c>
      <c r="I221" s="53">
        <f>ak!$AC$28</f>
        <v>83</v>
      </c>
      <c r="J221" s="59"/>
      <c r="K221" s="54">
        <f>ak!$AI$28</f>
        <v>72</v>
      </c>
      <c r="L221" s="55"/>
      <c r="M221" s="53">
        <f>ak!$AO$28</f>
        <v>74</v>
      </c>
      <c r="N221" s="53">
        <f>ak!$AU$28</f>
        <v>82</v>
      </c>
      <c r="O221" s="59"/>
      <c r="P221" s="55"/>
      <c r="Q221" s="55"/>
      <c r="R221" s="54">
        <f>ak!$BU$28</f>
        <v>83.25</v>
      </c>
      <c r="S221" s="54">
        <f>ak!$BY$28</f>
        <v>84</v>
      </c>
      <c r="T221" s="55"/>
      <c r="U221" s="54">
        <f>ak!$CD$28</f>
        <v>90</v>
      </c>
      <c r="V221" s="58"/>
      <c r="X221" s="278">
        <v>28</v>
      </c>
    </row>
    <row r="222" spans="1:24" ht="15" thickBot="1">
      <c r="A222" s="268">
        <v>24</v>
      </c>
      <c r="B222" s="271"/>
      <c r="C222" s="274"/>
      <c r="D222" s="62" t="s">
        <v>297</v>
      </c>
      <c r="E222" s="53">
        <f>ak!$H$28</f>
        <v>87</v>
      </c>
      <c r="F222" s="53">
        <f>ak!$N$28</f>
        <v>87</v>
      </c>
      <c r="G222" s="53">
        <f>ak!$T$28</f>
        <v>85</v>
      </c>
      <c r="H222" s="53">
        <f>ak!$Z$28</f>
        <v>84</v>
      </c>
      <c r="I222" s="53">
        <f>ak!$AD$28</f>
        <v>87</v>
      </c>
      <c r="J222" s="59"/>
      <c r="K222" s="54">
        <f>ak!$AJ$28</f>
        <v>87</v>
      </c>
      <c r="L222" s="55"/>
      <c r="M222" s="53">
        <f>ak!$AP$28</f>
        <v>75</v>
      </c>
      <c r="N222" s="53">
        <f>ak!$AV$28</f>
        <v>79</v>
      </c>
      <c r="O222" s="59"/>
      <c r="P222" s="55"/>
      <c r="Q222" s="55"/>
      <c r="R222" s="54">
        <f>ak!$BV$28</f>
        <v>84.25</v>
      </c>
      <c r="S222" s="54">
        <f>ak!$BZ$28</f>
        <v>85</v>
      </c>
      <c r="T222" s="63"/>
      <c r="U222" s="54">
        <f>ak!$CE$28</f>
        <v>96</v>
      </c>
      <c r="V222" s="58"/>
      <c r="X222" s="278">
        <v>28</v>
      </c>
    </row>
    <row r="223" spans="1:24">
      <c r="A223" s="268">
        <v>24</v>
      </c>
      <c r="B223" s="271"/>
      <c r="C223" s="274"/>
      <c r="D223" s="62" t="s">
        <v>298</v>
      </c>
      <c r="E223" s="53">
        <f>ak!$I$28</f>
        <v>90</v>
      </c>
      <c r="F223" s="53">
        <f>ak!$O$28</f>
        <v>88</v>
      </c>
      <c r="G223" s="53">
        <f>ak!$U$28</f>
        <v>86</v>
      </c>
      <c r="H223" s="65"/>
      <c r="I223" s="65"/>
      <c r="J223" s="59"/>
      <c r="K223" s="59"/>
      <c r="L223" s="53">
        <f>ak!$AK$28</f>
        <v>81</v>
      </c>
      <c r="M223" s="53">
        <f>ak!$AQ$28</f>
        <v>80</v>
      </c>
      <c r="N223" s="53">
        <f>ak!$AW$28</f>
        <v>85</v>
      </c>
      <c r="O223" s="59"/>
      <c r="P223" s="55"/>
      <c r="Q223" s="55"/>
      <c r="R223" s="54">
        <f>ak!$BW$28</f>
        <v>82.75</v>
      </c>
      <c r="S223" s="54">
        <f>ak!$CA$28</f>
        <v>83</v>
      </c>
      <c r="T223" s="54"/>
      <c r="U223" s="54">
        <f>ak!$CF$28</f>
        <v>92</v>
      </c>
      <c r="V223" s="58"/>
      <c r="X223" s="278">
        <v>28</v>
      </c>
    </row>
    <row r="224" spans="1:24">
      <c r="A224" s="268">
        <v>24</v>
      </c>
      <c r="B224" s="271"/>
      <c r="C224" s="274"/>
      <c r="D224" s="66" t="s">
        <v>299</v>
      </c>
      <c r="E224" s="67">
        <f t="shared" ref="E224:G224" si="267">AVERAGE(E219:E223)</f>
        <v>89</v>
      </c>
      <c r="F224" s="67">
        <f t="shared" si="267"/>
        <v>87.2</v>
      </c>
      <c r="G224" s="67">
        <f t="shared" si="267"/>
        <v>86.8</v>
      </c>
      <c r="H224" s="68"/>
      <c r="I224" s="68"/>
      <c r="J224" s="69"/>
      <c r="K224" s="69"/>
      <c r="L224" s="67">
        <f t="shared" ref="L224:N224" si="268">AVERAGE(L219:L223)</f>
        <v>81</v>
      </c>
      <c r="M224" s="67">
        <f t="shared" si="268"/>
        <v>75.8</v>
      </c>
      <c r="N224" s="67">
        <f t="shared" si="268"/>
        <v>81.599999999999994</v>
      </c>
      <c r="O224" s="69"/>
      <c r="P224" s="63"/>
      <c r="Q224" s="63"/>
      <c r="R224" s="84">
        <f t="shared" ref="R224:S224" si="269">AVERAGE(R221:R223)</f>
        <v>83.416666666666671</v>
      </c>
      <c r="S224" s="84">
        <f t="shared" si="269"/>
        <v>84</v>
      </c>
      <c r="T224" s="63"/>
      <c r="U224" s="84">
        <f t="shared" ref="U224" si="270">AVERAGE(U219:U223)</f>
        <v>92.666666666666671</v>
      </c>
      <c r="V224" s="58"/>
      <c r="X224" s="278">
        <v>28</v>
      </c>
    </row>
    <row r="225" spans="1:24">
      <c r="A225" s="268">
        <v>24</v>
      </c>
      <c r="B225" s="271"/>
      <c r="C225" s="274"/>
      <c r="D225" s="70" t="s">
        <v>300</v>
      </c>
      <c r="E225" s="71">
        <f>ak!$J$28</f>
        <v>95</v>
      </c>
      <c r="F225" s="71">
        <f>ak!$P$28</f>
        <v>92</v>
      </c>
      <c r="G225" s="71">
        <f>ak!$V$28</f>
        <v>90</v>
      </c>
      <c r="H225" s="72"/>
      <c r="I225" s="72"/>
      <c r="J225" s="73"/>
      <c r="K225" s="73"/>
      <c r="L225" s="71">
        <f>ak!$AL$28</f>
        <v>90</v>
      </c>
      <c r="M225" s="71">
        <f>ak!$AR$28</f>
        <v>95</v>
      </c>
      <c r="N225" s="71">
        <f>ak!$AX$28</f>
        <v>95</v>
      </c>
      <c r="O225" s="73"/>
      <c r="P225" s="74"/>
      <c r="Q225" s="74"/>
      <c r="R225" s="85">
        <f>ak!$BX$28</f>
        <v>95</v>
      </c>
      <c r="S225" s="85">
        <f>ak!$BX$28</f>
        <v>95</v>
      </c>
      <c r="T225" s="85">
        <f>ak!$CC$28</f>
        <v>93</v>
      </c>
      <c r="U225" s="75">
        <f>ak!$CG$28</f>
        <v>95</v>
      </c>
      <c r="V225" s="58"/>
      <c r="X225" s="278">
        <v>28</v>
      </c>
    </row>
    <row r="226" spans="1:24">
      <c r="A226" s="268">
        <v>24</v>
      </c>
      <c r="B226" s="271"/>
      <c r="C226" s="274"/>
      <c r="D226" s="76" t="s">
        <v>301</v>
      </c>
      <c r="E226" s="77">
        <f>ak!$CH$28</f>
        <v>89</v>
      </c>
      <c r="F226" s="77">
        <f>ak!$CI$28</f>
        <v>94</v>
      </c>
      <c r="G226" s="77">
        <f>ak!$CJ$28</f>
        <v>88</v>
      </c>
      <c r="H226" s="72"/>
      <c r="I226" s="72"/>
      <c r="J226" s="73"/>
      <c r="K226" s="73"/>
      <c r="L226" s="77">
        <f>ak!$CK$28</f>
        <v>85</v>
      </c>
      <c r="M226" s="77">
        <f>ak!$CL$28</f>
        <v>80</v>
      </c>
      <c r="N226" s="77">
        <f>ak!$CM$28</f>
        <v>85</v>
      </c>
      <c r="O226" s="73"/>
      <c r="P226" s="74"/>
      <c r="Q226" s="74"/>
      <c r="R226" s="86">
        <f>ak!$CP$28</f>
        <v>90</v>
      </c>
      <c r="S226" s="86">
        <f>ak!$CO$28</f>
        <v>87</v>
      </c>
      <c r="T226" s="74"/>
      <c r="U226" s="86">
        <f>ak!$CN$28</f>
        <v>84</v>
      </c>
      <c r="V226" s="58"/>
      <c r="X226" s="278">
        <v>28</v>
      </c>
    </row>
    <row r="227" spans="1:24" ht="15" thickBot="1">
      <c r="A227" s="269">
        <v>24</v>
      </c>
      <c r="B227" s="272"/>
      <c r="C227" s="275"/>
      <c r="D227" s="78" t="s">
        <v>302</v>
      </c>
      <c r="E227" s="79">
        <f t="shared" ref="E227:G227" si="271">(E224*4+E225*3+E226*3)/10</f>
        <v>90.8</v>
      </c>
      <c r="F227" s="79">
        <f t="shared" si="271"/>
        <v>90.679999999999993</v>
      </c>
      <c r="G227" s="79">
        <f t="shared" si="271"/>
        <v>88.12</v>
      </c>
      <c r="H227" s="79">
        <f t="shared" ref="H227:I227" si="272">AVERAGE(H219:H222)</f>
        <v>83</v>
      </c>
      <c r="I227" s="79">
        <f t="shared" si="272"/>
        <v>84</v>
      </c>
      <c r="J227" s="79">
        <f t="shared" ref="J227" si="273">AVERAGE(J219:J220)</f>
        <v>90</v>
      </c>
      <c r="K227" s="79">
        <f t="shared" ref="K227" si="274">AVERAGE(K219:K222)</f>
        <v>81</v>
      </c>
      <c r="L227" s="79">
        <f t="shared" ref="L227:N227" si="275">(L224*4+L225*3+L226*3)/10</f>
        <v>84.9</v>
      </c>
      <c r="M227" s="79">
        <f t="shared" si="275"/>
        <v>82.820000000000007</v>
      </c>
      <c r="N227" s="79">
        <f t="shared" si="275"/>
        <v>86.64</v>
      </c>
      <c r="O227" s="79">
        <f t="shared" ref="O227:Q227" si="276">AVERAGE(O219:O220)</f>
        <v>78</v>
      </c>
      <c r="P227" s="79">
        <f t="shared" si="276"/>
        <v>83</v>
      </c>
      <c r="Q227" s="79">
        <f t="shared" si="276"/>
        <v>83.5</v>
      </c>
      <c r="R227" s="79">
        <f t="shared" ref="R227:S227" si="277">(R224*4+R225*3+R226*3)/10</f>
        <v>88.866666666666674</v>
      </c>
      <c r="S227" s="79">
        <f t="shared" si="277"/>
        <v>88.2</v>
      </c>
      <c r="T227" s="79">
        <f t="shared" ref="T227" si="278">T225</f>
        <v>93</v>
      </c>
      <c r="U227" s="79">
        <f t="shared" ref="U227" si="279">(U224*4+U225*3+U226*3)/10</f>
        <v>90.76666666666668</v>
      </c>
      <c r="V227" s="80">
        <f>AVERAGE(E227:U227)</f>
        <v>86.311372549019623</v>
      </c>
      <c r="X227" s="278">
        <v>28</v>
      </c>
    </row>
    <row r="228" spans="1:24" ht="15.6" thickTop="1" thickBot="1">
      <c r="A228" s="268">
        <v>25</v>
      </c>
      <c r="B228" s="270" t="s">
        <v>598</v>
      </c>
      <c r="C228" s="273" t="s">
        <v>599</v>
      </c>
      <c r="D228" s="52" t="s">
        <v>294</v>
      </c>
      <c r="E228" s="53">
        <f>ak!$E$29</f>
        <v>80</v>
      </c>
      <c r="F228" s="53">
        <f>ak!$K$29</f>
        <v>82</v>
      </c>
      <c r="G228" s="53">
        <f>ak!$Q$29</f>
        <v>88</v>
      </c>
      <c r="H228" s="53">
        <f>ak!$W$29</f>
        <v>83</v>
      </c>
      <c r="I228" s="53">
        <f>ak!$AA$29</f>
        <v>79</v>
      </c>
      <c r="J228" s="53">
        <f>ak!$AE$29</f>
        <v>82</v>
      </c>
      <c r="K228" s="54">
        <f>ak!$AG$29</f>
        <v>82</v>
      </c>
      <c r="L228" s="55"/>
      <c r="M228" s="53">
        <f>ak!$AM$29</f>
        <v>73</v>
      </c>
      <c r="N228" s="53">
        <f>ak!$AS$29</f>
        <v>70</v>
      </c>
      <c r="O228" s="53">
        <f>ak!$AY$29</f>
        <v>78</v>
      </c>
      <c r="P228" s="54">
        <f>ak!$BA$29</f>
        <v>81</v>
      </c>
      <c r="Q228" s="54">
        <f>ak!$BC$29</f>
        <v>81</v>
      </c>
      <c r="R228" s="55"/>
      <c r="S228" s="55"/>
      <c r="T228" s="55"/>
      <c r="U228" s="55"/>
      <c r="V228" s="56"/>
      <c r="X228" s="278">
        <v>29</v>
      </c>
    </row>
    <row r="229" spans="1:24" ht="15" thickBot="1">
      <c r="A229" s="268">
        <v>25</v>
      </c>
      <c r="B229" s="271"/>
      <c r="C229" s="274"/>
      <c r="D229" s="52" t="s">
        <v>295</v>
      </c>
      <c r="E229" s="53">
        <f>ak!$F$29</f>
        <v>82</v>
      </c>
      <c r="F229" s="53">
        <f>ak!$L$29</f>
        <v>82</v>
      </c>
      <c r="G229" s="53">
        <f>ak!$R$29</f>
        <v>87</v>
      </c>
      <c r="H229" s="53">
        <f>ak!$X$29</f>
        <v>84</v>
      </c>
      <c r="I229" s="53">
        <f>ak!$AB$29</f>
        <v>80</v>
      </c>
      <c r="J229" s="53">
        <f>ak!$AF$29</f>
        <v>86</v>
      </c>
      <c r="K229" s="54">
        <f>ak!$AH$29</f>
        <v>84</v>
      </c>
      <c r="L229" s="55"/>
      <c r="M229" s="53">
        <f>ak!$AN$29</f>
        <v>74</v>
      </c>
      <c r="N229" s="53">
        <f>ak!$AT$29</f>
        <v>73</v>
      </c>
      <c r="O229" s="53">
        <f>ak!$AZ$29</f>
        <v>80</v>
      </c>
      <c r="P229" s="54">
        <f>ak!$BB$29</f>
        <v>80</v>
      </c>
      <c r="Q229" s="54">
        <f>ak!$BD$29</f>
        <v>82</v>
      </c>
      <c r="R229" s="55"/>
      <c r="S229" s="55"/>
      <c r="T229" s="55"/>
      <c r="U229" s="55"/>
      <c r="V229" s="58"/>
      <c r="X229" s="278">
        <v>29</v>
      </c>
    </row>
    <row r="230" spans="1:24" ht="15" thickBot="1">
      <c r="A230" s="268">
        <v>25</v>
      </c>
      <c r="B230" s="271"/>
      <c r="C230" s="274"/>
      <c r="D230" s="52" t="s">
        <v>296</v>
      </c>
      <c r="E230" s="53">
        <f>ak!$G$29</f>
        <v>83</v>
      </c>
      <c r="F230" s="53">
        <f>ak!$M$29</f>
        <v>79</v>
      </c>
      <c r="G230" s="53">
        <f>ak!$S$29</f>
        <v>80</v>
      </c>
      <c r="H230" s="53">
        <f>ak!$Y$29</f>
        <v>82</v>
      </c>
      <c r="I230" s="53">
        <f>ak!$AC$29</f>
        <v>82</v>
      </c>
      <c r="J230" s="59"/>
      <c r="K230" s="54">
        <f>ak!$AI$29</f>
        <v>73</v>
      </c>
      <c r="L230" s="55"/>
      <c r="M230" s="53">
        <f>ak!$AO$29</f>
        <v>75</v>
      </c>
      <c r="N230" s="53">
        <f>ak!$AU$29</f>
        <v>75</v>
      </c>
      <c r="O230" s="59"/>
      <c r="P230" s="55"/>
      <c r="Q230" s="55"/>
      <c r="R230" s="54">
        <f>ak!$BU$29</f>
        <v>81.25</v>
      </c>
      <c r="S230" s="54">
        <f>ak!$BY$29</f>
        <v>84</v>
      </c>
      <c r="T230" s="55"/>
      <c r="U230" s="54">
        <f>ak!$CD$29</f>
        <v>75</v>
      </c>
      <c r="V230" s="58"/>
      <c r="X230" s="278">
        <v>29</v>
      </c>
    </row>
    <row r="231" spans="1:24" ht="15" thickBot="1">
      <c r="A231" s="268">
        <v>25</v>
      </c>
      <c r="B231" s="271"/>
      <c r="C231" s="274"/>
      <c r="D231" s="62" t="s">
        <v>297</v>
      </c>
      <c r="E231" s="53">
        <f>ak!$H$29</f>
        <v>80</v>
      </c>
      <c r="F231" s="53">
        <f>ak!$N$29</f>
        <v>84</v>
      </c>
      <c r="G231" s="53">
        <f>ak!$T$29</f>
        <v>82</v>
      </c>
      <c r="H231" s="53">
        <f>ak!$Z$29</f>
        <v>84</v>
      </c>
      <c r="I231" s="53">
        <f>ak!$AD$29</f>
        <v>82</v>
      </c>
      <c r="J231" s="59"/>
      <c r="K231" s="54">
        <f>ak!$AJ$29</f>
        <v>82</v>
      </c>
      <c r="L231" s="55"/>
      <c r="M231" s="53">
        <f>ak!$AP$29</f>
        <v>76</v>
      </c>
      <c r="N231" s="53">
        <f>ak!$AV$29</f>
        <v>77</v>
      </c>
      <c r="O231" s="59"/>
      <c r="P231" s="55"/>
      <c r="Q231" s="55"/>
      <c r="R231" s="54">
        <f>ak!$BV$29</f>
        <v>81.5</v>
      </c>
      <c r="S231" s="54">
        <f>ak!$BZ$29</f>
        <v>83</v>
      </c>
      <c r="T231" s="63"/>
      <c r="U231" s="54">
        <f>ak!$CE$29</f>
        <v>88</v>
      </c>
      <c r="V231" s="58"/>
      <c r="X231" s="278">
        <v>29</v>
      </c>
    </row>
    <row r="232" spans="1:24">
      <c r="A232" s="268">
        <v>25</v>
      </c>
      <c r="B232" s="271"/>
      <c r="C232" s="274"/>
      <c r="D232" s="62" t="s">
        <v>298</v>
      </c>
      <c r="E232" s="53">
        <f>ak!$I$29</f>
        <v>84</v>
      </c>
      <c r="F232" s="53">
        <f>ak!$O$29</f>
        <v>84</v>
      </c>
      <c r="G232" s="53">
        <f>ak!$U$29</f>
        <v>80</v>
      </c>
      <c r="H232" s="65"/>
      <c r="I232" s="65"/>
      <c r="J232" s="59"/>
      <c r="K232" s="59"/>
      <c r="L232" s="53">
        <f>ak!$AK$29</f>
        <v>80</v>
      </c>
      <c r="M232" s="53">
        <f>ak!$AQ$29</f>
        <v>72</v>
      </c>
      <c r="N232" s="53">
        <f>ak!$AW$29</f>
        <v>75</v>
      </c>
      <c r="O232" s="59"/>
      <c r="P232" s="55"/>
      <c r="Q232" s="55"/>
      <c r="R232" s="54">
        <f>ak!$BW$29</f>
        <v>80.5</v>
      </c>
      <c r="S232" s="54">
        <f>ak!$CA$29</f>
        <v>80</v>
      </c>
      <c r="T232" s="54"/>
      <c r="U232" s="54">
        <f>ak!$CF$29</f>
        <v>91</v>
      </c>
      <c r="V232" s="58"/>
      <c r="X232" s="278">
        <v>29</v>
      </c>
    </row>
    <row r="233" spans="1:24">
      <c r="A233" s="268">
        <v>25</v>
      </c>
      <c r="B233" s="271"/>
      <c r="C233" s="274"/>
      <c r="D233" s="66" t="s">
        <v>299</v>
      </c>
      <c r="E233" s="67">
        <f t="shared" ref="E233:G233" si="280">AVERAGE(E228:E232)</f>
        <v>81.8</v>
      </c>
      <c r="F233" s="67">
        <f t="shared" si="280"/>
        <v>82.2</v>
      </c>
      <c r="G233" s="67">
        <f t="shared" si="280"/>
        <v>83.4</v>
      </c>
      <c r="H233" s="68"/>
      <c r="I233" s="68"/>
      <c r="J233" s="69"/>
      <c r="K233" s="69"/>
      <c r="L233" s="67">
        <f t="shared" ref="L233:N233" si="281">AVERAGE(L228:L232)</f>
        <v>80</v>
      </c>
      <c r="M233" s="67">
        <f t="shared" si="281"/>
        <v>74</v>
      </c>
      <c r="N233" s="67">
        <f t="shared" si="281"/>
        <v>74</v>
      </c>
      <c r="O233" s="69"/>
      <c r="P233" s="63"/>
      <c r="Q233" s="63"/>
      <c r="R233" s="84">
        <f t="shared" ref="R233:S233" si="282">AVERAGE(R230:R232)</f>
        <v>81.083333333333329</v>
      </c>
      <c r="S233" s="84">
        <f t="shared" si="282"/>
        <v>82.333333333333329</v>
      </c>
      <c r="T233" s="63"/>
      <c r="U233" s="84">
        <f t="shared" ref="U233" si="283">AVERAGE(U228:U232)</f>
        <v>84.666666666666671</v>
      </c>
      <c r="V233" s="58"/>
      <c r="X233" s="278">
        <v>29</v>
      </c>
    </row>
    <row r="234" spans="1:24">
      <c r="A234" s="268">
        <v>25</v>
      </c>
      <c r="B234" s="271"/>
      <c r="C234" s="274"/>
      <c r="D234" s="70" t="s">
        <v>300</v>
      </c>
      <c r="E234" s="71">
        <f>ak!$J$29</f>
        <v>89</v>
      </c>
      <c r="F234" s="71">
        <f>ak!$P$29</f>
        <v>85</v>
      </c>
      <c r="G234" s="71">
        <f>ak!$V$29</f>
        <v>80</v>
      </c>
      <c r="H234" s="72"/>
      <c r="I234" s="72"/>
      <c r="J234" s="73"/>
      <c r="K234" s="73"/>
      <c r="L234" s="71">
        <f>ak!$AL$29</f>
        <v>80</v>
      </c>
      <c r="M234" s="71">
        <f>ak!$AR$29</f>
        <v>80</v>
      </c>
      <c r="N234" s="71">
        <f>ak!$AX$29</f>
        <v>80</v>
      </c>
      <c r="O234" s="73"/>
      <c r="P234" s="74"/>
      <c r="Q234" s="74"/>
      <c r="R234" s="85">
        <f>ak!$BX$29</f>
        <v>80</v>
      </c>
      <c r="S234" s="85">
        <f>ak!$BX$29</f>
        <v>80</v>
      </c>
      <c r="T234" s="85">
        <f>ak!$CC$29</f>
        <v>83</v>
      </c>
      <c r="U234" s="75">
        <f>ak!$CG$29</f>
        <v>80</v>
      </c>
      <c r="V234" s="58"/>
      <c r="X234" s="278">
        <v>29</v>
      </c>
    </row>
    <row r="235" spans="1:24">
      <c r="A235" s="268">
        <v>25</v>
      </c>
      <c r="B235" s="271"/>
      <c r="C235" s="274"/>
      <c r="D235" s="76" t="s">
        <v>301</v>
      </c>
      <c r="E235" s="77">
        <f>ak!$CH$29</f>
        <v>80</v>
      </c>
      <c r="F235" s="77">
        <f>ak!$CI$29</f>
        <v>88</v>
      </c>
      <c r="G235" s="77">
        <f>ak!$CJ$29</f>
        <v>80</v>
      </c>
      <c r="H235" s="72"/>
      <c r="I235" s="72"/>
      <c r="J235" s="73"/>
      <c r="K235" s="73"/>
      <c r="L235" s="77">
        <f>ak!$CK$29</f>
        <v>75</v>
      </c>
      <c r="M235" s="77">
        <f>ak!$CL$29</f>
        <v>77</v>
      </c>
      <c r="N235" s="77">
        <f>ak!$CM$29</f>
        <v>85</v>
      </c>
      <c r="O235" s="73"/>
      <c r="P235" s="74"/>
      <c r="Q235" s="74"/>
      <c r="R235" s="86">
        <f>ak!$CP$29</f>
        <v>77</v>
      </c>
      <c r="S235" s="86">
        <f>ak!$CO$29</f>
        <v>84</v>
      </c>
      <c r="T235" s="74"/>
      <c r="U235" s="86">
        <f>ak!$CN$29</f>
        <v>81</v>
      </c>
      <c r="V235" s="58"/>
      <c r="X235" s="278">
        <v>29</v>
      </c>
    </row>
    <row r="236" spans="1:24" ht="15" thickBot="1">
      <c r="A236" s="269">
        <v>25</v>
      </c>
      <c r="B236" s="272"/>
      <c r="C236" s="275"/>
      <c r="D236" s="78" t="s">
        <v>302</v>
      </c>
      <c r="E236" s="79">
        <f t="shared" ref="E236:G236" si="284">(E233*4+E234*3+E235*3)/10</f>
        <v>83.42</v>
      </c>
      <c r="F236" s="79">
        <f t="shared" si="284"/>
        <v>84.78</v>
      </c>
      <c r="G236" s="79">
        <f t="shared" si="284"/>
        <v>81.36</v>
      </c>
      <c r="H236" s="79">
        <f t="shared" ref="H236:I236" si="285">AVERAGE(H228:H231)</f>
        <v>83.25</v>
      </c>
      <c r="I236" s="79">
        <f t="shared" si="285"/>
        <v>80.75</v>
      </c>
      <c r="J236" s="79">
        <f t="shared" ref="J236" si="286">AVERAGE(J228:J229)</f>
        <v>84</v>
      </c>
      <c r="K236" s="79">
        <f t="shared" ref="K236" si="287">AVERAGE(K228:K231)</f>
        <v>80.25</v>
      </c>
      <c r="L236" s="79">
        <f t="shared" ref="L236:N236" si="288">(L233*4+L234*3+L235*3)/10</f>
        <v>78.5</v>
      </c>
      <c r="M236" s="79">
        <f t="shared" si="288"/>
        <v>76.7</v>
      </c>
      <c r="N236" s="79">
        <f t="shared" si="288"/>
        <v>79.099999999999994</v>
      </c>
      <c r="O236" s="79">
        <f t="shared" ref="O236:Q236" si="289">AVERAGE(O228:O229)</f>
        <v>79</v>
      </c>
      <c r="P236" s="79">
        <f t="shared" si="289"/>
        <v>80.5</v>
      </c>
      <c r="Q236" s="79">
        <f t="shared" si="289"/>
        <v>81.5</v>
      </c>
      <c r="R236" s="79">
        <f t="shared" ref="R236:S236" si="290">(R233*4+R234*3+R235*3)/10</f>
        <v>79.533333333333331</v>
      </c>
      <c r="S236" s="79">
        <f t="shared" si="290"/>
        <v>82.133333333333326</v>
      </c>
      <c r="T236" s="79">
        <f t="shared" ref="T236" si="291">T234</f>
        <v>83</v>
      </c>
      <c r="U236" s="79">
        <f t="shared" ref="U236" si="292">(U233*4+U234*3+U235*3)/10</f>
        <v>82.166666666666671</v>
      </c>
      <c r="V236" s="80">
        <f>AVERAGE(E236:U236)</f>
        <v>81.17313725490196</v>
      </c>
      <c r="X236" s="278">
        <v>29</v>
      </c>
    </row>
    <row r="237" spans="1:24" ht="18" customHeight="1" thickTop="1" thickBot="1">
      <c r="A237" s="268">
        <v>26</v>
      </c>
      <c r="B237" s="270" t="s">
        <v>600</v>
      </c>
      <c r="C237" s="273" t="s">
        <v>601</v>
      </c>
      <c r="D237" s="52" t="s">
        <v>294</v>
      </c>
      <c r="E237" s="53">
        <f>ak!$E$30</f>
        <v>80</v>
      </c>
      <c r="F237" s="53">
        <f>ak!$K$30</f>
        <v>83</v>
      </c>
      <c r="G237" s="53">
        <f>ak!$Q$30</f>
        <v>86</v>
      </c>
      <c r="H237" s="53">
        <f>ak!$W$30</f>
        <v>83</v>
      </c>
      <c r="I237" s="53">
        <f>ak!$AA$30</f>
        <v>79</v>
      </c>
      <c r="J237" s="53">
        <f>ak!$AE$30</f>
        <v>90</v>
      </c>
      <c r="K237" s="54">
        <f>ak!$AG$30</f>
        <v>84</v>
      </c>
      <c r="L237" s="55"/>
      <c r="M237" s="53">
        <f>ak!$AM$30</f>
        <v>84</v>
      </c>
      <c r="N237" s="53">
        <f>ak!$AS$30</f>
        <v>79</v>
      </c>
      <c r="O237" s="53">
        <f>ak!$AY$30</f>
        <v>79</v>
      </c>
      <c r="P237" s="54">
        <f>ak!$BA$30</f>
        <v>88</v>
      </c>
      <c r="Q237" s="54">
        <f>ak!$BC$30</f>
        <v>84</v>
      </c>
      <c r="R237" s="55"/>
      <c r="S237" s="55"/>
      <c r="T237" s="55"/>
      <c r="U237" s="55"/>
      <c r="V237" s="56"/>
      <c r="X237" s="288">
        <v>30</v>
      </c>
    </row>
    <row r="238" spans="1:24" ht="15" thickBot="1">
      <c r="A238" s="268">
        <v>26</v>
      </c>
      <c r="B238" s="271"/>
      <c r="C238" s="274"/>
      <c r="D238" s="52" t="s">
        <v>295</v>
      </c>
      <c r="E238" s="53">
        <f>ak!$F$30</f>
        <v>85</v>
      </c>
      <c r="F238" s="53">
        <f>ak!$L$30</f>
        <v>81</v>
      </c>
      <c r="G238" s="53">
        <f>ak!$R$30</f>
        <v>88</v>
      </c>
      <c r="H238" s="53">
        <f>ak!$X$30</f>
        <v>84</v>
      </c>
      <c r="I238" s="53">
        <f>ak!$AB$30</f>
        <v>85</v>
      </c>
      <c r="J238" s="53">
        <f>ak!$AF$30</f>
        <v>90</v>
      </c>
      <c r="K238" s="54">
        <f>ak!$AH$30</f>
        <v>83</v>
      </c>
      <c r="L238" s="55"/>
      <c r="M238" s="53">
        <f>ak!$AN$30</f>
        <v>86</v>
      </c>
      <c r="N238" s="53">
        <f>ak!$AT$30</f>
        <v>81</v>
      </c>
      <c r="O238" s="53">
        <f>ak!$AZ$30</f>
        <v>81</v>
      </c>
      <c r="P238" s="54">
        <f>ak!$BB$30</f>
        <v>88</v>
      </c>
      <c r="Q238" s="54">
        <f>ak!$BD$30</f>
        <v>85</v>
      </c>
      <c r="R238" s="55"/>
      <c r="S238" s="55"/>
      <c r="T238" s="55"/>
      <c r="U238" s="55"/>
      <c r="V238" s="58"/>
      <c r="X238" s="288">
        <v>30</v>
      </c>
    </row>
    <row r="239" spans="1:24" ht="15" thickBot="1">
      <c r="A239" s="268">
        <v>26</v>
      </c>
      <c r="B239" s="271"/>
      <c r="C239" s="274"/>
      <c r="D239" s="52" t="s">
        <v>296</v>
      </c>
      <c r="E239" s="53">
        <f>ak!$G$30</f>
        <v>85</v>
      </c>
      <c r="F239" s="53">
        <f>ak!$M$30</f>
        <v>94</v>
      </c>
      <c r="G239" s="53">
        <f>ak!$S$30</f>
        <v>84</v>
      </c>
      <c r="H239" s="53">
        <f>ak!$Y$30</f>
        <v>81</v>
      </c>
      <c r="I239" s="53">
        <f>ak!$AC$30</f>
        <v>85</v>
      </c>
      <c r="J239" s="59"/>
      <c r="K239" s="54">
        <f>ak!$AI$30</f>
        <v>74</v>
      </c>
      <c r="L239" s="55"/>
      <c r="M239" s="53">
        <f>ak!$AO$30</f>
        <v>89</v>
      </c>
      <c r="N239" s="53">
        <f>ak!$AU$30</f>
        <v>78</v>
      </c>
      <c r="O239" s="59"/>
      <c r="P239" s="55"/>
      <c r="Q239" s="55"/>
      <c r="R239" s="54">
        <f>ak!$BU$30</f>
        <v>85</v>
      </c>
      <c r="S239" s="54">
        <f>ak!$BY$30</f>
        <v>83</v>
      </c>
      <c r="T239" s="55"/>
      <c r="U239" s="54">
        <f>ak!$CD$30</f>
        <v>81</v>
      </c>
      <c r="V239" s="58"/>
      <c r="X239" s="288">
        <v>30</v>
      </c>
    </row>
    <row r="240" spans="1:24" ht="15" thickBot="1">
      <c r="A240" s="268">
        <v>26</v>
      </c>
      <c r="B240" s="271"/>
      <c r="C240" s="274"/>
      <c r="D240" s="62" t="s">
        <v>297</v>
      </c>
      <c r="E240" s="53">
        <f>ak!$H$30</f>
        <v>87</v>
      </c>
      <c r="F240" s="53">
        <f>ak!$N$30</f>
        <v>94</v>
      </c>
      <c r="G240" s="53">
        <f>ak!$T$30</f>
        <v>85</v>
      </c>
      <c r="H240" s="53">
        <f>ak!$Z$30</f>
        <v>85</v>
      </c>
      <c r="I240" s="53">
        <f>ak!$AD$30</f>
        <v>84</v>
      </c>
      <c r="J240" s="59"/>
      <c r="K240" s="54">
        <f>ak!$AJ$30</f>
        <v>84</v>
      </c>
      <c r="L240" s="55"/>
      <c r="M240" s="53">
        <f>ak!$AP$30</f>
        <v>90</v>
      </c>
      <c r="N240" s="53">
        <f>ak!$AV$30</f>
        <v>89</v>
      </c>
      <c r="O240" s="59"/>
      <c r="P240" s="55"/>
      <c r="Q240" s="55"/>
      <c r="R240" s="54">
        <f>ak!$BV$30</f>
        <v>86.25</v>
      </c>
      <c r="S240" s="54">
        <f>ak!$BZ$30</f>
        <v>86</v>
      </c>
      <c r="T240" s="63"/>
      <c r="U240" s="54">
        <f>ak!$CE$30</f>
        <v>92</v>
      </c>
      <c r="V240" s="58"/>
      <c r="X240" s="288">
        <v>30</v>
      </c>
    </row>
    <row r="241" spans="1:24">
      <c r="A241" s="268">
        <v>26</v>
      </c>
      <c r="B241" s="271"/>
      <c r="C241" s="274"/>
      <c r="D241" s="62" t="s">
        <v>298</v>
      </c>
      <c r="E241" s="53">
        <f>ak!$I$30</f>
        <v>85</v>
      </c>
      <c r="F241" s="53">
        <f>ak!$O$30</f>
        <v>95</v>
      </c>
      <c r="G241" s="53">
        <f>ak!$U$30</f>
        <v>81</v>
      </c>
      <c r="H241" s="65"/>
      <c r="I241" s="65"/>
      <c r="J241" s="59"/>
      <c r="K241" s="59"/>
      <c r="L241" s="53">
        <f>ak!$AK$30</f>
        <v>86</v>
      </c>
      <c r="M241" s="53">
        <f>ak!$AQ$30</f>
        <v>83</v>
      </c>
      <c r="N241" s="53">
        <f>ak!$AW$30</f>
        <v>85</v>
      </c>
      <c r="O241" s="59"/>
      <c r="P241" s="55"/>
      <c r="Q241" s="55"/>
      <c r="R241" s="54">
        <f>ak!$BW$30</f>
        <v>83.5</v>
      </c>
      <c r="S241" s="54">
        <f>ak!$CA$30</f>
        <v>83</v>
      </c>
      <c r="T241" s="54"/>
      <c r="U241" s="54">
        <f>ak!$CF$30</f>
        <v>82</v>
      </c>
      <c r="V241" s="58"/>
      <c r="X241" s="288">
        <v>30</v>
      </c>
    </row>
    <row r="242" spans="1:24">
      <c r="A242" s="268">
        <v>26</v>
      </c>
      <c r="B242" s="271"/>
      <c r="C242" s="274"/>
      <c r="D242" s="66" t="s">
        <v>299</v>
      </c>
      <c r="E242" s="67">
        <f t="shared" ref="E242:G242" si="293">AVERAGE(E237:E241)</f>
        <v>84.4</v>
      </c>
      <c r="F242" s="67">
        <f t="shared" si="293"/>
        <v>89.4</v>
      </c>
      <c r="G242" s="67">
        <f t="shared" si="293"/>
        <v>84.8</v>
      </c>
      <c r="H242" s="68"/>
      <c r="I242" s="68"/>
      <c r="J242" s="69"/>
      <c r="K242" s="69"/>
      <c r="L242" s="67">
        <f t="shared" ref="L242:N242" si="294">AVERAGE(L237:L241)</f>
        <v>86</v>
      </c>
      <c r="M242" s="67">
        <f t="shared" si="294"/>
        <v>86.4</v>
      </c>
      <c r="N242" s="67">
        <f t="shared" si="294"/>
        <v>82.4</v>
      </c>
      <c r="O242" s="69"/>
      <c r="P242" s="63"/>
      <c r="Q242" s="63"/>
      <c r="R242" s="84">
        <f t="shared" ref="R242:S242" si="295">AVERAGE(R239:R241)</f>
        <v>84.916666666666671</v>
      </c>
      <c r="S242" s="84">
        <f t="shared" si="295"/>
        <v>84</v>
      </c>
      <c r="T242" s="63"/>
      <c r="U242" s="84">
        <f t="shared" ref="U242" si="296">AVERAGE(U237:U241)</f>
        <v>85</v>
      </c>
      <c r="V242" s="58"/>
      <c r="X242" s="288">
        <v>30</v>
      </c>
    </row>
    <row r="243" spans="1:24">
      <c r="A243" s="268">
        <v>26</v>
      </c>
      <c r="B243" s="271"/>
      <c r="C243" s="274"/>
      <c r="D243" s="70" t="s">
        <v>300</v>
      </c>
      <c r="E243" s="71">
        <f>ak!$J$30</f>
        <v>74</v>
      </c>
      <c r="F243" s="71">
        <f>ak!$P$30</f>
        <v>89</v>
      </c>
      <c r="G243" s="71">
        <f>ak!$V$30</f>
        <v>82</v>
      </c>
      <c r="H243" s="72"/>
      <c r="I243" s="72"/>
      <c r="J243" s="73"/>
      <c r="K243" s="73"/>
      <c r="L243" s="71">
        <f>ak!$AL$30</f>
        <v>82</v>
      </c>
      <c r="M243" s="71">
        <f>ak!$AR$30</f>
        <v>85</v>
      </c>
      <c r="N243" s="71">
        <f>ak!$AX$30</f>
        <v>85</v>
      </c>
      <c r="O243" s="73"/>
      <c r="P243" s="74"/>
      <c r="Q243" s="74"/>
      <c r="R243" s="85">
        <f>ak!$BX$30</f>
        <v>80</v>
      </c>
      <c r="S243" s="85">
        <f>ak!$BX$30</f>
        <v>80</v>
      </c>
      <c r="T243" s="85">
        <f>ak!$CC$30</f>
        <v>82</v>
      </c>
      <c r="U243" s="75">
        <f>ak!$CG$30</f>
        <v>85</v>
      </c>
      <c r="V243" s="58"/>
      <c r="X243" s="288">
        <v>30</v>
      </c>
    </row>
    <row r="244" spans="1:24">
      <c r="A244" s="268">
        <v>26</v>
      </c>
      <c r="B244" s="271"/>
      <c r="C244" s="274"/>
      <c r="D244" s="76" t="s">
        <v>301</v>
      </c>
      <c r="E244" s="77">
        <f>ak!$CH$30</f>
        <v>90</v>
      </c>
      <c r="F244" s="77">
        <f>ak!$CI$30</f>
        <v>95</v>
      </c>
      <c r="G244" s="77">
        <f>ak!$CJ$30</f>
        <v>85</v>
      </c>
      <c r="H244" s="72"/>
      <c r="I244" s="72"/>
      <c r="J244" s="73"/>
      <c r="K244" s="73"/>
      <c r="L244" s="77">
        <f>ak!$CK$30</f>
        <v>94</v>
      </c>
      <c r="M244" s="77">
        <f>ak!$CL$30</f>
        <v>84</v>
      </c>
      <c r="N244" s="77">
        <f>ak!$CM$30</f>
        <v>88</v>
      </c>
      <c r="O244" s="73"/>
      <c r="P244" s="74"/>
      <c r="Q244" s="74"/>
      <c r="R244" s="86">
        <f>ak!$CP$30</f>
        <v>87</v>
      </c>
      <c r="S244" s="86">
        <f>ak!$CO$30</f>
        <v>89</v>
      </c>
      <c r="T244" s="74"/>
      <c r="U244" s="86">
        <f>ak!$CN$30</f>
        <v>85</v>
      </c>
      <c r="V244" s="58"/>
      <c r="X244" s="288">
        <v>30</v>
      </c>
    </row>
    <row r="245" spans="1:24" ht="15" thickBot="1">
      <c r="A245" s="269">
        <v>26</v>
      </c>
      <c r="B245" s="272"/>
      <c r="C245" s="275"/>
      <c r="D245" s="78" t="s">
        <v>302</v>
      </c>
      <c r="E245" s="79">
        <f t="shared" ref="E245:G245" si="297">(E242*4+E243*3+E244*3)/10</f>
        <v>82.960000000000008</v>
      </c>
      <c r="F245" s="79">
        <f t="shared" si="297"/>
        <v>90.960000000000008</v>
      </c>
      <c r="G245" s="79">
        <f t="shared" si="297"/>
        <v>84.02000000000001</v>
      </c>
      <c r="H245" s="79">
        <f t="shared" ref="H245:I245" si="298">AVERAGE(H237:H240)</f>
        <v>83.25</v>
      </c>
      <c r="I245" s="79">
        <f t="shared" si="298"/>
        <v>83.25</v>
      </c>
      <c r="J245" s="79">
        <f t="shared" ref="J245" si="299">AVERAGE(J237:J238)</f>
        <v>90</v>
      </c>
      <c r="K245" s="79">
        <f t="shared" ref="K245" si="300">AVERAGE(K237:K240)</f>
        <v>81.25</v>
      </c>
      <c r="L245" s="79">
        <f t="shared" ref="L245:N245" si="301">(L242*4+L243*3+L244*3)/10</f>
        <v>87.2</v>
      </c>
      <c r="M245" s="79">
        <f t="shared" si="301"/>
        <v>85.26</v>
      </c>
      <c r="N245" s="79">
        <f t="shared" si="301"/>
        <v>84.86</v>
      </c>
      <c r="O245" s="79">
        <f t="shared" ref="O245:Q245" si="302">AVERAGE(O237:O238)</f>
        <v>80</v>
      </c>
      <c r="P245" s="79">
        <f t="shared" si="302"/>
        <v>88</v>
      </c>
      <c r="Q245" s="79">
        <f t="shared" si="302"/>
        <v>84.5</v>
      </c>
      <c r="R245" s="79">
        <f t="shared" ref="R245:S245" si="303">(R242*4+R243*3+R244*3)/10</f>
        <v>84.066666666666677</v>
      </c>
      <c r="S245" s="79">
        <f t="shared" si="303"/>
        <v>84.3</v>
      </c>
      <c r="T245" s="79">
        <f t="shared" ref="T245" si="304">T243</f>
        <v>82</v>
      </c>
      <c r="U245" s="79">
        <f t="shared" ref="U245" si="305">(U242*4+U243*3+U244*3)/10</f>
        <v>85</v>
      </c>
      <c r="V245" s="80">
        <f>AVERAGE(E245:U245)</f>
        <v>84.757450980392164</v>
      </c>
      <c r="X245" s="288">
        <v>30</v>
      </c>
    </row>
    <row r="246" spans="1:24" ht="15.6" thickTop="1" thickBot="1">
      <c r="A246" s="268">
        <v>27</v>
      </c>
      <c r="B246" s="270" t="s">
        <v>602</v>
      </c>
      <c r="C246" s="273" t="s">
        <v>603</v>
      </c>
      <c r="D246" s="52" t="s">
        <v>294</v>
      </c>
      <c r="E246" s="53">
        <f>ak!$E$31</f>
        <v>87</v>
      </c>
      <c r="F246" s="53">
        <f>ak!$K$31</f>
        <v>84</v>
      </c>
      <c r="G246" s="53">
        <f>ak!$Q$31</f>
        <v>93</v>
      </c>
      <c r="H246" s="53">
        <f>ak!$W$31</f>
        <v>84</v>
      </c>
      <c r="I246" s="53">
        <f>ak!$AA$31</f>
        <v>79</v>
      </c>
      <c r="J246" s="53">
        <f>ak!$AE$31</f>
        <v>83</v>
      </c>
      <c r="K246" s="54">
        <f>ak!$AG$31</f>
        <v>83</v>
      </c>
      <c r="L246" s="55"/>
      <c r="M246" s="53">
        <f>ak!$AM$31</f>
        <v>76</v>
      </c>
      <c r="N246" s="53">
        <f>ak!$AS$31</f>
        <v>74</v>
      </c>
      <c r="O246" s="53">
        <f>ak!$AY$31</f>
        <v>80</v>
      </c>
      <c r="P246" s="54">
        <f>ak!$BA$31</f>
        <v>77</v>
      </c>
      <c r="Q246" s="54">
        <f>ak!$BC$31</f>
        <v>82</v>
      </c>
      <c r="R246" s="55"/>
      <c r="S246" s="55"/>
      <c r="T246" s="55"/>
      <c r="U246" s="55"/>
      <c r="V246" s="56"/>
      <c r="X246" s="278">
        <v>31</v>
      </c>
    </row>
    <row r="247" spans="1:24" ht="15" thickBot="1">
      <c r="A247" s="268">
        <v>27</v>
      </c>
      <c r="B247" s="271"/>
      <c r="C247" s="274"/>
      <c r="D247" s="52" t="s">
        <v>295</v>
      </c>
      <c r="E247" s="53">
        <f>ak!$F$31</f>
        <v>83</v>
      </c>
      <c r="F247" s="53">
        <f>ak!$L$31</f>
        <v>80</v>
      </c>
      <c r="G247" s="53">
        <f>ak!$R$31</f>
        <v>81</v>
      </c>
      <c r="H247" s="53">
        <f>ak!$X$31</f>
        <v>84</v>
      </c>
      <c r="I247" s="53">
        <f>ak!$AB$31</f>
        <v>84</v>
      </c>
      <c r="J247" s="53">
        <f>ak!$AF$31</f>
        <v>83</v>
      </c>
      <c r="K247" s="54">
        <f>ak!$AH$31</f>
        <v>84</v>
      </c>
      <c r="L247" s="55"/>
      <c r="M247" s="53">
        <f>ak!$AN$31</f>
        <v>77</v>
      </c>
      <c r="N247" s="53">
        <f>ak!$AT$31</f>
        <v>80</v>
      </c>
      <c r="O247" s="53">
        <f>ak!$AZ$31</f>
        <v>79</v>
      </c>
      <c r="P247" s="54">
        <f>ak!$BB$31</f>
        <v>83</v>
      </c>
      <c r="Q247" s="54">
        <f>ak!$BD$31</f>
        <v>83</v>
      </c>
      <c r="R247" s="55"/>
      <c r="S247" s="55"/>
      <c r="T247" s="55"/>
      <c r="U247" s="55"/>
      <c r="V247" s="58"/>
      <c r="X247" s="278">
        <v>31</v>
      </c>
    </row>
    <row r="248" spans="1:24" ht="15" thickBot="1">
      <c r="A248" s="268">
        <v>27</v>
      </c>
      <c r="B248" s="271"/>
      <c r="C248" s="274"/>
      <c r="D248" s="52" t="s">
        <v>296</v>
      </c>
      <c r="E248" s="53">
        <f>ak!$G$31</f>
        <v>92</v>
      </c>
      <c r="F248" s="53">
        <f>ak!$M$31</f>
        <v>91</v>
      </c>
      <c r="G248" s="53">
        <f>ak!$S$31</f>
        <v>84</v>
      </c>
      <c r="H248" s="53">
        <f>ak!$Y$31</f>
        <v>81</v>
      </c>
      <c r="I248" s="53">
        <f>ak!$AC$31</f>
        <v>85</v>
      </c>
      <c r="J248" s="59"/>
      <c r="K248" s="54">
        <f>ak!$AI$31</f>
        <v>74</v>
      </c>
      <c r="L248" s="55"/>
      <c r="M248" s="53">
        <f>ak!$AO$31</f>
        <v>79</v>
      </c>
      <c r="N248" s="53">
        <f>ak!$AU$31</f>
        <v>83</v>
      </c>
      <c r="O248" s="59"/>
      <c r="P248" s="55"/>
      <c r="Q248" s="55"/>
      <c r="R248" s="54">
        <f>ak!$BU$31</f>
        <v>84.5</v>
      </c>
      <c r="S248" s="54">
        <f>ak!$BY$31</f>
        <v>84</v>
      </c>
      <c r="T248" s="55"/>
      <c r="U248" s="54">
        <f>ak!$CD$31</f>
        <v>79</v>
      </c>
      <c r="V248" s="58"/>
      <c r="X248" s="278">
        <v>31</v>
      </c>
    </row>
    <row r="249" spans="1:24" ht="15" thickBot="1">
      <c r="A249" s="268">
        <v>27</v>
      </c>
      <c r="B249" s="271"/>
      <c r="C249" s="274"/>
      <c r="D249" s="62" t="s">
        <v>297</v>
      </c>
      <c r="E249" s="53">
        <f>ak!$H$31</f>
        <v>87</v>
      </c>
      <c r="F249" s="53">
        <f>ak!$N$31</f>
        <v>87</v>
      </c>
      <c r="G249" s="53">
        <f>ak!$T$31</f>
        <v>85</v>
      </c>
      <c r="H249" s="53">
        <f>ak!$Z$31</f>
        <v>85</v>
      </c>
      <c r="I249" s="53">
        <f>ak!$AD$31</f>
        <v>83</v>
      </c>
      <c r="J249" s="59"/>
      <c r="K249" s="54">
        <f>ak!$AJ$31</f>
        <v>83</v>
      </c>
      <c r="L249" s="55"/>
      <c r="M249" s="53">
        <f>ak!$AP$31</f>
        <v>80</v>
      </c>
      <c r="N249" s="53">
        <f>ak!$AV$31</f>
        <v>82</v>
      </c>
      <c r="O249" s="59"/>
      <c r="P249" s="55"/>
      <c r="Q249" s="55"/>
      <c r="R249" s="54">
        <f>ak!$BV$31</f>
        <v>85.25</v>
      </c>
      <c r="S249" s="54">
        <f>ak!$BZ$31</f>
        <v>85</v>
      </c>
      <c r="T249" s="63"/>
      <c r="U249" s="54">
        <f>ak!$CE$31</f>
        <v>91</v>
      </c>
      <c r="V249" s="58"/>
      <c r="X249" s="278">
        <v>31</v>
      </c>
    </row>
    <row r="250" spans="1:24">
      <c r="A250" s="268">
        <v>27</v>
      </c>
      <c r="B250" s="271"/>
      <c r="C250" s="274"/>
      <c r="D250" s="62" t="s">
        <v>298</v>
      </c>
      <c r="E250" s="53">
        <f>ak!$I$31</f>
        <v>91</v>
      </c>
      <c r="F250" s="53">
        <f>ak!$O$31</f>
        <v>88</v>
      </c>
      <c r="G250" s="53">
        <f>ak!$U$31</f>
        <v>82</v>
      </c>
      <c r="H250" s="65"/>
      <c r="I250" s="65"/>
      <c r="J250" s="59"/>
      <c r="K250" s="59"/>
      <c r="L250" s="53">
        <f>ak!$AK$31</f>
        <v>86</v>
      </c>
      <c r="M250" s="53">
        <f>ak!$AQ$31</f>
        <v>83</v>
      </c>
      <c r="N250" s="53">
        <f>ak!$AW$31</f>
        <v>83</v>
      </c>
      <c r="O250" s="59"/>
      <c r="P250" s="55"/>
      <c r="Q250" s="55"/>
      <c r="R250" s="54">
        <f>ak!$BW$31</f>
        <v>83.75</v>
      </c>
      <c r="S250" s="54">
        <f>ak!$CA$31</f>
        <v>83</v>
      </c>
      <c r="T250" s="54"/>
      <c r="U250" s="54">
        <f>ak!$CF$31</f>
        <v>85</v>
      </c>
      <c r="V250" s="58"/>
      <c r="X250" s="278">
        <v>31</v>
      </c>
    </row>
    <row r="251" spans="1:24">
      <c r="A251" s="268">
        <v>27</v>
      </c>
      <c r="B251" s="271"/>
      <c r="C251" s="274"/>
      <c r="D251" s="66" t="s">
        <v>299</v>
      </c>
      <c r="E251" s="67">
        <f t="shared" ref="E251:G251" si="306">AVERAGE(E246:E250)</f>
        <v>88</v>
      </c>
      <c r="F251" s="67">
        <f t="shared" si="306"/>
        <v>86</v>
      </c>
      <c r="G251" s="67">
        <f t="shared" si="306"/>
        <v>85</v>
      </c>
      <c r="H251" s="68"/>
      <c r="I251" s="68"/>
      <c r="J251" s="69"/>
      <c r="K251" s="69"/>
      <c r="L251" s="67">
        <f t="shared" ref="L251:N251" si="307">AVERAGE(L246:L250)</f>
        <v>86</v>
      </c>
      <c r="M251" s="67">
        <f t="shared" si="307"/>
        <v>79</v>
      </c>
      <c r="N251" s="67">
        <f t="shared" si="307"/>
        <v>80.400000000000006</v>
      </c>
      <c r="O251" s="69"/>
      <c r="P251" s="63"/>
      <c r="Q251" s="63"/>
      <c r="R251" s="84">
        <f t="shared" ref="R251:S251" si="308">AVERAGE(R248:R250)</f>
        <v>84.5</v>
      </c>
      <c r="S251" s="84">
        <f t="shared" si="308"/>
        <v>84</v>
      </c>
      <c r="T251" s="63"/>
      <c r="U251" s="84">
        <f t="shared" ref="U251" si="309">AVERAGE(U246:U250)</f>
        <v>85</v>
      </c>
      <c r="V251" s="58"/>
      <c r="X251" s="278">
        <v>31</v>
      </c>
    </row>
    <row r="252" spans="1:24">
      <c r="A252" s="268">
        <v>27</v>
      </c>
      <c r="B252" s="271"/>
      <c r="C252" s="274"/>
      <c r="D252" s="70" t="s">
        <v>300</v>
      </c>
      <c r="E252" s="71">
        <f>ak!$J$31</f>
        <v>92</v>
      </c>
      <c r="F252" s="71">
        <f>ak!$P$31</f>
        <v>95</v>
      </c>
      <c r="G252" s="71">
        <f>ak!$V$31</f>
        <v>88</v>
      </c>
      <c r="H252" s="72"/>
      <c r="I252" s="72"/>
      <c r="J252" s="73"/>
      <c r="K252" s="73"/>
      <c r="L252" s="71">
        <f>ak!$AL$31</f>
        <v>88</v>
      </c>
      <c r="M252" s="71">
        <f>ak!$AR$31</f>
        <v>91</v>
      </c>
      <c r="N252" s="71">
        <f>ak!$AX$31</f>
        <v>91</v>
      </c>
      <c r="O252" s="73"/>
      <c r="P252" s="74"/>
      <c r="Q252" s="74"/>
      <c r="R252" s="85">
        <f>ak!$BX$31</f>
        <v>93</v>
      </c>
      <c r="S252" s="85">
        <f>ak!$BX$31</f>
        <v>93</v>
      </c>
      <c r="T252" s="85">
        <f>ak!$CC$31</f>
        <v>92</v>
      </c>
      <c r="U252" s="75">
        <f>ak!$CG$31</f>
        <v>91</v>
      </c>
      <c r="V252" s="58"/>
      <c r="X252" s="278">
        <v>31</v>
      </c>
    </row>
    <row r="253" spans="1:24">
      <c r="A253" s="268">
        <v>27</v>
      </c>
      <c r="B253" s="271"/>
      <c r="C253" s="274"/>
      <c r="D253" s="76" t="s">
        <v>301</v>
      </c>
      <c r="E253" s="77">
        <f>ak!$CH$31</f>
        <v>85</v>
      </c>
      <c r="F253" s="77">
        <f>ak!$CI$31</f>
        <v>94</v>
      </c>
      <c r="G253" s="77">
        <f>ak!$CJ$31</f>
        <v>82</v>
      </c>
      <c r="H253" s="72"/>
      <c r="I253" s="72"/>
      <c r="J253" s="73"/>
      <c r="K253" s="73"/>
      <c r="L253" s="77">
        <f>ak!$CK$31</f>
        <v>90</v>
      </c>
      <c r="M253" s="77">
        <f>ak!$CL$31</f>
        <v>83</v>
      </c>
      <c r="N253" s="77">
        <f>ak!$CM$31</f>
        <v>87</v>
      </c>
      <c r="O253" s="73"/>
      <c r="P253" s="74"/>
      <c r="Q253" s="74"/>
      <c r="R253" s="86">
        <f>ak!$CP$31</f>
        <v>92</v>
      </c>
      <c r="S253" s="86">
        <f>ak!$CO$31</f>
        <v>89</v>
      </c>
      <c r="T253" s="74"/>
      <c r="U253" s="86">
        <f>ak!$CN$31</f>
        <v>84</v>
      </c>
      <c r="V253" s="58"/>
      <c r="X253" s="278">
        <v>31</v>
      </c>
    </row>
    <row r="254" spans="1:24" ht="15" thickBot="1">
      <c r="A254" s="269">
        <v>27</v>
      </c>
      <c r="B254" s="272"/>
      <c r="C254" s="275"/>
      <c r="D254" s="78" t="s">
        <v>302</v>
      </c>
      <c r="E254" s="79">
        <f t="shared" ref="E254:G254" si="310">(E251*4+E252*3+E253*3)/10</f>
        <v>88.3</v>
      </c>
      <c r="F254" s="79">
        <f t="shared" si="310"/>
        <v>91.1</v>
      </c>
      <c r="G254" s="79">
        <f t="shared" si="310"/>
        <v>85</v>
      </c>
      <c r="H254" s="79">
        <f t="shared" ref="H254:I254" si="311">AVERAGE(H246:H249)</f>
        <v>83.5</v>
      </c>
      <c r="I254" s="79">
        <f t="shared" si="311"/>
        <v>82.75</v>
      </c>
      <c r="J254" s="79">
        <f t="shared" ref="J254" si="312">AVERAGE(J246:J247)</f>
        <v>83</v>
      </c>
      <c r="K254" s="79">
        <f t="shared" ref="K254" si="313">AVERAGE(K246:K249)</f>
        <v>81</v>
      </c>
      <c r="L254" s="79">
        <f t="shared" ref="L254:N254" si="314">(L251*4+L252*3+L253*3)/10</f>
        <v>87.8</v>
      </c>
      <c r="M254" s="79">
        <f t="shared" si="314"/>
        <v>83.8</v>
      </c>
      <c r="N254" s="79">
        <f t="shared" si="314"/>
        <v>85.56</v>
      </c>
      <c r="O254" s="79">
        <f t="shared" ref="O254:Q254" si="315">AVERAGE(O246:O247)</f>
        <v>79.5</v>
      </c>
      <c r="P254" s="79">
        <f t="shared" si="315"/>
        <v>80</v>
      </c>
      <c r="Q254" s="79">
        <f t="shared" si="315"/>
        <v>82.5</v>
      </c>
      <c r="R254" s="79">
        <f t="shared" ref="R254:S254" si="316">(R251*4+R252*3+R253*3)/10</f>
        <v>89.3</v>
      </c>
      <c r="S254" s="79">
        <f t="shared" si="316"/>
        <v>88.2</v>
      </c>
      <c r="T254" s="79">
        <f t="shared" ref="T254" si="317">T252</f>
        <v>92</v>
      </c>
      <c r="U254" s="79">
        <f t="shared" ref="U254" si="318">(U251*4+U252*3+U253*3)/10</f>
        <v>86.5</v>
      </c>
      <c r="V254" s="80">
        <f>AVERAGE(E254:U254)</f>
        <v>85.282941176470587</v>
      </c>
      <c r="X254" s="278">
        <v>31</v>
      </c>
    </row>
    <row r="255" spans="1:24" ht="15.6" thickTop="1" thickBot="1">
      <c r="A255" s="268">
        <v>28</v>
      </c>
      <c r="B255" s="270" t="s">
        <v>604</v>
      </c>
      <c r="C255" s="273" t="s">
        <v>605</v>
      </c>
      <c r="D255" s="52" t="s">
        <v>294</v>
      </c>
      <c r="E255" s="53">
        <f>ak!$E$32</f>
        <v>93</v>
      </c>
      <c r="F255" s="53">
        <f>ak!$K$32</f>
        <v>81</v>
      </c>
      <c r="G255" s="53">
        <f>ak!$Q$32</f>
        <v>87</v>
      </c>
      <c r="H255" s="53">
        <f>ak!$W$32</f>
        <v>83</v>
      </c>
      <c r="I255" s="53">
        <f>ak!$AA$32</f>
        <v>77</v>
      </c>
      <c r="J255" s="53">
        <f>ak!$AE$32</f>
        <v>82</v>
      </c>
      <c r="K255" s="54">
        <f>ak!$AG$32</f>
        <v>82</v>
      </c>
      <c r="L255" s="55"/>
      <c r="M255" s="53">
        <f>ak!$AM$32</f>
        <v>77</v>
      </c>
      <c r="N255" s="53">
        <f>ak!$AS$32</f>
        <v>82</v>
      </c>
      <c r="O255" s="53">
        <f>ak!$AY$32</f>
        <v>77</v>
      </c>
      <c r="P255" s="54">
        <f>ak!$BA$32</f>
        <v>79</v>
      </c>
      <c r="Q255" s="54">
        <f>ak!$BC$32</f>
        <v>82</v>
      </c>
      <c r="R255" s="55"/>
      <c r="S255" s="55"/>
      <c r="T255" s="55"/>
      <c r="U255" s="55"/>
      <c r="V255" s="56"/>
      <c r="X255" s="278">
        <v>32</v>
      </c>
    </row>
    <row r="256" spans="1:24" ht="15" thickBot="1">
      <c r="A256" s="268">
        <v>28</v>
      </c>
      <c r="B256" s="271"/>
      <c r="C256" s="274"/>
      <c r="D256" s="52" t="s">
        <v>295</v>
      </c>
      <c r="E256" s="53">
        <f>ak!$F$32</f>
        <v>90</v>
      </c>
      <c r="F256" s="53">
        <f>ak!$L$32</f>
        <v>84</v>
      </c>
      <c r="G256" s="53">
        <f>ak!$R$32</f>
        <v>87</v>
      </c>
      <c r="H256" s="53">
        <f>ak!$X$32</f>
        <v>84</v>
      </c>
      <c r="I256" s="53">
        <f>ak!$AB$32</f>
        <v>80</v>
      </c>
      <c r="J256" s="53">
        <f>ak!$AF$32</f>
        <v>84</v>
      </c>
      <c r="K256" s="54">
        <f>ak!$AH$32</f>
        <v>83</v>
      </c>
      <c r="L256" s="55"/>
      <c r="M256" s="53">
        <f>ak!$AN$32</f>
        <v>78</v>
      </c>
      <c r="N256" s="53">
        <f>ak!$AT$32</f>
        <v>76</v>
      </c>
      <c r="O256" s="53">
        <f>ak!$AZ$32</f>
        <v>79</v>
      </c>
      <c r="P256" s="54">
        <f>ak!$BB$32</f>
        <v>80</v>
      </c>
      <c r="Q256" s="54">
        <f>ak!$BD$32</f>
        <v>83</v>
      </c>
      <c r="R256" s="55"/>
      <c r="S256" s="55"/>
      <c r="T256" s="55"/>
      <c r="U256" s="55"/>
      <c r="V256" s="58"/>
      <c r="X256" s="278">
        <v>32</v>
      </c>
    </row>
    <row r="257" spans="1:24" ht="15" thickBot="1">
      <c r="A257" s="268">
        <v>28</v>
      </c>
      <c r="B257" s="271"/>
      <c r="C257" s="274"/>
      <c r="D257" s="52" t="s">
        <v>296</v>
      </c>
      <c r="E257" s="53">
        <f>ak!$G$32</f>
        <v>88</v>
      </c>
      <c r="F257" s="53">
        <f>ak!$M$32</f>
        <v>88</v>
      </c>
      <c r="G257" s="53">
        <f>ak!$S$32</f>
        <v>82</v>
      </c>
      <c r="H257" s="53">
        <f>ak!$Y$32</f>
        <v>81</v>
      </c>
      <c r="I257" s="53">
        <f>ak!$AC$32</f>
        <v>82</v>
      </c>
      <c r="J257" s="59"/>
      <c r="K257" s="54">
        <f>ak!$AI$32</f>
        <v>73</v>
      </c>
      <c r="L257" s="55"/>
      <c r="M257" s="53">
        <f>ak!$AO$32</f>
        <v>78</v>
      </c>
      <c r="N257" s="53">
        <f>ak!$AU$32</f>
        <v>77</v>
      </c>
      <c r="O257" s="59"/>
      <c r="P257" s="55"/>
      <c r="Q257" s="55"/>
      <c r="R257" s="54">
        <f>ak!$BU$32</f>
        <v>83.75</v>
      </c>
      <c r="S257" s="54">
        <f>ak!$BY$32</f>
        <v>84</v>
      </c>
      <c r="T257" s="55"/>
      <c r="U257" s="54">
        <f>ak!$CD$32</f>
        <v>76</v>
      </c>
      <c r="V257" s="58"/>
      <c r="X257" s="278">
        <v>32</v>
      </c>
    </row>
    <row r="258" spans="1:24" ht="15" thickBot="1">
      <c r="A258" s="268">
        <v>28</v>
      </c>
      <c r="B258" s="271"/>
      <c r="C258" s="274"/>
      <c r="D258" s="62" t="s">
        <v>297</v>
      </c>
      <c r="E258" s="53">
        <f>ak!$H$32</f>
        <v>81</v>
      </c>
      <c r="F258" s="53">
        <f>ak!$N$32</f>
        <v>88</v>
      </c>
      <c r="G258" s="53">
        <f>ak!$T$32</f>
        <v>83</v>
      </c>
      <c r="H258" s="53">
        <f>ak!$Z$32</f>
        <v>80</v>
      </c>
      <c r="I258" s="53">
        <f>ak!$AD$32</f>
        <v>82</v>
      </c>
      <c r="J258" s="59"/>
      <c r="K258" s="54">
        <f>ak!$AJ$32</f>
        <v>82</v>
      </c>
      <c r="L258" s="55"/>
      <c r="M258" s="53">
        <f>ak!$AP$32</f>
        <v>79</v>
      </c>
      <c r="N258" s="53">
        <f>ak!$AV$32</f>
        <v>77</v>
      </c>
      <c r="O258" s="59"/>
      <c r="P258" s="55"/>
      <c r="Q258" s="55"/>
      <c r="R258" s="54">
        <f>ak!$BV$32</f>
        <v>83.75</v>
      </c>
      <c r="S258" s="54">
        <f>ak!$BZ$32</f>
        <v>84</v>
      </c>
      <c r="T258" s="63"/>
      <c r="U258" s="54">
        <f>ak!$CE$32</f>
        <v>89</v>
      </c>
      <c r="V258" s="58"/>
      <c r="X258" s="278">
        <v>32</v>
      </c>
    </row>
    <row r="259" spans="1:24">
      <c r="A259" s="268">
        <v>28</v>
      </c>
      <c r="B259" s="271"/>
      <c r="C259" s="274"/>
      <c r="D259" s="62" t="s">
        <v>298</v>
      </c>
      <c r="E259" s="53">
        <f>ak!$I$32</f>
        <v>92</v>
      </c>
      <c r="F259" s="53">
        <f>ak!$O$32</f>
        <v>89</v>
      </c>
      <c r="G259" s="53">
        <f>ak!$U$32</f>
        <v>88</v>
      </c>
      <c r="H259" s="65"/>
      <c r="I259" s="65"/>
      <c r="J259" s="59"/>
      <c r="K259" s="59"/>
      <c r="L259" s="53">
        <f>ak!$AK$32</f>
        <v>87</v>
      </c>
      <c r="M259" s="53">
        <f>ak!$AQ$32</f>
        <v>84</v>
      </c>
      <c r="N259" s="53">
        <f>ak!$AW$32</f>
        <v>81</v>
      </c>
      <c r="O259" s="59"/>
      <c r="P259" s="55"/>
      <c r="Q259" s="55"/>
      <c r="R259" s="54">
        <f>ak!$BW$32</f>
        <v>83.75</v>
      </c>
      <c r="S259" s="54">
        <f>ak!$CA$32</f>
        <v>85</v>
      </c>
      <c r="T259" s="54"/>
      <c r="U259" s="54">
        <f>ak!$CF$32</f>
        <v>82</v>
      </c>
      <c r="V259" s="58"/>
      <c r="X259" s="278">
        <v>32</v>
      </c>
    </row>
    <row r="260" spans="1:24">
      <c r="A260" s="268">
        <v>28</v>
      </c>
      <c r="B260" s="271"/>
      <c r="C260" s="274"/>
      <c r="D260" s="66" t="s">
        <v>299</v>
      </c>
      <c r="E260" s="67">
        <f t="shared" ref="E260:G260" si="319">AVERAGE(E255:E259)</f>
        <v>88.8</v>
      </c>
      <c r="F260" s="67">
        <f t="shared" si="319"/>
        <v>86</v>
      </c>
      <c r="G260" s="67">
        <f t="shared" si="319"/>
        <v>85.4</v>
      </c>
      <c r="H260" s="68"/>
      <c r="I260" s="68"/>
      <c r="J260" s="69"/>
      <c r="K260" s="69"/>
      <c r="L260" s="67">
        <f t="shared" ref="L260:N260" si="320">AVERAGE(L255:L259)</f>
        <v>87</v>
      </c>
      <c r="M260" s="67">
        <f t="shared" si="320"/>
        <v>79.2</v>
      </c>
      <c r="N260" s="67">
        <f t="shared" si="320"/>
        <v>78.599999999999994</v>
      </c>
      <c r="O260" s="69"/>
      <c r="P260" s="63"/>
      <c r="Q260" s="63"/>
      <c r="R260" s="84">
        <f t="shared" ref="R260:S260" si="321">AVERAGE(R257:R259)</f>
        <v>83.75</v>
      </c>
      <c r="S260" s="84">
        <f t="shared" si="321"/>
        <v>84.333333333333329</v>
      </c>
      <c r="T260" s="63"/>
      <c r="U260" s="84">
        <f t="shared" ref="U260" si="322">AVERAGE(U255:U259)</f>
        <v>82.333333333333329</v>
      </c>
      <c r="V260" s="58"/>
      <c r="X260" s="278">
        <v>32</v>
      </c>
    </row>
    <row r="261" spans="1:24">
      <c r="A261" s="268">
        <v>28</v>
      </c>
      <c r="B261" s="271"/>
      <c r="C261" s="274"/>
      <c r="D261" s="70" t="s">
        <v>300</v>
      </c>
      <c r="E261" s="71">
        <f>ak!$J$32</f>
        <v>95</v>
      </c>
      <c r="F261" s="71">
        <f>ak!$P$32</f>
        <v>94</v>
      </c>
      <c r="G261" s="71">
        <f>ak!$V$32</f>
        <v>89</v>
      </c>
      <c r="H261" s="72"/>
      <c r="I261" s="72"/>
      <c r="J261" s="73"/>
      <c r="K261" s="73"/>
      <c r="L261" s="71">
        <f>ak!$AL$32</f>
        <v>89</v>
      </c>
      <c r="M261" s="71">
        <f>ak!$AR$32</f>
        <v>95</v>
      </c>
      <c r="N261" s="71">
        <f>ak!$AX$32</f>
        <v>95</v>
      </c>
      <c r="O261" s="73"/>
      <c r="P261" s="74"/>
      <c r="Q261" s="74"/>
      <c r="R261" s="85">
        <f>ak!$BX$32</f>
        <v>95</v>
      </c>
      <c r="S261" s="85">
        <f>ak!$BX$32</f>
        <v>95</v>
      </c>
      <c r="T261" s="85">
        <f>ak!$CC$32</f>
        <v>94</v>
      </c>
      <c r="U261" s="75">
        <f>ak!$CG$32</f>
        <v>95</v>
      </c>
      <c r="V261" s="58"/>
      <c r="X261" s="278">
        <v>32</v>
      </c>
    </row>
    <row r="262" spans="1:24">
      <c r="A262" s="268">
        <v>28</v>
      </c>
      <c r="B262" s="271"/>
      <c r="C262" s="274"/>
      <c r="D262" s="76" t="s">
        <v>301</v>
      </c>
      <c r="E262" s="77">
        <f>ak!$CH$32</f>
        <v>87</v>
      </c>
      <c r="F262" s="77">
        <f>ak!$CI$32</f>
        <v>95</v>
      </c>
      <c r="G262" s="77">
        <f>ak!$CJ$32</f>
        <v>80</v>
      </c>
      <c r="H262" s="72"/>
      <c r="I262" s="72"/>
      <c r="J262" s="73"/>
      <c r="K262" s="73"/>
      <c r="L262" s="77">
        <f>ak!$CK$32</f>
        <v>93</v>
      </c>
      <c r="M262" s="77">
        <f>ak!$CL$32</f>
        <v>84</v>
      </c>
      <c r="N262" s="77">
        <f>ak!$CM$32</f>
        <v>85</v>
      </c>
      <c r="O262" s="73"/>
      <c r="P262" s="74"/>
      <c r="Q262" s="74"/>
      <c r="R262" s="86">
        <f>ak!$CP$32</f>
        <v>75</v>
      </c>
      <c r="S262" s="86">
        <f>ak!$CO$32</f>
        <v>88</v>
      </c>
      <c r="T262" s="74"/>
      <c r="U262" s="86">
        <f>ak!$CN$32</f>
        <v>84</v>
      </c>
      <c r="V262" s="58"/>
      <c r="X262" s="278">
        <v>32</v>
      </c>
    </row>
    <row r="263" spans="1:24" ht="15" thickBot="1">
      <c r="A263" s="269">
        <v>28</v>
      </c>
      <c r="B263" s="272"/>
      <c r="C263" s="275"/>
      <c r="D263" s="78" t="s">
        <v>302</v>
      </c>
      <c r="E263" s="79">
        <f t="shared" ref="E263:G263" si="323">(E260*4+E261*3+E262*3)/10</f>
        <v>90.12</v>
      </c>
      <c r="F263" s="79">
        <f t="shared" si="323"/>
        <v>91.1</v>
      </c>
      <c r="G263" s="79">
        <f t="shared" si="323"/>
        <v>84.86</v>
      </c>
      <c r="H263" s="79">
        <f t="shared" ref="H263:I263" si="324">AVERAGE(H255:H258)</f>
        <v>82</v>
      </c>
      <c r="I263" s="79">
        <f t="shared" si="324"/>
        <v>80.25</v>
      </c>
      <c r="J263" s="79">
        <f t="shared" ref="J263" si="325">AVERAGE(J255:J256)</f>
        <v>83</v>
      </c>
      <c r="K263" s="79">
        <f t="shared" ref="K263" si="326">AVERAGE(K255:K258)</f>
        <v>80</v>
      </c>
      <c r="L263" s="79">
        <f t="shared" ref="L263:N263" si="327">(L260*4+L261*3+L262*3)/10</f>
        <v>89.4</v>
      </c>
      <c r="M263" s="79">
        <f t="shared" si="327"/>
        <v>85.38</v>
      </c>
      <c r="N263" s="79">
        <f t="shared" si="327"/>
        <v>85.44</v>
      </c>
      <c r="O263" s="79">
        <f t="shared" ref="O263:Q263" si="328">AVERAGE(O255:O256)</f>
        <v>78</v>
      </c>
      <c r="P263" s="79">
        <f t="shared" si="328"/>
        <v>79.5</v>
      </c>
      <c r="Q263" s="79">
        <f t="shared" si="328"/>
        <v>82.5</v>
      </c>
      <c r="R263" s="79">
        <f t="shared" ref="R263:S263" si="329">(R260*4+R261*3+R262*3)/10</f>
        <v>84.5</v>
      </c>
      <c r="S263" s="79">
        <f t="shared" si="329"/>
        <v>88.633333333333326</v>
      </c>
      <c r="T263" s="79">
        <f t="shared" ref="T263" si="330">T261</f>
        <v>94</v>
      </c>
      <c r="U263" s="79">
        <f t="shared" ref="U263" si="331">(U260*4+U261*3+U262*3)/10</f>
        <v>86.633333333333326</v>
      </c>
      <c r="V263" s="80">
        <f>AVERAGE(E263:U263)</f>
        <v>85.018627450980389</v>
      </c>
      <c r="X263" s="278">
        <v>32</v>
      </c>
    </row>
    <row r="264" spans="1:24" ht="15.6" thickTop="1" thickBot="1">
      <c r="A264" s="268">
        <v>29</v>
      </c>
      <c r="B264" s="270" t="s">
        <v>606</v>
      </c>
      <c r="C264" s="273" t="s">
        <v>607</v>
      </c>
      <c r="D264" s="52" t="s">
        <v>294</v>
      </c>
      <c r="E264" s="53">
        <f>ak!$E$33</f>
        <v>91</v>
      </c>
      <c r="F264" s="53">
        <f>ak!$K$33</f>
        <v>84</v>
      </c>
      <c r="G264" s="53">
        <f>ak!$Q$33</f>
        <v>96</v>
      </c>
      <c r="H264" s="53">
        <f>ak!$W$33</f>
        <v>83</v>
      </c>
      <c r="I264" s="53">
        <f>ak!$AA$33</f>
        <v>78</v>
      </c>
      <c r="J264" s="53">
        <f>ak!$AE$33</f>
        <v>83</v>
      </c>
      <c r="K264" s="54">
        <f>ak!$AG$33</f>
        <v>83</v>
      </c>
      <c r="L264" s="55"/>
      <c r="M264" s="53">
        <f>ak!$AM$33</f>
        <v>78</v>
      </c>
      <c r="N264" s="53">
        <f>ak!$AS$33</f>
        <v>83</v>
      </c>
      <c r="O264" s="53">
        <f>ak!$AY$33</f>
        <v>79</v>
      </c>
      <c r="P264" s="54">
        <f>ak!$BA$33</f>
        <v>86</v>
      </c>
      <c r="Q264" s="54">
        <f>ak!$BC$33</f>
        <v>85</v>
      </c>
      <c r="R264" s="55"/>
      <c r="S264" s="55"/>
      <c r="T264" s="55"/>
      <c r="U264" s="55"/>
      <c r="V264" s="56"/>
      <c r="X264" s="278">
        <v>33</v>
      </c>
    </row>
    <row r="265" spans="1:24" ht="15" thickBot="1">
      <c r="A265" s="268">
        <v>29</v>
      </c>
      <c r="B265" s="271"/>
      <c r="C265" s="274"/>
      <c r="D265" s="52" t="s">
        <v>295</v>
      </c>
      <c r="E265" s="53">
        <f>ak!$F$33</f>
        <v>95</v>
      </c>
      <c r="F265" s="53">
        <f>ak!$L$33</f>
        <v>89</v>
      </c>
      <c r="G265" s="53">
        <f>ak!$R$33</f>
        <v>86</v>
      </c>
      <c r="H265" s="53">
        <f>ak!$X$33</f>
        <v>84</v>
      </c>
      <c r="I265" s="53">
        <f>ak!$AB$33</f>
        <v>85</v>
      </c>
      <c r="J265" s="53">
        <f>ak!$AF$33</f>
        <v>90</v>
      </c>
      <c r="K265" s="54">
        <f>ak!$AH$33</f>
        <v>84</v>
      </c>
      <c r="L265" s="55"/>
      <c r="M265" s="53">
        <f>ak!$AN$33</f>
        <v>82</v>
      </c>
      <c r="N265" s="53">
        <f>ak!$AT$33</f>
        <v>82</v>
      </c>
      <c r="O265" s="53">
        <f>ak!$AZ$33</f>
        <v>81</v>
      </c>
      <c r="P265" s="54">
        <f>ak!$BB$33</f>
        <v>87</v>
      </c>
      <c r="Q265" s="54">
        <f>ak!$BD$33</f>
        <v>85</v>
      </c>
      <c r="R265" s="55"/>
      <c r="S265" s="55"/>
      <c r="T265" s="55"/>
      <c r="U265" s="55"/>
      <c r="V265" s="58"/>
      <c r="X265" s="278">
        <v>33</v>
      </c>
    </row>
    <row r="266" spans="1:24" ht="15" thickBot="1">
      <c r="A266" s="268">
        <v>29</v>
      </c>
      <c r="B266" s="271"/>
      <c r="C266" s="274"/>
      <c r="D266" s="52" t="s">
        <v>296</v>
      </c>
      <c r="E266" s="53">
        <f>ak!$G$33</f>
        <v>88</v>
      </c>
      <c r="F266" s="53">
        <f>ak!$M$33</f>
        <v>83</v>
      </c>
      <c r="G266" s="53">
        <f>ak!$S$33</f>
        <v>85</v>
      </c>
      <c r="H266" s="53">
        <f>ak!$Y$33</f>
        <v>75</v>
      </c>
      <c r="I266" s="53">
        <f>ak!$AC$33</f>
        <v>80</v>
      </c>
      <c r="J266" s="59"/>
      <c r="K266" s="54">
        <f>ak!$AI$33</f>
        <v>76</v>
      </c>
      <c r="L266" s="55"/>
      <c r="M266" s="53">
        <f>ak!$AO$33</f>
        <v>76</v>
      </c>
      <c r="N266" s="53">
        <f>ak!$AU$33</f>
        <v>80</v>
      </c>
      <c r="O266" s="59"/>
      <c r="P266" s="55"/>
      <c r="Q266" s="55"/>
      <c r="R266" s="54">
        <f>ak!$BU$33</f>
        <v>82.25</v>
      </c>
      <c r="S266" s="54">
        <f>ak!$BY$33</f>
        <v>82</v>
      </c>
      <c r="T266" s="55"/>
      <c r="U266" s="54">
        <f>ak!$CD$33</f>
        <v>78</v>
      </c>
      <c r="V266" s="58"/>
      <c r="X266" s="278">
        <v>33</v>
      </c>
    </row>
    <row r="267" spans="1:24" ht="15" thickBot="1">
      <c r="A267" s="268">
        <v>29</v>
      </c>
      <c r="B267" s="271"/>
      <c r="C267" s="274"/>
      <c r="D267" s="62" t="s">
        <v>297</v>
      </c>
      <c r="E267" s="53">
        <f>ak!$H$33</f>
        <v>83</v>
      </c>
      <c r="F267" s="53">
        <f>ak!$N$33</f>
        <v>85</v>
      </c>
      <c r="G267" s="53">
        <f>ak!$T$33</f>
        <v>93</v>
      </c>
      <c r="H267" s="53">
        <f>ak!$Z$33</f>
        <v>85</v>
      </c>
      <c r="I267" s="53">
        <f>ak!$AD$33</f>
        <v>85</v>
      </c>
      <c r="J267" s="59"/>
      <c r="K267" s="54">
        <f>ak!$AJ$33</f>
        <v>85</v>
      </c>
      <c r="L267" s="55"/>
      <c r="M267" s="53">
        <f>ak!$AP$33</f>
        <v>83</v>
      </c>
      <c r="N267" s="53">
        <f>ak!$AV$33</f>
        <v>81</v>
      </c>
      <c r="O267" s="59"/>
      <c r="P267" s="55"/>
      <c r="Q267" s="55"/>
      <c r="R267" s="54">
        <f>ak!$BV$33</f>
        <v>85.25</v>
      </c>
      <c r="S267" s="54">
        <f>ak!$BZ$33</f>
        <v>85</v>
      </c>
      <c r="T267" s="63"/>
      <c r="U267" s="54">
        <f>ak!$CE$33</f>
        <v>91</v>
      </c>
      <c r="V267" s="58"/>
      <c r="X267" s="278">
        <v>33</v>
      </c>
    </row>
    <row r="268" spans="1:24">
      <c r="A268" s="268">
        <v>29</v>
      </c>
      <c r="B268" s="271"/>
      <c r="C268" s="274"/>
      <c r="D268" s="62" t="s">
        <v>298</v>
      </c>
      <c r="E268" s="53">
        <f>ak!$I$33</f>
        <v>93</v>
      </c>
      <c r="F268" s="53">
        <f>ak!$O$33</f>
        <v>86</v>
      </c>
      <c r="G268" s="53">
        <f>ak!$U$33</f>
        <v>91</v>
      </c>
      <c r="H268" s="65"/>
      <c r="I268" s="65"/>
      <c r="J268" s="59"/>
      <c r="K268" s="59"/>
      <c r="L268" s="53">
        <f>ak!$AK$33</f>
        <v>88</v>
      </c>
      <c r="M268" s="53">
        <f>ak!$AQ$33</f>
        <v>86</v>
      </c>
      <c r="N268" s="53">
        <f>ak!$AW$33</f>
        <v>83</v>
      </c>
      <c r="O268" s="59"/>
      <c r="P268" s="55"/>
      <c r="Q268" s="55"/>
      <c r="R268" s="54">
        <f>ak!$BW$33</f>
        <v>86</v>
      </c>
      <c r="S268" s="54">
        <f>ak!$CA$33</f>
        <v>84</v>
      </c>
      <c r="T268" s="54"/>
      <c r="U268" s="54">
        <f>ak!$CF$33</f>
        <v>95</v>
      </c>
      <c r="V268" s="58"/>
      <c r="X268" s="278">
        <v>33</v>
      </c>
    </row>
    <row r="269" spans="1:24">
      <c r="A269" s="268">
        <v>29</v>
      </c>
      <c r="B269" s="271"/>
      <c r="C269" s="274"/>
      <c r="D269" s="66" t="s">
        <v>299</v>
      </c>
      <c r="E269" s="67">
        <f t="shared" ref="E269:G269" si="332">AVERAGE(E264:E268)</f>
        <v>90</v>
      </c>
      <c r="F269" s="67">
        <f t="shared" si="332"/>
        <v>85.4</v>
      </c>
      <c r="G269" s="67">
        <f t="shared" si="332"/>
        <v>90.2</v>
      </c>
      <c r="H269" s="68"/>
      <c r="I269" s="68"/>
      <c r="J269" s="69"/>
      <c r="K269" s="69"/>
      <c r="L269" s="67">
        <f t="shared" ref="L269:N269" si="333">AVERAGE(L264:L268)</f>
        <v>88</v>
      </c>
      <c r="M269" s="67">
        <f t="shared" si="333"/>
        <v>81</v>
      </c>
      <c r="N269" s="67">
        <f t="shared" si="333"/>
        <v>81.8</v>
      </c>
      <c r="O269" s="69"/>
      <c r="P269" s="63"/>
      <c r="Q269" s="63"/>
      <c r="R269" s="84">
        <f t="shared" ref="R269:S269" si="334">AVERAGE(R266:R268)</f>
        <v>84.5</v>
      </c>
      <c r="S269" s="84">
        <f t="shared" si="334"/>
        <v>83.666666666666671</v>
      </c>
      <c r="T269" s="63"/>
      <c r="U269" s="84">
        <f t="shared" ref="U269" si="335">AVERAGE(U264:U268)</f>
        <v>88</v>
      </c>
      <c r="V269" s="58"/>
      <c r="X269" s="278">
        <v>33</v>
      </c>
    </row>
    <row r="270" spans="1:24">
      <c r="A270" s="268">
        <v>29</v>
      </c>
      <c r="B270" s="271"/>
      <c r="C270" s="274"/>
      <c r="D270" s="70" t="s">
        <v>300</v>
      </c>
      <c r="E270" s="71">
        <f>ak!$J$33</f>
        <v>94</v>
      </c>
      <c r="F270" s="71">
        <f>ak!$P$33</f>
        <v>90</v>
      </c>
      <c r="G270" s="71">
        <f>ak!$V$33</f>
        <v>90</v>
      </c>
      <c r="H270" s="72"/>
      <c r="I270" s="72"/>
      <c r="J270" s="73"/>
      <c r="K270" s="73"/>
      <c r="L270" s="71">
        <f>ak!$AL$33</f>
        <v>90</v>
      </c>
      <c r="M270" s="71">
        <f>ak!$AR$33</f>
        <v>93</v>
      </c>
      <c r="N270" s="71">
        <f>ak!$AX$33</f>
        <v>93</v>
      </c>
      <c r="O270" s="73"/>
      <c r="P270" s="74"/>
      <c r="Q270" s="74"/>
      <c r="R270" s="85">
        <f>ak!$BX$33</f>
        <v>93</v>
      </c>
      <c r="S270" s="85">
        <f>ak!$BX$33</f>
        <v>93</v>
      </c>
      <c r="T270" s="85">
        <f>ak!$CC$33</f>
        <v>92</v>
      </c>
      <c r="U270" s="75">
        <f>ak!$CG$33</f>
        <v>93</v>
      </c>
      <c r="V270" s="58"/>
      <c r="X270" s="278">
        <v>33</v>
      </c>
    </row>
    <row r="271" spans="1:24">
      <c r="A271" s="268">
        <v>29</v>
      </c>
      <c r="B271" s="271"/>
      <c r="C271" s="274"/>
      <c r="D271" s="76" t="s">
        <v>301</v>
      </c>
      <c r="E271" s="77">
        <f>ak!$CH$33</f>
        <v>89</v>
      </c>
      <c r="F271" s="77">
        <f>ak!$CI$33</f>
        <v>95</v>
      </c>
      <c r="G271" s="77">
        <f>ak!$CJ$33</f>
        <v>88</v>
      </c>
      <c r="H271" s="72"/>
      <c r="I271" s="72"/>
      <c r="J271" s="73"/>
      <c r="K271" s="73"/>
      <c r="L271" s="77">
        <f>ak!$CK$33</f>
        <v>82</v>
      </c>
      <c r="M271" s="77">
        <f>ak!$CL$33</f>
        <v>87</v>
      </c>
      <c r="N271" s="77">
        <f>ak!$CM$33</f>
        <v>83</v>
      </c>
      <c r="O271" s="73"/>
      <c r="P271" s="74"/>
      <c r="Q271" s="74"/>
      <c r="R271" s="86">
        <f>ak!$CP$33</f>
        <v>82</v>
      </c>
      <c r="S271" s="86">
        <f>ak!$CO$33</f>
        <v>88</v>
      </c>
      <c r="T271" s="74"/>
      <c r="U271" s="86">
        <f>ak!$CN$33</f>
        <v>93</v>
      </c>
      <c r="V271" s="58"/>
      <c r="X271" s="278">
        <v>33</v>
      </c>
    </row>
    <row r="272" spans="1:24" ht="15" thickBot="1">
      <c r="A272" s="269">
        <v>29</v>
      </c>
      <c r="B272" s="272"/>
      <c r="C272" s="275"/>
      <c r="D272" s="78" t="s">
        <v>302</v>
      </c>
      <c r="E272" s="79">
        <f t="shared" ref="E272:G272" si="336">(E269*4+E270*3+E271*3)/10</f>
        <v>90.9</v>
      </c>
      <c r="F272" s="79">
        <f t="shared" si="336"/>
        <v>89.66</v>
      </c>
      <c r="G272" s="79">
        <f t="shared" si="336"/>
        <v>89.47999999999999</v>
      </c>
      <c r="H272" s="79">
        <f t="shared" ref="H272:I272" si="337">AVERAGE(H264:H267)</f>
        <v>81.75</v>
      </c>
      <c r="I272" s="79">
        <f t="shared" si="337"/>
        <v>82</v>
      </c>
      <c r="J272" s="79">
        <f t="shared" ref="J272" si="338">AVERAGE(J264:J265)</f>
        <v>86.5</v>
      </c>
      <c r="K272" s="79">
        <f t="shared" ref="K272" si="339">AVERAGE(K264:K267)</f>
        <v>82</v>
      </c>
      <c r="L272" s="79">
        <f t="shared" ref="L272:N272" si="340">(L269*4+L270*3+L271*3)/10</f>
        <v>86.8</v>
      </c>
      <c r="M272" s="79">
        <f t="shared" si="340"/>
        <v>86.4</v>
      </c>
      <c r="N272" s="79">
        <f t="shared" si="340"/>
        <v>85.52000000000001</v>
      </c>
      <c r="O272" s="79">
        <f t="shared" ref="O272:Q272" si="341">AVERAGE(O264:O265)</f>
        <v>80</v>
      </c>
      <c r="P272" s="79">
        <f t="shared" si="341"/>
        <v>86.5</v>
      </c>
      <c r="Q272" s="79">
        <f t="shared" si="341"/>
        <v>85</v>
      </c>
      <c r="R272" s="79">
        <f t="shared" ref="R272:S272" si="342">(R269*4+R270*3+R271*3)/10</f>
        <v>86.3</v>
      </c>
      <c r="S272" s="79">
        <f t="shared" si="342"/>
        <v>87.76666666666668</v>
      </c>
      <c r="T272" s="79">
        <f t="shared" ref="T272" si="343">T270</f>
        <v>92</v>
      </c>
      <c r="U272" s="79">
        <f t="shared" ref="U272" si="344">(U269*4+U270*3+U271*3)/10</f>
        <v>91</v>
      </c>
      <c r="V272" s="80">
        <f>AVERAGE(E272:U272)</f>
        <v>86.445686274509782</v>
      </c>
      <c r="X272" s="278">
        <v>33</v>
      </c>
    </row>
    <row r="273" spans="1:24" ht="15.6" thickTop="1" thickBot="1">
      <c r="A273" s="268">
        <v>30</v>
      </c>
      <c r="B273" s="270" t="s">
        <v>608</v>
      </c>
      <c r="C273" s="273" t="s">
        <v>609</v>
      </c>
      <c r="D273" s="52" t="s">
        <v>294</v>
      </c>
      <c r="E273" s="53">
        <f>ak!$E$34</f>
        <v>82</v>
      </c>
      <c r="F273" s="53">
        <f>ak!$K$34</f>
        <v>81</v>
      </c>
      <c r="G273" s="53">
        <f>ak!$Q$34</f>
        <v>86</v>
      </c>
      <c r="H273" s="53">
        <f>ak!$W$34</f>
        <v>80</v>
      </c>
      <c r="I273" s="53">
        <f>ak!$AA$34</f>
        <v>80</v>
      </c>
      <c r="J273" s="53">
        <f>ak!$AE$34</f>
        <v>81</v>
      </c>
      <c r="K273" s="54">
        <f>ak!$AG$34</f>
        <v>81</v>
      </c>
      <c r="L273" s="55"/>
      <c r="M273" s="53">
        <f>ak!$AM$34</f>
        <v>78</v>
      </c>
      <c r="N273" s="53">
        <f>ak!$AS$34</f>
        <v>75</v>
      </c>
      <c r="O273" s="53">
        <f>ak!$AY$34</f>
        <v>77</v>
      </c>
      <c r="P273" s="54">
        <f>ak!$BA$34</f>
        <v>80</v>
      </c>
      <c r="Q273" s="54">
        <f>ak!$BC$34</f>
        <v>82</v>
      </c>
      <c r="R273" s="55"/>
      <c r="S273" s="55"/>
      <c r="T273" s="55"/>
      <c r="U273" s="55"/>
      <c r="V273" s="56"/>
      <c r="X273" s="278">
        <v>34</v>
      </c>
    </row>
    <row r="274" spans="1:24" ht="15" thickBot="1">
      <c r="A274" s="268">
        <v>30</v>
      </c>
      <c r="B274" s="271"/>
      <c r="C274" s="274"/>
      <c r="D274" s="52" t="s">
        <v>295</v>
      </c>
      <c r="E274" s="53">
        <f>ak!$F$34</f>
        <v>84</v>
      </c>
      <c r="F274" s="53">
        <f>ak!$L$34</f>
        <v>82</v>
      </c>
      <c r="G274" s="53">
        <f>ak!$R$34</f>
        <v>82</v>
      </c>
      <c r="H274" s="53">
        <f>ak!$X$34</f>
        <v>84</v>
      </c>
      <c r="I274" s="53">
        <f>ak!$AB$34</f>
        <v>88</v>
      </c>
      <c r="J274" s="53">
        <f>ak!$AF$34</f>
        <v>91</v>
      </c>
      <c r="K274" s="54">
        <f>ak!$AH$34</f>
        <v>86</v>
      </c>
      <c r="L274" s="55"/>
      <c r="M274" s="53">
        <f>ak!$AN$34</f>
        <v>81</v>
      </c>
      <c r="N274" s="53">
        <f>ak!$AT$34</f>
        <v>77</v>
      </c>
      <c r="O274" s="53">
        <f>ak!$AZ$34</f>
        <v>82</v>
      </c>
      <c r="P274" s="54">
        <f>ak!$BB$34</f>
        <v>83</v>
      </c>
      <c r="Q274" s="54">
        <f>ak!$BD$34</f>
        <v>84</v>
      </c>
      <c r="R274" s="55"/>
      <c r="S274" s="55"/>
      <c r="T274" s="55"/>
      <c r="U274" s="55"/>
      <c r="V274" s="58"/>
      <c r="X274" s="278">
        <v>34</v>
      </c>
    </row>
    <row r="275" spans="1:24" ht="15" thickBot="1">
      <c r="A275" s="268">
        <v>30</v>
      </c>
      <c r="B275" s="271"/>
      <c r="C275" s="274"/>
      <c r="D275" s="52" t="s">
        <v>296</v>
      </c>
      <c r="E275" s="53">
        <f>ak!$G$34</f>
        <v>90</v>
      </c>
      <c r="F275" s="53">
        <f>ak!$M$34</f>
        <v>89</v>
      </c>
      <c r="G275" s="53">
        <f>ak!$S$34</f>
        <v>89</v>
      </c>
      <c r="H275" s="53">
        <f>ak!$Y$34</f>
        <v>81</v>
      </c>
      <c r="I275" s="53">
        <f>ak!$AC$34</f>
        <v>83</v>
      </c>
      <c r="J275" s="59"/>
      <c r="K275" s="54">
        <f>ak!$AI$34</f>
        <v>76</v>
      </c>
      <c r="L275" s="55"/>
      <c r="M275" s="53">
        <f>ak!$AO$34</f>
        <v>82</v>
      </c>
      <c r="N275" s="53">
        <f>ak!$AU$34</f>
        <v>76</v>
      </c>
      <c r="O275" s="59"/>
      <c r="P275" s="55"/>
      <c r="Q275" s="55"/>
      <c r="R275" s="54">
        <f>ak!$BU$34</f>
        <v>83.5</v>
      </c>
      <c r="S275" s="54">
        <f>ak!$BY$34</f>
        <v>85</v>
      </c>
      <c r="T275" s="55"/>
      <c r="U275" s="54">
        <f>ak!$CD$34</f>
        <v>76</v>
      </c>
      <c r="V275" s="58"/>
      <c r="X275" s="278">
        <v>34</v>
      </c>
    </row>
    <row r="276" spans="1:24" ht="15" thickBot="1">
      <c r="A276" s="268">
        <v>30</v>
      </c>
      <c r="B276" s="271"/>
      <c r="C276" s="274"/>
      <c r="D276" s="62" t="s">
        <v>297</v>
      </c>
      <c r="E276" s="53">
        <f>ak!$H$34</f>
        <v>88</v>
      </c>
      <c r="F276" s="53">
        <f>ak!$N$34</f>
        <v>87</v>
      </c>
      <c r="G276" s="53">
        <f>ak!$T$34</f>
        <v>90</v>
      </c>
      <c r="H276" s="53">
        <f>ak!$Z$34</f>
        <v>85</v>
      </c>
      <c r="I276" s="53">
        <f>ak!$AD$34</f>
        <v>84</v>
      </c>
      <c r="J276" s="59"/>
      <c r="K276" s="54">
        <f>ak!$AJ$34</f>
        <v>84</v>
      </c>
      <c r="L276" s="55"/>
      <c r="M276" s="53">
        <f>ak!$AP$34</f>
        <v>83</v>
      </c>
      <c r="N276" s="53">
        <f>ak!$AV$34</f>
        <v>78</v>
      </c>
      <c r="O276" s="59"/>
      <c r="P276" s="55"/>
      <c r="Q276" s="55"/>
      <c r="R276" s="54">
        <f>ak!$BV$34</f>
        <v>85</v>
      </c>
      <c r="S276" s="54">
        <f>ak!$BZ$34</f>
        <v>86</v>
      </c>
      <c r="T276" s="63"/>
      <c r="U276" s="54">
        <f>ak!$CE$34</f>
        <v>88</v>
      </c>
      <c r="V276" s="58"/>
      <c r="X276" s="278">
        <v>34</v>
      </c>
    </row>
    <row r="277" spans="1:24">
      <c r="A277" s="268">
        <v>30</v>
      </c>
      <c r="B277" s="271"/>
      <c r="C277" s="274"/>
      <c r="D277" s="62" t="s">
        <v>298</v>
      </c>
      <c r="E277" s="53">
        <f>ak!$I$34</f>
        <v>84</v>
      </c>
      <c r="F277" s="53">
        <f>ak!$O$34</f>
        <v>88</v>
      </c>
      <c r="G277" s="53">
        <f>ak!$U$34</f>
        <v>77</v>
      </c>
      <c r="H277" s="65"/>
      <c r="I277" s="65"/>
      <c r="J277" s="59"/>
      <c r="K277" s="59"/>
      <c r="L277" s="53">
        <f>ak!$AK$34</f>
        <v>83</v>
      </c>
      <c r="M277" s="53">
        <f>ak!$AQ$34</f>
        <v>82</v>
      </c>
      <c r="N277" s="53">
        <f>ak!$AW$34</f>
        <v>85</v>
      </c>
      <c r="O277" s="59"/>
      <c r="P277" s="55"/>
      <c r="Q277" s="55"/>
      <c r="R277" s="54">
        <f>ak!$BW$34</f>
        <v>82</v>
      </c>
      <c r="S277" s="54">
        <f>ak!$CA$34</f>
        <v>82</v>
      </c>
      <c r="T277" s="54"/>
      <c r="U277" s="54">
        <f>ak!$CF$34</f>
        <v>92</v>
      </c>
      <c r="V277" s="58"/>
      <c r="X277" s="278">
        <v>34</v>
      </c>
    </row>
    <row r="278" spans="1:24">
      <c r="A278" s="268">
        <v>30</v>
      </c>
      <c r="B278" s="271"/>
      <c r="C278" s="274"/>
      <c r="D278" s="66" t="s">
        <v>299</v>
      </c>
      <c r="E278" s="67">
        <f t="shared" ref="E278:G278" si="345">AVERAGE(E273:E277)</f>
        <v>85.6</v>
      </c>
      <c r="F278" s="67">
        <f t="shared" si="345"/>
        <v>85.4</v>
      </c>
      <c r="G278" s="67">
        <f t="shared" si="345"/>
        <v>84.8</v>
      </c>
      <c r="H278" s="68"/>
      <c r="I278" s="68"/>
      <c r="J278" s="69"/>
      <c r="K278" s="69"/>
      <c r="L278" s="67">
        <f t="shared" ref="L278:N278" si="346">AVERAGE(L273:L277)</f>
        <v>83</v>
      </c>
      <c r="M278" s="67">
        <f t="shared" si="346"/>
        <v>81.2</v>
      </c>
      <c r="N278" s="67">
        <f t="shared" si="346"/>
        <v>78.2</v>
      </c>
      <c r="O278" s="69"/>
      <c r="P278" s="63"/>
      <c r="Q278" s="63"/>
      <c r="R278" s="84">
        <f t="shared" ref="R278:S278" si="347">AVERAGE(R275:R277)</f>
        <v>83.5</v>
      </c>
      <c r="S278" s="84">
        <f t="shared" si="347"/>
        <v>84.333333333333329</v>
      </c>
      <c r="T278" s="63"/>
      <c r="U278" s="84">
        <f t="shared" ref="U278" si="348">AVERAGE(U273:U277)</f>
        <v>85.333333333333329</v>
      </c>
      <c r="V278" s="58"/>
      <c r="X278" s="278">
        <v>34</v>
      </c>
    </row>
    <row r="279" spans="1:24">
      <c r="A279" s="268">
        <v>30</v>
      </c>
      <c r="B279" s="271"/>
      <c r="C279" s="274"/>
      <c r="D279" s="70" t="s">
        <v>300</v>
      </c>
      <c r="E279" s="71">
        <f>ak!$J$34</f>
        <v>85</v>
      </c>
      <c r="F279" s="71">
        <f>ak!$P$34</f>
        <v>90</v>
      </c>
      <c r="G279" s="71">
        <f>ak!$V$34</f>
        <v>82</v>
      </c>
      <c r="H279" s="72"/>
      <c r="I279" s="72"/>
      <c r="J279" s="73"/>
      <c r="K279" s="73"/>
      <c r="L279" s="71">
        <f>ak!$AL$34</f>
        <v>82</v>
      </c>
      <c r="M279" s="71">
        <f>ak!$AR$34</f>
        <v>80</v>
      </c>
      <c r="N279" s="71">
        <f>ak!$AX$34</f>
        <v>80</v>
      </c>
      <c r="O279" s="73"/>
      <c r="P279" s="74"/>
      <c r="Q279" s="74"/>
      <c r="R279" s="85">
        <f>ak!$BX$34</f>
        <v>80</v>
      </c>
      <c r="S279" s="85">
        <f>ak!$BX$34</f>
        <v>80</v>
      </c>
      <c r="T279" s="85">
        <f>ak!$CC$34</f>
        <v>83</v>
      </c>
      <c r="U279" s="75">
        <f>ak!$CG$34</f>
        <v>80</v>
      </c>
      <c r="V279" s="58"/>
      <c r="X279" s="278">
        <v>34</v>
      </c>
    </row>
    <row r="280" spans="1:24">
      <c r="A280" s="268">
        <v>30</v>
      </c>
      <c r="B280" s="271"/>
      <c r="C280" s="274"/>
      <c r="D280" s="76" t="s">
        <v>301</v>
      </c>
      <c r="E280" s="77">
        <f>ak!$CH$34</f>
        <v>82</v>
      </c>
      <c r="F280" s="77">
        <f>ak!$CI$34</f>
        <v>80</v>
      </c>
      <c r="G280" s="77">
        <f>ak!$CJ$34</f>
        <v>80</v>
      </c>
      <c r="H280" s="72"/>
      <c r="I280" s="72"/>
      <c r="J280" s="73"/>
      <c r="K280" s="73"/>
      <c r="L280" s="77">
        <f>ak!$CK$34</f>
        <v>90</v>
      </c>
      <c r="M280" s="77">
        <f>ak!$CL$34</f>
        <v>82</v>
      </c>
      <c r="N280" s="77">
        <f>ak!$CM$34</f>
        <v>81</v>
      </c>
      <c r="O280" s="73"/>
      <c r="P280" s="74"/>
      <c r="Q280" s="74"/>
      <c r="R280" s="86">
        <f>ak!$CP$34</f>
        <v>75</v>
      </c>
      <c r="S280" s="86">
        <f>ak!$CO$34</f>
        <v>89</v>
      </c>
      <c r="T280" s="74"/>
      <c r="U280" s="86">
        <f>ak!$CN$34</f>
        <v>84</v>
      </c>
      <c r="V280" s="58"/>
      <c r="X280" s="278">
        <v>34</v>
      </c>
    </row>
    <row r="281" spans="1:24" ht="15" thickBot="1">
      <c r="A281" s="269">
        <v>30</v>
      </c>
      <c r="B281" s="272"/>
      <c r="C281" s="275"/>
      <c r="D281" s="78" t="s">
        <v>302</v>
      </c>
      <c r="E281" s="79">
        <f t="shared" ref="E281:G281" si="349">(E278*4+E279*3+E280*3)/10</f>
        <v>84.34</v>
      </c>
      <c r="F281" s="79">
        <f t="shared" si="349"/>
        <v>85.16</v>
      </c>
      <c r="G281" s="79">
        <f t="shared" si="349"/>
        <v>82.52000000000001</v>
      </c>
      <c r="H281" s="79">
        <f t="shared" ref="H281:I281" si="350">AVERAGE(H273:H276)</f>
        <v>82.5</v>
      </c>
      <c r="I281" s="79">
        <f t="shared" si="350"/>
        <v>83.75</v>
      </c>
      <c r="J281" s="79">
        <f t="shared" ref="J281" si="351">AVERAGE(J273:J274)</f>
        <v>86</v>
      </c>
      <c r="K281" s="79">
        <f t="shared" ref="K281" si="352">AVERAGE(K273:K276)</f>
        <v>81.75</v>
      </c>
      <c r="L281" s="79">
        <f t="shared" ref="L281:N281" si="353">(L278*4+L279*3+L280*3)/10</f>
        <v>84.8</v>
      </c>
      <c r="M281" s="79">
        <f t="shared" si="353"/>
        <v>81.08</v>
      </c>
      <c r="N281" s="79">
        <f t="shared" si="353"/>
        <v>79.58</v>
      </c>
      <c r="O281" s="79">
        <f t="shared" ref="O281:Q281" si="354">AVERAGE(O273:O274)</f>
        <v>79.5</v>
      </c>
      <c r="P281" s="79">
        <f t="shared" si="354"/>
        <v>81.5</v>
      </c>
      <c r="Q281" s="79">
        <f t="shared" si="354"/>
        <v>83</v>
      </c>
      <c r="R281" s="79">
        <f t="shared" ref="R281:S281" si="355">(R278*4+R279*3+R280*3)/10</f>
        <v>79.900000000000006</v>
      </c>
      <c r="S281" s="79">
        <f t="shared" si="355"/>
        <v>84.433333333333323</v>
      </c>
      <c r="T281" s="79">
        <f t="shared" ref="T281" si="356">T279</f>
        <v>83</v>
      </c>
      <c r="U281" s="79">
        <f t="shared" ref="U281" si="357">(U278*4+U279*3+U280*3)/10</f>
        <v>83.333333333333329</v>
      </c>
      <c r="V281" s="80">
        <f>AVERAGE(E281:U281)</f>
        <v>82.714509803921572</v>
      </c>
      <c r="X281" s="278">
        <v>34</v>
      </c>
    </row>
    <row r="282" spans="1:24" ht="18" customHeight="1" thickTop="1" thickBot="1">
      <c r="A282" s="268">
        <v>31</v>
      </c>
      <c r="B282" s="270" t="s">
        <v>610</v>
      </c>
      <c r="C282" s="273" t="s">
        <v>611</v>
      </c>
      <c r="D282" s="52" t="s">
        <v>294</v>
      </c>
      <c r="E282" s="53">
        <f>ak!$E$35</f>
        <v>80</v>
      </c>
      <c r="F282" s="53">
        <f>ak!$K$35</f>
        <v>80</v>
      </c>
      <c r="G282" s="53">
        <f>ak!$Q$35</f>
        <v>82</v>
      </c>
      <c r="H282" s="53">
        <f>ak!$W$35</f>
        <v>83</v>
      </c>
      <c r="I282" s="53">
        <f>ak!$AA$35</f>
        <v>77</v>
      </c>
      <c r="J282" s="53">
        <f>ak!$AE$35</f>
        <v>81</v>
      </c>
      <c r="K282" s="54">
        <f>ak!$AG$35</f>
        <v>81</v>
      </c>
      <c r="L282" s="55"/>
      <c r="M282" s="53">
        <f>ak!$AM$35</f>
        <v>74</v>
      </c>
      <c r="N282" s="53">
        <f>ak!$AS$35</f>
        <v>71</v>
      </c>
      <c r="O282" s="53">
        <f>ak!$AY$35</f>
        <v>77</v>
      </c>
      <c r="P282" s="54">
        <f>ak!$BA$35</f>
        <v>78</v>
      </c>
      <c r="Q282" s="54">
        <f>ak!$BC$35</f>
        <v>82</v>
      </c>
      <c r="R282" s="55"/>
      <c r="S282" s="55"/>
      <c r="T282" s="55"/>
      <c r="U282" s="55"/>
      <c r="V282" s="56"/>
      <c r="X282" s="278">
        <v>35</v>
      </c>
    </row>
    <row r="283" spans="1:24" ht="15" thickBot="1">
      <c r="A283" s="268">
        <v>31</v>
      </c>
      <c r="B283" s="271"/>
      <c r="C283" s="274"/>
      <c r="D283" s="52" t="s">
        <v>295</v>
      </c>
      <c r="E283" s="53">
        <f>ak!$F$35</f>
        <v>80</v>
      </c>
      <c r="F283" s="53">
        <f>ak!$L$35</f>
        <v>84</v>
      </c>
      <c r="G283" s="53">
        <f>ak!$R$35</f>
        <v>84</v>
      </c>
      <c r="H283" s="53">
        <f>ak!$X$35</f>
        <v>84</v>
      </c>
      <c r="I283" s="53">
        <f>ak!$AB$35</f>
        <v>80</v>
      </c>
      <c r="J283" s="53">
        <f>ak!$AF$35</f>
        <v>86</v>
      </c>
      <c r="K283" s="54">
        <f>ak!$AH$35</f>
        <v>85</v>
      </c>
      <c r="L283" s="55"/>
      <c r="M283" s="53">
        <f>ak!$AN$35</f>
        <v>76</v>
      </c>
      <c r="N283" s="53">
        <f>ak!$AT$35</f>
        <v>73</v>
      </c>
      <c r="O283" s="53">
        <f>ak!$AZ$35</f>
        <v>80</v>
      </c>
      <c r="P283" s="54">
        <f>ak!$BB$35</f>
        <v>84</v>
      </c>
      <c r="Q283" s="54">
        <f>ak!$BD$35</f>
        <v>84</v>
      </c>
      <c r="R283" s="55"/>
      <c r="S283" s="55"/>
      <c r="T283" s="55"/>
      <c r="U283" s="55"/>
      <c r="V283" s="58"/>
      <c r="X283" s="278">
        <v>35</v>
      </c>
    </row>
    <row r="284" spans="1:24" ht="15" thickBot="1">
      <c r="A284" s="268">
        <v>31</v>
      </c>
      <c r="B284" s="271"/>
      <c r="C284" s="274"/>
      <c r="D284" s="52" t="s">
        <v>296</v>
      </c>
      <c r="E284" s="53">
        <f>ak!$G$35</f>
        <v>89</v>
      </c>
      <c r="F284" s="53">
        <f>ak!$M$35</f>
        <v>75</v>
      </c>
      <c r="G284" s="53">
        <f>ak!$S$35</f>
        <v>75</v>
      </c>
      <c r="H284" s="53">
        <f>ak!$Y$35</f>
        <v>82</v>
      </c>
      <c r="I284" s="53">
        <f>ak!$AC$35</f>
        <v>83</v>
      </c>
      <c r="J284" s="59"/>
      <c r="K284" s="54">
        <f>ak!$AI$35</f>
        <v>70</v>
      </c>
      <c r="L284" s="55"/>
      <c r="M284" s="53">
        <f>ak!$AO$35</f>
        <v>74</v>
      </c>
      <c r="N284" s="53">
        <f>ak!$AU$35</f>
        <v>72</v>
      </c>
      <c r="O284" s="59"/>
      <c r="P284" s="55"/>
      <c r="Q284" s="55"/>
      <c r="R284" s="54">
        <f>ak!$BU$35</f>
        <v>82.75</v>
      </c>
      <c r="S284" s="54">
        <f>ak!$BY$35</f>
        <v>84</v>
      </c>
      <c r="T284" s="55"/>
      <c r="U284" s="54">
        <f>ak!$CD$35</f>
        <v>73</v>
      </c>
      <c r="V284" s="58"/>
      <c r="X284" s="278">
        <v>35</v>
      </c>
    </row>
    <row r="285" spans="1:24" ht="15" thickBot="1">
      <c r="A285" s="268">
        <v>31</v>
      </c>
      <c r="B285" s="271"/>
      <c r="C285" s="274"/>
      <c r="D285" s="62" t="s">
        <v>297</v>
      </c>
      <c r="E285" s="53">
        <f>ak!$H$35</f>
        <v>83</v>
      </c>
      <c r="F285" s="53">
        <f>ak!$N$35</f>
        <v>75</v>
      </c>
      <c r="G285" s="53">
        <f>ak!$T$35</f>
        <v>77</v>
      </c>
      <c r="H285" s="53">
        <f>ak!$Z$35</f>
        <v>86</v>
      </c>
      <c r="I285" s="53">
        <f>ak!$AD$35</f>
        <v>83</v>
      </c>
      <c r="J285" s="59"/>
      <c r="K285" s="54">
        <f>ak!$AJ$35</f>
        <v>83</v>
      </c>
      <c r="L285" s="55"/>
      <c r="M285" s="53">
        <f>ak!$AP$35</f>
        <v>75</v>
      </c>
      <c r="N285" s="53">
        <f>ak!$AV$35</f>
        <v>77</v>
      </c>
      <c r="O285" s="59"/>
      <c r="P285" s="55"/>
      <c r="Q285" s="55"/>
      <c r="R285" s="54">
        <f>ak!$BV$35</f>
        <v>83.25</v>
      </c>
      <c r="S285" s="54">
        <f>ak!$BZ$35</f>
        <v>84</v>
      </c>
      <c r="T285" s="63"/>
      <c r="U285" s="54">
        <f>ak!$CE$35</f>
        <v>83</v>
      </c>
      <c r="V285" s="58"/>
      <c r="X285" s="278">
        <v>35</v>
      </c>
    </row>
    <row r="286" spans="1:24">
      <c r="A286" s="268">
        <v>31</v>
      </c>
      <c r="B286" s="271"/>
      <c r="C286" s="274"/>
      <c r="D286" s="62" t="s">
        <v>298</v>
      </c>
      <c r="E286" s="53">
        <f>ak!$I$35</f>
        <v>84</v>
      </c>
      <c r="F286" s="53">
        <f>ak!$O$35</f>
        <v>81</v>
      </c>
      <c r="G286" s="53">
        <f>ak!$U$35</f>
        <v>77</v>
      </c>
      <c r="H286" s="65"/>
      <c r="I286" s="65"/>
      <c r="J286" s="59"/>
      <c r="K286" s="59"/>
      <c r="L286" s="53">
        <f>ak!$AK$35</f>
        <v>80</v>
      </c>
      <c r="M286" s="53">
        <f>ak!$AQ$35</f>
        <v>79</v>
      </c>
      <c r="N286" s="53">
        <f>ak!$AW$35</f>
        <v>75</v>
      </c>
      <c r="O286" s="59"/>
      <c r="P286" s="55"/>
      <c r="Q286" s="55"/>
      <c r="R286" s="54">
        <f>ak!$BW$35</f>
        <v>81.5</v>
      </c>
      <c r="S286" s="54">
        <f>ak!$CA$35</f>
        <v>81</v>
      </c>
      <c r="T286" s="54"/>
      <c r="U286" s="54">
        <f>ak!$CF$35</f>
        <v>80</v>
      </c>
      <c r="V286" s="58"/>
      <c r="X286" s="278">
        <v>35</v>
      </c>
    </row>
    <row r="287" spans="1:24">
      <c r="A287" s="268">
        <v>31</v>
      </c>
      <c r="B287" s="271"/>
      <c r="C287" s="274"/>
      <c r="D287" s="66" t="s">
        <v>299</v>
      </c>
      <c r="E287" s="67">
        <f t="shared" ref="E287:G287" si="358">AVERAGE(E282:E286)</f>
        <v>83.2</v>
      </c>
      <c r="F287" s="67">
        <f t="shared" si="358"/>
        <v>79</v>
      </c>
      <c r="G287" s="67">
        <f t="shared" si="358"/>
        <v>79</v>
      </c>
      <c r="H287" s="68"/>
      <c r="I287" s="68"/>
      <c r="J287" s="69"/>
      <c r="K287" s="69"/>
      <c r="L287" s="67">
        <f t="shared" ref="L287:N287" si="359">AVERAGE(L282:L286)</f>
        <v>80</v>
      </c>
      <c r="M287" s="67">
        <f t="shared" si="359"/>
        <v>75.599999999999994</v>
      </c>
      <c r="N287" s="67">
        <f t="shared" si="359"/>
        <v>73.599999999999994</v>
      </c>
      <c r="O287" s="69"/>
      <c r="P287" s="63"/>
      <c r="Q287" s="63"/>
      <c r="R287" s="84">
        <f t="shared" ref="R287:S287" si="360">AVERAGE(R284:R286)</f>
        <v>82.5</v>
      </c>
      <c r="S287" s="84">
        <f t="shared" si="360"/>
        <v>83</v>
      </c>
      <c r="T287" s="63"/>
      <c r="U287" s="84">
        <f t="shared" ref="U287" si="361">AVERAGE(U282:U286)</f>
        <v>78.666666666666671</v>
      </c>
      <c r="V287" s="58"/>
      <c r="X287" s="278">
        <v>35</v>
      </c>
    </row>
    <row r="288" spans="1:24">
      <c r="A288" s="268">
        <v>31</v>
      </c>
      <c r="B288" s="271"/>
      <c r="C288" s="274"/>
      <c r="D288" s="70" t="s">
        <v>300</v>
      </c>
      <c r="E288" s="71">
        <f>ak!$J$35</f>
        <v>85</v>
      </c>
      <c r="F288" s="71">
        <f>ak!$P$35</f>
        <v>80</v>
      </c>
      <c r="G288" s="71">
        <f>ak!$V$35</f>
        <v>81</v>
      </c>
      <c r="H288" s="72"/>
      <c r="I288" s="72"/>
      <c r="J288" s="73"/>
      <c r="K288" s="73"/>
      <c r="L288" s="71">
        <f>ak!$AL$35</f>
        <v>81</v>
      </c>
      <c r="M288" s="71">
        <f>ak!$AR$35</f>
        <v>80</v>
      </c>
      <c r="N288" s="71">
        <f>ak!$AX$35</f>
        <v>80</v>
      </c>
      <c r="O288" s="73"/>
      <c r="P288" s="74"/>
      <c r="Q288" s="74"/>
      <c r="R288" s="85">
        <f>ak!$BX$35</f>
        <v>80</v>
      </c>
      <c r="S288" s="85">
        <f>ak!$BX$35</f>
        <v>80</v>
      </c>
      <c r="T288" s="85">
        <f>ak!$CC$35</f>
        <v>81</v>
      </c>
      <c r="U288" s="75">
        <f>ak!$CG$35</f>
        <v>80</v>
      </c>
      <c r="V288" s="58"/>
      <c r="X288" s="278">
        <v>35</v>
      </c>
    </row>
    <row r="289" spans="1:24">
      <c r="A289" s="268">
        <v>31</v>
      </c>
      <c r="B289" s="271"/>
      <c r="C289" s="274"/>
      <c r="D289" s="76" t="s">
        <v>301</v>
      </c>
      <c r="E289" s="77">
        <f>ak!$CH$35</f>
        <v>81</v>
      </c>
      <c r="F289" s="77">
        <f>ak!$CI$35</f>
        <v>80</v>
      </c>
      <c r="G289" s="77">
        <f>ak!$CJ$35</f>
        <v>80</v>
      </c>
      <c r="H289" s="72"/>
      <c r="I289" s="72"/>
      <c r="J289" s="73"/>
      <c r="K289" s="73"/>
      <c r="L289" s="77">
        <f>ak!$CK$35</f>
        <v>70</v>
      </c>
      <c r="M289" s="77">
        <f>ak!$CL$35</f>
        <v>80</v>
      </c>
      <c r="N289" s="77">
        <f>ak!$CM$35</f>
        <v>83</v>
      </c>
      <c r="O289" s="73"/>
      <c r="P289" s="74"/>
      <c r="Q289" s="74"/>
      <c r="R289" s="86">
        <f>ak!$CP$35</f>
        <v>70</v>
      </c>
      <c r="S289" s="86">
        <f>ak!$CO$35</f>
        <v>84</v>
      </c>
      <c r="T289" s="74"/>
      <c r="U289" s="86">
        <f>ak!$CN$35</f>
        <v>81</v>
      </c>
      <c r="V289" s="58"/>
      <c r="X289" s="278">
        <v>35</v>
      </c>
    </row>
    <row r="290" spans="1:24" ht="15" thickBot="1">
      <c r="A290" s="269">
        <v>31</v>
      </c>
      <c r="B290" s="272"/>
      <c r="C290" s="275"/>
      <c r="D290" s="78" t="s">
        <v>302</v>
      </c>
      <c r="E290" s="79">
        <f t="shared" ref="E290:G290" si="362">(E287*4+E288*3+E289*3)/10</f>
        <v>83.08</v>
      </c>
      <c r="F290" s="79">
        <f t="shared" si="362"/>
        <v>79.599999999999994</v>
      </c>
      <c r="G290" s="79">
        <f t="shared" si="362"/>
        <v>79.900000000000006</v>
      </c>
      <c r="H290" s="79">
        <f t="shared" ref="H290:I290" si="363">AVERAGE(H282:H285)</f>
        <v>83.75</v>
      </c>
      <c r="I290" s="79">
        <f t="shared" si="363"/>
        <v>80.75</v>
      </c>
      <c r="J290" s="79">
        <f t="shared" ref="J290" si="364">AVERAGE(J282:J283)</f>
        <v>83.5</v>
      </c>
      <c r="K290" s="79">
        <f t="shared" ref="K290" si="365">AVERAGE(K282:K285)</f>
        <v>79.75</v>
      </c>
      <c r="L290" s="79">
        <f t="shared" ref="L290:N290" si="366">(L287*4+L288*3+L289*3)/10</f>
        <v>77.3</v>
      </c>
      <c r="M290" s="79">
        <f t="shared" si="366"/>
        <v>78.239999999999995</v>
      </c>
      <c r="N290" s="79">
        <f t="shared" si="366"/>
        <v>78.34</v>
      </c>
      <c r="O290" s="79">
        <f t="shared" ref="O290:Q290" si="367">AVERAGE(O282:O283)</f>
        <v>78.5</v>
      </c>
      <c r="P290" s="79">
        <f t="shared" si="367"/>
        <v>81</v>
      </c>
      <c r="Q290" s="79">
        <f t="shared" si="367"/>
        <v>83</v>
      </c>
      <c r="R290" s="79">
        <f t="shared" ref="R290:S290" si="368">(R287*4+R288*3+R289*3)/10</f>
        <v>78</v>
      </c>
      <c r="S290" s="79">
        <f t="shared" si="368"/>
        <v>82.4</v>
      </c>
      <c r="T290" s="79">
        <f t="shared" ref="T290" si="369">T288</f>
        <v>81</v>
      </c>
      <c r="U290" s="79">
        <f t="shared" ref="U290" si="370">(U287*4+U288*3+U289*3)/10</f>
        <v>79.76666666666668</v>
      </c>
      <c r="V290" s="80">
        <f>AVERAGE(E290:U290)</f>
        <v>80.463333333333338</v>
      </c>
      <c r="X290" s="278">
        <v>35</v>
      </c>
    </row>
    <row r="291" spans="1:24" ht="15.6" thickTop="1" thickBot="1">
      <c r="A291" s="268">
        <v>32</v>
      </c>
      <c r="B291" s="270" t="s">
        <v>612</v>
      </c>
      <c r="C291" s="273" t="s">
        <v>613</v>
      </c>
      <c r="D291" s="52" t="s">
        <v>294</v>
      </c>
      <c r="E291" s="53">
        <f>ak!$E$36</f>
        <v>92</v>
      </c>
      <c r="F291" s="53">
        <f>ak!$K$36</f>
        <v>87</v>
      </c>
      <c r="G291" s="53">
        <f>ak!$Q$36</f>
        <v>93</v>
      </c>
      <c r="H291" s="53">
        <f>ak!$W$36</f>
        <v>83</v>
      </c>
      <c r="I291" s="53">
        <f>ak!$AA$36</f>
        <v>83</v>
      </c>
      <c r="J291" s="53">
        <f>ak!$AE$36</f>
        <v>90</v>
      </c>
      <c r="K291" s="54">
        <f>ak!$AG$36</f>
        <v>82</v>
      </c>
      <c r="L291" s="55"/>
      <c r="M291" s="53">
        <f>ak!$AM$36</f>
        <v>85</v>
      </c>
      <c r="N291" s="53">
        <f>ak!$AS$36</f>
        <v>86</v>
      </c>
      <c r="O291" s="53">
        <f>ak!$AY$36</f>
        <v>80</v>
      </c>
      <c r="P291" s="54">
        <f>ak!$BA$36</f>
        <v>88</v>
      </c>
      <c r="Q291" s="54">
        <f>ak!$BC$36</f>
        <v>85</v>
      </c>
      <c r="R291" s="55"/>
      <c r="S291" s="55"/>
      <c r="T291" s="55"/>
      <c r="U291" s="55"/>
      <c r="V291" s="56"/>
      <c r="X291" s="278">
        <v>36</v>
      </c>
    </row>
    <row r="292" spans="1:24" ht="15" thickBot="1">
      <c r="A292" s="268">
        <v>32</v>
      </c>
      <c r="B292" s="271"/>
      <c r="C292" s="274"/>
      <c r="D292" s="52" t="s">
        <v>295</v>
      </c>
      <c r="E292" s="53">
        <f>ak!$F$36</f>
        <v>90</v>
      </c>
      <c r="F292" s="53">
        <f>ak!$L$36</f>
        <v>90</v>
      </c>
      <c r="G292" s="53">
        <f>ak!$R$36</f>
        <v>92</v>
      </c>
      <c r="H292" s="53">
        <f>ak!$X$36</f>
        <v>84</v>
      </c>
      <c r="I292" s="53">
        <f>ak!$AB$36</f>
        <v>87</v>
      </c>
      <c r="J292" s="53">
        <f>ak!$AF$36</f>
        <v>85</v>
      </c>
      <c r="K292" s="54">
        <f>ak!$AH$36</f>
        <v>84</v>
      </c>
      <c r="L292" s="55"/>
      <c r="M292" s="53">
        <f>ak!$AN$36</f>
        <v>87</v>
      </c>
      <c r="N292" s="53">
        <f>ak!$AT$36</f>
        <v>82</v>
      </c>
      <c r="O292" s="53">
        <f>ak!$AZ$36</f>
        <v>80</v>
      </c>
      <c r="P292" s="54">
        <f>ak!$BB$36</f>
        <v>85</v>
      </c>
      <c r="Q292" s="54">
        <f>ak!$BD$36</f>
        <v>85</v>
      </c>
      <c r="R292" s="55"/>
      <c r="S292" s="55"/>
      <c r="T292" s="55"/>
      <c r="U292" s="55"/>
      <c r="V292" s="58"/>
      <c r="X292" s="278">
        <v>36</v>
      </c>
    </row>
    <row r="293" spans="1:24" ht="15" thickBot="1">
      <c r="A293" s="268">
        <v>32</v>
      </c>
      <c r="B293" s="271"/>
      <c r="C293" s="274"/>
      <c r="D293" s="52" t="s">
        <v>296</v>
      </c>
      <c r="E293" s="53">
        <f>ak!$G$36</f>
        <v>89</v>
      </c>
      <c r="F293" s="53">
        <f>ak!$M$36</f>
        <v>91</v>
      </c>
      <c r="G293" s="53">
        <f>ak!$S$36</f>
        <v>88</v>
      </c>
      <c r="H293" s="53">
        <f>ak!$Y$36</f>
        <v>81</v>
      </c>
      <c r="I293" s="53">
        <f>ak!$AC$36</f>
        <v>85</v>
      </c>
      <c r="J293" s="59"/>
      <c r="K293" s="54">
        <f>ak!$AI$36</f>
        <v>75</v>
      </c>
      <c r="L293" s="55"/>
      <c r="M293" s="53">
        <f>ak!$AO$36</f>
        <v>92</v>
      </c>
      <c r="N293" s="53">
        <f>ak!$AU$36</f>
        <v>81</v>
      </c>
      <c r="O293" s="59"/>
      <c r="P293" s="55"/>
      <c r="Q293" s="55"/>
      <c r="R293" s="54">
        <f>ak!$BU$36</f>
        <v>85.5</v>
      </c>
      <c r="S293" s="54">
        <f>ak!$BY$36</f>
        <v>84</v>
      </c>
      <c r="T293" s="55"/>
      <c r="U293" s="54">
        <f>ak!$CD$36</f>
        <v>89</v>
      </c>
      <c r="V293" s="58"/>
      <c r="X293" s="278">
        <v>36</v>
      </c>
    </row>
    <row r="294" spans="1:24" ht="15" thickBot="1">
      <c r="A294" s="268">
        <v>32</v>
      </c>
      <c r="B294" s="271"/>
      <c r="C294" s="274"/>
      <c r="D294" s="62" t="s">
        <v>297</v>
      </c>
      <c r="E294" s="53">
        <f>ak!$H$36</f>
        <v>87</v>
      </c>
      <c r="F294" s="53">
        <f>ak!$N$36</f>
        <v>91</v>
      </c>
      <c r="G294" s="53">
        <f>ak!$T$36</f>
        <v>88</v>
      </c>
      <c r="H294" s="53">
        <f>ak!$Z$36</f>
        <v>80</v>
      </c>
      <c r="I294" s="53">
        <f>ak!$AD$36</f>
        <v>84</v>
      </c>
      <c r="J294" s="59"/>
      <c r="K294" s="54">
        <f>ak!$AJ$36</f>
        <v>84</v>
      </c>
      <c r="L294" s="55"/>
      <c r="M294" s="53">
        <f>ak!$AP$36</f>
        <v>92</v>
      </c>
      <c r="N294" s="53">
        <f>ak!$AV$36</f>
        <v>79</v>
      </c>
      <c r="O294" s="59"/>
      <c r="P294" s="55"/>
      <c r="Q294" s="55"/>
      <c r="R294" s="54">
        <f>ak!$BV$36</f>
        <v>85.5</v>
      </c>
      <c r="S294" s="54">
        <f>ak!$BZ$36</f>
        <v>84</v>
      </c>
      <c r="T294" s="63"/>
      <c r="U294" s="54">
        <f>ak!$CE$36</f>
        <v>92</v>
      </c>
      <c r="V294" s="58"/>
      <c r="X294" s="278">
        <v>36</v>
      </c>
    </row>
    <row r="295" spans="1:24">
      <c r="A295" s="268">
        <v>32</v>
      </c>
      <c r="B295" s="271"/>
      <c r="C295" s="274"/>
      <c r="D295" s="62" t="s">
        <v>298</v>
      </c>
      <c r="E295" s="53">
        <f>ak!$I$36</f>
        <v>94</v>
      </c>
      <c r="F295" s="53">
        <f>ak!$O$36</f>
        <v>92</v>
      </c>
      <c r="G295" s="53">
        <f>ak!$U$36</f>
        <v>90</v>
      </c>
      <c r="H295" s="65"/>
      <c r="I295" s="65"/>
      <c r="J295" s="59"/>
      <c r="K295" s="59"/>
      <c r="L295" s="53">
        <f>ak!$AK$36</f>
        <v>88</v>
      </c>
      <c r="M295" s="53">
        <f>ak!$AQ$36</f>
        <v>94</v>
      </c>
      <c r="N295" s="53">
        <f>ak!$AW$36</f>
        <v>88</v>
      </c>
      <c r="O295" s="59"/>
      <c r="P295" s="55"/>
      <c r="Q295" s="55"/>
      <c r="R295" s="54">
        <f>ak!$BW$36</f>
        <v>85.25</v>
      </c>
      <c r="S295" s="54">
        <f>ak!$CA$36</f>
        <v>84</v>
      </c>
      <c r="T295" s="54"/>
      <c r="U295" s="54">
        <f>ak!$CF$36</f>
        <v>92</v>
      </c>
      <c r="V295" s="58"/>
      <c r="X295" s="278">
        <v>36</v>
      </c>
    </row>
    <row r="296" spans="1:24">
      <c r="A296" s="268">
        <v>32</v>
      </c>
      <c r="B296" s="271"/>
      <c r="C296" s="274"/>
      <c r="D296" s="66" t="s">
        <v>299</v>
      </c>
      <c r="E296" s="67">
        <f t="shared" ref="E296:G296" si="371">AVERAGE(E291:E295)</f>
        <v>90.4</v>
      </c>
      <c r="F296" s="67">
        <f t="shared" si="371"/>
        <v>90.2</v>
      </c>
      <c r="G296" s="67">
        <f t="shared" si="371"/>
        <v>90.2</v>
      </c>
      <c r="H296" s="68"/>
      <c r="I296" s="68"/>
      <c r="J296" s="69"/>
      <c r="K296" s="69"/>
      <c r="L296" s="67">
        <f t="shared" ref="L296:N296" si="372">AVERAGE(L291:L295)</f>
        <v>88</v>
      </c>
      <c r="M296" s="67">
        <f t="shared" si="372"/>
        <v>90</v>
      </c>
      <c r="N296" s="67">
        <f t="shared" si="372"/>
        <v>83.2</v>
      </c>
      <c r="O296" s="69"/>
      <c r="P296" s="63"/>
      <c r="Q296" s="63"/>
      <c r="R296" s="84">
        <f t="shared" ref="R296:S296" si="373">AVERAGE(R293:R295)</f>
        <v>85.416666666666671</v>
      </c>
      <c r="S296" s="84">
        <f t="shared" si="373"/>
        <v>84</v>
      </c>
      <c r="T296" s="63"/>
      <c r="U296" s="84">
        <f t="shared" ref="U296" si="374">AVERAGE(U291:U295)</f>
        <v>91</v>
      </c>
      <c r="V296" s="58"/>
      <c r="X296" s="278">
        <v>36</v>
      </c>
    </row>
    <row r="297" spans="1:24">
      <c r="A297" s="268">
        <v>32</v>
      </c>
      <c r="B297" s="271"/>
      <c r="C297" s="274"/>
      <c r="D297" s="70" t="s">
        <v>300</v>
      </c>
      <c r="E297" s="71">
        <f>ak!$J$36</f>
        <v>95</v>
      </c>
      <c r="F297" s="71">
        <f>ak!$P$36</f>
        <v>95</v>
      </c>
      <c r="G297" s="71">
        <f>ak!$V$36</f>
        <v>91</v>
      </c>
      <c r="H297" s="72"/>
      <c r="I297" s="72"/>
      <c r="J297" s="73"/>
      <c r="K297" s="73"/>
      <c r="L297" s="71">
        <f>ak!$AL$36</f>
        <v>91</v>
      </c>
      <c r="M297" s="71">
        <f>ak!$AR$36</f>
        <v>95</v>
      </c>
      <c r="N297" s="71">
        <f>ak!$AX$36</f>
        <v>95</v>
      </c>
      <c r="O297" s="73"/>
      <c r="P297" s="74"/>
      <c r="Q297" s="74"/>
      <c r="R297" s="85">
        <f>ak!$BX$36</f>
        <v>95</v>
      </c>
      <c r="S297" s="85">
        <f>ak!$BX$36</f>
        <v>95</v>
      </c>
      <c r="T297" s="85">
        <f>ak!$CC$36</f>
        <v>94</v>
      </c>
      <c r="U297" s="75">
        <f>ak!$CG$36</f>
        <v>95</v>
      </c>
      <c r="V297" s="58"/>
      <c r="X297" s="278">
        <v>36</v>
      </c>
    </row>
    <row r="298" spans="1:24">
      <c r="A298" s="268">
        <v>32</v>
      </c>
      <c r="B298" s="271"/>
      <c r="C298" s="274"/>
      <c r="D298" s="76" t="s">
        <v>301</v>
      </c>
      <c r="E298" s="77">
        <f>ak!$CH$36</f>
        <v>87</v>
      </c>
      <c r="F298" s="77">
        <f>ak!$CI$36</f>
        <v>95</v>
      </c>
      <c r="G298" s="77">
        <f>ak!$CJ$36</f>
        <v>89</v>
      </c>
      <c r="H298" s="72"/>
      <c r="I298" s="72"/>
      <c r="J298" s="73"/>
      <c r="K298" s="73"/>
      <c r="L298" s="77">
        <f>ak!$CK$36</f>
        <v>94</v>
      </c>
      <c r="M298" s="77">
        <f>ak!$CL$36</f>
        <v>94</v>
      </c>
      <c r="N298" s="77">
        <f>ak!$CM$36</f>
        <v>88</v>
      </c>
      <c r="O298" s="73"/>
      <c r="P298" s="74"/>
      <c r="Q298" s="74"/>
      <c r="R298" s="86">
        <f>ak!$CP$36</f>
        <v>90</v>
      </c>
      <c r="S298" s="86">
        <f>ak!$CO$36</f>
        <v>87</v>
      </c>
      <c r="T298" s="74"/>
      <c r="U298" s="86">
        <f>ak!$CN$36</f>
        <v>84</v>
      </c>
      <c r="V298" s="58"/>
      <c r="X298" s="278">
        <v>36</v>
      </c>
    </row>
    <row r="299" spans="1:24" ht="15" thickBot="1">
      <c r="A299" s="269">
        <v>32</v>
      </c>
      <c r="B299" s="272"/>
      <c r="C299" s="275"/>
      <c r="D299" s="78" t="s">
        <v>302</v>
      </c>
      <c r="E299" s="79">
        <f t="shared" ref="E299:G299" si="375">(E296*4+E297*3+E298*3)/10</f>
        <v>90.76</v>
      </c>
      <c r="F299" s="79">
        <f t="shared" si="375"/>
        <v>93.08</v>
      </c>
      <c r="G299" s="79">
        <f t="shared" si="375"/>
        <v>90.08</v>
      </c>
      <c r="H299" s="79">
        <f t="shared" ref="H299:I299" si="376">AVERAGE(H291:H294)</f>
        <v>82</v>
      </c>
      <c r="I299" s="79">
        <f t="shared" si="376"/>
        <v>84.75</v>
      </c>
      <c r="J299" s="79">
        <f t="shared" ref="J299" si="377">AVERAGE(J291:J292)</f>
        <v>87.5</v>
      </c>
      <c r="K299" s="79">
        <f t="shared" ref="K299" si="378">AVERAGE(K291:K294)</f>
        <v>81.25</v>
      </c>
      <c r="L299" s="79">
        <f t="shared" ref="L299:N299" si="379">(L296*4+L297*3+L298*3)/10</f>
        <v>90.7</v>
      </c>
      <c r="M299" s="79">
        <f t="shared" si="379"/>
        <v>92.7</v>
      </c>
      <c r="N299" s="79">
        <f t="shared" si="379"/>
        <v>88.179999999999993</v>
      </c>
      <c r="O299" s="79">
        <f t="shared" ref="O299:Q299" si="380">AVERAGE(O291:O292)</f>
        <v>80</v>
      </c>
      <c r="P299" s="79">
        <f t="shared" si="380"/>
        <v>86.5</v>
      </c>
      <c r="Q299" s="79">
        <f t="shared" si="380"/>
        <v>85</v>
      </c>
      <c r="R299" s="79">
        <f t="shared" ref="R299:S299" si="381">(R296*4+R297*3+R298*3)/10</f>
        <v>89.666666666666671</v>
      </c>
      <c r="S299" s="79">
        <f t="shared" si="381"/>
        <v>88.2</v>
      </c>
      <c r="T299" s="79">
        <f t="shared" ref="T299" si="382">T297</f>
        <v>94</v>
      </c>
      <c r="U299" s="79">
        <f t="shared" ref="U299" si="383">(U296*4+U297*3+U298*3)/10</f>
        <v>90.1</v>
      </c>
      <c r="V299" s="80">
        <f>AVERAGE(E299:U299)</f>
        <v>87.909803921568624</v>
      </c>
      <c r="X299" s="278">
        <v>36</v>
      </c>
    </row>
    <row r="300" spans="1:24" ht="15.6" thickTop="1" thickBot="1">
      <c r="A300" s="268">
        <v>33</v>
      </c>
      <c r="B300" s="270" t="s">
        <v>614</v>
      </c>
      <c r="C300" s="273" t="s">
        <v>615</v>
      </c>
      <c r="D300" s="52" t="s">
        <v>294</v>
      </c>
      <c r="E300" s="53">
        <f>ak!$E$37</f>
        <v>80</v>
      </c>
      <c r="F300" s="53">
        <f>ak!$K$37</f>
        <v>83</v>
      </c>
      <c r="G300" s="53">
        <f>ak!$Q$37</f>
        <v>86</v>
      </c>
      <c r="H300" s="53">
        <f>ak!$W$37</f>
        <v>83</v>
      </c>
      <c r="I300" s="53">
        <f>ak!$AA$37</f>
        <v>75</v>
      </c>
      <c r="J300" s="53">
        <f>ak!$AE$37</f>
        <v>90</v>
      </c>
      <c r="K300" s="54">
        <f>ak!$AG$37</f>
        <v>82</v>
      </c>
      <c r="L300" s="55"/>
      <c r="M300" s="53">
        <f>ak!$AM$37</f>
        <v>72</v>
      </c>
      <c r="N300" s="53">
        <f>ak!$AS$37</f>
        <v>71</v>
      </c>
      <c r="O300" s="53">
        <f>ak!$AY$37</f>
        <v>77</v>
      </c>
      <c r="P300" s="54">
        <f>ak!$BA$37</f>
        <v>75</v>
      </c>
      <c r="Q300" s="54">
        <f>ak!$BC$37</f>
        <v>81</v>
      </c>
      <c r="R300" s="55"/>
      <c r="S300" s="55"/>
      <c r="T300" s="55"/>
      <c r="U300" s="55"/>
      <c r="V300" s="56"/>
      <c r="X300" s="278">
        <v>37</v>
      </c>
    </row>
    <row r="301" spans="1:24" ht="15" thickBot="1">
      <c r="A301" s="268">
        <v>33</v>
      </c>
      <c r="B301" s="271"/>
      <c r="C301" s="274"/>
      <c r="D301" s="52" t="s">
        <v>295</v>
      </c>
      <c r="E301" s="53">
        <f>ak!$F$37</f>
        <v>80</v>
      </c>
      <c r="F301" s="53">
        <f>ak!$L$37</f>
        <v>83</v>
      </c>
      <c r="G301" s="53">
        <f>ak!$R$37</f>
        <v>84</v>
      </c>
      <c r="H301" s="53">
        <f>ak!$X$37</f>
        <v>83</v>
      </c>
      <c r="I301" s="53">
        <f>ak!$AB$37</f>
        <v>80</v>
      </c>
      <c r="J301" s="53">
        <f>ak!$AF$37</f>
        <v>86</v>
      </c>
      <c r="K301" s="54">
        <f>ak!$AH$37</f>
        <v>84</v>
      </c>
      <c r="L301" s="55"/>
      <c r="M301" s="53">
        <f>ak!$AN$37</f>
        <v>73</v>
      </c>
      <c r="N301" s="53">
        <f>ak!$AT$37</f>
        <v>73</v>
      </c>
      <c r="O301" s="53">
        <f>ak!$AZ$37</f>
        <v>79</v>
      </c>
      <c r="P301" s="54">
        <f>ak!$BB$37</f>
        <v>81</v>
      </c>
      <c r="Q301" s="54">
        <f>ak!$BD$37</f>
        <v>81</v>
      </c>
      <c r="R301" s="55"/>
      <c r="S301" s="55"/>
      <c r="T301" s="55"/>
      <c r="U301" s="55"/>
      <c r="V301" s="58"/>
      <c r="X301" s="278">
        <v>37</v>
      </c>
    </row>
    <row r="302" spans="1:24" ht="15" thickBot="1">
      <c r="A302" s="268">
        <v>33</v>
      </c>
      <c r="B302" s="271"/>
      <c r="C302" s="274"/>
      <c r="D302" s="52" t="s">
        <v>296</v>
      </c>
      <c r="E302" s="53">
        <f>ak!$G$37</f>
        <v>90</v>
      </c>
      <c r="F302" s="53">
        <f>ak!$M$37</f>
        <v>87</v>
      </c>
      <c r="G302" s="53">
        <f>ak!$S$37</f>
        <v>83</v>
      </c>
      <c r="H302" s="53">
        <f>ak!$Y$37</f>
        <v>80</v>
      </c>
      <c r="I302" s="53">
        <f>ak!$AC$37</f>
        <v>81</v>
      </c>
      <c r="J302" s="59"/>
      <c r="K302" s="54">
        <f>ak!$AI$37</f>
        <v>70</v>
      </c>
      <c r="L302" s="55"/>
      <c r="M302" s="53">
        <f>ak!$AO$37</f>
        <v>73</v>
      </c>
      <c r="N302" s="53">
        <f>ak!$AU$37</f>
        <v>77</v>
      </c>
      <c r="O302" s="59"/>
      <c r="P302" s="55"/>
      <c r="Q302" s="55"/>
      <c r="R302" s="54">
        <f>ak!$BU$37</f>
        <v>81.75</v>
      </c>
      <c r="S302" s="54">
        <f>ak!$BY$37</f>
        <v>83</v>
      </c>
      <c r="T302" s="55"/>
      <c r="U302" s="54">
        <f>ak!$CD$37</f>
        <v>72</v>
      </c>
      <c r="V302" s="58"/>
      <c r="X302" s="278">
        <v>37</v>
      </c>
    </row>
    <row r="303" spans="1:24" ht="15" thickBot="1">
      <c r="A303" s="268">
        <v>33</v>
      </c>
      <c r="B303" s="271"/>
      <c r="C303" s="274"/>
      <c r="D303" s="62" t="s">
        <v>297</v>
      </c>
      <c r="E303" s="53">
        <f>ak!$H$37</f>
        <v>85</v>
      </c>
      <c r="F303" s="53">
        <f>ak!$N$37</f>
        <v>90</v>
      </c>
      <c r="G303" s="53">
        <f>ak!$T$37</f>
        <v>82</v>
      </c>
      <c r="H303" s="53">
        <f>ak!$Z$37</f>
        <v>80</v>
      </c>
      <c r="I303" s="53">
        <f>ak!$AD$37</f>
        <v>81</v>
      </c>
      <c r="J303" s="59"/>
      <c r="K303" s="54">
        <f>ak!$AJ$37</f>
        <v>81</v>
      </c>
      <c r="L303" s="55"/>
      <c r="M303" s="53">
        <f>ak!$AP$37</f>
        <v>74</v>
      </c>
      <c r="N303" s="53">
        <f>ak!$AV$37</f>
        <v>77</v>
      </c>
      <c r="O303" s="59"/>
      <c r="P303" s="55"/>
      <c r="Q303" s="55"/>
      <c r="R303" s="54">
        <f>ak!$BV$37</f>
        <v>81.75</v>
      </c>
      <c r="S303" s="54">
        <f>ak!$BZ$37</f>
        <v>83</v>
      </c>
      <c r="T303" s="63"/>
      <c r="U303" s="54">
        <f>ak!$CE$37</f>
        <v>89</v>
      </c>
      <c r="V303" s="58"/>
      <c r="X303" s="278">
        <v>37</v>
      </c>
    </row>
    <row r="304" spans="1:24">
      <c r="A304" s="268">
        <v>33</v>
      </c>
      <c r="B304" s="271"/>
      <c r="C304" s="274"/>
      <c r="D304" s="62" t="s">
        <v>298</v>
      </c>
      <c r="E304" s="53">
        <f>ak!$I$37</f>
        <v>92</v>
      </c>
      <c r="F304" s="53">
        <f>ak!$O$37</f>
        <v>91</v>
      </c>
      <c r="G304" s="53">
        <f>ak!$U$37</f>
        <v>78</v>
      </c>
      <c r="H304" s="65"/>
      <c r="I304" s="65"/>
      <c r="J304" s="59"/>
      <c r="K304" s="59"/>
      <c r="L304" s="53">
        <f>ak!$AK$37</f>
        <v>81</v>
      </c>
      <c r="M304" s="53">
        <f>ak!$AQ$37</f>
        <v>80</v>
      </c>
      <c r="N304" s="53">
        <f>ak!$AW$37</f>
        <v>75</v>
      </c>
      <c r="O304" s="59"/>
      <c r="P304" s="55"/>
      <c r="Q304" s="55"/>
      <c r="R304" s="54">
        <f>ak!$BW$37</f>
        <v>82</v>
      </c>
      <c r="S304" s="54">
        <f>ak!$CA$37</f>
        <v>83</v>
      </c>
      <c r="T304" s="54"/>
      <c r="U304" s="54">
        <f>ak!$CF$37</f>
        <v>77</v>
      </c>
      <c r="V304" s="58"/>
      <c r="X304" s="278">
        <v>37</v>
      </c>
    </row>
    <row r="305" spans="1:24">
      <c r="A305" s="268">
        <v>33</v>
      </c>
      <c r="B305" s="271"/>
      <c r="C305" s="274"/>
      <c r="D305" s="66" t="s">
        <v>299</v>
      </c>
      <c r="E305" s="67">
        <f t="shared" ref="E305:G305" si="384">AVERAGE(E300:E304)</f>
        <v>85.4</v>
      </c>
      <c r="F305" s="67">
        <f t="shared" si="384"/>
        <v>86.8</v>
      </c>
      <c r="G305" s="67">
        <f t="shared" si="384"/>
        <v>82.6</v>
      </c>
      <c r="H305" s="68"/>
      <c r="I305" s="68"/>
      <c r="J305" s="69"/>
      <c r="K305" s="69"/>
      <c r="L305" s="67">
        <f t="shared" ref="L305:N305" si="385">AVERAGE(L300:L304)</f>
        <v>81</v>
      </c>
      <c r="M305" s="67">
        <f t="shared" si="385"/>
        <v>74.400000000000006</v>
      </c>
      <c r="N305" s="67">
        <f t="shared" si="385"/>
        <v>74.599999999999994</v>
      </c>
      <c r="O305" s="69"/>
      <c r="P305" s="63"/>
      <c r="Q305" s="63"/>
      <c r="R305" s="84">
        <f t="shared" ref="R305:S305" si="386">AVERAGE(R302:R304)</f>
        <v>81.833333333333329</v>
      </c>
      <c r="S305" s="84">
        <f t="shared" si="386"/>
        <v>83</v>
      </c>
      <c r="T305" s="63"/>
      <c r="U305" s="84">
        <f t="shared" ref="U305" si="387">AVERAGE(U300:U304)</f>
        <v>79.333333333333329</v>
      </c>
      <c r="V305" s="58"/>
      <c r="X305" s="278">
        <v>37</v>
      </c>
    </row>
    <row r="306" spans="1:24">
      <c r="A306" s="268">
        <v>33</v>
      </c>
      <c r="B306" s="271"/>
      <c r="C306" s="274"/>
      <c r="D306" s="70" t="s">
        <v>300</v>
      </c>
      <c r="E306" s="71">
        <f>ak!$J$37</f>
        <v>90</v>
      </c>
      <c r="F306" s="71">
        <f>ak!$P$37</f>
        <v>89</v>
      </c>
      <c r="G306" s="71">
        <f>ak!$V$37</f>
        <v>88</v>
      </c>
      <c r="H306" s="72"/>
      <c r="I306" s="72"/>
      <c r="J306" s="73"/>
      <c r="K306" s="73"/>
      <c r="L306" s="71">
        <f>ak!$AL$37</f>
        <v>88</v>
      </c>
      <c r="M306" s="71">
        <f>ak!$AR$37</f>
        <v>89</v>
      </c>
      <c r="N306" s="71">
        <f>ak!$AX$37</f>
        <v>89</v>
      </c>
      <c r="O306" s="73"/>
      <c r="P306" s="74"/>
      <c r="Q306" s="74"/>
      <c r="R306" s="85">
        <f>ak!$BX$37</f>
        <v>89</v>
      </c>
      <c r="S306" s="85">
        <f>ak!$BX$37</f>
        <v>89</v>
      </c>
      <c r="T306" s="85">
        <f>ak!$CC$37</f>
        <v>89</v>
      </c>
      <c r="U306" s="75">
        <f>ak!$CG$37</f>
        <v>89</v>
      </c>
      <c r="V306" s="58"/>
      <c r="X306" s="278">
        <v>37</v>
      </c>
    </row>
    <row r="307" spans="1:24">
      <c r="A307" s="268">
        <v>33</v>
      </c>
      <c r="B307" s="271"/>
      <c r="C307" s="274"/>
      <c r="D307" s="76" t="s">
        <v>301</v>
      </c>
      <c r="E307" s="77">
        <f>ak!$CH$37</f>
        <v>87</v>
      </c>
      <c r="F307" s="77">
        <f>ak!$CI$37</f>
        <v>85</v>
      </c>
      <c r="G307" s="77">
        <f>ak!$CJ$37</f>
        <v>80</v>
      </c>
      <c r="H307" s="72"/>
      <c r="I307" s="72"/>
      <c r="J307" s="73"/>
      <c r="K307" s="73"/>
      <c r="L307" s="77">
        <f>ak!$CK$37</f>
        <v>90</v>
      </c>
      <c r="M307" s="77">
        <f>ak!$CL$37</f>
        <v>80</v>
      </c>
      <c r="N307" s="77">
        <f>ak!$CM$37</f>
        <v>83</v>
      </c>
      <c r="O307" s="73"/>
      <c r="P307" s="74"/>
      <c r="Q307" s="74"/>
      <c r="R307" s="86">
        <f>ak!$CP$37</f>
        <v>87</v>
      </c>
      <c r="S307" s="86">
        <f>ak!$CO$37</f>
        <v>87</v>
      </c>
      <c r="T307" s="74"/>
      <c r="U307" s="86">
        <f>ak!$CN$37</f>
        <v>84</v>
      </c>
      <c r="V307" s="58"/>
      <c r="X307" s="278">
        <v>37</v>
      </c>
    </row>
    <row r="308" spans="1:24" ht="15" thickBot="1">
      <c r="A308" s="269">
        <v>33</v>
      </c>
      <c r="B308" s="272"/>
      <c r="C308" s="275"/>
      <c r="D308" s="78" t="s">
        <v>302</v>
      </c>
      <c r="E308" s="79">
        <f t="shared" ref="E308:G308" si="388">(E305*4+E306*3+E307*3)/10</f>
        <v>87.26</v>
      </c>
      <c r="F308" s="79">
        <f t="shared" si="388"/>
        <v>86.92</v>
      </c>
      <c r="G308" s="79">
        <f t="shared" si="388"/>
        <v>83.44</v>
      </c>
      <c r="H308" s="79">
        <f t="shared" ref="H308:I308" si="389">AVERAGE(H300:H303)</f>
        <v>81.5</v>
      </c>
      <c r="I308" s="79">
        <f t="shared" si="389"/>
        <v>79.25</v>
      </c>
      <c r="J308" s="79">
        <f t="shared" ref="J308" si="390">AVERAGE(J300:J301)</f>
        <v>88</v>
      </c>
      <c r="K308" s="79">
        <f t="shared" ref="K308" si="391">AVERAGE(K300:K303)</f>
        <v>79.25</v>
      </c>
      <c r="L308" s="79">
        <f t="shared" ref="L308:N308" si="392">(L305*4+L306*3+L307*3)/10</f>
        <v>85.8</v>
      </c>
      <c r="M308" s="79">
        <f t="shared" si="392"/>
        <v>80.460000000000008</v>
      </c>
      <c r="N308" s="79">
        <f t="shared" si="392"/>
        <v>81.44</v>
      </c>
      <c r="O308" s="79">
        <f t="shared" ref="O308:Q308" si="393">AVERAGE(O300:O301)</f>
        <v>78</v>
      </c>
      <c r="P308" s="79">
        <f t="shared" si="393"/>
        <v>78</v>
      </c>
      <c r="Q308" s="79">
        <f t="shared" si="393"/>
        <v>81</v>
      </c>
      <c r="R308" s="79">
        <f t="shared" ref="R308:S308" si="394">(R305*4+R306*3+R307*3)/10</f>
        <v>85.533333333333331</v>
      </c>
      <c r="S308" s="79">
        <f t="shared" si="394"/>
        <v>86</v>
      </c>
      <c r="T308" s="79">
        <f t="shared" ref="T308" si="395">T306</f>
        <v>89</v>
      </c>
      <c r="U308" s="79">
        <f t="shared" ref="U308" si="396">(U305*4+U306*3+U307*3)/10</f>
        <v>83.633333333333326</v>
      </c>
      <c r="V308" s="80">
        <f>AVERAGE(E308:U308)</f>
        <v>83.205098039215684</v>
      </c>
      <c r="X308" s="278">
        <v>37</v>
      </c>
    </row>
    <row r="309" spans="1:24" ht="15.6" thickTop="1" thickBot="1">
      <c r="A309" s="268">
        <v>34</v>
      </c>
      <c r="B309" s="270" t="s">
        <v>616</v>
      </c>
      <c r="C309" s="273" t="s">
        <v>617</v>
      </c>
      <c r="D309" s="52" t="s">
        <v>294</v>
      </c>
      <c r="E309" s="53">
        <f>ak!$E$38</f>
        <v>84</v>
      </c>
      <c r="F309" s="53">
        <f>ak!$K$38</f>
        <v>81</v>
      </c>
      <c r="G309" s="53">
        <f>ak!$Q$38</f>
        <v>78</v>
      </c>
      <c r="H309" s="53">
        <f>ak!$W$38</f>
        <v>84</v>
      </c>
      <c r="I309" s="53">
        <f>ak!$AA$38</f>
        <v>74</v>
      </c>
      <c r="J309" s="53">
        <f>ak!$AE$38</f>
        <v>90</v>
      </c>
      <c r="K309" s="54">
        <f>ak!$AG$38</f>
        <v>82</v>
      </c>
      <c r="L309" s="55"/>
      <c r="M309" s="53">
        <f>ak!$AM$38</f>
        <v>73</v>
      </c>
      <c r="N309" s="53">
        <f>ak!$AS$38</f>
        <v>71</v>
      </c>
      <c r="O309" s="53">
        <f>ak!$AY$38</f>
        <v>78</v>
      </c>
      <c r="P309" s="54">
        <f>ak!$BA$38</f>
        <v>73</v>
      </c>
      <c r="Q309" s="54">
        <f>ak!$BC$38</f>
        <v>81</v>
      </c>
      <c r="R309" s="55"/>
      <c r="S309" s="55"/>
      <c r="T309" s="55"/>
      <c r="U309" s="55"/>
      <c r="V309" s="56"/>
      <c r="X309" s="278">
        <v>38</v>
      </c>
    </row>
    <row r="310" spans="1:24" ht="15" thickBot="1">
      <c r="A310" s="268">
        <v>34</v>
      </c>
      <c r="B310" s="271"/>
      <c r="C310" s="274"/>
      <c r="D310" s="52" t="s">
        <v>295</v>
      </c>
      <c r="E310" s="53">
        <f>ak!$F$38</f>
        <v>85</v>
      </c>
      <c r="F310" s="53">
        <f>ak!$L$38</f>
        <v>73</v>
      </c>
      <c r="G310" s="53">
        <f>ak!$R$38</f>
        <v>77</v>
      </c>
      <c r="H310" s="53">
        <f>ak!$X$38</f>
        <v>85</v>
      </c>
      <c r="I310" s="53">
        <f>ak!$AB$38</f>
        <v>80</v>
      </c>
      <c r="J310" s="53">
        <f>ak!$AF$38</f>
        <v>83</v>
      </c>
      <c r="K310" s="54">
        <f>ak!$AH$38</f>
        <v>83</v>
      </c>
      <c r="L310" s="55"/>
      <c r="M310" s="53">
        <f>ak!$AN$38</f>
        <v>73</v>
      </c>
      <c r="N310" s="53">
        <f>ak!$AT$38</f>
        <v>73</v>
      </c>
      <c r="O310" s="53">
        <f>ak!$AZ$38</f>
        <v>78</v>
      </c>
      <c r="P310" s="54">
        <f>ak!$BB$38</f>
        <v>78</v>
      </c>
      <c r="Q310" s="54">
        <f>ak!$BD$38</f>
        <v>80</v>
      </c>
      <c r="R310" s="55"/>
      <c r="S310" s="55"/>
      <c r="T310" s="55"/>
      <c r="U310" s="55"/>
      <c r="V310" s="58"/>
      <c r="X310" s="278">
        <v>38</v>
      </c>
    </row>
    <row r="311" spans="1:24" ht="15" thickBot="1">
      <c r="A311" s="268">
        <v>34</v>
      </c>
      <c r="B311" s="271"/>
      <c r="C311" s="274"/>
      <c r="D311" s="52" t="s">
        <v>296</v>
      </c>
      <c r="E311" s="53">
        <f>ak!$G$38</f>
        <v>85</v>
      </c>
      <c r="F311" s="53">
        <f>ak!$M$38</f>
        <v>79</v>
      </c>
      <c r="G311" s="53">
        <f>ak!$S$38</f>
        <v>72</v>
      </c>
      <c r="H311" s="53">
        <f>ak!$Y$38</f>
        <v>81</v>
      </c>
      <c r="I311" s="53">
        <f>ak!$AC$38</f>
        <v>81</v>
      </c>
      <c r="J311" s="59"/>
      <c r="K311" s="54">
        <f>ak!$AI$38</f>
        <v>70</v>
      </c>
      <c r="L311" s="55"/>
      <c r="M311" s="53">
        <f>ak!$AO$38</f>
        <v>72</v>
      </c>
      <c r="N311" s="53">
        <f>ak!$AU$38</f>
        <v>70</v>
      </c>
      <c r="O311" s="59"/>
      <c r="P311" s="55"/>
      <c r="Q311" s="55"/>
      <c r="R311" s="54">
        <f>ak!$BU$38</f>
        <v>80.75</v>
      </c>
      <c r="S311" s="54">
        <f>ak!$BY$38</f>
        <v>83</v>
      </c>
      <c r="T311" s="55"/>
      <c r="U311" s="54">
        <f>ak!$CD$38</f>
        <v>71</v>
      </c>
      <c r="V311" s="58"/>
      <c r="X311" s="278">
        <v>38</v>
      </c>
    </row>
    <row r="312" spans="1:24" ht="15" thickBot="1">
      <c r="A312" s="268">
        <v>34</v>
      </c>
      <c r="B312" s="271"/>
      <c r="C312" s="274"/>
      <c r="D312" s="62" t="s">
        <v>297</v>
      </c>
      <c r="E312" s="53">
        <f>ak!$H$38</f>
        <v>87</v>
      </c>
      <c r="F312" s="53">
        <f>ak!$N$38</f>
        <v>76</v>
      </c>
      <c r="G312" s="53">
        <f>ak!$T$38</f>
        <v>74</v>
      </c>
      <c r="H312" s="53">
        <f>ak!$Z$38</f>
        <v>85</v>
      </c>
      <c r="I312" s="53">
        <f>ak!$AD$38</f>
        <v>80</v>
      </c>
      <c r="J312" s="59"/>
      <c r="K312" s="54">
        <f>ak!$AJ$38</f>
        <v>80</v>
      </c>
      <c r="L312" s="55"/>
      <c r="M312" s="53">
        <f>ak!$AP$38</f>
        <v>73</v>
      </c>
      <c r="N312" s="53">
        <f>ak!$AV$38</f>
        <v>77</v>
      </c>
      <c r="O312" s="59"/>
      <c r="P312" s="55"/>
      <c r="Q312" s="55"/>
      <c r="R312" s="54">
        <f>ak!$BV$38</f>
        <v>81.5</v>
      </c>
      <c r="S312" s="54">
        <f>ak!$BZ$38</f>
        <v>83</v>
      </c>
      <c r="T312" s="63"/>
      <c r="U312" s="54">
        <f>ak!$CE$38</f>
        <v>76</v>
      </c>
      <c r="V312" s="58"/>
      <c r="X312" s="278">
        <v>38</v>
      </c>
    </row>
    <row r="313" spans="1:24">
      <c r="A313" s="268">
        <v>34</v>
      </c>
      <c r="B313" s="271"/>
      <c r="C313" s="274"/>
      <c r="D313" s="62" t="s">
        <v>298</v>
      </c>
      <c r="E313" s="53">
        <f>ak!$I$38</f>
        <v>89</v>
      </c>
      <c r="F313" s="53">
        <f>ak!$O$38</f>
        <v>80</v>
      </c>
      <c r="G313" s="53">
        <f>ak!$U$38</f>
        <v>72</v>
      </c>
      <c r="H313" s="65"/>
      <c r="I313" s="65"/>
      <c r="J313" s="59"/>
      <c r="K313" s="59"/>
      <c r="L313" s="53">
        <f>ak!$AK$38</f>
        <v>80</v>
      </c>
      <c r="M313" s="53">
        <f>ak!$AQ$38</f>
        <v>71</v>
      </c>
      <c r="N313" s="53">
        <f>ak!$AW$38</f>
        <v>75</v>
      </c>
      <c r="O313" s="59"/>
      <c r="P313" s="55"/>
      <c r="Q313" s="55"/>
      <c r="R313" s="54">
        <f>ak!$BW$38</f>
        <v>80.5</v>
      </c>
      <c r="S313" s="54">
        <f>ak!$CA$38</f>
        <v>81</v>
      </c>
      <c r="T313" s="54"/>
      <c r="U313" s="54">
        <f>ak!$CF$38</f>
        <v>73</v>
      </c>
      <c r="V313" s="58"/>
      <c r="X313" s="278">
        <v>38</v>
      </c>
    </row>
    <row r="314" spans="1:24">
      <c r="A314" s="268">
        <v>34</v>
      </c>
      <c r="B314" s="271"/>
      <c r="C314" s="274"/>
      <c r="D314" s="66" t="s">
        <v>299</v>
      </c>
      <c r="E314" s="67">
        <f t="shared" ref="E314:G314" si="397">AVERAGE(E309:E313)</f>
        <v>86</v>
      </c>
      <c r="F314" s="67">
        <f t="shared" si="397"/>
        <v>77.8</v>
      </c>
      <c r="G314" s="67">
        <f t="shared" si="397"/>
        <v>74.599999999999994</v>
      </c>
      <c r="H314" s="68"/>
      <c r="I314" s="68"/>
      <c r="J314" s="69"/>
      <c r="K314" s="69"/>
      <c r="L314" s="67">
        <f t="shared" ref="L314:N314" si="398">AVERAGE(L309:L313)</f>
        <v>80</v>
      </c>
      <c r="M314" s="67">
        <f t="shared" si="398"/>
        <v>72.400000000000006</v>
      </c>
      <c r="N314" s="67">
        <f t="shared" si="398"/>
        <v>73.2</v>
      </c>
      <c r="O314" s="69"/>
      <c r="P314" s="63"/>
      <c r="Q314" s="63"/>
      <c r="R314" s="84">
        <f t="shared" ref="R314:S314" si="399">AVERAGE(R311:R313)</f>
        <v>80.916666666666671</v>
      </c>
      <c r="S314" s="84">
        <f t="shared" si="399"/>
        <v>82.333333333333329</v>
      </c>
      <c r="T314" s="63"/>
      <c r="U314" s="84">
        <f t="shared" ref="U314" si="400">AVERAGE(U309:U313)</f>
        <v>73.333333333333329</v>
      </c>
      <c r="V314" s="58"/>
      <c r="X314" s="278">
        <v>38</v>
      </c>
    </row>
    <row r="315" spans="1:24">
      <c r="A315" s="268">
        <v>34</v>
      </c>
      <c r="B315" s="271"/>
      <c r="C315" s="274"/>
      <c r="D315" s="70" t="s">
        <v>300</v>
      </c>
      <c r="E315" s="71">
        <f>ak!$J$38</f>
        <v>83</v>
      </c>
      <c r="F315" s="71">
        <f>ak!$P$38</f>
        <v>82</v>
      </c>
      <c r="G315" s="71">
        <f>ak!$V$38</f>
        <v>80</v>
      </c>
      <c r="H315" s="72"/>
      <c r="I315" s="72"/>
      <c r="J315" s="73"/>
      <c r="K315" s="73"/>
      <c r="L315" s="71">
        <f>ak!$AL$38</f>
        <v>80</v>
      </c>
      <c r="M315" s="71">
        <f>ak!$AR$38</f>
        <v>83</v>
      </c>
      <c r="N315" s="71">
        <f>ak!$AX$38</f>
        <v>83</v>
      </c>
      <c r="O315" s="73"/>
      <c r="P315" s="74"/>
      <c r="Q315" s="74"/>
      <c r="R315" s="85">
        <f>ak!$BX$38</f>
        <v>81</v>
      </c>
      <c r="S315" s="85">
        <f>ak!$BX$38</f>
        <v>81</v>
      </c>
      <c r="T315" s="85">
        <f>ak!$CC$38</f>
        <v>82</v>
      </c>
      <c r="U315" s="75">
        <f>ak!$CG$38</f>
        <v>83</v>
      </c>
      <c r="V315" s="58"/>
      <c r="X315" s="278">
        <v>38</v>
      </c>
    </row>
    <row r="316" spans="1:24">
      <c r="A316" s="268">
        <v>34</v>
      </c>
      <c r="B316" s="271"/>
      <c r="C316" s="274"/>
      <c r="D316" s="76" t="s">
        <v>301</v>
      </c>
      <c r="E316" s="77">
        <f>ak!$CH$38</f>
        <v>87</v>
      </c>
      <c r="F316" s="77">
        <f>ak!$CI$38</f>
        <v>70</v>
      </c>
      <c r="G316" s="77">
        <f>ak!$CJ$38</f>
        <v>78</v>
      </c>
      <c r="H316" s="72"/>
      <c r="I316" s="72"/>
      <c r="J316" s="73"/>
      <c r="K316" s="73"/>
      <c r="L316" s="77">
        <f>ak!$CK$38</f>
        <v>70</v>
      </c>
      <c r="M316" s="77">
        <f>ak!$CL$38</f>
        <v>75</v>
      </c>
      <c r="N316" s="77">
        <f>ak!$CM$38</f>
        <v>83</v>
      </c>
      <c r="O316" s="73"/>
      <c r="P316" s="74"/>
      <c r="Q316" s="74"/>
      <c r="R316" s="86">
        <f>ak!$CP$38</f>
        <v>70</v>
      </c>
      <c r="S316" s="86">
        <f>ak!$CO$38</f>
        <v>84</v>
      </c>
      <c r="T316" s="74"/>
      <c r="U316" s="86">
        <f>ak!$CN$38</f>
        <v>78</v>
      </c>
      <c r="V316" s="58"/>
      <c r="X316" s="278">
        <v>38</v>
      </c>
    </row>
    <row r="317" spans="1:24" ht="15" thickBot="1">
      <c r="A317" s="269">
        <v>34</v>
      </c>
      <c r="B317" s="272"/>
      <c r="C317" s="275"/>
      <c r="D317" s="78" t="s">
        <v>302</v>
      </c>
      <c r="E317" s="79">
        <f t="shared" ref="E317:G317" si="401">(E314*4+E315*3+E316*3)/10</f>
        <v>85.4</v>
      </c>
      <c r="F317" s="79">
        <f t="shared" si="401"/>
        <v>76.72</v>
      </c>
      <c r="G317" s="79">
        <f t="shared" si="401"/>
        <v>77.239999999999995</v>
      </c>
      <c r="H317" s="79">
        <f t="shared" ref="H317:I317" si="402">AVERAGE(H309:H312)</f>
        <v>83.75</v>
      </c>
      <c r="I317" s="79">
        <f t="shared" si="402"/>
        <v>78.75</v>
      </c>
      <c r="J317" s="79">
        <f t="shared" ref="J317" si="403">AVERAGE(J309:J310)</f>
        <v>86.5</v>
      </c>
      <c r="K317" s="79">
        <f t="shared" ref="K317" si="404">AVERAGE(K309:K312)</f>
        <v>78.75</v>
      </c>
      <c r="L317" s="79">
        <f t="shared" ref="L317:N317" si="405">(L314*4+L315*3+L316*3)/10</f>
        <v>77</v>
      </c>
      <c r="M317" s="79">
        <f t="shared" si="405"/>
        <v>76.36</v>
      </c>
      <c r="N317" s="79">
        <f t="shared" si="405"/>
        <v>79.08</v>
      </c>
      <c r="O317" s="79">
        <f t="shared" ref="O317:Q317" si="406">AVERAGE(O309:O310)</f>
        <v>78</v>
      </c>
      <c r="P317" s="79">
        <f t="shared" si="406"/>
        <v>75.5</v>
      </c>
      <c r="Q317" s="79">
        <f t="shared" si="406"/>
        <v>80.5</v>
      </c>
      <c r="R317" s="79">
        <f t="shared" ref="R317:S317" si="407">(R314*4+R315*3+R316*3)/10</f>
        <v>77.666666666666671</v>
      </c>
      <c r="S317" s="79">
        <f t="shared" si="407"/>
        <v>82.433333333333323</v>
      </c>
      <c r="T317" s="79">
        <f t="shared" ref="T317" si="408">T315</f>
        <v>82</v>
      </c>
      <c r="U317" s="79">
        <f t="shared" ref="U317" si="409">(U314*4+U315*3+U316*3)/10</f>
        <v>77.633333333333326</v>
      </c>
      <c r="V317" s="80">
        <f>AVERAGE(E317:U317)</f>
        <v>79.604901960784332</v>
      </c>
      <c r="X317" s="278">
        <v>38</v>
      </c>
    </row>
    <row r="318" spans="1:24" ht="15.6" thickTop="1" thickBot="1">
      <c r="A318" s="268">
        <v>35</v>
      </c>
      <c r="B318" s="270" t="s">
        <v>618</v>
      </c>
      <c r="C318" s="273" t="s">
        <v>619</v>
      </c>
      <c r="D318" s="52" t="s">
        <v>294</v>
      </c>
      <c r="E318" s="53">
        <f>ak!$E$39</f>
        <v>87</v>
      </c>
      <c r="F318" s="53">
        <f>ak!$K$39</f>
        <v>83</v>
      </c>
      <c r="G318" s="53">
        <f>ak!$Q$39</f>
        <v>85</v>
      </c>
      <c r="H318" s="53">
        <f>ak!$W$39</f>
        <v>83</v>
      </c>
      <c r="I318" s="53">
        <f>ak!$AA$39</f>
        <v>78</v>
      </c>
      <c r="J318" s="53">
        <f>ak!$AE$39</f>
        <v>84</v>
      </c>
      <c r="K318" s="54">
        <f>ak!$AG$39</f>
        <v>84</v>
      </c>
      <c r="L318" s="55"/>
      <c r="M318" s="53">
        <f>ak!$AM$39</f>
        <v>78</v>
      </c>
      <c r="N318" s="53">
        <f>ak!$AS$39</f>
        <v>75</v>
      </c>
      <c r="O318" s="53">
        <f>ak!$AY$39</f>
        <v>77</v>
      </c>
      <c r="P318" s="54">
        <f>ak!$BA$39</f>
        <v>90</v>
      </c>
      <c r="Q318" s="54">
        <f>ak!$BC$39</f>
        <v>82</v>
      </c>
      <c r="R318" s="55"/>
      <c r="S318" s="55"/>
      <c r="T318" s="55"/>
      <c r="U318" s="55"/>
      <c r="V318" s="56"/>
      <c r="X318" s="278">
        <v>39</v>
      </c>
    </row>
    <row r="319" spans="1:24" ht="15" thickBot="1">
      <c r="A319" s="268">
        <v>35</v>
      </c>
      <c r="B319" s="271"/>
      <c r="C319" s="274"/>
      <c r="D319" s="52" t="s">
        <v>295</v>
      </c>
      <c r="E319" s="53">
        <f>ak!$F$39</f>
        <v>80</v>
      </c>
      <c r="F319" s="53">
        <f>ak!$L$39</f>
        <v>79</v>
      </c>
      <c r="G319" s="53">
        <f>ak!$R$39</f>
        <v>85</v>
      </c>
      <c r="H319" s="53">
        <f>ak!$X$39</f>
        <v>84</v>
      </c>
      <c r="I319" s="53">
        <f>ak!$AB$39</f>
        <v>80</v>
      </c>
      <c r="J319" s="53">
        <f>ak!$AF$39</f>
        <v>85</v>
      </c>
      <c r="K319" s="54">
        <f>ak!$AH$39</f>
        <v>83</v>
      </c>
      <c r="L319" s="55"/>
      <c r="M319" s="53">
        <f>ak!$AN$39</f>
        <v>80</v>
      </c>
      <c r="N319" s="53">
        <f>ak!$AT$39</f>
        <v>75</v>
      </c>
      <c r="O319" s="53">
        <f>ak!$AZ$39</f>
        <v>79</v>
      </c>
      <c r="P319" s="54">
        <f>ak!$BB$39</f>
        <v>82</v>
      </c>
      <c r="Q319" s="54">
        <f>ak!$BD$39</f>
        <v>82</v>
      </c>
      <c r="R319" s="55"/>
      <c r="S319" s="55"/>
      <c r="T319" s="55"/>
      <c r="U319" s="55"/>
      <c r="V319" s="58"/>
      <c r="X319" s="278">
        <v>39</v>
      </c>
    </row>
    <row r="320" spans="1:24" ht="15" thickBot="1">
      <c r="A320" s="268">
        <v>35</v>
      </c>
      <c r="B320" s="271"/>
      <c r="C320" s="274"/>
      <c r="D320" s="52" t="s">
        <v>296</v>
      </c>
      <c r="E320" s="53">
        <f>ak!$G$39</f>
        <v>87</v>
      </c>
      <c r="F320" s="53">
        <f>ak!$M$39</f>
        <v>83</v>
      </c>
      <c r="G320" s="53">
        <f>ak!$S$39</f>
        <v>83</v>
      </c>
      <c r="H320" s="53">
        <f>ak!$Y$39</f>
        <v>81</v>
      </c>
      <c r="I320" s="53">
        <f>ak!$AC$39</f>
        <v>81</v>
      </c>
      <c r="J320" s="59"/>
      <c r="K320" s="54">
        <f>ak!$AI$39</f>
        <v>72</v>
      </c>
      <c r="L320" s="55"/>
      <c r="M320" s="53">
        <f>ak!$AO$39</f>
        <v>73</v>
      </c>
      <c r="N320" s="53">
        <f>ak!$AU$39</f>
        <v>74</v>
      </c>
      <c r="O320" s="59"/>
      <c r="P320" s="55"/>
      <c r="Q320" s="55"/>
      <c r="R320" s="54">
        <f>ak!$BU$39</f>
        <v>80.75</v>
      </c>
      <c r="S320" s="54">
        <f>ak!$BY$39</f>
        <v>83</v>
      </c>
      <c r="T320" s="55"/>
      <c r="U320" s="54">
        <f>ak!$CD$39</f>
        <v>78</v>
      </c>
      <c r="V320" s="58"/>
      <c r="X320" s="278">
        <v>39</v>
      </c>
    </row>
    <row r="321" spans="1:24" ht="15" thickBot="1">
      <c r="A321" s="268">
        <v>35</v>
      </c>
      <c r="B321" s="271"/>
      <c r="C321" s="274"/>
      <c r="D321" s="62" t="s">
        <v>297</v>
      </c>
      <c r="E321" s="53">
        <f>ak!$H$39</f>
        <v>84</v>
      </c>
      <c r="F321" s="53">
        <f>ak!$N$39</f>
        <v>89</v>
      </c>
      <c r="G321" s="53">
        <f>ak!$T$39</f>
        <v>85</v>
      </c>
      <c r="H321" s="53">
        <f>ak!$Z$39</f>
        <v>80</v>
      </c>
      <c r="I321" s="53">
        <f>ak!$AD$39</f>
        <v>81</v>
      </c>
      <c r="J321" s="59"/>
      <c r="K321" s="54">
        <f>ak!$AJ$39</f>
        <v>81</v>
      </c>
      <c r="L321" s="55"/>
      <c r="M321" s="53">
        <f>ak!$AP$39</f>
        <v>74</v>
      </c>
      <c r="N321" s="53">
        <f>ak!$AV$39</f>
        <v>77</v>
      </c>
      <c r="O321" s="59"/>
      <c r="P321" s="55"/>
      <c r="Q321" s="55"/>
      <c r="R321" s="54">
        <f>ak!$BV$39</f>
        <v>81.25</v>
      </c>
      <c r="S321" s="54">
        <f>ak!$BZ$39</f>
        <v>82</v>
      </c>
      <c r="T321" s="63"/>
      <c r="U321" s="54">
        <f>ak!$CE$39</f>
        <v>89</v>
      </c>
      <c r="V321" s="58"/>
      <c r="X321" s="278">
        <v>39</v>
      </c>
    </row>
    <row r="322" spans="1:24">
      <c r="A322" s="268">
        <v>35</v>
      </c>
      <c r="B322" s="271"/>
      <c r="C322" s="274"/>
      <c r="D322" s="62" t="s">
        <v>298</v>
      </c>
      <c r="E322" s="53">
        <f>ak!$I$39</f>
        <v>93</v>
      </c>
      <c r="F322" s="53">
        <f>ak!$O$39</f>
        <v>90</v>
      </c>
      <c r="G322" s="53">
        <f>ak!$U$39</f>
        <v>78</v>
      </c>
      <c r="H322" s="65"/>
      <c r="I322" s="65"/>
      <c r="J322" s="59"/>
      <c r="K322" s="59"/>
      <c r="L322" s="53">
        <f>ak!$AK$39</f>
        <v>83</v>
      </c>
      <c r="M322" s="53">
        <f>ak!$AQ$39</f>
        <v>83</v>
      </c>
      <c r="N322" s="53">
        <f>ak!$AW$39</f>
        <v>80</v>
      </c>
      <c r="O322" s="59"/>
      <c r="P322" s="55"/>
      <c r="Q322" s="55"/>
      <c r="R322" s="54">
        <f>ak!$BW$39</f>
        <v>83</v>
      </c>
      <c r="S322" s="54">
        <f>ak!$CA$39</f>
        <v>82</v>
      </c>
      <c r="T322" s="54"/>
      <c r="U322" s="54">
        <f>ak!$CF$39</f>
        <v>77</v>
      </c>
      <c r="V322" s="58"/>
      <c r="X322" s="278">
        <v>39</v>
      </c>
    </row>
    <row r="323" spans="1:24">
      <c r="A323" s="268">
        <v>35</v>
      </c>
      <c r="B323" s="271"/>
      <c r="C323" s="274"/>
      <c r="D323" s="66" t="s">
        <v>299</v>
      </c>
      <c r="E323" s="67">
        <f t="shared" ref="E323:G323" si="410">AVERAGE(E318:E322)</f>
        <v>86.2</v>
      </c>
      <c r="F323" s="67">
        <f t="shared" si="410"/>
        <v>84.8</v>
      </c>
      <c r="G323" s="67">
        <f t="shared" si="410"/>
        <v>83.2</v>
      </c>
      <c r="H323" s="68"/>
      <c r="I323" s="68"/>
      <c r="J323" s="69"/>
      <c r="K323" s="69"/>
      <c r="L323" s="67">
        <f t="shared" ref="L323:N323" si="411">AVERAGE(L318:L322)</f>
        <v>83</v>
      </c>
      <c r="M323" s="67">
        <f t="shared" si="411"/>
        <v>77.599999999999994</v>
      </c>
      <c r="N323" s="67">
        <f t="shared" si="411"/>
        <v>76.2</v>
      </c>
      <c r="O323" s="69"/>
      <c r="P323" s="63"/>
      <c r="Q323" s="63"/>
      <c r="R323" s="84">
        <f t="shared" ref="R323:S323" si="412">AVERAGE(R320:R322)</f>
        <v>81.666666666666671</v>
      </c>
      <c r="S323" s="84">
        <f t="shared" si="412"/>
        <v>82.333333333333329</v>
      </c>
      <c r="T323" s="63"/>
      <c r="U323" s="84">
        <f t="shared" ref="U323" si="413">AVERAGE(U318:U322)</f>
        <v>81.333333333333329</v>
      </c>
      <c r="V323" s="58"/>
      <c r="X323" s="278">
        <v>39</v>
      </c>
    </row>
    <row r="324" spans="1:24">
      <c r="A324" s="268">
        <v>35</v>
      </c>
      <c r="B324" s="271"/>
      <c r="C324" s="274"/>
      <c r="D324" s="70" t="s">
        <v>300</v>
      </c>
      <c r="E324" s="71">
        <f>ak!$J$39</f>
        <v>90</v>
      </c>
      <c r="F324" s="71">
        <f>ak!$P$39</f>
        <v>90</v>
      </c>
      <c r="G324" s="71">
        <f>ak!$V$39</f>
        <v>86</v>
      </c>
      <c r="H324" s="72"/>
      <c r="I324" s="72"/>
      <c r="J324" s="73"/>
      <c r="K324" s="73"/>
      <c r="L324" s="71">
        <f>ak!$AL$39</f>
        <v>86</v>
      </c>
      <c r="M324" s="71">
        <f>ak!$AR$39</f>
        <v>85</v>
      </c>
      <c r="N324" s="71">
        <f>ak!$AX$39</f>
        <v>85</v>
      </c>
      <c r="O324" s="73"/>
      <c r="P324" s="74"/>
      <c r="Q324" s="74"/>
      <c r="R324" s="85">
        <f>ak!$BX$39</f>
        <v>88</v>
      </c>
      <c r="S324" s="85">
        <f>ak!$BX$39</f>
        <v>88</v>
      </c>
      <c r="T324" s="85">
        <f>ak!$CC$39</f>
        <v>88</v>
      </c>
      <c r="U324" s="75">
        <f>ak!$CG$39</f>
        <v>85</v>
      </c>
      <c r="V324" s="58"/>
      <c r="X324" s="278">
        <v>39</v>
      </c>
    </row>
    <row r="325" spans="1:24">
      <c r="A325" s="268">
        <v>35</v>
      </c>
      <c r="B325" s="271"/>
      <c r="C325" s="274"/>
      <c r="D325" s="76" t="s">
        <v>301</v>
      </c>
      <c r="E325" s="77">
        <f>ak!$CH$39</f>
        <v>82</v>
      </c>
      <c r="F325" s="77">
        <f>ak!$CI$39</f>
        <v>85</v>
      </c>
      <c r="G325" s="77">
        <f>ak!$CJ$39</f>
        <v>80</v>
      </c>
      <c r="H325" s="72"/>
      <c r="I325" s="72"/>
      <c r="J325" s="73"/>
      <c r="K325" s="73"/>
      <c r="L325" s="77">
        <f>ak!$CK$39</f>
        <v>90</v>
      </c>
      <c r="M325" s="77">
        <f>ak!$CL$39</f>
        <v>80</v>
      </c>
      <c r="N325" s="77">
        <f>ak!$CM$39</f>
        <v>83</v>
      </c>
      <c r="O325" s="73"/>
      <c r="P325" s="74"/>
      <c r="Q325" s="74"/>
      <c r="R325" s="86">
        <f>ak!$CP$39</f>
        <v>90</v>
      </c>
      <c r="S325" s="86">
        <f>ak!$CO$39</f>
        <v>87</v>
      </c>
      <c r="T325" s="74"/>
      <c r="U325" s="86">
        <f>ak!$CN$39</f>
        <v>83</v>
      </c>
      <c r="V325" s="58"/>
      <c r="X325" s="278">
        <v>39</v>
      </c>
    </row>
    <row r="326" spans="1:24" ht="15" thickBot="1">
      <c r="A326" s="269">
        <v>35</v>
      </c>
      <c r="B326" s="272"/>
      <c r="C326" s="275"/>
      <c r="D326" s="78" t="s">
        <v>302</v>
      </c>
      <c r="E326" s="79">
        <f t="shared" ref="E326:G326" si="414">(E323*4+E324*3+E325*3)/10</f>
        <v>86.08</v>
      </c>
      <c r="F326" s="79">
        <f t="shared" si="414"/>
        <v>86.42</v>
      </c>
      <c r="G326" s="79">
        <f t="shared" si="414"/>
        <v>83.08</v>
      </c>
      <c r="H326" s="79">
        <f t="shared" ref="H326:I326" si="415">AVERAGE(H318:H321)</f>
        <v>82</v>
      </c>
      <c r="I326" s="79">
        <f t="shared" si="415"/>
        <v>80</v>
      </c>
      <c r="J326" s="79">
        <f t="shared" ref="J326" si="416">AVERAGE(J318:J319)</f>
        <v>84.5</v>
      </c>
      <c r="K326" s="79">
        <f t="shared" ref="K326" si="417">AVERAGE(K318:K321)</f>
        <v>80</v>
      </c>
      <c r="L326" s="79">
        <f t="shared" ref="L326:N326" si="418">(L323*4+L324*3+L325*3)/10</f>
        <v>86</v>
      </c>
      <c r="M326" s="79">
        <f t="shared" si="418"/>
        <v>80.539999999999992</v>
      </c>
      <c r="N326" s="79">
        <f t="shared" si="418"/>
        <v>80.88</v>
      </c>
      <c r="O326" s="79">
        <f t="shared" ref="O326:Q326" si="419">AVERAGE(O318:O319)</f>
        <v>78</v>
      </c>
      <c r="P326" s="79">
        <f t="shared" si="419"/>
        <v>86</v>
      </c>
      <c r="Q326" s="79">
        <f t="shared" si="419"/>
        <v>82</v>
      </c>
      <c r="R326" s="79">
        <f t="shared" ref="R326:S326" si="420">(R323*4+R324*3+R325*3)/10</f>
        <v>86.066666666666677</v>
      </c>
      <c r="S326" s="79">
        <f t="shared" si="420"/>
        <v>85.433333333333323</v>
      </c>
      <c r="T326" s="79">
        <f t="shared" ref="T326" si="421">T324</f>
        <v>88</v>
      </c>
      <c r="U326" s="79">
        <f t="shared" ref="U326" si="422">(U323*4+U324*3+U325*3)/10</f>
        <v>82.933333333333323</v>
      </c>
      <c r="V326" s="80">
        <f>AVERAGE(E326:U326)</f>
        <v>83.407843137254901</v>
      </c>
      <c r="X326" s="278">
        <v>39</v>
      </c>
    </row>
    <row r="327" spans="1:24" ht="18" customHeight="1" thickTop="1" thickBot="1">
      <c r="A327" s="268">
        <v>36</v>
      </c>
      <c r="B327" s="270" t="s">
        <v>620</v>
      </c>
      <c r="C327" s="273" t="s">
        <v>621</v>
      </c>
      <c r="D327" s="52" t="s">
        <v>294</v>
      </c>
      <c r="E327" s="53">
        <f>ak!$E$40</f>
        <v>80</v>
      </c>
      <c r="F327" s="53">
        <f>ak!$K$40</f>
        <v>85</v>
      </c>
      <c r="G327" s="53">
        <f>ak!$Q$40</f>
        <v>91</v>
      </c>
      <c r="H327" s="53">
        <f>ak!$W$40</f>
        <v>83</v>
      </c>
      <c r="I327" s="53">
        <f>ak!$AA$40</f>
        <v>77</v>
      </c>
      <c r="J327" s="53">
        <f>ak!$AE$40</f>
        <v>90</v>
      </c>
      <c r="K327" s="54">
        <f>ak!$AG$40</f>
        <v>84</v>
      </c>
      <c r="L327" s="55"/>
      <c r="M327" s="53">
        <f>ak!$AM$40</f>
        <v>75</v>
      </c>
      <c r="N327" s="53">
        <f>ak!$AS$40</f>
        <v>83</v>
      </c>
      <c r="O327" s="53">
        <f>ak!$AY$40</f>
        <v>80</v>
      </c>
      <c r="P327" s="54">
        <f>ak!$BA$40</f>
        <v>84</v>
      </c>
      <c r="Q327" s="54">
        <f>ak!$BC$40</f>
        <v>82</v>
      </c>
      <c r="R327" s="55"/>
      <c r="S327" s="55"/>
      <c r="T327" s="55"/>
      <c r="U327" s="55"/>
      <c r="V327" s="56"/>
      <c r="X327" s="278">
        <v>40</v>
      </c>
    </row>
    <row r="328" spans="1:24" ht="15" thickBot="1">
      <c r="A328" s="268">
        <v>36</v>
      </c>
      <c r="B328" s="271"/>
      <c r="C328" s="274"/>
      <c r="D328" s="52" t="s">
        <v>295</v>
      </c>
      <c r="E328" s="53">
        <f>ak!$F$40</f>
        <v>81</v>
      </c>
      <c r="F328" s="53">
        <f>ak!$L$40</f>
        <v>86</v>
      </c>
      <c r="G328" s="53">
        <f>ak!$R$40</f>
        <v>82</v>
      </c>
      <c r="H328" s="53">
        <f>ak!$X$40</f>
        <v>84</v>
      </c>
      <c r="I328" s="53">
        <f>ak!$AB$40</f>
        <v>80</v>
      </c>
      <c r="J328" s="53">
        <f>ak!$AF$40</f>
        <v>90</v>
      </c>
      <c r="K328" s="54">
        <f>ak!$AH$40</f>
        <v>85</v>
      </c>
      <c r="L328" s="55"/>
      <c r="M328" s="53">
        <f>ak!$AN$40</f>
        <v>85</v>
      </c>
      <c r="N328" s="53">
        <f>ak!$AT$40</f>
        <v>78</v>
      </c>
      <c r="O328" s="53">
        <f>ak!$AZ$40</f>
        <v>81</v>
      </c>
      <c r="P328" s="54">
        <f>ak!$BB$40</f>
        <v>82</v>
      </c>
      <c r="Q328" s="54">
        <f>ak!$BD$40</f>
        <v>84</v>
      </c>
      <c r="R328" s="55"/>
      <c r="S328" s="55"/>
      <c r="T328" s="55"/>
      <c r="U328" s="55"/>
      <c r="V328" s="58"/>
      <c r="X328" s="278">
        <v>40</v>
      </c>
    </row>
    <row r="329" spans="1:24" ht="15" thickBot="1">
      <c r="A329" s="268">
        <v>36</v>
      </c>
      <c r="B329" s="271"/>
      <c r="C329" s="274"/>
      <c r="D329" s="52" t="s">
        <v>296</v>
      </c>
      <c r="E329" s="53">
        <f>ak!$G$40</f>
        <v>90</v>
      </c>
      <c r="F329" s="53">
        <f>ak!$M$40</f>
        <v>86</v>
      </c>
      <c r="G329" s="53">
        <f>ak!$S$40</f>
        <v>86</v>
      </c>
      <c r="H329" s="53">
        <f>ak!$Y$40</f>
        <v>81</v>
      </c>
      <c r="I329" s="53">
        <f>ak!$AC$40</f>
        <v>83</v>
      </c>
      <c r="J329" s="59"/>
      <c r="K329" s="54">
        <f>ak!$AI$40</f>
        <v>70</v>
      </c>
      <c r="L329" s="55"/>
      <c r="M329" s="53">
        <f>ak!$AO$40</f>
        <v>86</v>
      </c>
      <c r="N329" s="53">
        <f>ak!$AU$40</f>
        <v>79</v>
      </c>
      <c r="O329" s="59"/>
      <c r="P329" s="55"/>
      <c r="Q329" s="55"/>
      <c r="R329" s="54">
        <f>ak!$BU$40</f>
        <v>85</v>
      </c>
      <c r="S329" s="54">
        <f>ak!$BY$40</f>
        <v>86</v>
      </c>
      <c r="T329" s="55"/>
      <c r="U329" s="54">
        <f>ak!$CD$40</f>
        <v>80</v>
      </c>
      <c r="V329" s="58"/>
      <c r="X329" s="278">
        <v>40</v>
      </c>
    </row>
    <row r="330" spans="1:24" ht="15" thickBot="1">
      <c r="A330" s="268">
        <v>36</v>
      </c>
      <c r="B330" s="271"/>
      <c r="C330" s="274"/>
      <c r="D330" s="62" t="s">
        <v>297</v>
      </c>
      <c r="E330" s="53">
        <f>ak!$H$40</f>
        <v>88</v>
      </c>
      <c r="F330" s="53">
        <f>ak!$N$40</f>
        <v>91</v>
      </c>
      <c r="G330" s="53">
        <f>ak!$T$40</f>
        <v>88</v>
      </c>
      <c r="H330" s="53">
        <f>ak!$Z$40</f>
        <v>85</v>
      </c>
      <c r="I330" s="53">
        <f>ak!$AD$40</f>
        <v>83</v>
      </c>
      <c r="J330" s="59"/>
      <c r="K330" s="54">
        <f>ak!$AJ$40</f>
        <v>83</v>
      </c>
      <c r="L330" s="55"/>
      <c r="M330" s="53">
        <f>ak!$AP$40</f>
        <v>87</v>
      </c>
      <c r="N330" s="53">
        <f>ak!$AV$40</f>
        <v>79</v>
      </c>
      <c r="O330" s="59"/>
      <c r="P330" s="55"/>
      <c r="Q330" s="55"/>
      <c r="R330" s="54">
        <f>ak!$BV$40</f>
        <v>85.25</v>
      </c>
      <c r="S330" s="54">
        <f>ak!$BZ$40</f>
        <v>86</v>
      </c>
      <c r="T330" s="63"/>
      <c r="U330" s="54">
        <f>ak!$CE$40</f>
        <v>90</v>
      </c>
      <c r="V330" s="58"/>
      <c r="X330" s="278">
        <v>40</v>
      </c>
    </row>
    <row r="331" spans="1:24">
      <c r="A331" s="268">
        <v>36</v>
      </c>
      <c r="B331" s="271"/>
      <c r="C331" s="274"/>
      <c r="D331" s="62" t="s">
        <v>298</v>
      </c>
      <c r="E331" s="53">
        <f>ak!$I$40</f>
        <v>90</v>
      </c>
      <c r="F331" s="53">
        <f>ak!$O$40</f>
        <v>92</v>
      </c>
      <c r="G331" s="53">
        <f>ak!$U$40</f>
        <v>86</v>
      </c>
      <c r="H331" s="65"/>
      <c r="I331" s="65"/>
      <c r="J331" s="59"/>
      <c r="K331" s="59"/>
      <c r="L331" s="53">
        <f>ak!$AK$40</f>
        <v>86</v>
      </c>
      <c r="M331" s="53">
        <f>ak!$AQ$40</f>
        <v>85</v>
      </c>
      <c r="N331" s="53">
        <f>ak!$AW$40</f>
        <v>85</v>
      </c>
      <c r="O331" s="59"/>
      <c r="P331" s="55"/>
      <c r="Q331" s="55"/>
      <c r="R331" s="54">
        <f>ak!$BW$40</f>
        <v>83.25</v>
      </c>
      <c r="S331" s="54">
        <f>ak!$CA$40</f>
        <v>83</v>
      </c>
      <c r="T331" s="54"/>
      <c r="U331" s="54">
        <f>ak!$CF$40</f>
        <v>82</v>
      </c>
      <c r="V331" s="58"/>
      <c r="X331" s="278">
        <v>40</v>
      </c>
    </row>
    <row r="332" spans="1:24">
      <c r="A332" s="268">
        <v>36</v>
      </c>
      <c r="B332" s="271"/>
      <c r="C332" s="274"/>
      <c r="D332" s="66" t="s">
        <v>299</v>
      </c>
      <c r="E332" s="67">
        <f t="shared" ref="E332:G332" si="423">AVERAGE(E327:E331)</f>
        <v>85.8</v>
      </c>
      <c r="F332" s="67">
        <f t="shared" si="423"/>
        <v>88</v>
      </c>
      <c r="G332" s="67">
        <f t="shared" si="423"/>
        <v>86.6</v>
      </c>
      <c r="H332" s="68"/>
      <c r="I332" s="68"/>
      <c r="J332" s="69"/>
      <c r="K332" s="69"/>
      <c r="L332" s="67">
        <f t="shared" ref="L332:N332" si="424">AVERAGE(L327:L331)</f>
        <v>86</v>
      </c>
      <c r="M332" s="67">
        <f t="shared" si="424"/>
        <v>83.6</v>
      </c>
      <c r="N332" s="67">
        <f t="shared" si="424"/>
        <v>80.8</v>
      </c>
      <c r="O332" s="69"/>
      <c r="P332" s="63"/>
      <c r="Q332" s="63"/>
      <c r="R332" s="84">
        <f t="shared" ref="R332:S332" si="425">AVERAGE(R329:R331)</f>
        <v>84.5</v>
      </c>
      <c r="S332" s="84">
        <f t="shared" si="425"/>
        <v>85</v>
      </c>
      <c r="T332" s="63"/>
      <c r="U332" s="84">
        <f t="shared" ref="U332" si="426">AVERAGE(U327:U331)</f>
        <v>84</v>
      </c>
      <c r="V332" s="58"/>
      <c r="X332" s="278">
        <v>40</v>
      </c>
    </row>
    <row r="333" spans="1:24">
      <c r="A333" s="268">
        <v>36</v>
      </c>
      <c r="B333" s="271"/>
      <c r="C333" s="274"/>
      <c r="D333" s="70" t="s">
        <v>300</v>
      </c>
      <c r="E333" s="71">
        <f>ak!$J$40</f>
        <v>92</v>
      </c>
      <c r="F333" s="71">
        <f>ak!$P$40</f>
        <v>95</v>
      </c>
      <c r="G333" s="71">
        <f>ak!$V$40</f>
        <v>88</v>
      </c>
      <c r="H333" s="72"/>
      <c r="I333" s="72"/>
      <c r="J333" s="73"/>
      <c r="K333" s="73"/>
      <c r="L333" s="71">
        <f>ak!$AL$40</f>
        <v>88</v>
      </c>
      <c r="M333" s="71">
        <f>ak!$AR$40</f>
        <v>91</v>
      </c>
      <c r="N333" s="71">
        <f>ak!$AX$40</f>
        <v>91</v>
      </c>
      <c r="O333" s="73"/>
      <c r="P333" s="74"/>
      <c r="Q333" s="74"/>
      <c r="R333" s="85">
        <f>ak!$BX$40</f>
        <v>93</v>
      </c>
      <c r="S333" s="85">
        <f>ak!$BX$40</f>
        <v>93</v>
      </c>
      <c r="T333" s="85">
        <f>ak!$CC$40</f>
        <v>92</v>
      </c>
      <c r="U333" s="75">
        <f>ak!$CG$40</f>
        <v>91</v>
      </c>
      <c r="V333" s="58"/>
      <c r="X333" s="278">
        <v>40</v>
      </c>
    </row>
    <row r="334" spans="1:24">
      <c r="A334" s="268">
        <v>36</v>
      </c>
      <c r="B334" s="271"/>
      <c r="C334" s="274"/>
      <c r="D334" s="76" t="s">
        <v>301</v>
      </c>
      <c r="E334" s="77">
        <f>ak!$CH$40</f>
        <v>85</v>
      </c>
      <c r="F334" s="77">
        <f>ak!$CI$40</f>
        <v>85</v>
      </c>
      <c r="G334" s="77">
        <f>ak!$CJ$40</f>
        <v>85</v>
      </c>
      <c r="H334" s="72"/>
      <c r="I334" s="72"/>
      <c r="J334" s="73"/>
      <c r="K334" s="73"/>
      <c r="L334" s="77">
        <f>ak!$CK$40</f>
        <v>92</v>
      </c>
      <c r="M334" s="77">
        <f>ak!$CL$40</f>
        <v>84</v>
      </c>
      <c r="N334" s="77">
        <f>ak!$CM$40</f>
        <v>83</v>
      </c>
      <c r="O334" s="73"/>
      <c r="P334" s="74"/>
      <c r="Q334" s="74"/>
      <c r="R334" s="86">
        <f>ak!$CP$40</f>
        <v>92</v>
      </c>
      <c r="S334" s="86">
        <f>ak!$CO$40</f>
        <v>88</v>
      </c>
      <c r="T334" s="74"/>
      <c r="U334" s="86">
        <f>ak!$CN$40</f>
        <v>84</v>
      </c>
      <c r="V334" s="58"/>
      <c r="X334" s="278">
        <v>40</v>
      </c>
    </row>
    <row r="335" spans="1:24" ht="15" thickBot="1">
      <c r="A335" s="269">
        <v>36</v>
      </c>
      <c r="B335" s="272"/>
      <c r="C335" s="275"/>
      <c r="D335" s="78" t="s">
        <v>302</v>
      </c>
      <c r="E335" s="79">
        <f t="shared" ref="E335:G335" si="427">(E332*4+E333*3+E334*3)/10</f>
        <v>87.42</v>
      </c>
      <c r="F335" s="79">
        <f t="shared" si="427"/>
        <v>89.2</v>
      </c>
      <c r="G335" s="79">
        <f t="shared" si="427"/>
        <v>86.539999999999992</v>
      </c>
      <c r="H335" s="79">
        <f t="shared" ref="H335:I335" si="428">AVERAGE(H327:H330)</f>
        <v>83.25</v>
      </c>
      <c r="I335" s="79">
        <f t="shared" si="428"/>
        <v>80.75</v>
      </c>
      <c r="J335" s="79">
        <f t="shared" ref="J335" si="429">AVERAGE(J327:J328)</f>
        <v>90</v>
      </c>
      <c r="K335" s="79">
        <f t="shared" ref="K335" si="430">AVERAGE(K327:K330)</f>
        <v>80.5</v>
      </c>
      <c r="L335" s="79">
        <f t="shared" ref="L335:N335" si="431">(L332*4+L333*3+L334*3)/10</f>
        <v>88.4</v>
      </c>
      <c r="M335" s="79">
        <f t="shared" si="431"/>
        <v>85.94</v>
      </c>
      <c r="N335" s="79">
        <f t="shared" si="431"/>
        <v>84.52000000000001</v>
      </c>
      <c r="O335" s="79">
        <f t="shared" ref="O335:Q335" si="432">AVERAGE(O327:O328)</f>
        <v>80.5</v>
      </c>
      <c r="P335" s="79">
        <f t="shared" si="432"/>
        <v>83</v>
      </c>
      <c r="Q335" s="79">
        <f t="shared" si="432"/>
        <v>83</v>
      </c>
      <c r="R335" s="79">
        <f t="shared" ref="R335:S335" si="433">(R332*4+R333*3+R334*3)/10</f>
        <v>89.3</v>
      </c>
      <c r="S335" s="79">
        <f t="shared" si="433"/>
        <v>88.3</v>
      </c>
      <c r="T335" s="79">
        <f t="shared" ref="T335" si="434">T333</f>
        <v>92</v>
      </c>
      <c r="U335" s="79">
        <f t="shared" ref="U335" si="435">(U332*4+U333*3+U334*3)/10</f>
        <v>86.1</v>
      </c>
      <c r="V335" s="80">
        <f>AVERAGE(E335:U335)</f>
        <v>85.807058823529403</v>
      </c>
      <c r="X335" s="278">
        <v>40</v>
      </c>
    </row>
    <row r="336" spans="1:24" ht="15.6" thickTop="1" thickBot="1">
      <c r="A336" s="268">
        <v>37</v>
      </c>
      <c r="B336" s="270" t="s">
        <v>622</v>
      </c>
      <c r="C336" s="273" t="s">
        <v>623</v>
      </c>
      <c r="D336" s="52" t="s">
        <v>294</v>
      </c>
      <c r="E336" s="53">
        <f>ak!$E$41</f>
        <v>88</v>
      </c>
      <c r="F336" s="53">
        <f>ak!$K$41</f>
        <v>81</v>
      </c>
      <c r="G336" s="53">
        <f>ak!$Q$41</f>
        <v>93</v>
      </c>
      <c r="H336" s="53">
        <f>ak!$W$41</f>
        <v>83</v>
      </c>
      <c r="I336" s="53">
        <f>ak!$AA$41</f>
        <v>79</v>
      </c>
      <c r="J336" s="53">
        <f>ak!$AE$41</f>
        <v>83</v>
      </c>
      <c r="K336" s="54">
        <f>ak!$AG$41</f>
        <v>83</v>
      </c>
      <c r="L336" s="55"/>
      <c r="M336" s="53">
        <f>ak!$AM$41</f>
        <v>80</v>
      </c>
      <c r="N336" s="53">
        <f>ak!$AS$41</f>
        <v>76</v>
      </c>
      <c r="O336" s="53">
        <f>ak!$AY$41</f>
        <v>77</v>
      </c>
      <c r="P336" s="54">
        <f>ak!$BA$41</f>
        <v>81</v>
      </c>
      <c r="Q336" s="54">
        <f>ak!$BC$41</f>
        <v>83</v>
      </c>
      <c r="R336" s="55"/>
      <c r="S336" s="55"/>
      <c r="T336" s="55"/>
      <c r="U336" s="55"/>
      <c r="V336" s="56"/>
      <c r="X336" s="278">
        <v>41</v>
      </c>
    </row>
    <row r="337" spans="1:24" ht="15" thickBot="1">
      <c r="A337" s="268">
        <v>37</v>
      </c>
      <c r="B337" s="271"/>
      <c r="C337" s="274"/>
      <c r="D337" s="52" t="s">
        <v>295</v>
      </c>
      <c r="E337" s="53">
        <f>ak!$F$41</f>
        <v>90</v>
      </c>
      <c r="F337" s="53">
        <f>ak!$L$41</f>
        <v>87</v>
      </c>
      <c r="G337" s="53">
        <f>ak!$R$41</f>
        <v>87</v>
      </c>
      <c r="H337" s="53">
        <f>ak!$X$41</f>
        <v>84</v>
      </c>
      <c r="I337" s="53">
        <f>ak!$AB$41</f>
        <v>88</v>
      </c>
      <c r="J337" s="53">
        <f>ak!$AF$41</f>
        <v>84</v>
      </c>
      <c r="K337" s="54">
        <f>ak!$AH$41</f>
        <v>84</v>
      </c>
      <c r="L337" s="55"/>
      <c r="M337" s="53">
        <f>ak!$AN$41</f>
        <v>85</v>
      </c>
      <c r="N337" s="53">
        <f>ak!$AT$41</f>
        <v>76</v>
      </c>
      <c r="O337" s="53">
        <f>ak!$AZ$41</f>
        <v>81</v>
      </c>
      <c r="P337" s="54">
        <f>ak!$BB$41</f>
        <v>85</v>
      </c>
      <c r="Q337" s="54">
        <f>ak!$BD$41</f>
        <v>84</v>
      </c>
      <c r="R337" s="55"/>
      <c r="S337" s="55"/>
      <c r="T337" s="55"/>
      <c r="U337" s="55"/>
      <c r="V337" s="58"/>
      <c r="X337" s="278">
        <v>41</v>
      </c>
    </row>
    <row r="338" spans="1:24" ht="15" thickBot="1">
      <c r="A338" s="268">
        <v>37</v>
      </c>
      <c r="B338" s="271"/>
      <c r="C338" s="274"/>
      <c r="D338" s="52" t="s">
        <v>296</v>
      </c>
      <c r="E338" s="53">
        <f>ak!$G$41</f>
        <v>88</v>
      </c>
      <c r="F338" s="53">
        <f>ak!$M$41</f>
        <v>85</v>
      </c>
      <c r="G338" s="53">
        <f>ak!$S$41</f>
        <v>86</v>
      </c>
      <c r="H338" s="53">
        <f>ak!$Y$41</f>
        <v>76</v>
      </c>
      <c r="I338" s="53">
        <f>ak!$AC$41</f>
        <v>80</v>
      </c>
      <c r="J338" s="59"/>
      <c r="K338" s="54">
        <f>ak!$AI$41</f>
        <v>78</v>
      </c>
      <c r="L338" s="55"/>
      <c r="M338" s="53">
        <f>ak!$AO$41</f>
        <v>85</v>
      </c>
      <c r="N338" s="53">
        <f>ak!$AU$41</f>
        <v>77</v>
      </c>
      <c r="O338" s="59"/>
      <c r="P338" s="55"/>
      <c r="Q338" s="55"/>
      <c r="R338" s="54">
        <f>ak!$BU$41</f>
        <v>81.5</v>
      </c>
      <c r="S338" s="54">
        <f>ak!$BY$41</f>
        <v>82</v>
      </c>
      <c r="T338" s="55"/>
      <c r="U338" s="54">
        <f>ak!$CD$41</f>
        <v>75</v>
      </c>
      <c r="V338" s="58"/>
      <c r="X338" s="278">
        <v>41</v>
      </c>
    </row>
    <row r="339" spans="1:24" ht="15" thickBot="1">
      <c r="A339" s="268">
        <v>37</v>
      </c>
      <c r="B339" s="271"/>
      <c r="C339" s="274"/>
      <c r="D339" s="62" t="s">
        <v>297</v>
      </c>
      <c r="E339" s="53">
        <f>ak!$H$41</f>
        <v>84</v>
      </c>
      <c r="F339" s="53">
        <f>ak!$N$41</f>
        <v>85</v>
      </c>
      <c r="G339" s="53">
        <f>ak!$T$41</f>
        <v>85</v>
      </c>
      <c r="H339" s="53">
        <f>ak!$Z$41</f>
        <v>85</v>
      </c>
      <c r="I339" s="53">
        <f>ak!$AD$41</f>
        <v>82</v>
      </c>
      <c r="J339" s="59"/>
      <c r="K339" s="54">
        <f>ak!$AJ$41</f>
        <v>82</v>
      </c>
      <c r="L339" s="55"/>
      <c r="M339" s="53">
        <f>ak!$AP$41</f>
        <v>86</v>
      </c>
      <c r="N339" s="53">
        <f>ak!$AV$41</f>
        <v>77</v>
      </c>
      <c r="O339" s="59"/>
      <c r="P339" s="55"/>
      <c r="Q339" s="55"/>
      <c r="R339" s="54">
        <f>ak!$BV$41</f>
        <v>83</v>
      </c>
      <c r="S339" s="54">
        <f>ak!$BZ$41</f>
        <v>84</v>
      </c>
      <c r="T339" s="63"/>
      <c r="U339" s="54">
        <f>ak!$CE$41</f>
        <v>83</v>
      </c>
      <c r="V339" s="58"/>
      <c r="X339" s="278">
        <v>41</v>
      </c>
    </row>
    <row r="340" spans="1:24">
      <c r="A340" s="268">
        <v>37</v>
      </c>
      <c r="B340" s="271"/>
      <c r="C340" s="274"/>
      <c r="D340" s="62" t="s">
        <v>298</v>
      </c>
      <c r="E340" s="53">
        <f>ak!$I$41</f>
        <v>94</v>
      </c>
      <c r="F340" s="53">
        <f>ak!$O$41</f>
        <v>86</v>
      </c>
      <c r="G340" s="53">
        <f>ak!$U$41</f>
        <v>82</v>
      </c>
      <c r="H340" s="65"/>
      <c r="I340" s="65"/>
      <c r="J340" s="59"/>
      <c r="K340" s="59"/>
      <c r="L340" s="53">
        <f>ak!$AK$41</f>
        <v>88</v>
      </c>
      <c r="M340" s="53">
        <f>ak!$AQ$41</f>
        <v>86</v>
      </c>
      <c r="N340" s="53">
        <f>ak!$AW$41</f>
        <v>84</v>
      </c>
      <c r="O340" s="59"/>
      <c r="P340" s="55"/>
      <c r="Q340" s="55"/>
      <c r="R340" s="54">
        <f>ak!$BW$41</f>
        <v>84.75</v>
      </c>
      <c r="S340" s="54">
        <f>ak!$CA$41</f>
        <v>84</v>
      </c>
      <c r="T340" s="54"/>
      <c r="U340" s="54">
        <f>ak!$CF$41</f>
        <v>82</v>
      </c>
      <c r="V340" s="58"/>
      <c r="X340" s="278">
        <v>41</v>
      </c>
    </row>
    <row r="341" spans="1:24">
      <c r="A341" s="268">
        <v>37</v>
      </c>
      <c r="B341" s="271"/>
      <c r="C341" s="274"/>
      <c r="D341" s="66" t="s">
        <v>299</v>
      </c>
      <c r="E341" s="67">
        <f t="shared" ref="E341:G341" si="436">AVERAGE(E336:E340)</f>
        <v>88.8</v>
      </c>
      <c r="F341" s="67">
        <f t="shared" si="436"/>
        <v>84.8</v>
      </c>
      <c r="G341" s="67">
        <f t="shared" si="436"/>
        <v>86.6</v>
      </c>
      <c r="H341" s="68"/>
      <c r="I341" s="68"/>
      <c r="J341" s="69"/>
      <c r="K341" s="69"/>
      <c r="L341" s="67">
        <f t="shared" ref="L341:N341" si="437">AVERAGE(L336:L340)</f>
        <v>88</v>
      </c>
      <c r="M341" s="67">
        <f t="shared" si="437"/>
        <v>84.4</v>
      </c>
      <c r="N341" s="67">
        <f t="shared" si="437"/>
        <v>78</v>
      </c>
      <c r="O341" s="69"/>
      <c r="P341" s="63"/>
      <c r="Q341" s="63"/>
      <c r="R341" s="84">
        <f t="shared" ref="R341:S341" si="438">AVERAGE(R338:R340)</f>
        <v>83.083333333333329</v>
      </c>
      <c r="S341" s="84">
        <f t="shared" si="438"/>
        <v>83.333333333333329</v>
      </c>
      <c r="T341" s="63"/>
      <c r="U341" s="84">
        <f t="shared" ref="U341" si="439">AVERAGE(U336:U340)</f>
        <v>80</v>
      </c>
      <c r="V341" s="58"/>
      <c r="X341" s="278">
        <v>41</v>
      </c>
    </row>
    <row r="342" spans="1:24">
      <c r="A342" s="268">
        <v>37</v>
      </c>
      <c r="B342" s="271"/>
      <c r="C342" s="274"/>
      <c r="D342" s="70" t="s">
        <v>300</v>
      </c>
      <c r="E342" s="71">
        <f>ak!$J$41</f>
        <v>91</v>
      </c>
      <c r="F342" s="71">
        <f>ak!$P$41</f>
        <v>90</v>
      </c>
      <c r="G342" s="71">
        <f>ak!$V$41</f>
        <v>90</v>
      </c>
      <c r="H342" s="72"/>
      <c r="I342" s="72"/>
      <c r="J342" s="73"/>
      <c r="K342" s="73"/>
      <c r="L342" s="71">
        <f>ak!$AL$41</f>
        <v>90</v>
      </c>
      <c r="M342" s="71">
        <f>ak!$AR$41</f>
        <v>93</v>
      </c>
      <c r="N342" s="71">
        <f>ak!$AX$41</f>
        <v>93</v>
      </c>
      <c r="O342" s="73"/>
      <c r="P342" s="74"/>
      <c r="Q342" s="74"/>
      <c r="R342" s="85">
        <f>ak!$BX$41</f>
        <v>94</v>
      </c>
      <c r="S342" s="85">
        <f>ak!$BX$41</f>
        <v>94</v>
      </c>
      <c r="T342" s="85">
        <f>ak!$CC$41</f>
        <v>92</v>
      </c>
      <c r="U342" s="75">
        <f>ak!$CG$41</f>
        <v>93</v>
      </c>
      <c r="V342" s="58"/>
      <c r="X342" s="278">
        <v>41</v>
      </c>
    </row>
    <row r="343" spans="1:24">
      <c r="A343" s="268">
        <v>37</v>
      </c>
      <c r="B343" s="271"/>
      <c r="C343" s="274"/>
      <c r="D343" s="76" t="s">
        <v>301</v>
      </c>
      <c r="E343" s="77">
        <f>ak!$CH$41</f>
        <v>89</v>
      </c>
      <c r="F343" s="77">
        <f>ak!$CI$41</f>
        <v>91</v>
      </c>
      <c r="G343" s="77">
        <f>ak!$CJ$41</f>
        <v>80</v>
      </c>
      <c r="H343" s="72"/>
      <c r="I343" s="72"/>
      <c r="J343" s="73"/>
      <c r="K343" s="73"/>
      <c r="L343" s="77">
        <f>ak!$CK$41</f>
        <v>87</v>
      </c>
      <c r="M343" s="77">
        <f>ak!$CL$41</f>
        <v>86</v>
      </c>
      <c r="N343" s="77">
        <f>ak!$CM$41</f>
        <v>80</v>
      </c>
      <c r="O343" s="73"/>
      <c r="P343" s="74"/>
      <c r="Q343" s="74"/>
      <c r="R343" s="86">
        <f>ak!$CP$41</f>
        <v>80</v>
      </c>
      <c r="S343" s="86">
        <f>ak!$CO$41</f>
        <v>87</v>
      </c>
      <c r="T343" s="74"/>
      <c r="U343" s="86">
        <f>ak!$CN$41</f>
        <v>84</v>
      </c>
      <c r="V343" s="58"/>
      <c r="X343" s="278">
        <v>41</v>
      </c>
    </row>
    <row r="344" spans="1:24" ht="15" thickBot="1">
      <c r="A344" s="269">
        <v>37</v>
      </c>
      <c r="B344" s="272"/>
      <c r="C344" s="275"/>
      <c r="D344" s="78" t="s">
        <v>302</v>
      </c>
      <c r="E344" s="79">
        <f t="shared" ref="E344:G344" si="440">(E341*4+E342*3+E343*3)/10</f>
        <v>89.52000000000001</v>
      </c>
      <c r="F344" s="79">
        <f t="shared" si="440"/>
        <v>88.22</v>
      </c>
      <c r="G344" s="79">
        <f t="shared" si="440"/>
        <v>85.64</v>
      </c>
      <c r="H344" s="79">
        <f t="shared" ref="H344:I344" si="441">AVERAGE(H336:H339)</f>
        <v>82</v>
      </c>
      <c r="I344" s="79">
        <f t="shared" si="441"/>
        <v>82.25</v>
      </c>
      <c r="J344" s="79">
        <f t="shared" ref="J344" si="442">AVERAGE(J336:J337)</f>
        <v>83.5</v>
      </c>
      <c r="K344" s="79">
        <f t="shared" ref="K344" si="443">AVERAGE(K336:K339)</f>
        <v>81.75</v>
      </c>
      <c r="L344" s="79">
        <f t="shared" ref="L344:N344" si="444">(L341*4+L342*3+L343*3)/10</f>
        <v>88.3</v>
      </c>
      <c r="M344" s="79">
        <f t="shared" si="444"/>
        <v>87.460000000000008</v>
      </c>
      <c r="N344" s="79">
        <f t="shared" si="444"/>
        <v>83.1</v>
      </c>
      <c r="O344" s="79">
        <f t="shared" ref="O344:Q344" si="445">AVERAGE(O336:O337)</f>
        <v>79</v>
      </c>
      <c r="P344" s="79">
        <f t="shared" si="445"/>
        <v>83</v>
      </c>
      <c r="Q344" s="79">
        <f t="shared" si="445"/>
        <v>83.5</v>
      </c>
      <c r="R344" s="79">
        <f t="shared" ref="R344:S344" si="446">(R341*4+R342*3+R343*3)/10</f>
        <v>85.433333333333323</v>
      </c>
      <c r="S344" s="79">
        <f t="shared" si="446"/>
        <v>87.633333333333326</v>
      </c>
      <c r="T344" s="79">
        <f t="shared" ref="T344" si="447">T342</f>
        <v>92</v>
      </c>
      <c r="U344" s="79">
        <f t="shared" ref="U344" si="448">(U341*4+U342*3+U343*3)/10</f>
        <v>85.1</v>
      </c>
      <c r="V344" s="80">
        <f>AVERAGE(E344:U344)</f>
        <v>85.14156862745098</v>
      </c>
      <c r="X344" s="278">
        <v>41</v>
      </c>
    </row>
    <row r="345" spans="1:24" ht="15.6" thickTop="1" thickBot="1">
      <c r="A345" s="268">
        <v>38</v>
      </c>
      <c r="B345" s="270" t="s">
        <v>624</v>
      </c>
      <c r="C345" s="273" t="s">
        <v>625</v>
      </c>
      <c r="D345" s="52" t="s">
        <v>294</v>
      </c>
      <c r="E345" s="53">
        <f>ak!$E$42</f>
        <v>84</v>
      </c>
      <c r="F345" s="53">
        <f>ak!$K$42</f>
        <v>85</v>
      </c>
      <c r="G345" s="53">
        <f>ak!$Q$42</f>
        <v>86</v>
      </c>
      <c r="H345" s="53">
        <f>ak!$W$42</f>
        <v>83</v>
      </c>
      <c r="I345" s="53">
        <f>ak!$AA$42</f>
        <v>79</v>
      </c>
      <c r="J345" s="53">
        <f>ak!$AE$42</f>
        <v>82</v>
      </c>
      <c r="K345" s="54">
        <f>ak!$AG$42</f>
        <v>82</v>
      </c>
      <c r="L345" s="55"/>
      <c r="M345" s="53">
        <f>ak!$AM$42</f>
        <v>74</v>
      </c>
      <c r="N345" s="53">
        <f>ak!$AS$42</f>
        <v>75</v>
      </c>
      <c r="O345" s="53">
        <f>ak!$AY$42</f>
        <v>80</v>
      </c>
      <c r="P345" s="54">
        <f>ak!$BA$42</f>
        <v>82</v>
      </c>
      <c r="Q345" s="54">
        <f>ak!$BC$42</f>
        <v>83</v>
      </c>
      <c r="R345" s="55"/>
      <c r="S345" s="55"/>
      <c r="T345" s="55"/>
      <c r="U345" s="55"/>
      <c r="V345" s="56"/>
      <c r="X345" s="278">
        <v>42</v>
      </c>
    </row>
    <row r="346" spans="1:24" ht="15" thickBot="1">
      <c r="A346" s="268">
        <v>38</v>
      </c>
      <c r="B346" s="271"/>
      <c r="C346" s="274"/>
      <c r="D346" s="52" t="s">
        <v>295</v>
      </c>
      <c r="E346" s="53">
        <f>ak!$F$42</f>
        <v>80</v>
      </c>
      <c r="F346" s="53">
        <f>ak!$L$42</f>
        <v>78</v>
      </c>
      <c r="G346" s="53">
        <f>ak!$R$42</f>
        <v>84</v>
      </c>
      <c r="H346" s="53">
        <f>ak!$X$42</f>
        <v>86</v>
      </c>
      <c r="I346" s="53">
        <f>ak!$AB$42</f>
        <v>85</v>
      </c>
      <c r="J346" s="53">
        <f>ak!$AF$42</f>
        <v>85</v>
      </c>
      <c r="K346" s="54">
        <f>ak!$AH$42</f>
        <v>85</v>
      </c>
      <c r="L346" s="55"/>
      <c r="M346" s="53">
        <f>ak!$AN$42</f>
        <v>75</v>
      </c>
      <c r="N346" s="53">
        <f>ak!$AT$42</f>
        <v>75</v>
      </c>
      <c r="O346" s="53">
        <f>ak!$AZ$42</f>
        <v>80</v>
      </c>
      <c r="P346" s="54">
        <f>ak!$BB$42</f>
        <v>81</v>
      </c>
      <c r="Q346" s="54">
        <f>ak!$BD$42</f>
        <v>84</v>
      </c>
      <c r="R346" s="55"/>
      <c r="S346" s="55"/>
      <c r="T346" s="55"/>
      <c r="U346" s="55"/>
      <c r="V346" s="58"/>
      <c r="X346" s="278">
        <v>42</v>
      </c>
    </row>
    <row r="347" spans="1:24" ht="15" thickBot="1">
      <c r="A347" s="268">
        <v>38</v>
      </c>
      <c r="B347" s="271"/>
      <c r="C347" s="274"/>
      <c r="D347" s="52" t="s">
        <v>296</v>
      </c>
      <c r="E347" s="53">
        <f>ak!$G$42</f>
        <v>88</v>
      </c>
      <c r="F347" s="53">
        <f>ak!$M$42</f>
        <v>87</v>
      </c>
      <c r="G347" s="53">
        <f>ak!$S$42</f>
        <v>85</v>
      </c>
      <c r="H347" s="53">
        <f>ak!$Y$42</f>
        <v>83</v>
      </c>
      <c r="I347" s="53">
        <f>ak!$AC$42</f>
        <v>81</v>
      </c>
      <c r="J347" s="59"/>
      <c r="K347" s="54">
        <f>ak!$AI$42</f>
        <v>70</v>
      </c>
      <c r="L347" s="55"/>
      <c r="M347" s="53">
        <f>ak!$AO$42</f>
        <v>78</v>
      </c>
      <c r="N347" s="53">
        <f>ak!$AU$42</f>
        <v>80</v>
      </c>
      <c r="O347" s="59"/>
      <c r="P347" s="55"/>
      <c r="Q347" s="55"/>
      <c r="R347" s="54">
        <f>ak!$BU$42</f>
        <v>83.5</v>
      </c>
      <c r="S347" s="54">
        <f>ak!$BY$42</f>
        <v>84</v>
      </c>
      <c r="T347" s="55"/>
      <c r="U347" s="54">
        <f>ak!$CD$42</f>
        <v>78</v>
      </c>
      <c r="V347" s="58"/>
      <c r="X347" s="278">
        <v>42</v>
      </c>
    </row>
    <row r="348" spans="1:24" ht="15" thickBot="1">
      <c r="A348" s="268">
        <v>38</v>
      </c>
      <c r="B348" s="271"/>
      <c r="C348" s="274"/>
      <c r="D348" s="62" t="s">
        <v>297</v>
      </c>
      <c r="E348" s="53">
        <f>ak!$H$42</f>
        <v>84</v>
      </c>
      <c r="F348" s="53">
        <f>ak!$N$42</f>
        <v>90</v>
      </c>
      <c r="G348" s="53">
        <f>ak!$T$42</f>
        <v>85</v>
      </c>
      <c r="H348" s="53">
        <f>ak!$Z$42</f>
        <v>87</v>
      </c>
      <c r="I348" s="53">
        <f>ak!$AD$42</f>
        <v>87</v>
      </c>
      <c r="J348" s="59"/>
      <c r="K348" s="54">
        <f>ak!$AJ$42</f>
        <v>87</v>
      </c>
      <c r="L348" s="55"/>
      <c r="M348" s="53">
        <f>ak!$AP$42</f>
        <v>79</v>
      </c>
      <c r="N348" s="53">
        <f>ak!$AV$42</f>
        <v>77</v>
      </c>
      <c r="O348" s="59"/>
      <c r="P348" s="55"/>
      <c r="Q348" s="55"/>
      <c r="R348" s="54">
        <f>ak!$BV$42</f>
        <v>84.75</v>
      </c>
      <c r="S348" s="54">
        <f>ak!$BZ$42</f>
        <v>85</v>
      </c>
      <c r="T348" s="63"/>
      <c r="U348" s="54">
        <f>ak!$CE$42</f>
        <v>94</v>
      </c>
      <c r="V348" s="58"/>
      <c r="X348" s="278">
        <v>42</v>
      </c>
    </row>
    <row r="349" spans="1:24">
      <c r="A349" s="268">
        <v>38</v>
      </c>
      <c r="B349" s="271"/>
      <c r="C349" s="274"/>
      <c r="D349" s="62" t="s">
        <v>298</v>
      </c>
      <c r="E349" s="53">
        <f>ak!$I$42</f>
        <v>88</v>
      </c>
      <c r="F349" s="53">
        <f>ak!$O$42</f>
        <v>91</v>
      </c>
      <c r="G349" s="53">
        <f>ak!$U$42</f>
        <v>89</v>
      </c>
      <c r="H349" s="65"/>
      <c r="I349" s="65"/>
      <c r="J349" s="59"/>
      <c r="K349" s="59"/>
      <c r="L349" s="53">
        <f>ak!$AK$42</f>
        <v>84</v>
      </c>
      <c r="M349" s="53">
        <f>ak!$AQ$42</f>
        <v>83</v>
      </c>
      <c r="N349" s="53">
        <f>ak!$AW$42</f>
        <v>83</v>
      </c>
      <c r="O349" s="59"/>
      <c r="P349" s="55"/>
      <c r="Q349" s="55"/>
      <c r="R349" s="54">
        <f>ak!$BW$42</f>
        <v>83.5</v>
      </c>
      <c r="S349" s="54">
        <f>ak!$CA$42</f>
        <v>84</v>
      </c>
      <c r="T349" s="54"/>
      <c r="U349" s="54">
        <f>ak!$CF$42</f>
        <v>90</v>
      </c>
      <c r="V349" s="58"/>
      <c r="X349" s="278">
        <v>42</v>
      </c>
    </row>
    <row r="350" spans="1:24">
      <c r="A350" s="268">
        <v>38</v>
      </c>
      <c r="B350" s="271"/>
      <c r="C350" s="274"/>
      <c r="D350" s="66" t="s">
        <v>299</v>
      </c>
      <c r="E350" s="67">
        <f t="shared" ref="E350:G350" si="449">AVERAGE(E345:E349)</f>
        <v>84.8</v>
      </c>
      <c r="F350" s="67">
        <f t="shared" si="449"/>
        <v>86.2</v>
      </c>
      <c r="G350" s="67">
        <f t="shared" si="449"/>
        <v>85.8</v>
      </c>
      <c r="H350" s="68"/>
      <c r="I350" s="68"/>
      <c r="J350" s="69"/>
      <c r="K350" s="69"/>
      <c r="L350" s="67">
        <f t="shared" ref="L350:N350" si="450">AVERAGE(L345:L349)</f>
        <v>84</v>
      </c>
      <c r="M350" s="67">
        <f t="shared" si="450"/>
        <v>77.8</v>
      </c>
      <c r="N350" s="67">
        <f t="shared" si="450"/>
        <v>78</v>
      </c>
      <c r="O350" s="69"/>
      <c r="P350" s="63"/>
      <c r="Q350" s="63"/>
      <c r="R350" s="84">
        <f t="shared" ref="R350:S350" si="451">AVERAGE(R347:R349)</f>
        <v>83.916666666666671</v>
      </c>
      <c r="S350" s="84">
        <f t="shared" si="451"/>
        <v>84.333333333333329</v>
      </c>
      <c r="T350" s="63"/>
      <c r="U350" s="84">
        <f t="shared" ref="U350" si="452">AVERAGE(U345:U349)</f>
        <v>87.333333333333329</v>
      </c>
      <c r="V350" s="58"/>
      <c r="X350" s="278">
        <v>42</v>
      </c>
    </row>
    <row r="351" spans="1:24">
      <c r="A351" s="268">
        <v>38</v>
      </c>
      <c r="B351" s="271"/>
      <c r="C351" s="274"/>
      <c r="D351" s="70" t="s">
        <v>300</v>
      </c>
      <c r="E351" s="71">
        <f>ak!$J$42</f>
        <v>95</v>
      </c>
      <c r="F351" s="71">
        <f>ak!$P$42</f>
        <v>95</v>
      </c>
      <c r="G351" s="71">
        <f>ak!$V$42</f>
        <v>89</v>
      </c>
      <c r="H351" s="72"/>
      <c r="I351" s="72"/>
      <c r="J351" s="73"/>
      <c r="K351" s="73"/>
      <c r="L351" s="71">
        <f>ak!$AL$42</f>
        <v>89</v>
      </c>
      <c r="M351" s="71">
        <f>ak!$AR$42</f>
        <v>95</v>
      </c>
      <c r="N351" s="71">
        <f>ak!$AX$42</f>
        <v>95</v>
      </c>
      <c r="O351" s="73"/>
      <c r="P351" s="74"/>
      <c r="Q351" s="74"/>
      <c r="R351" s="85">
        <f>ak!$BX$42</f>
        <v>95</v>
      </c>
      <c r="S351" s="85">
        <f>ak!$BX$42</f>
        <v>95</v>
      </c>
      <c r="T351" s="85">
        <f>ak!$CC$42</f>
        <v>94</v>
      </c>
      <c r="U351" s="75">
        <f>ak!$CG$42</f>
        <v>95</v>
      </c>
      <c r="V351" s="58"/>
      <c r="X351" s="278">
        <v>42</v>
      </c>
    </row>
    <row r="352" spans="1:24">
      <c r="A352" s="268">
        <v>38</v>
      </c>
      <c r="B352" s="271"/>
      <c r="C352" s="274"/>
      <c r="D352" s="76" t="s">
        <v>301</v>
      </c>
      <c r="E352" s="77">
        <f>ak!$CH$42</f>
        <v>88</v>
      </c>
      <c r="F352" s="77">
        <f>ak!$CI$42</f>
        <v>82</v>
      </c>
      <c r="G352" s="77">
        <f>ak!$CJ$42</f>
        <v>88</v>
      </c>
      <c r="H352" s="72"/>
      <c r="I352" s="72"/>
      <c r="J352" s="73"/>
      <c r="K352" s="73"/>
      <c r="L352" s="77">
        <f>ak!$CK$42</f>
        <v>93</v>
      </c>
      <c r="M352" s="77">
        <f>ak!$CL$42</f>
        <v>83</v>
      </c>
      <c r="N352" s="77">
        <f>ak!$CM$42</f>
        <v>85</v>
      </c>
      <c r="O352" s="73"/>
      <c r="P352" s="74"/>
      <c r="Q352" s="74"/>
      <c r="R352" s="86">
        <f>ak!$CP$42</f>
        <v>95</v>
      </c>
      <c r="S352" s="86">
        <f>ak!$CO$42</f>
        <v>88</v>
      </c>
      <c r="T352" s="74"/>
      <c r="U352" s="86">
        <f>ak!$CN$42</f>
        <v>85</v>
      </c>
      <c r="V352" s="58"/>
      <c r="X352" s="278">
        <v>42</v>
      </c>
    </row>
    <row r="353" spans="1:24" ht="15" thickBot="1">
      <c r="A353" s="269">
        <v>38</v>
      </c>
      <c r="B353" s="272"/>
      <c r="C353" s="275"/>
      <c r="D353" s="78" t="s">
        <v>302</v>
      </c>
      <c r="E353" s="79">
        <f t="shared" ref="E353:G353" si="453">(E350*4+E351*3+E352*3)/10</f>
        <v>88.820000000000007</v>
      </c>
      <c r="F353" s="79">
        <f t="shared" si="453"/>
        <v>87.58</v>
      </c>
      <c r="G353" s="79">
        <f t="shared" si="453"/>
        <v>87.42</v>
      </c>
      <c r="H353" s="79">
        <f t="shared" ref="H353:I353" si="454">AVERAGE(H345:H348)</f>
        <v>84.75</v>
      </c>
      <c r="I353" s="79">
        <f t="shared" si="454"/>
        <v>83</v>
      </c>
      <c r="J353" s="79">
        <f t="shared" ref="J353" si="455">AVERAGE(J345:J346)</f>
        <v>83.5</v>
      </c>
      <c r="K353" s="79">
        <f t="shared" ref="K353" si="456">AVERAGE(K345:K348)</f>
        <v>81</v>
      </c>
      <c r="L353" s="79">
        <f t="shared" ref="L353:N353" si="457">(L350*4+L351*3+L352*3)/10</f>
        <v>88.2</v>
      </c>
      <c r="M353" s="79">
        <f t="shared" si="457"/>
        <v>84.52000000000001</v>
      </c>
      <c r="N353" s="79">
        <f t="shared" si="457"/>
        <v>85.2</v>
      </c>
      <c r="O353" s="79">
        <f t="shared" ref="O353:Q353" si="458">AVERAGE(O345:O346)</f>
        <v>80</v>
      </c>
      <c r="P353" s="79">
        <f t="shared" si="458"/>
        <v>81.5</v>
      </c>
      <c r="Q353" s="79">
        <f t="shared" si="458"/>
        <v>83.5</v>
      </c>
      <c r="R353" s="79">
        <f t="shared" ref="R353:S353" si="459">(R350*4+R351*3+R352*3)/10</f>
        <v>90.566666666666677</v>
      </c>
      <c r="S353" s="79">
        <f t="shared" si="459"/>
        <v>88.633333333333326</v>
      </c>
      <c r="T353" s="79">
        <f t="shared" ref="T353" si="460">T351</f>
        <v>94</v>
      </c>
      <c r="U353" s="79">
        <f t="shared" ref="U353" si="461">(U350*4+U351*3+U352*3)/10</f>
        <v>88.933333333333323</v>
      </c>
      <c r="V353" s="80">
        <f>AVERAGE(E353:U353)</f>
        <v>85.948431372549024</v>
      </c>
      <c r="X353" s="278">
        <v>42</v>
      </c>
    </row>
    <row r="354" spans="1:24" ht="15.6" thickTop="1" thickBot="1">
      <c r="A354" s="268">
        <v>39</v>
      </c>
      <c r="B354" s="270" t="s">
        <v>626</v>
      </c>
      <c r="C354" s="273" t="s">
        <v>627</v>
      </c>
      <c r="D354" s="52" t="s">
        <v>294</v>
      </c>
      <c r="E354" s="53">
        <f>ak!$E$43</f>
        <v>83</v>
      </c>
      <c r="F354" s="53">
        <f>ak!$K$43</f>
        <v>83</v>
      </c>
      <c r="G354" s="53">
        <f>ak!$Q$43</f>
        <v>89</v>
      </c>
      <c r="H354" s="53">
        <f>ak!$W$43</f>
        <v>83</v>
      </c>
      <c r="I354" s="53">
        <f>ak!$AA$43</f>
        <v>75</v>
      </c>
      <c r="J354" s="53">
        <f>ak!$AE$43</f>
        <v>82</v>
      </c>
      <c r="K354" s="54">
        <f>ak!$AG$43</f>
        <v>82</v>
      </c>
      <c r="L354" s="55"/>
      <c r="M354" s="53">
        <f>ak!$AM$43</f>
        <v>80</v>
      </c>
      <c r="N354" s="53">
        <f>ak!$AS$43</f>
        <v>72</v>
      </c>
      <c r="O354" s="53">
        <f>ak!$AY$43</f>
        <v>77</v>
      </c>
      <c r="P354" s="54">
        <f>ak!$BA$43</f>
        <v>82</v>
      </c>
      <c r="Q354" s="54">
        <f>ak!$BC$43</f>
        <v>82</v>
      </c>
      <c r="R354" s="55"/>
      <c r="S354" s="55"/>
      <c r="T354" s="55"/>
      <c r="U354" s="55"/>
      <c r="V354" s="56"/>
      <c r="X354" s="278">
        <v>43</v>
      </c>
    </row>
    <row r="355" spans="1:24" ht="15" thickBot="1">
      <c r="A355" s="268">
        <v>39</v>
      </c>
      <c r="B355" s="271"/>
      <c r="C355" s="274"/>
      <c r="D355" s="52" t="s">
        <v>295</v>
      </c>
      <c r="E355" s="53">
        <f>ak!$F$43</f>
        <v>85</v>
      </c>
      <c r="F355" s="53">
        <f>ak!$L$43</f>
        <v>79</v>
      </c>
      <c r="G355" s="53">
        <f>ak!$R$43</f>
        <v>87</v>
      </c>
      <c r="H355" s="53">
        <f>ak!$X$43</f>
        <v>84</v>
      </c>
      <c r="I355" s="53">
        <f>ak!$AB$43</f>
        <v>87</v>
      </c>
      <c r="J355" s="53">
        <f>ak!$AF$43</f>
        <v>84</v>
      </c>
      <c r="K355" s="54">
        <f>ak!$AH$43</f>
        <v>83</v>
      </c>
      <c r="L355" s="55"/>
      <c r="M355" s="53">
        <f>ak!$AN$43</f>
        <v>85</v>
      </c>
      <c r="N355" s="53">
        <f>ak!$AT$43</f>
        <v>75</v>
      </c>
      <c r="O355" s="53">
        <f>ak!$AZ$43</f>
        <v>80</v>
      </c>
      <c r="P355" s="54">
        <f>ak!$BB$43</f>
        <v>84</v>
      </c>
      <c r="Q355" s="54">
        <f>ak!$BD$43</f>
        <v>84</v>
      </c>
      <c r="R355" s="55"/>
      <c r="S355" s="55"/>
      <c r="T355" s="55"/>
      <c r="U355" s="55"/>
      <c r="V355" s="58"/>
      <c r="X355" s="278">
        <v>43</v>
      </c>
    </row>
    <row r="356" spans="1:24" ht="15" thickBot="1">
      <c r="A356" s="268">
        <v>39</v>
      </c>
      <c r="B356" s="271"/>
      <c r="C356" s="274"/>
      <c r="D356" s="52" t="s">
        <v>296</v>
      </c>
      <c r="E356" s="53">
        <f>ak!$G$43</f>
        <v>88</v>
      </c>
      <c r="F356" s="53">
        <f>ak!$M$43</f>
        <v>88</v>
      </c>
      <c r="G356" s="53">
        <f>ak!$S$43</f>
        <v>84</v>
      </c>
      <c r="H356" s="53">
        <f>ak!$Y$43</f>
        <v>81</v>
      </c>
      <c r="I356" s="53">
        <f>ak!$AC$43</f>
        <v>84</v>
      </c>
      <c r="J356" s="59"/>
      <c r="K356" s="54">
        <f>ak!$AI$43</f>
        <v>82</v>
      </c>
      <c r="L356" s="55"/>
      <c r="M356" s="53">
        <f>ak!$AO$43</f>
        <v>82</v>
      </c>
      <c r="N356" s="53">
        <f>ak!$AU$43</f>
        <v>84</v>
      </c>
      <c r="O356" s="59"/>
      <c r="P356" s="55"/>
      <c r="Q356" s="55"/>
      <c r="R356" s="54">
        <f>ak!$BU$43</f>
        <v>85.75</v>
      </c>
      <c r="S356" s="54">
        <f>ak!$BY$43</f>
        <v>85</v>
      </c>
      <c r="T356" s="55"/>
      <c r="U356" s="54">
        <f>ak!$CD$43</f>
        <v>80</v>
      </c>
      <c r="V356" s="58"/>
      <c r="X356" s="278">
        <v>43</v>
      </c>
    </row>
    <row r="357" spans="1:24" ht="15" thickBot="1">
      <c r="A357" s="268">
        <v>39</v>
      </c>
      <c r="B357" s="271"/>
      <c r="C357" s="274"/>
      <c r="D357" s="62" t="s">
        <v>297</v>
      </c>
      <c r="E357" s="53">
        <f>ak!$H$43</f>
        <v>87</v>
      </c>
      <c r="F357" s="53">
        <f>ak!$N$43</f>
        <v>82</v>
      </c>
      <c r="G357" s="53">
        <f>ak!$T$43</f>
        <v>86</v>
      </c>
      <c r="H357" s="53">
        <f>ak!$Z$43</f>
        <v>82</v>
      </c>
      <c r="I357" s="53">
        <f>ak!$AD$43</f>
        <v>83</v>
      </c>
      <c r="J357" s="59"/>
      <c r="K357" s="54">
        <f>ak!$AJ$43</f>
        <v>83</v>
      </c>
      <c r="L357" s="55"/>
      <c r="M357" s="53">
        <f>ak!$AP$43</f>
        <v>84</v>
      </c>
      <c r="N357" s="53">
        <f>ak!$AV$43</f>
        <v>80</v>
      </c>
      <c r="O357" s="59"/>
      <c r="P357" s="55"/>
      <c r="Q357" s="55"/>
      <c r="R357" s="54">
        <f>ak!$BV$43</f>
        <v>86.5</v>
      </c>
      <c r="S357" s="54">
        <f>ak!$BZ$43</f>
        <v>85</v>
      </c>
      <c r="T357" s="63"/>
      <c r="U357" s="54">
        <f>ak!$CE$43</f>
        <v>91</v>
      </c>
      <c r="V357" s="58"/>
      <c r="X357" s="278">
        <v>43</v>
      </c>
    </row>
    <row r="358" spans="1:24">
      <c r="A358" s="268">
        <v>39</v>
      </c>
      <c r="B358" s="271"/>
      <c r="C358" s="274"/>
      <c r="D358" s="62" t="s">
        <v>298</v>
      </c>
      <c r="E358" s="53">
        <f>ak!$I$43</f>
        <v>88</v>
      </c>
      <c r="F358" s="53">
        <f>ak!$O$43</f>
        <v>82</v>
      </c>
      <c r="G358" s="53">
        <f>ak!$U$43</f>
        <v>82</v>
      </c>
      <c r="H358" s="65"/>
      <c r="I358" s="65"/>
      <c r="J358" s="59"/>
      <c r="K358" s="59"/>
      <c r="L358" s="53">
        <f>ak!$AK$43</f>
        <v>83</v>
      </c>
      <c r="M358" s="53">
        <f>ak!$AQ$43</f>
        <v>84</v>
      </c>
      <c r="N358" s="53">
        <f>ak!$AW$43</f>
        <v>83</v>
      </c>
      <c r="O358" s="59"/>
      <c r="P358" s="55"/>
      <c r="Q358" s="55"/>
      <c r="R358" s="54">
        <f>ak!$BW$43</f>
        <v>83.25</v>
      </c>
      <c r="S358" s="54">
        <f>ak!$CA$43</f>
        <v>83</v>
      </c>
      <c r="T358" s="54"/>
      <c r="U358" s="54">
        <f>ak!$CF$43</f>
        <v>85</v>
      </c>
      <c r="V358" s="58"/>
      <c r="X358" s="278">
        <v>43</v>
      </c>
    </row>
    <row r="359" spans="1:24">
      <c r="A359" s="268">
        <v>39</v>
      </c>
      <c r="B359" s="271"/>
      <c r="C359" s="274"/>
      <c r="D359" s="66" t="s">
        <v>299</v>
      </c>
      <c r="E359" s="67">
        <f t="shared" ref="E359:G359" si="462">AVERAGE(E354:E358)</f>
        <v>86.2</v>
      </c>
      <c r="F359" s="67">
        <f t="shared" si="462"/>
        <v>82.8</v>
      </c>
      <c r="G359" s="67">
        <f t="shared" si="462"/>
        <v>85.6</v>
      </c>
      <c r="H359" s="68"/>
      <c r="I359" s="68"/>
      <c r="J359" s="69"/>
      <c r="K359" s="69"/>
      <c r="L359" s="67">
        <f t="shared" ref="L359:N359" si="463">AVERAGE(L354:L358)</f>
        <v>83</v>
      </c>
      <c r="M359" s="67">
        <f t="shared" si="463"/>
        <v>83</v>
      </c>
      <c r="N359" s="67">
        <f t="shared" si="463"/>
        <v>78.8</v>
      </c>
      <c r="O359" s="69"/>
      <c r="P359" s="63"/>
      <c r="Q359" s="63"/>
      <c r="R359" s="84">
        <f t="shared" ref="R359:S359" si="464">AVERAGE(R356:R358)</f>
        <v>85.166666666666671</v>
      </c>
      <c r="S359" s="84">
        <f t="shared" si="464"/>
        <v>84.333333333333329</v>
      </c>
      <c r="T359" s="63"/>
      <c r="U359" s="84">
        <f t="shared" ref="U359" si="465">AVERAGE(U354:U358)</f>
        <v>85.333333333333329</v>
      </c>
      <c r="V359" s="58"/>
      <c r="X359" s="278">
        <v>43</v>
      </c>
    </row>
    <row r="360" spans="1:24">
      <c r="A360" s="268">
        <v>39</v>
      </c>
      <c r="B360" s="271"/>
      <c r="C360" s="274"/>
      <c r="D360" s="70" t="s">
        <v>300</v>
      </c>
      <c r="E360" s="71">
        <f>ak!$J$43</f>
        <v>88</v>
      </c>
      <c r="F360" s="71">
        <f>ak!$P$43</f>
        <v>88</v>
      </c>
      <c r="G360" s="71">
        <f>ak!$V$43</f>
        <v>86</v>
      </c>
      <c r="H360" s="72"/>
      <c r="I360" s="72"/>
      <c r="J360" s="73"/>
      <c r="K360" s="73"/>
      <c r="L360" s="71">
        <f>ak!$AL$43</f>
        <v>86</v>
      </c>
      <c r="M360" s="71">
        <f>ak!$AR$43</f>
        <v>87</v>
      </c>
      <c r="N360" s="71">
        <f>ak!$AX$43</f>
        <v>87</v>
      </c>
      <c r="O360" s="73"/>
      <c r="P360" s="74"/>
      <c r="Q360" s="74"/>
      <c r="R360" s="85">
        <f>ak!$BX$43</f>
        <v>91</v>
      </c>
      <c r="S360" s="85">
        <f>ak!$BX$43</f>
        <v>91</v>
      </c>
      <c r="T360" s="85">
        <f>ak!$CC$43</f>
        <v>88</v>
      </c>
      <c r="U360" s="75">
        <f>ak!$CG$43</f>
        <v>87</v>
      </c>
      <c r="V360" s="58"/>
      <c r="X360" s="278">
        <v>43</v>
      </c>
    </row>
    <row r="361" spans="1:24">
      <c r="A361" s="268">
        <v>39</v>
      </c>
      <c r="B361" s="271"/>
      <c r="C361" s="274"/>
      <c r="D361" s="76" t="s">
        <v>301</v>
      </c>
      <c r="E361" s="77">
        <f>ak!$CH$43</f>
        <v>86</v>
      </c>
      <c r="F361" s="77">
        <f>ak!$CI$43</f>
        <v>94</v>
      </c>
      <c r="G361" s="77">
        <f>ak!$CJ$43</f>
        <v>80</v>
      </c>
      <c r="H361" s="72"/>
      <c r="I361" s="72"/>
      <c r="J361" s="73"/>
      <c r="K361" s="73"/>
      <c r="L361" s="77">
        <f>ak!$CK$43</f>
        <v>90</v>
      </c>
      <c r="M361" s="77">
        <f>ak!$CL$43</f>
        <v>84</v>
      </c>
      <c r="N361" s="77">
        <f>ak!$CM$43</f>
        <v>84</v>
      </c>
      <c r="O361" s="73"/>
      <c r="P361" s="74"/>
      <c r="Q361" s="74"/>
      <c r="R361" s="86">
        <f>ak!$CP$43</f>
        <v>72</v>
      </c>
      <c r="S361" s="86">
        <f>ak!$CO$43</f>
        <v>90</v>
      </c>
      <c r="T361" s="74"/>
      <c r="U361" s="86">
        <f>ak!$CN$43</f>
        <v>85</v>
      </c>
      <c r="V361" s="58"/>
      <c r="X361" s="278">
        <v>43</v>
      </c>
    </row>
    <row r="362" spans="1:24" ht="15" thickBot="1">
      <c r="A362" s="269">
        <v>39</v>
      </c>
      <c r="B362" s="272"/>
      <c r="C362" s="275"/>
      <c r="D362" s="78" t="s">
        <v>302</v>
      </c>
      <c r="E362" s="79">
        <f t="shared" ref="E362:G362" si="466">(E359*4+E360*3+E361*3)/10</f>
        <v>86.679999999999993</v>
      </c>
      <c r="F362" s="79">
        <f t="shared" si="466"/>
        <v>87.72</v>
      </c>
      <c r="G362" s="79">
        <f t="shared" si="466"/>
        <v>84.039999999999992</v>
      </c>
      <c r="H362" s="79">
        <f t="shared" ref="H362:I362" si="467">AVERAGE(H354:H357)</f>
        <v>82.5</v>
      </c>
      <c r="I362" s="79">
        <f t="shared" si="467"/>
        <v>82.25</v>
      </c>
      <c r="J362" s="79">
        <f t="shared" ref="J362" si="468">AVERAGE(J354:J355)</f>
        <v>83</v>
      </c>
      <c r="K362" s="79">
        <f t="shared" ref="K362" si="469">AVERAGE(K354:K357)</f>
        <v>82.5</v>
      </c>
      <c r="L362" s="79">
        <f t="shared" ref="L362:N362" si="470">(L359*4+L360*3+L361*3)/10</f>
        <v>86</v>
      </c>
      <c r="M362" s="79">
        <f t="shared" si="470"/>
        <v>84.5</v>
      </c>
      <c r="N362" s="79">
        <f t="shared" si="470"/>
        <v>82.820000000000007</v>
      </c>
      <c r="O362" s="79">
        <f t="shared" ref="O362:Q362" si="471">AVERAGE(O354:O355)</f>
        <v>78.5</v>
      </c>
      <c r="P362" s="79">
        <f t="shared" si="471"/>
        <v>83</v>
      </c>
      <c r="Q362" s="79">
        <f t="shared" si="471"/>
        <v>83</v>
      </c>
      <c r="R362" s="79">
        <f t="shared" ref="R362:S362" si="472">(R359*4+R360*3+R361*3)/10</f>
        <v>82.966666666666669</v>
      </c>
      <c r="S362" s="79">
        <f t="shared" si="472"/>
        <v>88.033333333333331</v>
      </c>
      <c r="T362" s="79">
        <f t="shared" ref="T362" si="473">T360</f>
        <v>88</v>
      </c>
      <c r="U362" s="79">
        <f t="shared" ref="U362" si="474">(U359*4+U360*3+U361*3)/10</f>
        <v>85.73333333333332</v>
      </c>
      <c r="V362" s="80">
        <f>AVERAGE(E362:U362)</f>
        <v>84.190784313725487</v>
      </c>
      <c r="X362" s="278">
        <v>43</v>
      </c>
    </row>
    <row r="363" spans="1:24" ht="15.6" thickTop="1" thickBot="1">
      <c r="A363" s="268">
        <v>40</v>
      </c>
      <c r="B363" s="270" t="s">
        <v>628</v>
      </c>
      <c r="C363" s="273" t="s">
        <v>629</v>
      </c>
      <c r="D363" s="52" t="s">
        <v>294</v>
      </c>
      <c r="E363" s="53">
        <f>ak!$E$44</f>
        <v>80</v>
      </c>
      <c r="F363" s="53">
        <f>ak!$K$44</f>
        <v>78</v>
      </c>
      <c r="G363" s="53">
        <f>ak!$Q$44</f>
        <v>82</v>
      </c>
      <c r="H363" s="53">
        <f>ak!$W$44</f>
        <v>83</v>
      </c>
      <c r="I363" s="53">
        <f>ak!$AA$44</f>
        <v>80</v>
      </c>
      <c r="J363" s="53">
        <f>ak!$AE$44</f>
        <v>82</v>
      </c>
      <c r="K363" s="54">
        <f>ak!$AG$44</f>
        <v>82</v>
      </c>
      <c r="L363" s="55"/>
      <c r="M363" s="53">
        <f>ak!$AM$44</f>
        <v>77</v>
      </c>
      <c r="N363" s="53">
        <f>ak!$AS$44</f>
        <v>72</v>
      </c>
      <c r="O363" s="53">
        <f>ak!$AY$44</f>
        <v>77</v>
      </c>
      <c r="P363" s="54">
        <f>ak!$BA$44</f>
        <v>80</v>
      </c>
      <c r="Q363" s="54">
        <f>ak!$BC$44</f>
        <v>83</v>
      </c>
      <c r="R363" s="55"/>
      <c r="S363" s="55"/>
      <c r="T363" s="55"/>
      <c r="U363" s="55"/>
      <c r="V363" s="56"/>
      <c r="X363" s="278">
        <v>44</v>
      </c>
    </row>
    <row r="364" spans="1:24" ht="15" thickBot="1">
      <c r="A364" s="268">
        <v>40</v>
      </c>
      <c r="B364" s="271"/>
      <c r="C364" s="274"/>
      <c r="D364" s="52" t="s">
        <v>295</v>
      </c>
      <c r="E364" s="53">
        <f>ak!$F$44</f>
        <v>82</v>
      </c>
      <c r="F364" s="53">
        <f>ak!$L$44</f>
        <v>76</v>
      </c>
      <c r="G364" s="53">
        <f>ak!$R$44</f>
        <v>84</v>
      </c>
      <c r="H364" s="53">
        <f>ak!$X$44</f>
        <v>85</v>
      </c>
      <c r="I364" s="53">
        <f>ak!$AB$44</f>
        <v>84</v>
      </c>
      <c r="J364" s="53">
        <f>ak!$AF$44</f>
        <v>84</v>
      </c>
      <c r="K364" s="54">
        <f>ak!$AH$44</f>
        <v>85</v>
      </c>
      <c r="L364" s="55"/>
      <c r="M364" s="53">
        <f>ak!$AN$44</f>
        <v>80</v>
      </c>
      <c r="N364" s="53">
        <f>ak!$AT$44</f>
        <v>74</v>
      </c>
      <c r="O364" s="53">
        <f>ak!$AZ$44</f>
        <v>81</v>
      </c>
      <c r="P364" s="54">
        <f>ak!$BB$44</f>
        <v>82</v>
      </c>
      <c r="Q364" s="54">
        <f>ak!$BD$44</f>
        <v>82</v>
      </c>
      <c r="R364" s="55"/>
      <c r="S364" s="55"/>
      <c r="T364" s="55"/>
      <c r="U364" s="55"/>
      <c r="V364" s="58"/>
      <c r="X364" s="278">
        <v>44</v>
      </c>
    </row>
    <row r="365" spans="1:24" ht="15" thickBot="1">
      <c r="A365" s="268">
        <v>40</v>
      </c>
      <c r="B365" s="271"/>
      <c r="C365" s="274"/>
      <c r="D365" s="52" t="s">
        <v>296</v>
      </c>
      <c r="E365" s="53">
        <f>ak!$G$44</f>
        <v>88</v>
      </c>
      <c r="F365" s="53">
        <f>ak!$M$44</f>
        <v>75</v>
      </c>
      <c r="G365" s="53">
        <f>ak!$S$44</f>
        <v>80</v>
      </c>
      <c r="H365" s="53">
        <f>ak!$Y$44</f>
        <v>80</v>
      </c>
      <c r="I365" s="53">
        <f>ak!$AC$44</f>
        <v>81</v>
      </c>
      <c r="J365" s="59"/>
      <c r="K365" s="54">
        <f>ak!$AI$44</f>
        <v>78</v>
      </c>
      <c r="L365" s="55"/>
      <c r="M365" s="53">
        <f>ak!$AO$44</f>
        <v>78</v>
      </c>
      <c r="N365" s="53">
        <f>ak!$AU$44</f>
        <v>79</v>
      </c>
      <c r="O365" s="59"/>
      <c r="P365" s="55"/>
      <c r="Q365" s="55"/>
      <c r="R365" s="54">
        <f>ak!$BU$44</f>
        <v>82.25</v>
      </c>
      <c r="S365" s="54">
        <f>ak!$BY$44</f>
        <v>83</v>
      </c>
      <c r="T365" s="55"/>
      <c r="U365" s="54">
        <f>ak!$CD$44</f>
        <v>74</v>
      </c>
      <c r="V365" s="58"/>
      <c r="X365" s="278">
        <v>44</v>
      </c>
    </row>
    <row r="366" spans="1:24" ht="15" thickBot="1">
      <c r="A366" s="268">
        <v>40</v>
      </c>
      <c r="B366" s="271"/>
      <c r="C366" s="274"/>
      <c r="D366" s="62" t="s">
        <v>297</v>
      </c>
      <c r="E366" s="53">
        <f>ak!$H$44</f>
        <v>84</v>
      </c>
      <c r="F366" s="53">
        <f>ak!$N$44</f>
        <v>86</v>
      </c>
      <c r="G366" s="53">
        <f>ak!$T$44</f>
        <v>85</v>
      </c>
      <c r="H366" s="53">
        <f>ak!$Z$44</f>
        <v>83</v>
      </c>
      <c r="I366" s="53">
        <f>ak!$AD$44</f>
        <v>85</v>
      </c>
      <c r="J366" s="59"/>
      <c r="K366" s="54">
        <f>ak!$AJ$44</f>
        <v>85</v>
      </c>
      <c r="L366" s="55"/>
      <c r="M366" s="53">
        <f>ak!$AP$44</f>
        <v>79</v>
      </c>
      <c r="N366" s="53">
        <f>ak!$AV$44</f>
        <v>77</v>
      </c>
      <c r="O366" s="59"/>
      <c r="P366" s="55"/>
      <c r="Q366" s="55"/>
      <c r="R366" s="54">
        <f>ak!$BV$44</f>
        <v>83</v>
      </c>
      <c r="S366" s="54">
        <f>ak!$BZ$44</f>
        <v>84</v>
      </c>
      <c r="T366" s="63"/>
      <c r="U366" s="54">
        <f>ak!$CE$44</f>
        <v>89</v>
      </c>
      <c r="V366" s="58"/>
      <c r="X366" s="278">
        <v>44</v>
      </c>
    </row>
    <row r="367" spans="1:24">
      <c r="A367" s="268">
        <v>40</v>
      </c>
      <c r="B367" s="271"/>
      <c r="C367" s="274"/>
      <c r="D367" s="62" t="s">
        <v>298</v>
      </c>
      <c r="E367" s="53">
        <f>ak!$I$44</f>
        <v>84</v>
      </c>
      <c r="F367" s="53">
        <f>ak!$O$44</f>
        <v>86</v>
      </c>
      <c r="G367" s="53">
        <f>ak!$U$44</f>
        <v>80</v>
      </c>
      <c r="H367" s="65"/>
      <c r="I367" s="65"/>
      <c r="J367" s="59"/>
      <c r="K367" s="59"/>
      <c r="L367" s="53">
        <f>ak!$AK$44</f>
        <v>81</v>
      </c>
      <c r="M367" s="53">
        <f>ak!$AQ$44</f>
        <v>83</v>
      </c>
      <c r="N367" s="53">
        <f>ak!$AW$44</f>
        <v>78</v>
      </c>
      <c r="O367" s="59"/>
      <c r="P367" s="55"/>
      <c r="Q367" s="55"/>
      <c r="R367" s="54">
        <f>ak!$BW$44</f>
        <v>81</v>
      </c>
      <c r="S367" s="54">
        <f>ak!$CA$44</f>
        <v>82</v>
      </c>
      <c r="T367" s="54"/>
      <c r="U367" s="54">
        <f>ak!$CF$44</f>
        <v>75</v>
      </c>
      <c r="V367" s="58"/>
      <c r="X367" s="278">
        <v>44</v>
      </c>
    </row>
    <row r="368" spans="1:24">
      <c r="A368" s="268">
        <v>40</v>
      </c>
      <c r="B368" s="271"/>
      <c r="C368" s="274"/>
      <c r="D368" s="66" t="s">
        <v>299</v>
      </c>
      <c r="E368" s="67">
        <f t="shared" ref="E368:G368" si="475">AVERAGE(E363:E367)</f>
        <v>83.6</v>
      </c>
      <c r="F368" s="67">
        <f t="shared" si="475"/>
        <v>80.2</v>
      </c>
      <c r="G368" s="67">
        <f t="shared" si="475"/>
        <v>82.2</v>
      </c>
      <c r="H368" s="68"/>
      <c r="I368" s="68"/>
      <c r="J368" s="69"/>
      <c r="K368" s="69"/>
      <c r="L368" s="67">
        <f t="shared" ref="L368:N368" si="476">AVERAGE(L363:L367)</f>
        <v>81</v>
      </c>
      <c r="M368" s="67">
        <f t="shared" si="476"/>
        <v>79.400000000000006</v>
      </c>
      <c r="N368" s="67">
        <f t="shared" si="476"/>
        <v>76</v>
      </c>
      <c r="O368" s="69"/>
      <c r="P368" s="63"/>
      <c r="Q368" s="63"/>
      <c r="R368" s="84">
        <f t="shared" ref="R368:S368" si="477">AVERAGE(R365:R367)</f>
        <v>82.083333333333329</v>
      </c>
      <c r="S368" s="84">
        <f t="shared" si="477"/>
        <v>83</v>
      </c>
      <c r="T368" s="63"/>
      <c r="U368" s="84">
        <f t="shared" ref="U368" si="478">AVERAGE(U363:U367)</f>
        <v>79.333333333333329</v>
      </c>
      <c r="V368" s="58"/>
      <c r="X368" s="278">
        <v>44</v>
      </c>
    </row>
    <row r="369" spans="1:24">
      <c r="A369" s="268">
        <v>40</v>
      </c>
      <c r="B369" s="271"/>
      <c r="C369" s="274"/>
      <c r="D369" s="70" t="s">
        <v>300</v>
      </c>
      <c r="E369" s="71">
        <f>ak!$J$44</f>
        <v>95</v>
      </c>
      <c r="F369" s="71">
        <f>ak!$P$44</f>
        <v>93</v>
      </c>
      <c r="G369" s="71">
        <f>ak!$V$44</f>
        <v>89</v>
      </c>
      <c r="H369" s="72"/>
      <c r="I369" s="72"/>
      <c r="J369" s="73"/>
      <c r="K369" s="73"/>
      <c r="L369" s="71">
        <f>ak!$AL$44</f>
        <v>89</v>
      </c>
      <c r="M369" s="71">
        <f>ak!$AR$44</f>
        <v>95</v>
      </c>
      <c r="N369" s="71">
        <f>ak!$AX$44</f>
        <v>95</v>
      </c>
      <c r="O369" s="73"/>
      <c r="P369" s="74"/>
      <c r="Q369" s="74"/>
      <c r="R369" s="85">
        <f>ak!$BX$44</f>
        <v>95</v>
      </c>
      <c r="S369" s="85">
        <f>ak!$BX$44</f>
        <v>95</v>
      </c>
      <c r="T369" s="85">
        <f>ak!$CC$44</f>
        <v>93</v>
      </c>
      <c r="U369" s="75">
        <f>ak!$CG$44</f>
        <v>95</v>
      </c>
      <c r="V369" s="58"/>
      <c r="X369" s="278">
        <v>44</v>
      </c>
    </row>
    <row r="370" spans="1:24">
      <c r="A370" s="268">
        <v>40</v>
      </c>
      <c r="B370" s="271"/>
      <c r="C370" s="274"/>
      <c r="D370" s="76" t="s">
        <v>301</v>
      </c>
      <c r="E370" s="77">
        <f>ak!$CH$44</f>
        <v>86</v>
      </c>
      <c r="F370" s="77">
        <f>ak!$CI$44</f>
        <v>82</v>
      </c>
      <c r="G370" s="77">
        <f>ak!$CJ$44</f>
        <v>80</v>
      </c>
      <c r="H370" s="72"/>
      <c r="I370" s="72"/>
      <c r="J370" s="73"/>
      <c r="K370" s="73"/>
      <c r="L370" s="77">
        <f>ak!$CK$44</f>
        <v>93</v>
      </c>
      <c r="M370" s="77">
        <f>ak!$CL$44</f>
        <v>82</v>
      </c>
      <c r="N370" s="77">
        <f>ak!$CM$44</f>
        <v>83</v>
      </c>
      <c r="O370" s="73"/>
      <c r="P370" s="74"/>
      <c r="Q370" s="74"/>
      <c r="R370" s="86">
        <f>ak!$CP$44</f>
        <v>82</v>
      </c>
      <c r="S370" s="86">
        <f>ak!$CO$44</f>
        <v>87</v>
      </c>
      <c r="T370" s="74"/>
      <c r="U370" s="86">
        <f>ak!$CN$44</f>
        <v>83</v>
      </c>
      <c r="V370" s="58"/>
      <c r="X370" s="278">
        <v>44</v>
      </c>
    </row>
    <row r="371" spans="1:24" ht="15" thickBot="1">
      <c r="A371" s="269">
        <v>40</v>
      </c>
      <c r="B371" s="272"/>
      <c r="C371" s="275"/>
      <c r="D371" s="78" t="s">
        <v>302</v>
      </c>
      <c r="E371" s="79">
        <f t="shared" ref="E371:G371" si="479">(E368*4+E369*3+E370*3)/10</f>
        <v>87.74</v>
      </c>
      <c r="F371" s="79">
        <f t="shared" si="479"/>
        <v>84.58</v>
      </c>
      <c r="G371" s="79">
        <f t="shared" si="479"/>
        <v>83.58</v>
      </c>
      <c r="H371" s="79">
        <f t="shared" ref="H371:I371" si="480">AVERAGE(H363:H366)</f>
        <v>82.75</v>
      </c>
      <c r="I371" s="79">
        <f t="shared" si="480"/>
        <v>82.5</v>
      </c>
      <c r="J371" s="79">
        <f t="shared" ref="J371" si="481">AVERAGE(J363:J364)</f>
        <v>83</v>
      </c>
      <c r="K371" s="79">
        <f t="shared" ref="K371" si="482">AVERAGE(K363:K366)</f>
        <v>82.5</v>
      </c>
      <c r="L371" s="79">
        <f t="shared" ref="L371:N371" si="483">(L368*4+L369*3+L370*3)/10</f>
        <v>87</v>
      </c>
      <c r="M371" s="79">
        <f t="shared" si="483"/>
        <v>84.86</v>
      </c>
      <c r="N371" s="79">
        <f t="shared" si="483"/>
        <v>83.8</v>
      </c>
      <c r="O371" s="79">
        <f t="shared" ref="O371:Q371" si="484">AVERAGE(O363:O364)</f>
        <v>79</v>
      </c>
      <c r="P371" s="79">
        <f t="shared" si="484"/>
        <v>81</v>
      </c>
      <c r="Q371" s="79">
        <f t="shared" si="484"/>
        <v>82.5</v>
      </c>
      <c r="R371" s="79">
        <f t="shared" ref="R371:S371" si="485">(R368*4+R369*3+R370*3)/10</f>
        <v>85.933333333333323</v>
      </c>
      <c r="S371" s="79">
        <f t="shared" si="485"/>
        <v>87.8</v>
      </c>
      <c r="T371" s="79">
        <f t="shared" ref="T371" si="486">T369</f>
        <v>93</v>
      </c>
      <c r="U371" s="79">
        <f t="shared" ref="U371" si="487">(U368*4+U369*3+U370*3)/10</f>
        <v>85.133333333333326</v>
      </c>
      <c r="V371" s="80">
        <f>AVERAGE(E371:U371)</f>
        <v>84.51039215686275</v>
      </c>
      <c r="X371" s="278">
        <v>44</v>
      </c>
    </row>
    <row r="372" spans="1:24" ht="15" thickTop="1">
      <c r="X372" s="279"/>
    </row>
    <row r="373" spans="1:24">
      <c r="X373" s="279"/>
    </row>
    <row r="374" spans="1:24">
      <c r="X374" s="279"/>
    </row>
    <row r="375" spans="1:24" ht="18">
      <c r="B375" s="42" t="s">
        <v>303</v>
      </c>
      <c r="T375" s="91" t="s">
        <v>715</v>
      </c>
      <c r="X375" s="279"/>
    </row>
    <row r="376" spans="1:24" ht="18">
      <c r="B376" s="42" t="s">
        <v>304</v>
      </c>
      <c r="T376" s="91" t="s">
        <v>419</v>
      </c>
      <c r="X376" s="279"/>
    </row>
    <row r="377" spans="1:24" ht="18">
      <c r="T377" s="91"/>
      <c r="X377" s="279"/>
    </row>
    <row r="378" spans="1:24" ht="18">
      <c r="T378" s="91"/>
      <c r="X378" s="279"/>
    </row>
    <row r="379" spans="1:24" ht="18">
      <c r="T379" s="91"/>
      <c r="X379" s="279"/>
    </row>
    <row r="380" spans="1:24" ht="18">
      <c r="K380" s="47"/>
      <c r="L380" s="47"/>
      <c r="M380" s="47"/>
      <c r="N380" s="47"/>
      <c r="O380" s="47"/>
      <c r="P380" s="47"/>
      <c r="Q380" s="47"/>
      <c r="R380" s="47"/>
      <c r="S380" s="47"/>
      <c r="T380" s="91"/>
      <c r="U380" s="47"/>
      <c r="X380" s="279"/>
    </row>
    <row r="381" spans="1:24" ht="18">
      <c r="T381" s="91"/>
      <c r="X381" s="279"/>
    </row>
    <row r="382" spans="1:24" ht="18">
      <c r="T382" s="91"/>
      <c r="X382" s="279"/>
    </row>
    <row r="383" spans="1:24" ht="18">
      <c r="T383" s="91"/>
      <c r="X383" s="279"/>
    </row>
    <row r="384" spans="1:24" ht="18">
      <c r="B384" s="47" t="s">
        <v>305</v>
      </c>
      <c r="T384" s="92" t="s">
        <v>420</v>
      </c>
      <c r="X384" s="279"/>
    </row>
    <row r="385" spans="2:24" ht="18">
      <c r="B385" s="42" t="s">
        <v>306</v>
      </c>
      <c r="T385" s="92" t="s">
        <v>421</v>
      </c>
      <c r="X385" s="279"/>
    </row>
    <row r="386" spans="2:24">
      <c r="X386" s="279"/>
    </row>
    <row r="387" spans="2:24">
      <c r="X387" s="279"/>
    </row>
  </sheetData>
  <mergeCells count="189">
    <mergeCell ref="X372:X378"/>
    <mergeCell ref="X379:X387"/>
    <mergeCell ref="A363:A371"/>
    <mergeCell ref="B363:B371"/>
    <mergeCell ref="C363:C371"/>
    <mergeCell ref="X363:X371"/>
    <mergeCell ref="A345:A353"/>
    <mergeCell ref="B345:B353"/>
    <mergeCell ref="C345:C353"/>
    <mergeCell ref="X345:X353"/>
    <mergeCell ref="A354:A362"/>
    <mergeCell ref="B354:B362"/>
    <mergeCell ref="C354:C362"/>
    <mergeCell ref="X354:X362"/>
    <mergeCell ref="A327:A335"/>
    <mergeCell ref="B327:B335"/>
    <mergeCell ref="C327:C335"/>
    <mergeCell ref="X327:X335"/>
    <mergeCell ref="A336:A344"/>
    <mergeCell ref="B336:B344"/>
    <mergeCell ref="C336:C344"/>
    <mergeCell ref="X336:X344"/>
    <mergeCell ref="A309:A317"/>
    <mergeCell ref="B309:B317"/>
    <mergeCell ref="C309:C317"/>
    <mergeCell ref="X309:X317"/>
    <mergeCell ref="A318:A326"/>
    <mergeCell ref="B318:B326"/>
    <mergeCell ref="C318:C326"/>
    <mergeCell ref="X318:X326"/>
    <mergeCell ref="A291:A299"/>
    <mergeCell ref="B291:B299"/>
    <mergeCell ref="C291:C299"/>
    <mergeCell ref="X291:X299"/>
    <mergeCell ref="A300:A308"/>
    <mergeCell ref="B300:B308"/>
    <mergeCell ref="C300:C308"/>
    <mergeCell ref="X300:X308"/>
    <mergeCell ref="A273:A281"/>
    <mergeCell ref="B273:B281"/>
    <mergeCell ref="C273:C281"/>
    <mergeCell ref="X273:X281"/>
    <mergeCell ref="A282:A290"/>
    <mergeCell ref="B282:B290"/>
    <mergeCell ref="C282:C290"/>
    <mergeCell ref="X282:X290"/>
    <mergeCell ref="A255:A263"/>
    <mergeCell ref="B255:B263"/>
    <mergeCell ref="C255:C263"/>
    <mergeCell ref="X255:X263"/>
    <mergeCell ref="A264:A272"/>
    <mergeCell ref="B264:B272"/>
    <mergeCell ref="C264:C272"/>
    <mergeCell ref="X264:X272"/>
    <mergeCell ref="A237:A245"/>
    <mergeCell ref="B237:B245"/>
    <mergeCell ref="C237:C245"/>
    <mergeCell ref="X237:X245"/>
    <mergeCell ref="A246:A254"/>
    <mergeCell ref="B246:B254"/>
    <mergeCell ref="C246:C254"/>
    <mergeCell ref="X246:X254"/>
    <mergeCell ref="A219:A227"/>
    <mergeCell ref="B219:B227"/>
    <mergeCell ref="C219:C227"/>
    <mergeCell ref="X219:X227"/>
    <mergeCell ref="A228:A236"/>
    <mergeCell ref="B228:B236"/>
    <mergeCell ref="C228:C236"/>
    <mergeCell ref="X228:X236"/>
    <mergeCell ref="A201:A209"/>
    <mergeCell ref="B201:B209"/>
    <mergeCell ref="C201:C209"/>
    <mergeCell ref="X201:X209"/>
    <mergeCell ref="A210:A218"/>
    <mergeCell ref="B210:B218"/>
    <mergeCell ref="C210:C218"/>
    <mergeCell ref="X210:X218"/>
    <mergeCell ref="A183:A191"/>
    <mergeCell ref="B183:B191"/>
    <mergeCell ref="C183:C191"/>
    <mergeCell ref="X183:X191"/>
    <mergeCell ref="A192:A200"/>
    <mergeCell ref="B192:B200"/>
    <mergeCell ref="C192:C200"/>
    <mergeCell ref="X192:X200"/>
    <mergeCell ref="A165:A173"/>
    <mergeCell ref="B165:B173"/>
    <mergeCell ref="C165:C173"/>
    <mergeCell ref="X165:X173"/>
    <mergeCell ref="A174:A182"/>
    <mergeCell ref="B174:B182"/>
    <mergeCell ref="C174:C182"/>
    <mergeCell ref="X174:X182"/>
    <mergeCell ref="A147:A155"/>
    <mergeCell ref="B147:B155"/>
    <mergeCell ref="C147:C155"/>
    <mergeCell ref="X147:X155"/>
    <mergeCell ref="A156:A164"/>
    <mergeCell ref="B156:B164"/>
    <mergeCell ref="C156:C164"/>
    <mergeCell ref="X156:X164"/>
    <mergeCell ref="A129:A137"/>
    <mergeCell ref="B129:B137"/>
    <mergeCell ref="C129:C137"/>
    <mergeCell ref="X129:X137"/>
    <mergeCell ref="A138:A146"/>
    <mergeCell ref="B138:B146"/>
    <mergeCell ref="C138:C146"/>
    <mergeCell ref="X138:X146"/>
    <mergeCell ref="A111:A119"/>
    <mergeCell ref="B111:B119"/>
    <mergeCell ref="C111:C119"/>
    <mergeCell ref="X111:X119"/>
    <mergeCell ref="A120:A128"/>
    <mergeCell ref="B120:B128"/>
    <mergeCell ref="C120:C128"/>
    <mergeCell ref="X120:X128"/>
    <mergeCell ref="A93:A101"/>
    <mergeCell ref="B93:B101"/>
    <mergeCell ref="C93:C101"/>
    <mergeCell ref="X93:X101"/>
    <mergeCell ref="A102:A110"/>
    <mergeCell ref="B102:B110"/>
    <mergeCell ref="C102:C110"/>
    <mergeCell ref="X102:X110"/>
    <mergeCell ref="A75:A83"/>
    <mergeCell ref="B75:B83"/>
    <mergeCell ref="C75:C83"/>
    <mergeCell ref="X75:X83"/>
    <mergeCell ref="A84:A92"/>
    <mergeCell ref="B84:B92"/>
    <mergeCell ref="C84:C92"/>
    <mergeCell ref="X84:X92"/>
    <mergeCell ref="A57:A65"/>
    <mergeCell ref="B57:B65"/>
    <mergeCell ref="C57:C65"/>
    <mergeCell ref="X57:X65"/>
    <mergeCell ref="A66:A74"/>
    <mergeCell ref="B66:B74"/>
    <mergeCell ref="C66:C74"/>
    <mergeCell ref="X66:X74"/>
    <mergeCell ref="H9:H11"/>
    <mergeCell ref="I9:I11"/>
    <mergeCell ref="J9:J11"/>
    <mergeCell ref="A39:A47"/>
    <mergeCell ref="B39:B47"/>
    <mergeCell ref="C39:C47"/>
    <mergeCell ref="X39:X47"/>
    <mergeCell ref="A48:A56"/>
    <mergeCell ref="B48:B56"/>
    <mergeCell ref="C48:C56"/>
    <mergeCell ref="X48:X56"/>
    <mergeCell ref="X12:X20"/>
    <mergeCell ref="A21:A29"/>
    <mergeCell ref="B21:B29"/>
    <mergeCell ref="C21:C29"/>
    <mergeCell ref="X21:X29"/>
    <mergeCell ref="A30:A38"/>
    <mergeCell ref="B30:B38"/>
    <mergeCell ref="C30:C38"/>
    <mergeCell ref="X30:X38"/>
    <mergeCell ref="A12:A20"/>
    <mergeCell ref="B12:B20"/>
    <mergeCell ref="C12:C20"/>
    <mergeCell ref="A1:V1"/>
    <mergeCell ref="A2:V2"/>
    <mergeCell ref="A8:A11"/>
    <mergeCell ref="B8:B11"/>
    <mergeCell ref="C8:C11"/>
    <mergeCell ref="E8:J8"/>
    <mergeCell ref="K8:L8"/>
    <mergeCell ref="M8:U8"/>
    <mergeCell ref="V8:V11"/>
    <mergeCell ref="D9:D11"/>
    <mergeCell ref="Q9:Q11"/>
    <mergeCell ref="R9:R11"/>
    <mergeCell ref="S9:S11"/>
    <mergeCell ref="T9:T11"/>
    <mergeCell ref="U9:U11"/>
    <mergeCell ref="K9:K11"/>
    <mergeCell ref="L9:L11"/>
    <mergeCell ref="M9:M11"/>
    <mergeCell ref="N9:N11"/>
    <mergeCell ref="O9:O11"/>
    <mergeCell ref="P9:P11"/>
    <mergeCell ref="E9:E11"/>
    <mergeCell ref="F9:F11"/>
    <mergeCell ref="G9:G11"/>
  </mergeCells>
  <conditionalFormatting sqref="E17:U17">
    <cfRule type="cellIs" dxfId="23" priority="893" stopIfTrue="1" operator="notBetween">
      <formula>0</formula>
      <formula>100</formula>
    </cfRule>
    <cfRule type="cellIs" dxfId="22" priority="894" stopIfTrue="1" operator="lessThan">
      <formula>#REF!</formula>
    </cfRule>
    <cfRule type="cellIs" dxfId="21" priority="895" stopIfTrue="1" operator="notBetween">
      <formula>0</formula>
      <formula>100</formula>
    </cfRule>
    <cfRule type="cellIs" dxfId="20" priority="896" stopIfTrue="1" operator="between">
      <formula>0</formula>
      <formula>55</formula>
    </cfRule>
  </conditionalFormatting>
  <conditionalFormatting sqref="E26:U26">
    <cfRule type="cellIs" dxfId="19" priority="21" stopIfTrue="1" operator="notBetween">
      <formula>0</formula>
      <formula>100</formula>
    </cfRule>
    <cfRule type="cellIs" dxfId="18" priority="22" stopIfTrue="1" operator="lessThan">
      <formula>#REF!</formula>
    </cfRule>
    <cfRule type="cellIs" dxfId="17" priority="23" stopIfTrue="1" operator="notBetween">
      <formula>0</formula>
      <formula>100</formula>
    </cfRule>
    <cfRule type="cellIs" dxfId="16" priority="24" stopIfTrue="1" operator="between">
      <formula>0</formula>
      <formula>55</formula>
    </cfRule>
  </conditionalFormatting>
  <conditionalFormatting sqref="E35:U35 E44:U44 E53:U53 E62:U62 E71:U71 E80:U80 E89:U89 E98:U98 E107:U107 E116:U116 E125:U125 E134:U134 E143:U143 E152:U152 E161:U161 E170:U170 E179:U179 E188:U188 E197:U197 E206:U206 E215:U215 E224:U224 E233:U233 E242:U242 E251:U251 E260:U260 E269:U269 E278:U278 E287:U287 E296:U296 E305:U305 E314:U314 E323:U323 E332:U332 E341:U341 E350:U350 E359:U359 E368:U368">
    <cfRule type="cellIs" dxfId="15" priority="5" stopIfTrue="1" operator="notBetween">
      <formula>0</formula>
      <formula>100</formula>
    </cfRule>
    <cfRule type="cellIs" dxfId="14" priority="6" stopIfTrue="1" operator="lessThan">
      <formula>#REF!</formula>
    </cfRule>
    <cfRule type="cellIs" dxfId="13" priority="7" stopIfTrue="1" operator="notBetween">
      <formula>0</formula>
      <formula>100</formula>
    </cfRule>
    <cfRule type="cellIs" dxfId="12" priority="8" stopIfTrue="1" operator="between">
      <formula>0</formula>
      <formula>55</formula>
    </cfRule>
  </conditionalFormatting>
  <conditionalFormatting sqref="T15">
    <cfRule type="cellIs" dxfId="11" priority="889" stopIfTrue="1" operator="notBetween">
      <formula>0</formula>
      <formula>100</formula>
    </cfRule>
    <cfRule type="cellIs" dxfId="10" priority="890" stopIfTrue="1" operator="lessThan">
      <formula>#REF!</formula>
    </cfRule>
    <cfRule type="cellIs" dxfId="9" priority="891" stopIfTrue="1" operator="notBetween">
      <formula>0</formula>
      <formula>100</formula>
    </cfRule>
    <cfRule type="cellIs" dxfId="8" priority="892" stopIfTrue="1" operator="between">
      <formula>0</formula>
      <formula>55</formula>
    </cfRule>
  </conditionalFormatting>
  <conditionalFormatting sqref="T24">
    <cfRule type="cellIs" dxfId="7" priority="17" stopIfTrue="1" operator="notBetween">
      <formula>0</formula>
      <formula>100</formula>
    </cfRule>
    <cfRule type="cellIs" dxfId="6" priority="18" stopIfTrue="1" operator="lessThan">
      <formula>#REF!</formula>
    </cfRule>
    <cfRule type="cellIs" dxfId="5" priority="19" stopIfTrue="1" operator="notBetween">
      <formula>0</formula>
      <formula>100</formula>
    </cfRule>
    <cfRule type="cellIs" dxfId="4" priority="20" stopIfTrue="1" operator="between">
      <formula>0</formula>
      <formula>55</formula>
    </cfRule>
  </conditionalFormatting>
  <conditionalFormatting sqref="T33 T42 T51 T60 T69 T78 T87 T96 T105 T114 T123 T132 T141 T150 T159 T168 T177 T186 T195 T204 T213 T222 T231 T240 T249 T258 T267 T276 T285 T294 T303 T312 T321 T330 T339 T348 T357 T366">
    <cfRule type="cellIs" dxfId="3" priority="1" stopIfTrue="1" operator="notBetween">
      <formula>0</formula>
      <formula>100</formula>
    </cfRule>
    <cfRule type="cellIs" dxfId="2" priority="2" stopIfTrue="1" operator="lessThan">
      <formula>#REF!</formula>
    </cfRule>
    <cfRule type="cellIs" dxfId="1" priority="3" stopIfTrue="1" operator="notBetween">
      <formula>0</formula>
      <formula>100</formula>
    </cfRule>
    <cfRule type="cellIs" dxfId="0" priority="4" stopIfTrue="1" operator="between">
      <formula>0</formula>
      <formula>55</formula>
    </cfRule>
  </conditionalFormatting>
  <pageMargins left="0.74803149606299213" right="0.15748031496062992" top="0.74803149606299213" bottom="0.43307086614173229" header="0.31496062992125984" footer="0.23622047244094491"/>
  <pageSetup paperSize="768" scale="60"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16</vt:i4>
      </vt:variant>
    </vt:vector>
  </HeadingPairs>
  <TitlesOfParts>
    <vt:vector size="27" baseType="lpstr">
      <vt:lpstr>Sheet1</vt:lpstr>
      <vt:lpstr>te</vt:lpstr>
      <vt:lpstr>Sheet2</vt:lpstr>
      <vt:lpstr>SISWA PRESTASI</vt:lpstr>
      <vt:lpstr>12 TE</vt:lpstr>
      <vt:lpstr>tkr</vt:lpstr>
      <vt:lpstr>12 TKR</vt:lpstr>
      <vt:lpstr>tkj</vt:lpstr>
      <vt:lpstr>12 TKJ</vt:lpstr>
      <vt:lpstr>ak</vt:lpstr>
      <vt:lpstr>12 AK</vt:lpstr>
      <vt:lpstr>'12 AK'!Print_Area</vt:lpstr>
      <vt:lpstr>'12 TE'!Print_Area</vt:lpstr>
      <vt:lpstr>'12 TKJ'!Print_Area</vt:lpstr>
      <vt:lpstr>'12 TKR'!Print_Area</vt:lpstr>
      <vt:lpstr>ak!Print_Area</vt:lpstr>
      <vt:lpstr>te!Print_Area</vt:lpstr>
      <vt:lpstr>tkj!Print_Area</vt:lpstr>
      <vt:lpstr>tkr!Print_Area</vt:lpstr>
      <vt:lpstr>'12 AK'!Print_Titles</vt:lpstr>
      <vt:lpstr>'12 TE'!Print_Titles</vt:lpstr>
      <vt:lpstr>'12 TKJ'!Print_Titles</vt:lpstr>
      <vt:lpstr>'12 TKR'!Print_Titles</vt:lpstr>
      <vt:lpstr>ak!Print_Titles</vt:lpstr>
      <vt:lpstr>te!Print_Titles</vt:lpstr>
      <vt:lpstr>tkj!Print_Titles</vt:lpstr>
      <vt:lpstr>tkr!Print_Titles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TU_SMK</dc:creator>
  <cp:lastModifiedBy>USER</cp:lastModifiedBy>
  <cp:lastPrinted>2025-04-20T23:23:01Z</cp:lastPrinted>
  <dcterms:created xsi:type="dcterms:W3CDTF">2025-04-16T03:34:42Z</dcterms:created>
  <dcterms:modified xsi:type="dcterms:W3CDTF">2026-04-07T00:36:31Z</dcterms:modified>
</cp:coreProperties>
</file>